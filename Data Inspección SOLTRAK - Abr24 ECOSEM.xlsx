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mart\Desktop\ECOSEM\"/>
    </mc:Choice>
  </mc:AlternateContent>
  <xr:revisionPtr revIDLastSave="0" documentId="13_ncr:1_{D4209ED6-D60B-4A0C-8DDD-6ADC0320AA4F}" xr6:coauthVersionLast="47" xr6:coauthVersionMax="47" xr10:uidLastSave="{00000000-0000-0000-0000-000000000000}"/>
  <bookViews>
    <workbookView xWindow="-108" yWindow="-108" windowWidth="23256" windowHeight="12456" tabRatio="876" firstSheet="1" activeTab="1" xr2:uid="{00000000-000D-0000-FFFF-FFFF00000000}"/>
  </bookViews>
  <sheets>
    <sheet name="ITN" sheetId="14" state="hidden" r:id="rId1"/>
    <sheet name="BASE_DATOS" sheetId="1" r:id="rId2"/>
    <sheet name="NSK-TRACTO" sheetId="104" r:id="rId3"/>
    <sheet name="NSK-ENCAPSULADO" sheetId="107" r:id="rId4"/>
    <sheet name="DET_REND" sheetId="42" r:id="rId5"/>
  </sheets>
  <definedNames>
    <definedName name="_xlnm._FilterDatabase" localSheetId="1" hidden="1">BASE_DATOS!$A$5:$AX$969</definedName>
    <definedName name="SegmentaciónDeDatos_Eje">#N/A</definedName>
    <definedName name="SegmentaciónDeDatos_N_R">#N/A</definedName>
    <definedName name="SegmentaciónDeDatos_Situación_Actual">#N/A</definedName>
    <definedName name="VALOR_EJE" localSheetId="3">#REF!</definedName>
    <definedName name="VALOR_EJE" localSheetId="2">#REF!</definedName>
    <definedName name="VALOR_EJE">#REF!</definedName>
    <definedName name="VALOR_LLANTAS" localSheetId="3">#REF!</definedName>
    <definedName name="VALOR_LLANTAS" localSheetId="2">#REF!</definedName>
    <definedName name="VALOR_LLANTAS">#REF!</definedName>
    <definedName name="VALOR_VEHICULOS" localSheetId="3">#REF!</definedName>
    <definedName name="VALOR_VEHICULOS" localSheetId="2">#REF!</definedName>
    <definedName name="VALOR_VEHICULOS">#REF!</definedName>
  </definedNames>
  <calcPr calcId="191029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" i="107" l="1"/>
  <c r="F6" i="107"/>
  <c r="D6" i="107"/>
  <c r="F5" i="107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759" i="1"/>
  <c r="AY760" i="1"/>
  <c r="AY761" i="1"/>
  <c r="AY762" i="1"/>
  <c r="AY763" i="1"/>
  <c r="AY764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79" i="1"/>
  <c r="AY780" i="1"/>
  <c r="AY781" i="1"/>
  <c r="AY782" i="1"/>
  <c r="AY783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4" i="1"/>
  <c r="AY815" i="1"/>
  <c r="AY816" i="1"/>
  <c r="AY817" i="1"/>
  <c r="AY818" i="1"/>
  <c r="AY819" i="1"/>
  <c r="AY820" i="1"/>
  <c r="AY821" i="1"/>
  <c r="AY822" i="1"/>
  <c r="AY823" i="1"/>
  <c r="AY824" i="1"/>
  <c r="AY825" i="1"/>
  <c r="AY826" i="1"/>
  <c r="AY827" i="1"/>
  <c r="AY828" i="1"/>
  <c r="AY829" i="1"/>
  <c r="AY830" i="1"/>
  <c r="AY831" i="1"/>
  <c r="AY832" i="1"/>
  <c r="AY833" i="1"/>
  <c r="AY834" i="1"/>
  <c r="AY835" i="1"/>
  <c r="AY836" i="1"/>
  <c r="AY837" i="1"/>
  <c r="AY838" i="1"/>
  <c r="AY839" i="1"/>
  <c r="AY840" i="1"/>
  <c r="AY841" i="1"/>
  <c r="AY842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57" i="1"/>
  <c r="AY858" i="1"/>
  <c r="AY859" i="1"/>
  <c r="AY860" i="1"/>
  <c r="AY861" i="1"/>
  <c r="AY862" i="1"/>
  <c r="AY863" i="1"/>
  <c r="AY864" i="1"/>
  <c r="AY865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0" i="1"/>
  <c r="AY881" i="1"/>
  <c r="AY882" i="1"/>
  <c r="AY883" i="1"/>
  <c r="AY884" i="1"/>
  <c r="AY885" i="1"/>
  <c r="AY886" i="1"/>
  <c r="AY887" i="1"/>
  <c r="AY888" i="1"/>
  <c r="AY889" i="1"/>
  <c r="AY890" i="1"/>
  <c r="AY891" i="1"/>
  <c r="AY892" i="1"/>
  <c r="AY893" i="1"/>
  <c r="AY894" i="1"/>
  <c r="AY895" i="1"/>
  <c r="AY896" i="1"/>
  <c r="AY897" i="1"/>
  <c r="AY898" i="1"/>
  <c r="AY899" i="1"/>
  <c r="AY900" i="1"/>
  <c r="AY901" i="1"/>
  <c r="AY902" i="1"/>
  <c r="AY903" i="1"/>
  <c r="AY904" i="1"/>
  <c r="AY905" i="1"/>
  <c r="AY906" i="1"/>
  <c r="AY907" i="1"/>
  <c r="AY908" i="1"/>
  <c r="AY909" i="1"/>
  <c r="AY910" i="1"/>
  <c r="AY911" i="1"/>
  <c r="AY912" i="1"/>
  <c r="AY913" i="1"/>
  <c r="AY914" i="1"/>
  <c r="AY915" i="1"/>
  <c r="AY916" i="1"/>
  <c r="AY917" i="1"/>
  <c r="AY918" i="1"/>
  <c r="AY919" i="1"/>
  <c r="AY920" i="1"/>
  <c r="AY921" i="1"/>
  <c r="AY922" i="1"/>
  <c r="AY923" i="1"/>
  <c r="AY924" i="1"/>
  <c r="AY925" i="1"/>
  <c r="AY926" i="1"/>
  <c r="AY927" i="1"/>
  <c r="AY928" i="1"/>
  <c r="AY929" i="1"/>
  <c r="AY930" i="1"/>
  <c r="AY931" i="1"/>
  <c r="AY932" i="1"/>
  <c r="AY933" i="1"/>
  <c r="AY934" i="1"/>
  <c r="AY935" i="1"/>
  <c r="AY936" i="1"/>
  <c r="AY937" i="1"/>
  <c r="AY938" i="1"/>
  <c r="AY939" i="1"/>
  <c r="AY940" i="1"/>
  <c r="AY941" i="1"/>
  <c r="AY942" i="1"/>
  <c r="AY943" i="1"/>
  <c r="AY944" i="1"/>
  <c r="AY945" i="1"/>
  <c r="AY946" i="1"/>
  <c r="AY947" i="1"/>
  <c r="AY948" i="1"/>
  <c r="AY949" i="1"/>
  <c r="AY950" i="1"/>
  <c r="AY951" i="1"/>
  <c r="AY952" i="1"/>
  <c r="AY953" i="1"/>
  <c r="AY954" i="1"/>
  <c r="AY955" i="1"/>
  <c r="AY956" i="1"/>
  <c r="AY957" i="1"/>
  <c r="AY958" i="1"/>
  <c r="AY959" i="1"/>
  <c r="AY960" i="1"/>
  <c r="AY961" i="1"/>
  <c r="AY962" i="1"/>
  <c r="AY963" i="1"/>
  <c r="AY964" i="1"/>
  <c r="AY965" i="1"/>
  <c r="AY966" i="1"/>
  <c r="AY967" i="1"/>
  <c r="AY968" i="1"/>
  <c r="AY969" i="1"/>
  <c r="N177" i="107" l="1"/>
  <c r="O190" i="107"/>
  <c r="N65" i="107"/>
  <c r="M91" i="107"/>
  <c r="O136" i="107"/>
  <c r="O65" i="107"/>
  <c r="R87" i="107"/>
  <c r="R125" i="107"/>
  <c r="P190" i="107"/>
  <c r="N144" i="104"/>
  <c r="T199" i="107"/>
  <c r="R198" i="107"/>
  <c r="P197" i="107"/>
  <c r="N196" i="107"/>
  <c r="T193" i="107"/>
  <c r="R192" i="107"/>
  <c r="P191" i="107"/>
  <c r="N190" i="107"/>
  <c r="T187" i="107"/>
  <c r="R186" i="107"/>
  <c r="P185" i="107"/>
  <c r="N184" i="107"/>
  <c r="T181" i="107"/>
  <c r="R180" i="107"/>
  <c r="P179" i="107"/>
  <c r="N178" i="107"/>
  <c r="T175" i="107"/>
  <c r="R174" i="107"/>
  <c r="P173" i="107"/>
  <c r="N172" i="107"/>
  <c r="T169" i="107"/>
  <c r="R168" i="107"/>
  <c r="P167" i="107"/>
  <c r="N166" i="107"/>
  <c r="T163" i="107"/>
  <c r="R162" i="107"/>
  <c r="P161" i="107"/>
  <c r="N160" i="107"/>
  <c r="T157" i="107"/>
  <c r="R156" i="107"/>
  <c r="P155" i="107"/>
  <c r="N154" i="107"/>
  <c r="T151" i="107"/>
  <c r="R150" i="107"/>
  <c r="P149" i="107"/>
  <c r="N148" i="107"/>
  <c r="T145" i="107"/>
  <c r="R144" i="107"/>
  <c r="P143" i="107"/>
  <c r="N142" i="107"/>
  <c r="T139" i="107"/>
  <c r="R138" i="107"/>
  <c r="P137" i="107"/>
  <c r="N136" i="107"/>
  <c r="T133" i="107"/>
  <c r="R132" i="107"/>
  <c r="P131" i="107"/>
  <c r="N130" i="107"/>
  <c r="T127" i="107"/>
  <c r="R126" i="107"/>
  <c r="P125" i="107"/>
  <c r="N124" i="107"/>
  <c r="T121" i="107"/>
  <c r="R120" i="107"/>
  <c r="P119" i="107"/>
  <c r="N118" i="107"/>
  <c r="T115" i="107"/>
  <c r="R114" i="107"/>
  <c r="P113" i="107"/>
  <c r="N112" i="107"/>
  <c r="T109" i="107"/>
  <c r="R108" i="107"/>
  <c r="P107" i="107"/>
  <c r="N106" i="107"/>
  <c r="T103" i="107"/>
  <c r="S199" i="107"/>
  <c r="Q198" i="107"/>
  <c r="O197" i="107"/>
  <c r="M196" i="107"/>
  <c r="S193" i="107"/>
  <c r="Q192" i="107"/>
  <c r="O191" i="107"/>
  <c r="M190" i="107"/>
  <c r="S187" i="107"/>
  <c r="Q186" i="107"/>
  <c r="O185" i="107"/>
  <c r="M184" i="107"/>
  <c r="S181" i="107"/>
  <c r="Q180" i="107"/>
  <c r="O179" i="107"/>
  <c r="M178" i="107"/>
  <c r="S175" i="107"/>
  <c r="Q174" i="107"/>
  <c r="O173" i="107"/>
  <c r="M172" i="107"/>
  <c r="S169" i="107"/>
  <c r="Q168" i="107"/>
  <c r="O167" i="107"/>
  <c r="M166" i="107"/>
  <c r="S163" i="107"/>
  <c r="Q162" i="107"/>
  <c r="O161" i="107"/>
  <c r="M160" i="107"/>
  <c r="S157" i="107"/>
  <c r="Q156" i="107"/>
  <c r="O155" i="107"/>
  <c r="M154" i="107"/>
  <c r="S151" i="107"/>
  <c r="Q150" i="107"/>
  <c r="O149" i="107"/>
  <c r="M148" i="107"/>
  <c r="S145" i="107"/>
  <c r="Q144" i="107"/>
  <c r="O143" i="107"/>
  <c r="M142" i="107"/>
  <c r="S139" i="107"/>
  <c r="Q138" i="107"/>
  <c r="O137" i="107"/>
  <c r="M136" i="107"/>
  <c r="S133" i="107"/>
  <c r="Q132" i="107"/>
  <c r="O131" i="107"/>
  <c r="M130" i="107"/>
  <c r="S127" i="107"/>
  <c r="Q126" i="107"/>
  <c r="O125" i="107"/>
  <c r="M124" i="107"/>
  <c r="S121" i="107"/>
  <c r="Q120" i="107"/>
  <c r="O119" i="107"/>
  <c r="M118" i="107"/>
  <c r="S115" i="107"/>
  <c r="Q114" i="107"/>
  <c r="O113" i="107"/>
  <c r="M112" i="107"/>
  <c r="S109" i="107"/>
  <c r="Q108" i="107"/>
  <c r="O107" i="107"/>
  <c r="M106" i="107"/>
  <c r="S103" i="107"/>
  <c r="Q102" i="107"/>
  <c r="O101" i="107"/>
  <c r="M100" i="107"/>
  <c r="T200" i="107"/>
  <c r="R199" i="107"/>
  <c r="P198" i="107"/>
  <c r="N197" i="107"/>
  <c r="T194" i="107"/>
  <c r="R193" i="107"/>
  <c r="P192" i="107"/>
  <c r="N191" i="107"/>
  <c r="T188" i="107"/>
  <c r="R187" i="107"/>
  <c r="P186" i="107"/>
  <c r="N185" i="107"/>
  <c r="T182" i="107"/>
  <c r="R181" i="107"/>
  <c r="P180" i="107"/>
  <c r="N179" i="107"/>
  <c r="T176" i="107"/>
  <c r="R175" i="107"/>
  <c r="P174" i="107"/>
  <c r="N173" i="107"/>
  <c r="T170" i="107"/>
  <c r="R169" i="107"/>
  <c r="P168" i="107"/>
  <c r="N167" i="107"/>
  <c r="T164" i="107"/>
  <c r="R163" i="107"/>
  <c r="P162" i="107"/>
  <c r="N161" i="107"/>
  <c r="T158" i="107"/>
  <c r="R157" i="107"/>
  <c r="P156" i="107"/>
  <c r="N155" i="107"/>
  <c r="T152" i="107"/>
  <c r="R151" i="107"/>
  <c r="P150" i="107"/>
  <c r="N149" i="107"/>
  <c r="T146" i="107"/>
  <c r="R145" i="107"/>
  <c r="P144" i="107"/>
  <c r="N143" i="107"/>
  <c r="T140" i="107"/>
  <c r="R139" i="107"/>
  <c r="P138" i="107"/>
  <c r="N137" i="107"/>
  <c r="T134" i="107"/>
  <c r="R133" i="107"/>
  <c r="P132" i="107"/>
  <c r="N131" i="107"/>
  <c r="T128" i="107"/>
  <c r="R127" i="107"/>
  <c r="P126" i="107"/>
  <c r="N125" i="107"/>
  <c r="T122" i="107"/>
  <c r="R121" i="107"/>
  <c r="P120" i="107"/>
  <c r="N119" i="107"/>
  <c r="T116" i="107"/>
  <c r="R115" i="107"/>
  <c r="P114" i="107"/>
  <c r="N113" i="107"/>
  <c r="T110" i="107"/>
  <c r="R109" i="107"/>
  <c r="P108" i="107"/>
  <c r="N107" i="107"/>
  <c r="T104" i="107"/>
  <c r="R103" i="107"/>
  <c r="S200" i="107"/>
  <c r="Q199" i="107"/>
  <c r="O198" i="107"/>
  <c r="M197" i="107"/>
  <c r="S194" i="107"/>
  <c r="Q193" i="107"/>
  <c r="O192" i="107"/>
  <c r="M191" i="107"/>
  <c r="S188" i="107"/>
  <c r="Q187" i="107"/>
  <c r="O186" i="107"/>
  <c r="M185" i="107"/>
  <c r="S182" i="107"/>
  <c r="Q181" i="107"/>
  <c r="O180" i="107"/>
  <c r="M179" i="107"/>
  <c r="S176" i="107"/>
  <c r="Q175" i="107"/>
  <c r="O174" i="107"/>
  <c r="M173" i="107"/>
  <c r="S170" i="107"/>
  <c r="Q169" i="107"/>
  <c r="O168" i="107"/>
  <c r="M167" i="107"/>
  <c r="S164" i="107"/>
  <c r="Q163" i="107"/>
  <c r="O162" i="107"/>
  <c r="M161" i="107"/>
  <c r="S158" i="107"/>
  <c r="Q157" i="107"/>
  <c r="O156" i="107"/>
  <c r="M155" i="107"/>
  <c r="S152" i="107"/>
  <c r="Q151" i="107"/>
  <c r="O150" i="107"/>
  <c r="M149" i="107"/>
  <c r="S146" i="107"/>
  <c r="Q145" i="107"/>
  <c r="O144" i="107"/>
  <c r="M143" i="107"/>
  <c r="S140" i="107"/>
  <c r="Q139" i="107"/>
  <c r="O138" i="107"/>
  <c r="M137" i="107"/>
  <c r="S134" i="107"/>
  <c r="Q133" i="107"/>
  <c r="O132" i="107"/>
  <c r="M131" i="107"/>
  <c r="S128" i="107"/>
  <c r="Q127" i="107"/>
  <c r="O126" i="107"/>
  <c r="M125" i="107"/>
  <c r="S122" i="107"/>
  <c r="Q121" i="107"/>
  <c r="O120" i="107"/>
  <c r="M119" i="107"/>
  <c r="S116" i="107"/>
  <c r="Q115" i="107"/>
  <c r="O114" i="107"/>
  <c r="M113" i="107"/>
  <c r="S110" i="107"/>
  <c r="Q109" i="107"/>
  <c r="O108" i="107"/>
  <c r="M107" i="107"/>
  <c r="S104" i="107"/>
  <c r="Q103" i="107"/>
  <c r="O102" i="107"/>
  <c r="R200" i="107"/>
  <c r="P199" i="107"/>
  <c r="N198" i="107"/>
  <c r="T195" i="107"/>
  <c r="R194" i="107"/>
  <c r="P193" i="107"/>
  <c r="N192" i="107"/>
  <c r="T189" i="107"/>
  <c r="R188" i="107"/>
  <c r="P187" i="107"/>
  <c r="N186" i="107"/>
  <c r="T183" i="107"/>
  <c r="R182" i="107"/>
  <c r="P181" i="107"/>
  <c r="N180" i="107"/>
  <c r="T177" i="107"/>
  <c r="R176" i="107"/>
  <c r="P175" i="107"/>
  <c r="N174" i="107"/>
  <c r="T171" i="107"/>
  <c r="R170" i="107"/>
  <c r="P169" i="107"/>
  <c r="N168" i="107"/>
  <c r="T165" i="107"/>
  <c r="R164" i="107"/>
  <c r="P163" i="107"/>
  <c r="N162" i="107"/>
  <c r="T159" i="107"/>
  <c r="R158" i="107"/>
  <c r="P157" i="107"/>
  <c r="N156" i="107"/>
  <c r="T153" i="107"/>
  <c r="R152" i="107"/>
  <c r="P151" i="107"/>
  <c r="N150" i="107"/>
  <c r="T147" i="107"/>
  <c r="R146" i="107"/>
  <c r="P145" i="107"/>
  <c r="N144" i="107"/>
  <c r="T141" i="107"/>
  <c r="R140" i="107"/>
  <c r="P139" i="107"/>
  <c r="N138" i="107"/>
  <c r="T135" i="107"/>
  <c r="R134" i="107"/>
  <c r="P133" i="107"/>
  <c r="N132" i="107"/>
  <c r="T129" i="107"/>
  <c r="R128" i="107"/>
  <c r="P127" i="107"/>
  <c r="N126" i="107"/>
  <c r="T123" i="107"/>
  <c r="R122" i="107"/>
  <c r="P121" i="107"/>
  <c r="N120" i="107"/>
  <c r="T117" i="107"/>
  <c r="R116" i="107"/>
  <c r="P115" i="107"/>
  <c r="N114" i="107"/>
  <c r="T111" i="107"/>
  <c r="R110" i="107"/>
  <c r="P109" i="107"/>
  <c r="N108" i="107"/>
  <c r="T105" i="107"/>
  <c r="R104" i="107"/>
  <c r="P103" i="107"/>
  <c r="N102" i="107"/>
  <c r="Q200" i="107"/>
  <c r="O199" i="107"/>
  <c r="M198" i="107"/>
  <c r="S195" i="107"/>
  <c r="Q194" i="107"/>
  <c r="O193" i="107"/>
  <c r="M192" i="107"/>
  <c r="S189" i="107"/>
  <c r="Q188" i="107"/>
  <c r="O187" i="107"/>
  <c r="M186" i="107"/>
  <c r="S183" i="107"/>
  <c r="Q182" i="107"/>
  <c r="O181" i="107"/>
  <c r="M180" i="107"/>
  <c r="S177" i="107"/>
  <c r="Q176" i="107"/>
  <c r="O175" i="107"/>
  <c r="M174" i="107"/>
  <c r="S171" i="107"/>
  <c r="Q170" i="107"/>
  <c r="O169" i="107"/>
  <c r="M168" i="107"/>
  <c r="S165" i="107"/>
  <c r="Q164" i="107"/>
  <c r="O163" i="107"/>
  <c r="M162" i="107"/>
  <c r="S159" i="107"/>
  <c r="Q158" i="107"/>
  <c r="O157" i="107"/>
  <c r="M156" i="107"/>
  <c r="S153" i="107"/>
  <c r="Q152" i="107"/>
  <c r="O151" i="107"/>
  <c r="M150" i="107"/>
  <c r="S147" i="107"/>
  <c r="Q146" i="107"/>
  <c r="O145" i="107"/>
  <c r="M144" i="107"/>
  <c r="S141" i="107"/>
  <c r="Q140" i="107"/>
  <c r="O139" i="107"/>
  <c r="M138" i="107"/>
  <c r="S135" i="107"/>
  <c r="Q134" i="107"/>
  <c r="O133" i="107"/>
  <c r="M132" i="107"/>
  <c r="S129" i="107"/>
  <c r="Q128" i="107"/>
  <c r="O127" i="107"/>
  <c r="M126" i="107"/>
  <c r="S123" i="107"/>
  <c r="Q122" i="107"/>
  <c r="O121" i="107"/>
  <c r="M120" i="107"/>
  <c r="S117" i="107"/>
  <c r="Q116" i="107"/>
  <c r="O115" i="107"/>
  <c r="M114" i="107"/>
  <c r="S111" i="107"/>
  <c r="Q110" i="107"/>
  <c r="O109" i="107"/>
  <c r="M108" i="107"/>
  <c r="S105" i="107"/>
  <c r="Q104" i="107"/>
  <c r="O103" i="107"/>
  <c r="M102" i="107"/>
  <c r="S99" i="107"/>
  <c r="P200" i="107"/>
  <c r="N199" i="107"/>
  <c r="T196" i="107"/>
  <c r="R195" i="107"/>
  <c r="P194" i="107"/>
  <c r="N193" i="107"/>
  <c r="T190" i="107"/>
  <c r="R189" i="107"/>
  <c r="P188" i="107"/>
  <c r="N187" i="107"/>
  <c r="T184" i="107"/>
  <c r="R183" i="107"/>
  <c r="P182" i="107"/>
  <c r="N181" i="107"/>
  <c r="T178" i="107"/>
  <c r="R177" i="107"/>
  <c r="P176" i="107"/>
  <c r="N175" i="107"/>
  <c r="T172" i="107"/>
  <c r="R171" i="107"/>
  <c r="P170" i="107"/>
  <c r="N169" i="107"/>
  <c r="T166" i="107"/>
  <c r="R165" i="107"/>
  <c r="P164" i="107"/>
  <c r="N163" i="107"/>
  <c r="T160" i="107"/>
  <c r="R159" i="107"/>
  <c r="P158" i="107"/>
  <c r="N157" i="107"/>
  <c r="T154" i="107"/>
  <c r="R153" i="107"/>
  <c r="P152" i="107"/>
  <c r="N151" i="107"/>
  <c r="T148" i="107"/>
  <c r="R147" i="107"/>
  <c r="P146" i="107"/>
  <c r="N145" i="107"/>
  <c r="T142" i="107"/>
  <c r="R141" i="107"/>
  <c r="P140" i="107"/>
  <c r="N139" i="107"/>
  <c r="T136" i="107"/>
  <c r="R135" i="107"/>
  <c r="P134" i="107"/>
  <c r="N133" i="107"/>
  <c r="T130" i="107"/>
  <c r="R129" i="107"/>
  <c r="P128" i="107"/>
  <c r="N127" i="107"/>
  <c r="T124" i="107"/>
  <c r="R123" i="107"/>
  <c r="P122" i="107"/>
  <c r="N121" i="107"/>
  <c r="T118" i="107"/>
  <c r="R117" i="107"/>
  <c r="P116" i="107"/>
  <c r="N115" i="107"/>
  <c r="T112" i="107"/>
  <c r="R111" i="107"/>
  <c r="P110" i="107"/>
  <c r="N109" i="107"/>
  <c r="T106" i="107"/>
  <c r="R105" i="107"/>
  <c r="P104" i="107"/>
  <c r="N103" i="107"/>
  <c r="T100" i="107"/>
  <c r="R99" i="107"/>
  <c r="N200" i="107"/>
  <c r="T197" i="107"/>
  <c r="R196" i="107"/>
  <c r="P195" i="107"/>
  <c r="N194" i="107"/>
  <c r="T191" i="107"/>
  <c r="R190" i="107"/>
  <c r="P189" i="107"/>
  <c r="N188" i="107"/>
  <c r="T185" i="107"/>
  <c r="R184" i="107"/>
  <c r="P183" i="107"/>
  <c r="N182" i="107"/>
  <c r="T179" i="107"/>
  <c r="R178" i="107"/>
  <c r="P177" i="107"/>
  <c r="N176" i="107"/>
  <c r="T173" i="107"/>
  <c r="R172" i="107"/>
  <c r="P171" i="107"/>
  <c r="N170" i="107"/>
  <c r="T167" i="107"/>
  <c r="R166" i="107"/>
  <c r="P165" i="107"/>
  <c r="N164" i="107"/>
  <c r="T161" i="107"/>
  <c r="R160" i="107"/>
  <c r="P159" i="107"/>
  <c r="N158" i="107"/>
  <c r="T155" i="107"/>
  <c r="R154" i="107"/>
  <c r="P153" i="107"/>
  <c r="N152" i="107"/>
  <c r="T149" i="107"/>
  <c r="R148" i="107"/>
  <c r="P147" i="107"/>
  <c r="N146" i="107"/>
  <c r="T143" i="107"/>
  <c r="R142" i="107"/>
  <c r="P141" i="107"/>
  <c r="N140" i="107"/>
  <c r="T137" i="107"/>
  <c r="R136" i="107"/>
  <c r="P135" i="107"/>
  <c r="N134" i="107"/>
  <c r="T131" i="107"/>
  <c r="R130" i="107"/>
  <c r="P129" i="107"/>
  <c r="N128" i="107"/>
  <c r="T125" i="107"/>
  <c r="R124" i="107"/>
  <c r="P123" i="107"/>
  <c r="N122" i="107"/>
  <c r="T119" i="107"/>
  <c r="R118" i="107"/>
  <c r="P117" i="107"/>
  <c r="N116" i="107"/>
  <c r="T113" i="107"/>
  <c r="R112" i="107"/>
  <c r="P111" i="107"/>
  <c r="N110" i="107"/>
  <c r="T107" i="107"/>
  <c r="R106" i="107"/>
  <c r="P105" i="107"/>
  <c r="N104" i="107"/>
  <c r="T101" i="107"/>
  <c r="O200" i="107"/>
  <c r="S196" i="107"/>
  <c r="M193" i="107"/>
  <c r="Q189" i="107"/>
  <c r="O182" i="107"/>
  <c r="S178" i="107"/>
  <c r="M175" i="107"/>
  <c r="Q171" i="107"/>
  <c r="O164" i="107"/>
  <c r="S160" i="107"/>
  <c r="M157" i="107"/>
  <c r="Q153" i="107"/>
  <c r="O146" i="107"/>
  <c r="S142" i="107"/>
  <c r="M139" i="107"/>
  <c r="Q135" i="107"/>
  <c r="O128" i="107"/>
  <c r="S124" i="107"/>
  <c r="M121" i="107"/>
  <c r="Q117" i="107"/>
  <c r="O110" i="107"/>
  <c r="S106" i="107"/>
  <c r="M103" i="107"/>
  <c r="M101" i="107"/>
  <c r="P99" i="107"/>
  <c r="N98" i="107"/>
  <c r="T95" i="107"/>
  <c r="R94" i="107"/>
  <c r="P93" i="107"/>
  <c r="N92" i="107"/>
  <c r="T89" i="107"/>
  <c r="R88" i="107"/>
  <c r="P87" i="107"/>
  <c r="N86" i="107"/>
  <c r="T83" i="107"/>
  <c r="R82" i="107"/>
  <c r="P81" i="107"/>
  <c r="N80" i="107"/>
  <c r="T77" i="107"/>
  <c r="S76" i="107"/>
  <c r="Q75" i="107"/>
  <c r="O74" i="107"/>
  <c r="M73" i="107"/>
  <c r="S70" i="107"/>
  <c r="Q69" i="107"/>
  <c r="O68" i="107"/>
  <c r="M67" i="107"/>
  <c r="S64" i="107"/>
  <c r="Q63" i="107"/>
  <c r="O62" i="107"/>
  <c r="M61" i="107"/>
  <c r="S58" i="107"/>
  <c r="Q57" i="107"/>
  <c r="O56" i="107"/>
  <c r="M55" i="107"/>
  <c r="M200" i="107"/>
  <c r="Q196" i="107"/>
  <c r="O189" i="107"/>
  <c r="S185" i="107"/>
  <c r="M182" i="107"/>
  <c r="Q178" i="107"/>
  <c r="O171" i="107"/>
  <c r="S167" i="107"/>
  <c r="M164" i="107"/>
  <c r="Q160" i="107"/>
  <c r="O153" i="107"/>
  <c r="S149" i="107"/>
  <c r="M146" i="107"/>
  <c r="Q142" i="107"/>
  <c r="O135" i="107"/>
  <c r="S131" i="107"/>
  <c r="M128" i="107"/>
  <c r="Q124" i="107"/>
  <c r="O117" i="107"/>
  <c r="S113" i="107"/>
  <c r="M110" i="107"/>
  <c r="Q106" i="107"/>
  <c r="O99" i="107"/>
  <c r="M98" i="107"/>
  <c r="S95" i="107"/>
  <c r="Q94" i="107"/>
  <c r="O93" i="107"/>
  <c r="M92" i="107"/>
  <c r="S89" i="107"/>
  <c r="Q88" i="107"/>
  <c r="O87" i="107"/>
  <c r="M86" i="107"/>
  <c r="S83" i="107"/>
  <c r="Q82" i="107"/>
  <c r="O81" i="107"/>
  <c r="M80" i="107"/>
  <c r="S77" i="107"/>
  <c r="R76" i="107"/>
  <c r="P75" i="107"/>
  <c r="N74" i="107"/>
  <c r="T71" i="107"/>
  <c r="R70" i="107"/>
  <c r="P69" i="107"/>
  <c r="N68" i="107"/>
  <c r="T65" i="107"/>
  <c r="R64" i="107"/>
  <c r="P63" i="107"/>
  <c r="N62" i="107"/>
  <c r="T59" i="107"/>
  <c r="R58" i="107"/>
  <c r="P57" i="107"/>
  <c r="N56" i="107"/>
  <c r="T53" i="107"/>
  <c r="P196" i="107"/>
  <c r="T192" i="107"/>
  <c r="N189" i="107"/>
  <c r="R185" i="107"/>
  <c r="P178" i="107"/>
  <c r="T174" i="107"/>
  <c r="N171" i="107"/>
  <c r="R167" i="107"/>
  <c r="P160" i="107"/>
  <c r="T156" i="107"/>
  <c r="N153" i="107"/>
  <c r="R149" i="107"/>
  <c r="P142" i="107"/>
  <c r="T138" i="107"/>
  <c r="N135" i="107"/>
  <c r="R131" i="107"/>
  <c r="P124" i="107"/>
  <c r="T120" i="107"/>
  <c r="N117" i="107"/>
  <c r="R113" i="107"/>
  <c r="P106" i="107"/>
  <c r="T102" i="107"/>
  <c r="S100" i="107"/>
  <c r="N99" i="107"/>
  <c r="T96" i="107"/>
  <c r="R95" i="107"/>
  <c r="P94" i="107"/>
  <c r="N93" i="107"/>
  <c r="T90" i="107"/>
  <c r="R89" i="107"/>
  <c r="P88" i="107"/>
  <c r="N87" i="107"/>
  <c r="T84" i="107"/>
  <c r="R83" i="107"/>
  <c r="P82" i="107"/>
  <c r="N81" i="107"/>
  <c r="T78" i="107"/>
  <c r="R77" i="107"/>
  <c r="Q76" i="107"/>
  <c r="O75" i="107"/>
  <c r="M74" i="107"/>
  <c r="S71" i="107"/>
  <c r="Q70" i="107"/>
  <c r="O69" i="107"/>
  <c r="M68" i="107"/>
  <c r="S65" i="107"/>
  <c r="Q64" i="107"/>
  <c r="O63" i="107"/>
  <c r="M62" i="107"/>
  <c r="S59" i="107"/>
  <c r="Q58" i="107"/>
  <c r="O57" i="107"/>
  <c r="M56" i="107"/>
  <c r="S53" i="107"/>
  <c r="O196" i="107"/>
  <c r="S192" i="107"/>
  <c r="M189" i="107"/>
  <c r="Q185" i="107"/>
  <c r="O178" i="107"/>
  <c r="S174" i="107"/>
  <c r="M171" i="107"/>
  <c r="Q167" i="107"/>
  <c r="O160" i="107"/>
  <c r="S156" i="107"/>
  <c r="M153" i="107"/>
  <c r="Q149" i="107"/>
  <c r="O142" i="107"/>
  <c r="S138" i="107"/>
  <c r="M135" i="107"/>
  <c r="Q131" i="107"/>
  <c r="O124" i="107"/>
  <c r="S120" i="107"/>
  <c r="M117" i="107"/>
  <c r="Q113" i="107"/>
  <c r="O106" i="107"/>
  <c r="S102" i="107"/>
  <c r="R100" i="107"/>
  <c r="M99" i="107"/>
  <c r="S96" i="107"/>
  <c r="Q95" i="107"/>
  <c r="O94" i="107"/>
  <c r="M93" i="107"/>
  <c r="S90" i="107"/>
  <c r="Q89" i="107"/>
  <c r="O88" i="107"/>
  <c r="M87" i="107"/>
  <c r="S84" i="107"/>
  <c r="Q83" i="107"/>
  <c r="O82" i="107"/>
  <c r="M81" i="107"/>
  <c r="S78" i="107"/>
  <c r="Q77" i="107"/>
  <c r="P76" i="107"/>
  <c r="N75" i="107"/>
  <c r="T72" i="107"/>
  <c r="R71" i="107"/>
  <c r="P70" i="107"/>
  <c r="N69" i="107"/>
  <c r="T66" i="107"/>
  <c r="R65" i="107"/>
  <c r="P64" i="107"/>
  <c r="N63" i="107"/>
  <c r="T60" i="107"/>
  <c r="R59" i="107"/>
  <c r="P58" i="107"/>
  <c r="N57" i="107"/>
  <c r="T54" i="107"/>
  <c r="R53" i="107"/>
  <c r="M199" i="107"/>
  <c r="Q195" i="107"/>
  <c r="O188" i="107"/>
  <c r="S184" i="107"/>
  <c r="M181" i="107"/>
  <c r="Q177" i="107"/>
  <c r="O170" i="107"/>
  <c r="S166" i="107"/>
  <c r="M163" i="107"/>
  <c r="Q159" i="107"/>
  <c r="O152" i="107"/>
  <c r="S148" i="107"/>
  <c r="M145" i="107"/>
  <c r="Q141" i="107"/>
  <c r="O134" i="107"/>
  <c r="S130" i="107"/>
  <c r="M127" i="107"/>
  <c r="Q123" i="107"/>
  <c r="O116" i="107"/>
  <c r="S112" i="107"/>
  <c r="M109" i="107"/>
  <c r="Q105" i="107"/>
  <c r="R102" i="107"/>
  <c r="Q100" i="107"/>
  <c r="T97" i="107"/>
  <c r="R96" i="107"/>
  <c r="P95" i="107"/>
  <c r="N94" i="107"/>
  <c r="T91" i="107"/>
  <c r="R90" i="107"/>
  <c r="P89" i="107"/>
  <c r="N88" i="107"/>
  <c r="T85" i="107"/>
  <c r="R84" i="107"/>
  <c r="P83" i="107"/>
  <c r="N82" i="107"/>
  <c r="T79" i="107"/>
  <c r="R78" i="107"/>
  <c r="P77" i="107"/>
  <c r="O76" i="107"/>
  <c r="M75" i="107"/>
  <c r="S72" i="107"/>
  <c r="Q71" i="107"/>
  <c r="O70" i="107"/>
  <c r="M69" i="107"/>
  <c r="S66" i="107"/>
  <c r="Q65" i="107"/>
  <c r="O64" i="107"/>
  <c r="M63" i="107"/>
  <c r="S60" i="107"/>
  <c r="Q59" i="107"/>
  <c r="O58" i="107"/>
  <c r="M57" i="107"/>
  <c r="S54" i="107"/>
  <c r="Q53" i="107"/>
  <c r="O195" i="107"/>
  <c r="S191" i="107"/>
  <c r="M188" i="107"/>
  <c r="Q184" i="107"/>
  <c r="O177" i="107"/>
  <c r="S173" i="107"/>
  <c r="M170" i="107"/>
  <c r="Q166" i="107"/>
  <c r="O159" i="107"/>
  <c r="S155" i="107"/>
  <c r="M152" i="107"/>
  <c r="Q148" i="107"/>
  <c r="O141" i="107"/>
  <c r="S137" i="107"/>
  <c r="M134" i="107"/>
  <c r="Q130" i="107"/>
  <c r="O123" i="107"/>
  <c r="S119" i="107"/>
  <c r="M116" i="107"/>
  <c r="Q112" i="107"/>
  <c r="O105" i="107"/>
  <c r="P102" i="107"/>
  <c r="P100" i="107"/>
  <c r="S97" i="107"/>
  <c r="Q96" i="107"/>
  <c r="O95" i="107"/>
  <c r="M94" i="107"/>
  <c r="S91" i="107"/>
  <c r="Q90" i="107"/>
  <c r="O89" i="107"/>
  <c r="M88" i="107"/>
  <c r="S85" i="107"/>
  <c r="Q84" i="107"/>
  <c r="O83" i="107"/>
  <c r="M82" i="107"/>
  <c r="S79" i="107"/>
  <c r="Q78" i="107"/>
  <c r="O77" i="107"/>
  <c r="N76" i="107"/>
  <c r="T73" i="107"/>
  <c r="R72" i="107"/>
  <c r="P71" i="107"/>
  <c r="N70" i="107"/>
  <c r="T67" i="107"/>
  <c r="R66" i="107"/>
  <c r="P65" i="107"/>
  <c r="N64" i="107"/>
  <c r="T61" i="107"/>
  <c r="R60" i="107"/>
  <c r="P59" i="107"/>
  <c r="N58" i="107"/>
  <c r="T55" i="107"/>
  <c r="R54" i="107"/>
  <c r="P53" i="107"/>
  <c r="T198" i="107"/>
  <c r="O194" i="107"/>
  <c r="S190" i="107"/>
  <c r="M187" i="107"/>
  <c r="Q183" i="107"/>
  <c r="O176" i="107"/>
  <c r="S172" i="107"/>
  <c r="M169" i="107"/>
  <c r="Q165" i="107"/>
  <c r="O158" i="107"/>
  <c r="S154" i="107"/>
  <c r="M151" i="107"/>
  <c r="Q147" i="107"/>
  <c r="O140" i="107"/>
  <c r="S136" i="107"/>
  <c r="M133" i="107"/>
  <c r="Q129" i="107"/>
  <c r="O122" i="107"/>
  <c r="S118" i="107"/>
  <c r="M115" i="107"/>
  <c r="Q111" i="107"/>
  <c r="O104" i="107"/>
  <c r="R101" i="107"/>
  <c r="R98" i="107"/>
  <c r="P97" i="107"/>
  <c r="N96" i="107"/>
  <c r="T93" i="107"/>
  <c r="R92" i="107"/>
  <c r="P91" i="107"/>
  <c r="N90" i="107"/>
  <c r="T87" i="107"/>
  <c r="R86" i="107"/>
  <c r="P85" i="107"/>
  <c r="N84" i="107"/>
  <c r="T81" i="107"/>
  <c r="R80" i="107"/>
  <c r="P79" i="107"/>
  <c r="N78" i="107"/>
  <c r="S74" i="107"/>
  <c r="Q73" i="107"/>
  <c r="O72" i="107"/>
  <c r="M71" i="107"/>
  <c r="S68" i="107"/>
  <c r="Q67" i="107"/>
  <c r="O66" i="107"/>
  <c r="M65" i="107"/>
  <c r="S62" i="107"/>
  <c r="Q61" i="107"/>
  <c r="O60" i="107"/>
  <c r="M59" i="107"/>
  <c r="S56" i="107"/>
  <c r="Q55" i="107"/>
  <c r="O54" i="107"/>
  <c r="M53" i="107"/>
  <c r="S197" i="107"/>
  <c r="M194" i="107"/>
  <c r="Q190" i="107"/>
  <c r="O183" i="107"/>
  <c r="S179" i="107"/>
  <c r="M176" i="107"/>
  <c r="Q172" i="107"/>
  <c r="O165" i="107"/>
  <c r="S161" i="107"/>
  <c r="M158" i="107"/>
  <c r="Q154" i="107"/>
  <c r="O147" i="107"/>
  <c r="S143" i="107"/>
  <c r="M140" i="107"/>
  <c r="Q136" i="107"/>
  <c r="O129" i="107"/>
  <c r="S125" i="107"/>
  <c r="M122" i="107"/>
  <c r="Q118" i="107"/>
  <c r="O111" i="107"/>
  <c r="S107" i="107"/>
  <c r="M104" i="107"/>
  <c r="Q101" i="107"/>
  <c r="Q98" i="107"/>
  <c r="O97" i="107"/>
  <c r="M96" i="107"/>
  <c r="S93" i="107"/>
  <c r="Q92" i="107"/>
  <c r="O91" i="107"/>
  <c r="M90" i="107"/>
  <c r="S87" i="107"/>
  <c r="Q86" i="107"/>
  <c r="O85" i="107"/>
  <c r="M84" i="107"/>
  <c r="S81" i="107"/>
  <c r="Q80" i="107"/>
  <c r="O79" i="107"/>
  <c r="M78" i="107"/>
  <c r="T12" i="107"/>
  <c r="N54" i="107"/>
  <c r="M60" i="107"/>
  <c r="T62" i="107"/>
  <c r="R68" i="107"/>
  <c r="O71" i="107"/>
  <c r="Q74" i="107"/>
  <c r="M77" i="107"/>
  <c r="S80" i="107"/>
  <c r="O84" i="107"/>
  <c r="Q91" i="107"/>
  <c r="M95" i="107"/>
  <c r="S98" i="107"/>
  <c r="M105" i="107"/>
  <c r="S126" i="107"/>
  <c r="Q137" i="107"/>
  <c r="O148" i="107"/>
  <c r="M159" i="107"/>
  <c r="S180" i="107"/>
  <c r="Q191" i="107"/>
  <c r="R73" i="107"/>
  <c r="Q62" i="107"/>
  <c r="S94" i="107"/>
  <c r="S168" i="107"/>
  <c r="S12" i="107"/>
  <c r="Q68" i="107"/>
  <c r="N91" i="107"/>
  <c r="T114" i="107"/>
  <c r="R179" i="107"/>
  <c r="P54" i="107"/>
  <c r="R57" i="107"/>
  <c r="N60" i="107"/>
  <c r="M66" i="107"/>
  <c r="T68" i="107"/>
  <c r="R74" i="107"/>
  <c r="N77" i="107"/>
  <c r="T80" i="107"/>
  <c r="P84" i="107"/>
  <c r="R91" i="107"/>
  <c r="N95" i="107"/>
  <c r="T98" i="107"/>
  <c r="N105" i="107"/>
  <c r="T126" i="107"/>
  <c r="R137" i="107"/>
  <c r="P148" i="107"/>
  <c r="N159" i="107"/>
  <c r="T180" i="107"/>
  <c r="R191" i="107"/>
  <c r="N59" i="107"/>
  <c r="M54" i="107"/>
  <c r="N71" i="107"/>
  <c r="P98" i="107"/>
  <c r="T168" i="107"/>
  <c r="Q54" i="107"/>
  <c r="S57" i="107"/>
  <c r="P60" i="107"/>
  <c r="R63" i="107"/>
  <c r="N66" i="107"/>
  <c r="M72" i="107"/>
  <c r="T74" i="107"/>
  <c r="Q81" i="107"/>
  <c r="M85" i="107"/>
  <c r="S88" i="107"/>
  <c r="O92" i="107"/>
  <c r="Q99" i="107"/>
  <c r="Q107" i="107"/>
  <c r="O118" i="107"/>
  <c r="M129" i="107"/>
  <c r="S150" i="107"/>
  <c r="Q161" i="107"/>
  <c r="O172" i="107"/>
  <c r="M183" i="107"/>
  <c r="P62" i="107"/>
  <c r="T86" i="107"/>
  <c r="N123" i="107"/>
  <c r="Q125" i="107"/>
  <c r="T56" i="107"/>
  <c r="P80" i="107"/>
  <c r="N55" i="107"/>
  <c r="T57" i="107"/>
  <c r="Q60" i="107"/>
  <c r="S63" i="107"/>
  <c r="P66" i="107"/>
  <c r="R69" i="107"/>
  <c r="N72" i="107"/>
  <c r="R81" i="107"/>
  <c r="N85" i="107"/>
  <c r="T88" i="107"/>
  <c r="P92" i="107"/>
  <c r="T99" i="107"/>
  <c r="R107" i="107"/>
  <c r="P118" i="107"/>
  <c r="N129" i="107"/>
  <c r="T150" i="107"/>
  <c r="R161" i="107"/>
  <c r="P172" i="107"/>
  <c r="N183" i="107"/>
  <c r="Q56" i="107"/>
  <c r="N83" i="107"/>
  <c r="T144" i="107"/>
  <c r="S73" i="107"/>
  <c r="S114" i="107"/>
  <c r="P136" i="107"/>
  <c r="N147" i="107"/>
  <c r="O55" i="107"/>
  <c r="N61" i="107"/>
  <c r="T63" i="107"/>
  <c r="Q66" i="107"/>
  <c r="S69" i="107"/>
  <c r="P72" i="107"/>
  <c r="R75" i="107"/>
  <c r="O78" i="107"/>
  <c r="Q85" i="107"/>
  <c r="M89" i="107"/>
  <c r="S92" i="107"/>
  <c r="O96" i="107"/>
  <c r="N100" i="107"/>
  <c r="S108" i="107"/>
  <c r="Q119" i="107"/>
  <c r="O130" i="107"/>
  <c r="M141" i="107"/>
  <c r="S162" i="107"/>
  <c r="Q173" i="107"/>
  <c r="O184" i="107"/>
  <c r="M195" i="107"/>
  <c r="R155" i="107"/>
  <c r="P68" i="107"/>
  <c r="O98" i="107"/>
  <c r="T94" i="107"/>
  <c r="P55" i="107"/>
  <c r="M58" i="107"/>
  <c r="O61" i="107"/>
  <c r="N67" i="107"/>
  <c r="T69" i="107"/>
  <c r="Q72" i="107"/>
  <c r="S75" i="107"/>
  <c r="P78" i="107"/>
  <c r="R85" i="107"/>
  <c r="N89" i="107"/>
  <c r="T92" i="107"/>
  <c r="P96" i="107"/>
  <c r="O100" i="107"/>
  <c r="T108" i="107"/>
  <c r="R119" i="107"/>
  <c r="P130" i="107"/>
  <c r="N141" i="107"/>
  <c r="T162" i="107"/>
  <c r="R173" i="107"/>
  <c r="P184" i="107"/>
  <c r="N195" i="107"/>
  <c r="R79" i="107"/>
  <c r="P112" i="107"/>
  <c r="Q179" i="107"/>
  <c r="R55" i="107"/>
  <c r="T58" i="107"/>
  <c r="P61" i="107"/>
  <c r="M64" i="107"/>
  <c r="O67" i="107"/>
  <c r="N73" i="107"/>
  <c r="T75" i="107"/>
  <c r="M79" i="107"/>
  <c r="S82" i="107"/>
  <c r="O86" i="107"/>
  <c r="Q93" i="107"/>
  <c r="M97" i="107"/>
  <c r="N101" i="107"/>
  <c r="M111" i="107"/>
  <c r="S132" i="107"/>
  <c r="Q143" i="107"/>
  <c r="O154" i="107"/>
  <c r="M165" i="107"/>
  <c r="S186" i="107"/>
  <c r="Q197" i="107"/>
  <c r="S67" i="107"/>
  <c r="R97" i="107"/>
  <c r="P166" i="107"/>
  <c r="O59" i="107"/>
  <c r="O80" i="107"/>
  <c r="M147" i="107"/>
  <c r="R62" i="107"/>
  <c r="S55" i="107"/>
  <c r="R61" i="107"/>
  <c r="T64" i="107"/>
  <c r="P67" i="107"/>
  <c r="M70" i="107"/>
  <c r="O73" i="107"/>
  <c r="N79" i="107"/>
  <c r="T82" i="107"/>
  <c r="P86" i="107"/>
  <c r="R93" i="107"/>
  <c r="N97" i="107"/>
  <c r="P101" i="107"/>
  <c r="N111" i="107"/>
  <c r="T132" i="107"/>
  <c r="R143" i="107"/>
  <c r="P154" i="107"/>
  <c r="N165" i="107"/>
  <c r="T186" i="107"/>
  <c r="R197" i="107"/>
  <c r="O53" i="107"/>
  <c r="T76" i="107"/>
  <c r="P90" i="107"/>
  <c r="R56" i="107"/>
  <c r="Q87" i="107"/>
  <c r="P74" i="107"/>
  <c r="N74" i="104"/>
  <c r="T32" i="107"/>
  <c r="N53" i="107"/>
  <c r="P56" i="107"/>
  <c r="S61" i="107"/>
  <c r="R67" i="107"/>
  <c r="T70" i="107"/>
  <c r="P73" i="107"/>
  <c r="M76" i="107"/>
  <c r="Q79" i="107"/>
  <c r="M83" i="107"/>
  <c r="S86" i="107"/>
  <c r="O90" i="107"/>
  <c r="Q97" i="107"/>
  <c r="S101" i="107"/>
  <c r="O112" i="107"/>
  <c r="M123" i="107"/>
  <c r="S144" i="107"/>
  <c r="Q155" i="107"/>
  <c r="O166" i="107"/>
  <c r="M177" i="107"/>
  <c r="S198" i="107"/>
  <c r="Q88" i="104"/>
  <c r="P81" i="104"/>
  <c r="U60" i="104"/>
  <c r="W67" i="104"/>
  <c r="O75" i="104"/>
  <c r="Q82" i="104"/>
  <c r="S89" i="104"/>
  <c r="U96" i="104"/>
  <c r="T129" i="104"/>
  <c r="P115" i="104"/>
  <c r="R88" i="104"/>
  <c r="V60" i="104"/>
  <c r="N68" i="104"/>
  <c r="P75" i="104"/>
  <c r="R82" i="104"/>
  <c r="T89" i="104"/>
  <c r="V96" i="104"/>
  <c r="V130" i="104"/>
  <c r="W61" i="104"/>
  <c r="O69" i="104"/>
  <c r="Q76" i="104"/>
  <c r="S83" i="104"/>
  <c r="U90" i="104"/>
  <c r="W97" i="104"/>
  <c r="W73" i="104"/>
  <c r="Q200" i="104"/>
  <c r="O199" i="104"/>
  <c r="W197" i="104"/>
  <c r="U196" i="104"/>
  <c r="S195" i="104"/>
  <c r="Q194" i="104"/>
  <c r="O193" i="104"/>
  <c r="W191" i="104"/>
  <c r="U190" i="104"/>
  <c r="S189" i="104"/>
  <c r="Q188" i="104"/>
  <c r="O187" i="104"/>
  <c r="W185" i="104"/>
  <c r="U184" i="104"/>
  <c r="S183" i="104"/>
  <c r="Q182" i="104"/>
  <c r="O181" i="104"/>
  <c r="W179" i="104"/>
  <c r="U178" i="104"/>
  <c r="S177" i="104"/>
  <c r="Q176" i="104"/>
  <c r="O175" i="104"/>
  <c r="W173" i="104"/>
  <c r="U172" i="104"/>
  <c r="S171" i="104"/>
  <c r="Q170" i="104"/>
  <c r="O169" i="104"/>
  <c r="W167" i="104"/>
  <c r="U166" i="104"/>
  <c r="S165" i="104"/>
  <c r="Q164" i="104"/>
  <c r="O163" i="104"/>
  <c r="W161" i="104"/>
  <c r="U160" i="104"/>
  <c r="S159" i="104"/>
  <c r="Q158" i="104"/>
  <c r="O157" i="104"/>
  <c r="W155" i="104"/>
  <c r="U154" i="104"/>
  <c r="S153" i="104"/>
  <c r="Q152" i="104"/>
  <c r="O151" i="104"/>
  <c r="W149" i="104"/>
  <c r="U148" i="104"/>
  <c r="S147" i="104"/>
  <c r="Q146" i="104"/>
  <c r="O145" i="104"/>
  <c r="W143" i="104"/>
  <c r="U142" i="104"/>
  <c r="S141" i="104"/>
  <c r="Q140" i="104"/>
  <c r="O139" i="104"/>
  <c r="W137" i="104"/>
  <c r="U136" i="104"/>
  <c r="S135" i="104"/>
  <c r="Q134" i="104"/>
  <c r="O133" i="104"/>
  <c r="W131" i="104"/>
  <c r="U130" i="104"/>
  <c r="S129" i="104"/>
  <c r="Q128" i="104"/>
  <c r="O127" i="104"/>
  <c r="W125" i="104"/>
  <c r="U124" i="104"/>
  <c r="S123" i="104"/>
  <c r="Q122" i="104"/>
  <c r="O121" i="104"/>
  <c r="W119" i="104"/>
  <c r="U118" i="104"/>
  <c r="S117" i="104"/>
  <c r="Q116" i="104"/>
  <c r="O115" i="104"/>
  <c r="W113" i="104"/>
  <c r="U112" i="104"/>
  <c r="S111" i="104"/>
  <c r="Q110" i="104"/>
  <c r="O109" i="104"/>
  <c r="W107" i="104"/>
  <c r="U106" i="104"/>
  <c r="S105" i="104"/>
  <c r="Q104" i="104"/>
  <c r="O103" i="104"/>
  <c r="W101" i="104"/>
  <c r="U100" i="104"/>
  <c r="P200" i="104"/>
  <c r="N199" i="104"/>
  <c r="V197" i="104"/>
  <c r="T196" i="104"/>
  <c r="R195" i="104"/>
  <c r="P194" i="104"/>
  <c r="N193" i="104"/>
  <c r="V191" i="104"/>
  <c r="T190" i="104"/>
  <c r="R189" i="104"/>
  <c r="P188" i="104"/>
  <c r="N187" i="104"/>
  <c r="V185" i="104"/>
  <c r="T184" i="104"/>
  <c r="R183" i="104"/>
  <c r="P182" i="104"/>
  <c r="N181" i="104"/>
  <c r="V179" i="104"/>
  <c r="T178" i="104"/>
  <c r="R177" i="104"/>
  <c r="P176" i="104"/>
  <c r="N175" i="104"/>
  <c r="V173" i="104"/>
  <c r="T172" i="104"/>
  <c r="R171" i="104"/>
  <c r="P170" i="104"/>
  <c r="N169" i="104"/>
  <c r="V167" i="104"/>
  <c r="T166" i="104"/>
  <c r="R165" i="104"/>
  <c r="P164" i="104"/>
  <c r="N163" i="104"/>
  <c r="V161" i="104"/>
  <c r="T160" i="104"/>
  <c r="R159" i="104"/>
  <c r="P158" i="104"/>
  <c r="N157" i="104"/>
  <c r="V155" i="104"/>
  <c r="T154" i="104"/>
  <c r="R153" i="104"/>
  <c r="P152" i="104"/>
  <c r="N151" i="104"/>
  <c r="V149" i="104"/>
  <c r="T148" i="104"/>
  <c r="R147" i="104"/>
  <c r="P146" i="104"/>
  <c r="N145" i="104"/>
  <c r="V143" i="104"/>
  <c r="T142" i="104"/>
  <c r="R141" i="104"/>
  <c r="P140" i="104"/>
  <c r="N139" i="104"/>
  <c r="V137" i="104"/>
  <c r="T136" i="104"/>
  <c r="R135" i="104"/>
  <c r="P134" i="104"/>
  <c r="N133" i="104"/>
  <c r="V131" i="104"/>
  <c r="T130" i="104"/>
  <c r="R129" i="104"/>
  <c r="P128" i="104"/>
  <c r="N127" i="104"/>
  <c r="V125" i="104"/>
  <c r="T124" i="104"/>
  <c r="R123" i="104"/>
  <c r="P122" i="104"/>
  <c r="N121" i="104"/>
  <c r="V119" i="104"/>
  <c r="T118" i="104"/>
  <c r="R117" i="104"/>
  <c r="P116" i="104"/>
  <c r="N115" i="104"/>
  <c r="V113" i="104"/>
  <c r="T112" i="104"/>
  <c r="R111" i="104"/>
  <c r="P110" i="104"/>
  <c r="N109" i="104"/>
  <c r="V107" i="104"/>
  <c r="T106" i="104"/>
  <c r="R105" i="104"/>
  <c r="P104" i="104"/>
  <c r="N103" i="104"/>
  <c r="V101" i="104"/>
  <c r="T100" i="104"/>
  <c r="O200" i="104"/>
  <c r="W198" i="104"/>
  <c r="U197" i="104"/>
  <c r="S196" i="104"/>
  <c r="Q195" i="104"/>
  <c r="O194" i="104"/>
  <c r="W192" i="104"/>
  <c r="U191" i="104"/>
  <c r="S190" i="104"/>
  <c r="Q189" i="104"/>
  <c r="O188" i="104"/>
  <c r="W186" i="104"/>
  <c r="U185" i="104"/>
  <c r="S184" i="104"/>
  <c r="Q183" i="104"/>
  <c r="O182" i="104"/>
  <c r="W180" i="104"/>
  <c r="U179" i="104"/>
  <c r="S178" i="104"/>
  <c r="Q177" i="104"/>
  <c r="O176" i="104"/>
  <c r="W174" i="104"/>
  <c r="U173" i="104"/>
  <c r="S172" i="104"/>
  <c r="Q171" i="104"/>
  <c r="O170" i="104"/>
  <c r="W168" i="104"/>
  <c r="U167" i="104"/>
  <c r="S166" i="104"/>
  <c r="Q165" i="104"/>
  <c r="O164" i="104"/>
  <c r="W162" i="104"/>
  <c r="U161" i="104"/>
  <c r="S160" i="104"/>
  <c r="Q159" i="104"/>
  <c r="O158" i="104"/>
  <c r="W156" i="104"/>
  <c r="U155" i="104"/>
  <c r="S154" i="104"/>
  <c r="Q153" i="104"/>
  <c r="O152" i="104"/>
  <c r="W150" i="104"/>
  <c r="U149" i="104"/>
  <c r="S148" i="104"/>
  <c r="Q147" i="104"/>
  <c r="O146" i="104"/>
  <c r="W144" i="104"/>
  <c r="U143" i="104"/>
  <c r="S142" i="104"/>
  <c r="Q141" i="104"/>
  <c r="O140" i="104"/>
  <c r="W138" i="104"/>
  <c r="U137" i="104"/>
  <c r="S136" i="104"/>
  <c r="Q135" i="104"/>
  <c r="O134" i="104"/>
  <c r="W132" i="104"/>
  <c r="U131" i="104"/>
  <c r="S130" i="104"/>
  <c r="Q129" i="104"/>
  <c r="O128" i="104"/>
  <c r="W126" i="104"/>
  <c r="U125" i="104"/>
  <c r="S124" i="104"/>
  <c r="Q123" i="104"/>
  <c r="O122" i="104"/>
  <c r="W120" i="104"/>
  <c r="U119" i="104"/>
  <c r="S118" i="104"/>
  <c r="Q117" i="104"/>
  <c r="O116" i="104"/>
  <c r="W114" i="104"/>
  <c r="U113" i="104"/>
  <c r="S112" i="104"/>
  <c r="Q111" i="104"/>
  <c r="N200" i="104"/>
  <c r="V198" i="104"/>
  <c r="T197" i="104"/>
  <c r="R196" i="104"/>
  <c r="P195" i="104"/>
  <c r="N194" i="104"/>
  <c r="V192" i="104"/>
  <c r="T191" i="104"/>
  <c r="R190" i="104"/>
  <c r="P189" i="104"/>
  <c r="N188" i="104"/>
  <c r="V186" i="104"/>
  <c r="T185" i="104"/>
  <c r="R184" i="104"/>
  <c r="P183" i="104"/>
  <c r="N182" i="104"/>
  <c r="V180" i="104"/>
  <c r="T179" i="104"/>
  <c r="R178" i="104"/>
  <c r="P177" i="104"/>
  <c r="N176" i="104"/>
  <c r="V174" i="104"/>
  <c r="T173" i="104"/>
  <c r="R172" i="104"/>
  <c r="P171" i="104"/>
  <c r="N170" i="104"/>
  <c r="V168" i="104"/>
  <c r="T167" i="104"/>
  <c r="R166" i="104"/>
  <c r="P165" i="104"/>
  <c r="N164" i="104"/>
  <c r="V162" i="104"/>
  <c r="T161" i="104"/>
  <c r="R160" i="104"/>
  <c r="P159" i="104"/>
  <c r="N158" i="104"/>
  <c r="V156" i="104"/>
  <c r="T155" i="104"/>
  <c r="R154" i="104"/>
  <c r="P153" i="104"/>
  <c r="N152" i="104"/>
  <c r="V150" i="104"/>
  <c r="T149" i="104"/>
  <c r="R148" i="104"/>
  <c r="P147" i="104"/>
  <c r="N146" i="104"/>
  <c r="V144" i="104"/>
  <c r="T143" i="104"/>
  <c r="R142" i="104"/>
  <c r="P141" i="104"/>
  <c r="N140" i="104"/>
  <c r="V138" i="104"/>
  <c r="T137" i="104"/>
  <c r="R136" i="104"/>
  <c r="P135" i="104"/>
  <c r="N134" i="104"/>
  <c r="V132" i="104"/>
  <c r="T131" i="104"/>
  <c r="R130" i="104"/>
  <c r="P129" i="104"/>
  <c r="N128" i="104"/>
  <c r="V126" i="104"/>
  <c r="T125" i="104"/>
  <c r="R124" i="104"/>
  <c r="P123" i="104"/>
  <c r="N122" i="104"/>
  <c r="V120" i="104"/>
  <c r="T119" i="104"/>
  <c r="R118" i="104"/>
  <c r="P117" i="104"/>
  <c r="N116" i="104"/>
  <c r="V114" i="104"/>
  <c r="T113" i="104"/>
  <c r="R112" i="104"/>
  <c r="P111" i="104"/>
  <c r="N110" i="104"/>
  <c r="V108" i="104"/>
  <c r="T107" i="104"/>
  <c r="R106" i="104"/>
  <c r="P105" i="104"/>
  <c r="N104" i="104"/>
  <c r="V102" i="104"/>
  <c r="T101" i="104"/>
  <c r="R100" i="104"/>
  <c r="W199" i="104"/>
  <c r="U198" i="104"/>
  <c r="S197" i="104"/>
  <c r="Q196" i="104"/>
  <c r="O195" i="104"/>
  <c r="W193" i="104"/>
  <c r="U192" i="104"/>
  <c r="S191" i="104"/>
  <c r="Q190" i="104"/>
  <c r="O189" i="104"/>
  <c r="W187" i="104"/>
  <c r="U186" i="104"/>
  <c r="S185" i="104"/>
  <c r="Q184" i="104"/>
  <c r="O183" i="104"/>
  <c r="W181" i="104"/>
  <c r="U180" i="104"/>
  <c r="S179" i="104"/>
  <c r="Q178" i="104"/>
  <c r="O177" i="104"/>
  <c r="W175" i="104"/>
  <c r="U174" i="104"/>
  <c r="S173" i="104"/>
  <c r="Q172" i="104"/>
  <c r="O171" i="104"/>
  <c r="W169" i="104"/>
  <c r="U168" i="104"/>
  <c r="S167" i="104"/>
  <c r="Q166" i="104"/>
  <c r="O165" i="104"/>
  <c r="W163" i="104"/>
  <c r="U162" i="104"/>
  <c r="S161" i="104"/>
  <c r="Q160" i="104"/>
  <c r="O159" i="104"/>
  <c r="W157" i="104"/>
  <c r="U156" i="104"/>
  <c r="S155" i="104"/>
  <c r="Q154" i="104"/>
  <c r="O153" i="104"/>
  <c r="W151" i="104"/>
  <c r="U150" i="104"/>
  <c r="S149" i="104"/>
  <c r="Q148" i="104"/>
  <c r="O147" i="104"/>
  <c r="W145" i="104"/>
  <c r="U144" i="104"/>
  <c r="S143" i="104"/>
  <c r="Q142" i="104"/>
  <c r="O141" i="104"/>
  <c r="W139" i="104"/>
  <c r="U138" i="104"/>
  <c r="S137" i="104"/>
  <c r="Q136" i="104"/>
  <c r="O135" i="104"/>
  <c r="W133" i="104"/>
  <c r="U132" i="104"/>
  <c r="S131" i="104"/>
  <c r="Q130" i="104"/>
  <c r="O129" i="104"/>
  <c r="W127" i="104"/>
  <c r="U126" i="104"/>
  <c r="S125" i="104"/>
  <c r="Q124" i="104"/>
  <c r="O123" i="104"/>
  <c r="W121" i="104"/>
  <c r="U120" i="104"/>
  <c r="S119" i="104"/>
  <c r="Q118" i="104"/>
  <c r="O117" i="104"/>
  <c r="W115" i="104"/>
  <c r="U114" i="104"/>
  <c r="S113" i="104"/>
  <c r="Q112" i="104"/>
  <c r="O111" i="104"/>
  <c r="W109" i="104"/>
  <c r="U108" i="104"/>
  <c r="S107" i="104"/>
  <c r="Q106" i="104"/>
  <c r="O105" i="104"/>
  <c r="V199" i="104"/>
  <c r="T198" i="104"/>
  <c r="R197" i="104"/>
  <c r="P196" i="104"/>
  <c r="N195" i="104"/>
  <c r="V193" i="104"/>
  <c r="T192" i="104"/>
  <c r="R191" i="104"/>
  <c r="P190" i="104"/>
  <c r="N189" i="104"/>
  <c r="V187" i="104"/>
  <c r="T186" i="104"/>
  <c r="R185" i="104"/>
  <c r="P184" i="104"/>
  <c r="N183" i="104"/>
  <c r="V181" i="104"/>
  <c r="T180" i="104"/>
  <c r="R179" i="104"/>
  <c r="P178" i="104"/>
  <c r="N177" i="104"/>
  <c r="V175" i="104"/>
  <c r="T174" i="104"/>
  <c r="R173" i="104"/>
  <c r="P172" i="104"/>
  <c r="N171" i="104"/>
  <c r="V169" i="104"/>
  <c r="T168" i="104"/>
  <c r="R167" i="104"/>
  <c r="P166" i="104"/>
  <c r="N165" i="104"/>
  <c r="V163" i="104"/>
  <c r="T162" i="104"/>
  <c r="R161" i="104"/>
  <c r="P160" i="104"/>
  <c r="N159" i="104"/>
  <c r="V157" i="104"/>
  <c r="T156" i="104"/>
  <c r="R155" i="104"/>
  <c r="P154" i="104"/>
  <c r="N153" i="104"/>
  <c r="V151" i="104"/>
  <c r="T150" i="104"/>
  <c r="R149" i="104"/>
  <c r="P148" i="104"/>
  <c r="N147" i="104"/>
  <c r="V145" i="104"/>
  <c r="T144" i="104"/>
  <c r="R143" i="104"/>
  <c r="P142" i="104"/>
  <c r="N141" i="104"/>
  <c r="V139" i="104"/>
  <c r="T138" i="104"/>
  <c r="R137" i="104"/>
  <c r="P136" i="104"/>
  <c r="N135" i="104"/>
  <c r="V133" i="104"/>
  <c r="T132" i="104"/>
  <c r="R131" i="104"/>
  <c r="P130" i="104"/>
  <c r="N129" i="104"/>
  <c r="V127" i="104"/>
  <c r="T126" i="104"/>
  <c r="R125" i="104"/>
  <c r="P124" i="104"/>
  <c r="N123" i="104"/>
  <c r="V121" i="104"/>
  <c r="T120" i="104"/>
  <c r="R119" i="104"/>
  <c r="P118" i="104"/>
  <c r="N117" i="104"/>
  <c r="V115" i="104"/>
  <c r="T114" i="104"/>
  <c r="R113" i="104"/>
  <c r="P112" i="104"/>
  <c r="N111" i="104"/>
  <c r="V109" i="104"/>
  <c r="T108" i="104"/>
  <c r="R107" i="104"/>
  <c r="P106" i="104"/>
  <c r="N105" i="104"/>
  <c r="V103" i="104"/>
  <c r="T102" i="104"/>
  <c r="R101" i="104"/>
  <c r="P100" i="104"/>
  <c r="W200" i="104"/>
  <c r="U199" i="104"/>
  <c r="S198" i="104"/>
  <c r="Q197" i="104"/>
  <c r="O196" i="104"/>
  <c r="W194" i="104"/>
  <c r="U193" i="104"/>
  <c r="S192" i="104"/>
  <c r="Q191" i="104"/>
  <c r="O190" i="104"/>
  <c r="W188" i="104"/>
  <c r="U187" i="104"/>
  <c r="S186" i="104"/>
  <c r="Q185" i="104"/>
  <c r="O184" i="104"/>
  <c r="W182" i="104"/>
  <c r="U181" i="104"/>
  <c r="S180" i="104"/>
  <c r="Q179" i="104"/>
  <c r="O178" i="104"/>
  <c r="W176" i="104"/>
  <c r="U175" i="104"/>
  <c r="S174" i="104"/>
  <c r="Q173" i="104"/>
  <c r="O172" i="104"/>
  <c r="W170" i="104"/>
  <c r="U169" i="104"/>
  <c r="S168" i="104"/>
  <c r="Q167" i="104"/>
  <c r="O166" i="104"/>
  <c r="W164" i="104"/>
  <c r="U163" i="104"/>
  <c r="S162" i="104"/>
  <c r="Q161" i="104"/>
  <c r="O160" i="104"/>
  <c r="W158" i="104"/>
  <c r="U157" i="104"/>
  <c r="S156" i="104"/>
  <c r="Q155" i="104"/>
  <c r="O154" i="104"/>
  <c r="W152" i="104"/>
  <c r="U151" i="104"/>
  <c r="S150" i="104"/>
  <c r="Q149" i="104"/>
  <c r="O148" i="104"/>
  <c r="W146" i="104"/>
  <c r="U145" i="104"/>
  <c r="S144" i="104"/>
  <c r="Q143" i="104"/>
  <c r="O142" i="104"/>
  <c r="W140" i="104"/>
  <c r="U139" i="104"/>
  <c r="S138" i="104"/>
  <c r="Q137" i="104"/>
  <c r="O136" i="104"/>
  <c r="W134" i="104"/>
  <c r="U133" i="104"/>
  <c r="S132" i="104"/>
  <c r="Q131" i="104"/>
  <c r="O130" i="104"/>
  <c r="W128" i="104"/>
  <c r="U127" i="104"/>
  <c r="S126" i="104"/>
  <c r="Q125" i="104"/>
  <c r="O124" i="104"/>
  <c r="W122" i="104"/>
  <c r="U121" i="104"/>
  <c r="S120" i="104"/>
  <c r="Q119" i="104"/>
  <c r="O118" i="104"/>
  <c r="W116" i="104"/>
  <c r="U115" i="104"/>
  <c r="S114" i="104"/>
  <c r="Q113" i="104"/>
  <c r="O112" i="104"/>
  <c r="W110" i="104"/>
  <c r="U109" i="104"/>
  <c r="S108" i="104"/>
  <c r="Q107" i="104"/>
  <c r="O106" i="104"/>
  <c r="W104" i="104"/>
  <c r="U103" i="104"/>
  <c r="S102" i="104"/>
  <c r="Q101" i="104"/>
  <c r="O100" i="104"/>
  <c r="V200" i="104"/>
  <c r="T199" i="104"/>
  <c r="R198" i="104"/>
  <c r="P197" i="104"/>
  <c r="N196" i="104"/>
  <c r="V194" i="104"/>
  <c r="T193" i="104"/>
  <c r="R192" i="104"/>
  <c r="P191" i="104"/>
  <c r="N190" i="104"/>
  <c r="V188" i="104"/>
  <c r="T187" i="104"/>
  <c r="R186" i="104"/>
  <c r="P185" i="104"/>
  <c r="N184" i="104"/>
  <c r="V182" i="104"/>
  <c r="T181" i="104"/>
  <c r="R180" i="104"/>
  <c r="P179" i="104"/>
  <c r="N178" i="104"/>
  <c r="V176" i="104"/>
  <c r="T175" i="104"/>
  <c r="R174" i="104"/>
  <c r="P173" i="104"/>
  <c r="N172" i="104"/>
  <c r="V170" i="104"/>
  <c r="T169" i="104"/>
  <c r="R168" i="104"/>
  <c r="P167" i="104"/>
  <c r="N166" i="104"/>
  <c r="V164" i="104"/>
  <c r="T163" i="104"/>
  <c r="R162" i="104"/>
  <c r="P161" i="104"/>
  <c r="N160" i="104"/>
  <c r="V158" i="104"/>
  <c r="T157" i="104"/>
  <c r="R156" i="104"/>
  <c r="P155" i="104"/>
  <c r="N154" i="104"/>
  <c r="V152" i="104"/>
  <c r="T151" i="104"/>
  <c r="R150" i="104"/>
  <c r="P149" i="104"/>
  <c r="N148" i="104"/>
  <c r="V146" i="104"/>
  <c r="T145" i="104"/>
  <c r="R144" i="104"/>
  <c r="P143" i="104"/>
  <c r="N142" i="104"/>
  <c r="V140" i="104"/>
  <c r="T139" i="104"/>
  <c r="R138" i="104"/>
  <c r="P137" i="104"/>
  <c r="N136" i="104"/>
  <c r="V134" i="104"/>
  <c r="T133" i="104"/>
  <c r="R132" i="104"/>
  <c r="P131" i="104"/>
  <c r="N130" i="104"/>
  <c r="V128" i="104"/>
  <c r="T127" i="104"/>
  <c r="R126" i="104"/>
  <c r="P125" i="104"/>
  <c r="N124" i="104"/>
  <c r="V122" i="104"/>
  <c r="T121" i="104"/>
  <c r="R120" i="104"/>
  <c r="P119" i="104"/>
  <c r="N118" i="104"/>
  <c r="V116" i="104"/>
  <c r="T115" i="104"/>
  <c r="R114" i="104"/>
  <c r="P113" i="104"/>
  <c r="N112" i="104"/>
  <c r="V110" i="104"/>
  <c r="T109" i="104"/>
  <c r="R108" i="104"/>
  <c r="P107" i="104"/>
  <c r="N106" i="104"/>
  <c r="V104" i="104"/>
  <c r="T103" i="104"/>
  <c r="R102" i="104"/>
  <c r="P101" i="104"/>
  <c r="U200" i="104"/>
  <c r="S199" i="104"/>
  <c r="Q198" i="104"/>
  <c r="O197" i="104"/>
  <c r="W195" i="104"/>
  <c r="U194" i="104"/>
  <c r="S193" i="104"/>
  <c r="Q192" i="104"/>
  <c r="O191" i="104"/>
  <c r="W189" i="104"/>
  <c r="U188" i="104"/>
  <c r="S187" i="104"/>
  <c r="Q186" i="104"/>
  <c r="O185" i="104"/>
  <c r="W183" i="104"/>
  <c r="U182" i="104"/>
  <c r="S181" i="104"/>
  <c r="Q180" i="104"/>
  <c r="O179" i="104"/>
  <c r="W177" i="104"/>
  <c r="U176" i="104"/>
  <c r="S175" i="104"/>
  <c r="Q174" i="104"/>
  <c r="O173" i="104"/>
  <c r="W171" i="104"/>
  <c r="U170" i="104"/>
  <c r="S169" i="104"/>
  <c r="Q168" i="104"/>
  <c r="O167" i="104"/>
  <c r="W165" i="104"/>
  <c r="U164" i="104"/>
  <c r="S163" i="104"/>
  <c r="Q162" i="104"/>
  <c r="O161" i="104"/>
  <c r="W159" i="104"/>
  <c r="U158" i="104"/>
  <c r="S157" i="104"/>
  <c r="Q156" i="104"/>
  <c r="O155" i="104"/>
  <c r="W153" i="104"/>
  <c r="U152" i="104"/>
  <c r="S151" i="104"/>
  <c r="Q150" i="104"/>
  <c r="O149" i="104"/>
  <c r="W147" i="104"/>
  <c r="U146" i="104"/>
  <c r="S145" i="104"/>
  <c r="Q144" i="104"/>
  <c r="O143" i="104"/>
  <c r="W141" i="104"/>
  <c r="U140" i="104"/>
  <c r="S139" i="104"/>
  <c r="Q138" i="104"/>
  <c r="O137" i="104"/>
  <c r="W135" i="104"/>
  <c r="U134" i="104"/>
  <c r="S133" i="104"/>
  <c r="Q132" i="104"/>
  <c r="O131" i="104"/>
  <c r="W129" i="104"/>
  <c r="U128" i="104"/>
  <c r="S127" i="104"/>
  <c r="Q126" i="104"/>
  <c r="O125" i="104"/>
  <c r="W123" i="104"/>
  <c r="U122" i="104"/>
  <c r="S121" i="104"/>
  <c r="Q120" i="104"/>
  <c r="O119" i="104"/>
  <c r="W117" i="104"/>
  <c r="U116" i="104"/>
  <c r="S115" i="104"/>
  <c r="Q114" i="104"/>
  <c r="O113" i="104"/>
  <c r="W111" i="104"/>
  <c r="U110" i="104"/>
  <c r="S109" i="104"/>
  <c r="Q108" i="104"/>
  <c r="O107" i="104"/>
  <c r="W105" i="104"/>
  <c r="U104" i="104"/>
  <c r="S103" i="104"/>
  <c r="Q102" i="104"/>
  <c r="T200" i="104"/>
  <c r="R199" i="104"/>
  <c r="P198" i="104"/>
  <c r="N197" i="104"/>
  <c r="V195" i="104"/>
  <c r="T194" i="104"/>
  <c r="R193" i="104"/>
  <c r="P192" i="104"/>
  <c r="N191" i="104"/>
  <c r="V189" i="104"/>
  <c r="T188" i="104"/>
  <c r="R187" i="104"/>
  <c r="P186" i="104"/>
  <c r="N185" i="104"/>
  <c r="V183" i="104"/>
  <c r="T182" i="104"/>
  <c r="R181" i="104"/>
  <c r="P180" i="104"/>
  <c r="N179" i="104"/>
  <c r="V177" i="104"/>
  <c r="T176" i="104"/>
  <c r="R175" i="104"/>
  <c r="P174" i="104"/>
  <c r="N173" i="104"/>
  <c r="V171" i="104"/>
  <c r="T170" i="104"/>
  <c r="R169" i="104"/>
  <c r="P168" i="104"/>
  <c r="N167" i="104"/>
  <c r="V165" i="104"/>
  <c r="T164" i="104"/>
  <c r="R163" i="104"/>
  <c r="P162" i="104"/>
  <c r="N161" i="104"/>
  <c r="V159" i="104"/>
  <c r="T158" i="104"/>
  <c r="R157" i="104"/>
  <c r="P156" i="104"/>
  <c r="N155" i="104"/>
  <c r="V153" i="104"/>
  <c r="T152" i="104"/>
  <c r="R151" i="104"/>
  <c r="P150" i="104"/>
  <c r="N149" i="104"/>
  <c r="V147" i="104"/>
  <c r="T146" i="104"/>
  <c r="R145" i="104"/>
  <c r="P144" i="104"/>
  <c r="N143" i="104"/>
  <c r="V141" i="104"/>
  <c r="T140" i="104"/>
  <c r="R139" i="104"/>
  <c r="P138" i="104"/>
  <c r="N137" i="104"/>
  <c r="V135" i="104"/>
  <c r="T134" i="104"/>
  <c r="R133" i="104"/>
  <c r="P132" i="104"/>
  <c r="N131" i="104"/>
  <c r="V129" i="104"/>
  <c r="T128" i="104"/>
  <c r="R127" i="104"/>
  <c r="P126" i="104"/>
  <c r="N125" i="104"/>
  <c r="V123" i="104"/>
  <c r="T122" i="104"/>
  <c r="R121" i="104"/>
  <c r="P120" i="104"/>
  <c r="N119" i="104"/>
  <c r="V117" i="104"/>
  <c r="T116" i="104"/>
  <c r="R115" i="104"/>
  <c r="P114" i="104"/>
  <c r="N113" i="104"/>
  <c r="V111" i="104"/>
  <c r="T110" i="104"/>
  <c r="R109" i="104"/>
  <c r="P108" i="104"/>
  <c r="N107" i="104"/>
  <c r="V105" i="104"/>
  <c r="T104" i="104"/>
  <c r="R103" i="104"/>
  <c r="P102" i="104"/>
  <c r="N101" i="104"/>
  <c r="S200" i="104"/>
  <c r="Q199" i="104"/>
  <c r="O198" i="104"/>
  <c r="W196" i="104"/>
  <c r="U195" i="104"/>
  <c r="S194" i="104"/>
  <c r="Q193" i="104"/>
  <c r="O192" i="104"/>
  <c r="W190" i="104"/>
  <c r="U189" i="104"/>
  <c r="S188" i="104"/>
  <c r="Q187" i="104"/>
  <c r="O186" i="104"/>
  <c r="W184" i="104"/>
  <c r="U183" i="104"/>
  <c r="S182" i="104"/>
  <c r="Q181" i="104"/>
  <c r="O180" i="104"/>
  <c r="W178" i="104"/>
  <c r="U177" i="104"/>
  <c r="S176" i="104"/>
  <c r="Q175" i="104"/>
  <c r="O174" i="104"/>
  <c r="W172" i="104"/>
  <c r="U171" i="104"/>
  <c r="S170" i="104"/>
  <c r="Q169" i="104"/>
  <c r="O168" i="104"/>
  <c r="W166" i="104"/>
  <c r="U165" i="104"/>
  <c r="S164" i="104"/>
  <c r="Q163" i="104"/>
  <c r="O162" i="104"/>
  <c r="W160" i="104"/>
  <c r="U159" i="104"/>
  <c r="S158" i="104"/>
  <c r="Q157" i="104"/>
  <c r="O156" i="104"/>
  <c r="W154" i="104"/>
  <c r="U153" i="104"/>
  <c r="S152" i="104"/>
  <c r="Q151" i="104"/>
  <c r="O150" i="104"/>
  <c r="W148" i="104"/>
  <c r="U147" i="104"/>
  <c r="S146" i="104"/>
  <c r="Q145" i="104"/>
  <c r="O144" i="104"/>
  <c r="W142" i="104"/>
  <c r="U141" i="104"/>
  <c r="S140" i="104"/>
  <c r="Q139" i="104"/>
  <c r="O138" i="104"/>
  <c r="W136" i="104"/>
  <c r="U135" i="104"/>
  <c r="S134" i="104"/>
  <c r="Q133" i="104"/>
  <c r="O132" i="104"/>
  <c r="W130" i="104"/>
  <c r="U129" i="104"/>
  <c r="S128" i="104"/>
  <c r="Q127" i="104"/>
  <c r="O126" i="104"/>
  <c r="W124" i="104"/>
  <c r="U123" i="104"/>
  <c r="S122" i="104"/>
  <c r="Q121" i="104"/>
  <c r="O120" i="104"/>
  <c r="W118" i="104"/>
  <c r="U117" i="104"/>
  <c r="S116" i="104"/>
  <c r="Q115" i="104"/>
  <c r="O114" i="104"/>
  <c r="W112" i="104"/>
  <c r="U111" i="104"/>
  <c r="S110" i="104"/>
  <c r="Q109" i="104"/>
  <c r="O108" i="104"/>
  <c r="W106" i="104"/>
  <c r="U105" i="104"/>
  <c r="S104" i="104"/>
  <c r="Q103" i="104"/>
  <c r="O102" i="104"/>
  <c r="W100" i="104"/>
  <c r="R200" i="104"/>
  <c r="N186" i="104"/>
  <c r="T171" i="104"/>
  <c r="P157" i="104"/>
  <c r="V142" i="104"/>
  <c r="R128" i="104"/>
  <c r="N114" i="104"/>
  <c r="Q105" i="104"/>
  <c r="S100" i="104"/>
  <c r="N99" i="104"/>
  <c r="V97" i="104"/>
  <c r="T96" i="104"/>
  <c r="R95" i="104"/>
  <c r="P94" i="104"/>
  <c r="N93" i="104"/>
  <c r="V91" i="104"/>
  <c r="T90" i="104"/>
  <c r="R89" i="104"/>
  <c r="P88" i="104"/>
  <c r="N87" i="104"/>
  <c r="V85" i="104"/>
  <c r="T84" i="104"/>
  <c r="R83" i="104"/>
  <c r="P82" i="104"/>
  <c r="N81" i="104"/>
  <c r="V79" i="104"/>
  <c r="T78" i="104"/>
  <c r="R77" i="104"/>
  <c r="P76" i="104"/>
  <c r="N75" i="104"/>
  <c r="V73" i="104"/>
  <c r="T72" i="104"/>
  <c r="R71" i="104"/>
  <c r="P70" i="104"/>
  <c r="N69" i="104"/>
  <c r="V67" i="104"/>
  <c r="T66" i="104"/>
  <c r="R65" i="104"/>
  <c r="P64" i="104"/>
  <c r="N63" i="104"/>
  <c r="V61" i="104"/>
  <c r="T60" i="104"/>
  <c r="R59" i="104"/>
  <c r="P58" i="104"/>
  <c r="N57" i="104"/>
  <c r="P199" i="104"/>
  <c r="V184" i="104"/>
  <c r="R170" i="104"/>
  <c r="N156" i="104"/>
  <c r="T141" i="104"/>
  <c r="P127" i="104"/>
  <c r="V112" i="104"/>
  <c r="R104" i="104"/>
  <c r="Q100" i="104"/>
  <c r="W98" i="104"/>
  <c r="U97" i="104"/>
  <c r="S96" i="104"/>
  <c r="Q95" i="104"/>
  <c r="O94" i="104"/>
  <c r="W92" i="104"/>
  <c r="U91" i="104"/>
  <c r="S90" i="104"/>
  <c r="Q89" i="104"/>
  <c r="O88" i="104"/>
  <c r="W86" i="104"/>
  <c r="U85" i="104"/>
  <c r="S84" i="104"/>
  <c r="Q83" i="104"/>
  <c r="O82" i="104"/>
  <c r="W80" i="104"/>
  <c r="U79" i="104"/>
  <c r="S78" i="104"/>
  <c r="Q77" i="104"/>
  <c r="O76" i="104"/>
  <c r="W74" i="104"/>
  <c r="U73" i="104"/>
  <c r="S72" i="104"/>
  <c r="Q71" i="104"/>
  <c r="O70" i="104"/>
  <c r="W68" i="104"/>
  <c r="U67" i="104"/>
  <c r="S66" i="104"/>
  <c r="Q65" i="104"/>
  <c r="O64" i="104"/>
  <c r="W62" i="104"/>
  <c r="U61" i="104"/>
  <c r="S60" i="104"/>
  <c r="Q59" i="104"/>
  <c r="O58" i="104"/>
  <c r="W56" i="104"/>
  <c r="N198" i="104"/>
  <c r="T183" i="104"/>
  <c r="P169" i="104"/>
  <c r="V154" i="104"/>
  <c r="R140" i="104"/>
  <c r="N126" i="104"/>
  <c r="T111" i="104"/>
  <c r="O104" i="104"/>
  <c r="N100" i="104"/>
  <c r="V98" i="104"/>
  <c r="T97" i="104"/>
  <c r="R96" i="104"/>
  <c r="P95" i="104"/>
  <c r="N94" i="104"/>
  <c r="V92" i="104"/>
  <c r="T91" i="104"/>
  <c r="R90" i="104"/>
  <c r="P89" i="104"/>
  <c r="N88" i="104"/>
  <c r="V86" i="104"/>
  <c r="T85" i="104"/>
  <c r="R84" i="104"/>
  <c r="P83" i="104"/>
  <c r="N82" i="104"/>
  <c r="V80" i="104"/>
  <c r="T79" i="104"/>
  <c r="R78" i="104"/>
  <c r="P77" i="104"/>
  <c r="N76" i="104"/>
  <c r="V74" i="104"/>
  <c r="T73" i="104"/>
  <c r="R72" i="104"/>
  <c r="P71" i="104"/>
  <c r="N70" i="104"/>
  <c r="V68" i="104"/>
  <c r="T67" i="104"/>
  <c r="R66" i="104"/>
  <c r="P65" i="104"/>
  <c r="N64" i="104"/>
  <c r="V62" i="104"/>
  <c r="T61" i="104"/>
  <c r="R60" i="104"/>
  <c r="P59" i="104"/>
  <c r="N58" i="104"/>
  <c r="V56" i="104"/>
  <c r="V196" i="104"/>
  <c r="R182" i="104"/>
  <c r="N168" i="104"/>
  <c r="T153" i="104"/>
  <c r="P139" i="104"/>
  <c r="V124" i="104"/>
  <c r="R110" i="104"/>
  <c r="W103" i="104"/>
  <c r="W99" i="104"/>
  <c r="U98" i="104"/>
  <c r="S97" i="104"/>
  <c r="Q96" i="104"/>
  <c r="O95" i="104"/>
  <c r="W93" i="104"/>
  <c r="U92" i="104"/>
  <c r="S91" i="104"/>
  <c r="Q90" i="104"/>
  <c r="O89" i="104"/>
  <c r="W87" i="104"/>
  <c r="U86" i="104"/>
  <c r="S85" i="104"/>
  <c r="Q84" i="104"/>
  <c r="O83" i="104"/>
  <c r="W81" i="104"/>
  <c r="U80" i="104"/>
  <c r="S79" i="104"/>
  <c r="Q78" i="104"/>
  <c r="O77" i="104"/>
  <c r="W75" i="104"/>
  <c r="U74" i="104"/>
  <c r="S73" i="104"/>
  <c r="Q72" i="104"/>
  <c r="O71" i="104"/>
  <c r="W69" i="104"/>
  <c r="U68" i="104"/>
  <c r="S67" i="104"/>
  <c r="Q66" i="104"/>
  <c r="O65" i="104"/>
  <c r="W63" i="104"/>
  <c r="U62" i="104"/>
  <c r="S61" i="104"/>
  <c r="Q60" i="104"/>
  <c r="O59" i="104"/>
  <c r="W57" i="104"/>
  <c r="U56" i="104"/>
  <c r="T195" i="104"/>
  <c r="P181" i="104"/>
  <c r="V166" i="104"/>
  <c r="R152" i="104"/>
  <c r="N138" i="104"/>
  <c r="T123" i="104"/>
  <c r="O110" i="104"/>
  <c r="P103" i="104"/>
  <c r="V99" i="104"/>
  <c r="T98" i="104"/>
  <c r="R97" i="104"/>
  <c r="P96" i="104"/>
  <c r="N95" i="104"/>
  <c r="V93" i="104"/>
  <c r="T92" i="104"/>
  <c r="R91" i="104"/>
  <c r="P90" i="104"/>
  <c r="N89" i="104"/>
  <c r="V87" i="104"/>
  <c r="T86" i="104"/>
  <c r="R85" i="104"/>
  <c r="P84" i="104"/>
  <c r="N83" i="104"/>
  <c r="V81" i="104"/>
  <c r="T80" i="104"/>
  <c r="R79" i="104"/>
  <c r="P78" i="104"/>
  <c r="N77" i="104"/>
  <c r="V75" i="104"/>
  <c r="T74" i="104"/>
  <c r="R73" i="104"/>
  <c r="P72" i="104"/>
  <c r="N71" i="104"/>
  <c r="V69" i="104"/>
  <c r="T68" i="104"/>
  <c r="R67" i="104"/>
  <c r="P66" i="104"/>
  <c r="N65" i="104"/>
  <c r="V63" i="104"/>
  <c r="T62" i="104"/>
  <c r="R61" i="104"/>
  <c r="P60" i="104"/>
  <c r="N59" i="104"/>
  <c r="V57" i="104"/>
  <c r="T56" i="104"/>
  <c r="R194" i="104"/>
  <c r="N180" i="104"/>
  <c r="T165" i="104"/>
  <c r="P151" i="104"/>
  <c r="V136" i="104"/>
  <c r="R122" i="104"/>
  <c r="P109" i="104"/>
  <c r="W102" i="104"/>
  <c r="U99" i="104"/>
  <c r="S98" i="104"/>
  <c r="Q97" i="104"/>
  <c r="O96" i="104"/>
  <c r="W94" i="104"/>
  <c r="U93" i="104"/>
  <c r="S92" i="104"/>
  <c r="Q91" i="104"/>
  <c r="O90" i="104"/>
  <c r="W88" i="104"/>
  <c r="U87" i="104"/>
  <c r="S86" i="104"/>
  <c r="Q85" i="104"/>
  <c r="O84" i="104"/>
  <c r="W82" i="104"/>
  <c r="U81" i="104"/>
  <c r="S80" i="104"/>
  <c r="Q79" i="104"/>
  <c r="O78" i="104"/>
  <c r="W76" i="104"/>
  <c r="U75" i="104"/>
  <c r="S74" i="104"/>
  <c r="Q73" i="104"/>
  <c r="O72" i="104"/>
  <c r="W70" i="104"/>
  <c r="U69" i="104"/>
  <c r="S68" i="104"/>
  <c r="Q67" i="104"/>
  <c r="O66" i="104"/>
  <c r="W64" i="104"/>
  <c r="U63" i="104"/>
  <c r="S62" i="104"/>
  <c r="Q61" i="104"/>
  <c r="O60" i="104"/>
  <c r="W58" i="104"/>
  <c r="U57" i="104"/>
  <c r="S56" i="104"/>
  <c r="P193" i="104"/>
  <c r="V178" i="104"/>
  <c r="R164" i="104"/>
  <c r="N150" i="104"/>
  <c r="T135" i="104"/>
  <c r="P121" i="104"/>
  <c r="W108" i="104"/>
  <c r="U102" i="104"/>
  <c r="T99" i="104"/>
  <c r="R98" i="104"/>
  <c r="P97" i="104"/>
  <c r="N96" i="104"/>
  <c r="V94" i="104"/>
  <c r="T93" i="104"/>
  <c r="R92" i="104"/>
  <c r="P91" i="104"/>
  <c r="N90" i="104"/>
  <c r="V88" i="104"/>
  <c r="T87" i="104"/>
  <c r="R86" i="104"/>
  <c r="P85" i="104"/>
  <c r="N84" i="104"/>
  <c r="V82" i="104"/>
  <c r="T81" i="104"/>
  <c r="R80" i="104"/>
  <c r="P79" i="104"/>
  <c r="N78" i="104"/>
  <c r="V76" i="104"/>
  <c r="T75" i="104"/>
  <c r="R74" i="104"/>
  <c r="P73" i="104"/>
  <c r="N72" i="104"/>
  <c r="V70" i="104"/>
  <c r="T69" i="104"/>
  <c r="R68" i="104"/>
  <c r="P67" i="104"/>
  <c r="N66" i="104"/>
  <c r="V64" i="104"/>
  <c r="T63" i="104"/>
  <c r="R62" i="104"/>
  <c r="P61" i="104"/>
  <c r="N60" i="104"/>
  <c r="V58" i="104"/>
  <c r="T57" i="104"/>
  <c r="R56" i="104"/>
  <c r="N192" i="104"/>
  <c r="T177" i="104"/>
  <c r="P163" i="104"/>
  <c r="V148" i="104"/>
  <c r="R134" i="104"/>
  <c r="N120" i="104"/>
  <c r="N108" i="104"/>
  <c r="N102" i="104"/>
  <c r="S99" i="104"/>
  <c r="Q98" i="104"/>
  <c r="O97" i="104"/>
  <c r="W95" i="104"/>
  <c r="U94" i="104"/>
  <c r="S93" i="104"/>
  <c r="Q92" i="104"/>
  <c r="O91" i="104"/>
  <c r="W89" i="104"/>
  <c r="U88" i="104"/>
  <c r="S87" i="104"/>
  <c r="Q86" i="104"/>
  <c r="O85" i="104"/>
  <c r="W83" i="104"/>
  <c r="U82" i="104"/>
  <c r="S81" i="104"/>
  <c r="Q80" i="104"/>
  <c r="O79" i="104"/>
  <c r="W77" i="104"/>
  <c r="U76" i="104"/>
  <c r="S75" i="104"/>
  <c r="Q74" i="104"/>
  <c r="O73" i="104"/>
  <c r="W71" i="104"/>
  <c r="U70" i="104"/>
  <c r="S69" i="104"/>
  <c r="Q68" i="104"/>
  <c r="O67" i="104"/>
  <c r="W65" i="104"/>
  <c r="U64" i="104"/>
  <c r="S63" i="104"/>
  <c r="Q62" i="104"/>
  <c r="O61" i="104"/>
  <c r="W59" i="104"/>
  <c r="U58" i="104"/>
  <c r="S57" i="104"/>
  <c r="Q56" i="104"/>
  <c r="V190" i="104"/>
  <c r="R176" i="104"/>
  <c r="N162" i="104"/>
  <c r="T147" i="104"/>
  <c r="P133" i="104"/>
  <c r="V118" i="104"/>
  <c r="U107" i="104"/>
  <c r="U101" i="104"/>
  <c r="R99" i="104"/>
  <c r="P98" i="104"/>
  <c r="N97" i="104"/>
  <c r="V95" i="104"/>
  <c r="T94" i="104"/>
  <c r="R93" i="104"/>
  <c r="P92" i="104"/>
  <c r="N91" i="104"/>
  <c r="V89" i="104"/>
  <c r="T88" i="104"/>
  <c r="R87" i="104"/>
  <c r="P86" i="104"/>
  <c r="N85" i="104"/>
  <c r="V83" i="104"/>
  <c r="T82" i="104"/>
  <c r="R81" i="104"/>
  <c r="P80" i="104"/>
  <c r="N79" i="104"/>
  <c r="V77" i="104"/>
  <c r="T76" i="104"/>
  <c r="R75" i="104"/>
  <c r="P74" i="104"/>
  <c r="N73" i="104"/>
  <c r="V71" i="104"/>
  <c r="T70" i="104"/>
  <c r="R69" i="104"/>
  <c r="P68" i="104"/>
  <c r="N67" i="104"/>
  <c r="V65" i="104"/>
  <c r="T64" i="104"/>
  <c r="R63" i="104"/>
  <c r="P62" i="104"/>
  <c r="N61" i="104"/>
  <c r="V59" i="104"/>
  <c r="T58" i="104"/>
  <c r="R57" i="104"/>
  <c r="P56" i="104"/>
  <c r="T189" i="104"/>
  <c r="P175" i="104"/>
  <c r="V160" i="104"/>
  <c r="R146" i="104"/>
  <c r="N132" i="104"/>
  <c r="T117" i="104"/>
  <c r="V106" i="104"/>
  <c r="S101" i="104"/>
  <c r="Q99" i="104"/>
  <c r="O98" i="104"/>
  <c r="W96" i="104"/>
  <c r="U95" i="104"/>
  <c r="S94" i="104"/>
  <c r="Q93" i="104"/>
  <c r="O92" i="104"/>
  <c r="W90" i="104"/>
  <c r="U89" i="104"/>
  <c r="S88" i="104"/>
  <c r="Q87" i="104"/>
  <c r="O86" i="104"/>
  <c r="W84" i="104"/>
  <c r="U83" i="104"/>
  <c r="S82" i="104"/>
  <c r="Q81" i="104"/>
  <c r="O80" i="104"/>
  <c r="W78" i="104"/>
  <c r="U77" i="104"/>
  <c r="S76" i="104"/>
  <c r="Q75" i="104"/>
  <c r="O74" i="104"/>
  <c r="W72" i="104"/>
  <c r="U71" i="104"/>
  <c r="S70" i="104"/>
  <c r="Q69" i="104"/>
  <c r="O68" i="104"/>
  <c r="W66" i="104"/>
  <c r="U65" i="104"/>
  <c r="S64" i="104"/>
  <c r="Q63" i="104"/>
  <c r="O62" i="104"/>
  <c r="W60" i="104"/>
  <c r="U59" i="104"/>
  <c r="S58" i="104"/>
  <c r="Q57" i="104"/>
  <c r="O56" i="104"/>
  <c r="N62" i="104"/>
  <c r="P69" i="104"/>
  <c r="R76" i="104"/>
  <c r="T83" i="104"/>
  <c r="V90" i="104"/>
  <c r="N98" i="104"/>
  <c r="P145" i="104"/>
  <c r="T59" i="104"/>
  <c r="O63" i="104"/>
  <c r="Q70" i="104"/>
  <c r="S77" i="104"/>
  <c r="U84" i="104"/>
  <c r="W91" i="104"/>
  <c r="O99" i="104"/>
  <c r="R158" i="104"/>
  <c r="O81" i="104"/>
  <c r="R116" i="104"/>
  <c r="N56" i="104"/>
  <c r="P63" i="104"/>
  <c r="R70" i="104"/>
  <c r="T77" i="104"/>
  <c r="V84" i="104"/>
  <c r="N92" i="104"/>
  <c r="P99" i="104"/>
  <c r="T159" i="104"/>
  <c r="S95" i="104"/>
  <c r="T95" i="104"/>
  <c r="O57" i="104"/>
  <c r="Q64" i="104"/>
  <c r="S71" i="104"/>
  <c r="U78" i="104"/>
  <c r="W85" i="104"/>
  <c r="O93" i="104"/>
  <c r="V100" i="104"/>
  <c r="V172" i="104"/>
  <c r="U66" i="104"/>
  <c r="V66" i="104"/>
  <c r="P57" i="104"/>
  <c r="R64" i="104"/>
  <c r="T71" i="104"/>
  <c r="V78" i="104"/>
  <c r="N86" i="104"/>
  <c r="P93" i="104"/>
  <c r="O101" i="104"/>
  <c r="N174" i="104"/>
  <c r="S59" i="104"/>
  <c r="Q58" i="104"/>
  <c r="S65" i="104"/>
  <c r="U72" i="104"/>
  <c r="W79" i="104"/>
  <c r="O87" i="104"/>
  <c r="Q94" i="104"/>
  <c r="T105" i="104"/>
  <c r="P187" i="104"/>
  <c r="R58" i="104"/>
  <c r="T65" i="104"/>
  <c r="V72" i="104"/>
  <c r="N80" i="104"/>
  <c r="P87" i="104"/>
  <c r="R94" i="104"/>
  <c r="S106" i="104"/>
  <c r="R188" i="104"/>
  <c r="X184" i="104" l="1"/>
  <c r="X132" i="104"/>
  <c r="U169" i="107"/>
  <c r="X125" i="104"/>
  <c r="X107" i="104"/>
  <c r="X189" i="104"/>
  <c r="X178" i="104"/>
  <c r="X124" i="104"/>
  <c r="U139" i="107"/>
  <c r="X198" i="104"/>
  <c r="U187" i="107"/>
  <c r="X155" i="104"/>
  <c r="X193" i="104"/>
  <c r="X110" i="104"/>
  <c r="X179" i="104"/>
  <c r="X194" i="104"/>
  <c r="X137" i="104"/>
  <c r="X123" i="104"/>
  <c r="X195" i="104"/>
  <c r="X182" i="104"/>
  <c r="X181" i="104"/>
  <c r="X58" i="104"/>
  <c r="X112" i="104"/>
  <c r="X141" i="104"/>
  <c r="X67" i="104"/>
  <c r="X170" i="104"/>
  <c r="X88" i="104"/>
  <c r="X103" i="104"/>
  <c r="X154" i="104"/>
  <c r="X183" i="104"/>
  <c r="U126" i="107"/>
  <c r="X121" i="104"/>
  <c r="X126" i="104"/>
  <c r="X180" i="104"/>
  <c r="U109" i="107"/>
  <c r="X165" i="104"/>
  <c r="X169" i="104"/>
  <c r="X136" i="104"/>
  <c r="X138" i="104"/>
  <c r="X196" i="104"/>
  <c r="X135" i="104"/>
  <c r="U153" i="107"/>
  <c r="U85" i="107"/>
  <c r="U167" i="107"/>
  <c r="U73" i="107"/>
  <c r="U183" i="107"/>
  <c r="U143" i="107"/>
  <c r="U87" i="107"/>
  <c r="U131" i="107"/>
  <c r="U170" i="107"/>
  <c r="U192" i="107"/>
  <c r="U93" i="107"/>
  <c r="U106" i="107"/>
  <c r="U178" i="107"/>
  <c r="U129" i="107"/>
  <c r="U118" i="107"/>
  <c r="U104" i="107"/>
  <c r="U165" i="107"/>
  <c r="U177" i="107"/>
  <c r="U186" i="107"/>
  <c r="U75" i="107"/>
  <c r="U144" i="107"/>
  <c r="U173" i="107"/>
  <c r="U123" i="107"/>
  <c r="U112" i="107"/>
  <c r="U119" i="107"/>
  <c r="U108" i="107"/>
  <c r="U180" i="107"/>
  <c r="U166" i="107"/>
  <c r="U94" i="107"/>
  <c r="U132" i="107"/>
  <c r="U151" i="107"/>
  <c r="U69" i="107"/>
  <c r="U101" i="107"/>
  <c r="U179" i="107"/>
  <c r="U176" i="107"/>
  <c r="U83" i="107"/>
  <c r="U150" i="107"/>
  <c r="U55" i="107"/>
  <c r="U66" i="107"/>
  <c r="U74" i="107"/>
  <c r="U130" i="107"/>
  <c r="U161" i="107"/>
  <c r="U79" i="107"/>
  <c r="U122" i="107"/>
  <c r="U116" i="107"/>
  <c r="U190" i="107"/>
  <c r="X60" i="104"/>
  <c r="U71" i="107"/>
  <c r="U86" i="107"/>
  <c r="U185" i="107"/>
  <c r="U61" i="107"/>
  <c r="U198" i="107"/>
  <c r="X163" i="104"/>
  <c r="U146" i="107"/>
  <c r="U164" i="107"/>
  <c r="X83" i="104"/>
  <c r="X61" i="104"/>
  <c r="U156" i="107"/>
  <c r="X106" i="104"/>
  <c r="U98" i="107"/>
  <c r="X84" i="104"/>
  <c r="X152" i="104"/>
  <c r="U111" i="107"/>
  <c r="U53" i="107"/>
  <c r="U63" i="107"/>
  <c r="U117" i="107"/>
  <c r="U110" i="107"/>
  <c r="U181" i="107"/>
  <c r="U197" i="107"/>
  <c r="X174" i="104"/>
  <c r="X162" i="104"/>
  <c r="U95" i="107"/>
  <c r="U200" i="107"/>
  <c r="X200" i="104"/>
  <c r="X128" i="104"/>
  <c r="X143" i="104"/>
  <c r="X113" i="104"/>
  <c r="X156" i="104"/>
  <c r="X176" i="104"/>
  <c r="U184" i="107"/>
  <c r="U147" i="107"/>
  <c r="U193" i="107"/>
  <c r="U191" i="107"/>
  <c r="U141" i="107"/>
  <c r="U154" i="107"/>
  <c r="X131" i="104"/>
  <c r="X160" i="104"/>
  <c r="U107" i="107"/>
  <c r="U194" i="107"/>
  <c r="U135" i="107"/>
  <c r="X80" i="104"/>
  <c r="X108" i="104"/>
  <c r="U159" i="107"/>
  <c r="U158" i="107"/>
  <c r="U145" i="107"/>
  <c r="X82" i="104"/>
  <c r="X115" i="104"/>
  <c r="X129" i="104"/>
  <c r="X144" i="104"/>
  <c r="X187" i="104"/>
  <c r="X101" i="104"/>
  <c r="X173" i="104"/>
  <c r="X130" i="104"/>
  <c r="X172" i="104"/>
  <c r="X105" i="104"/>
  <c r="X177" i="104"/>
  <c r="X134" i="104"/>
  <c r="X116" i="104"/>
  <c r="X159" i="104"/>
  <c r="X188" i="104"/>
  <c r="X145" i="104"/>
  <c r="U133" i="107"/>
  <c r="U67" i="107"/>
  <c r="U81" i="107"/>
  <c r="U134" i="107"/>
  <c r="U103" i="107"/>
  <c r="U175" i="107"/>
  <c r="U162" i="107"/>
  <c r="U149" i="107"/>
  <c r="X68" i="104"/>
  <c r="X97" i="104"/>
  <c r="X120" i="104"/>
  <c r="X69" i="104"/>
  <c r="X102" i="104"/>
  <c r="X161" i="104"/>
  <c r="X118" i="104"/>
  <c r="X190" i="104"/>
  <c r="X164" i="104"/>
  <c r="X146" i="104"/>
  <c r="U84" i="107"/>
  <c r="U57" i="107"/>
  <c r="X72" i="104"/>
  <c r="X59" i="104"/>
  <c r="U120" i="107"/>
  <c r="U163" i="107"/>
  <c r="U137" i="107"/>
  <c r="X63" i="104"/>
  <c r="X64" i="104"/>
  <c r="U62" i="107"/>
  <c r="X57" i="104"/>
  <c r="U68" i="107"/>
  <c r="U82" i="107"/>
  <c r="U138" i="107"/>
  <c r="U125" i="107"/>
  <c r="U113" i="107"/>
  <c r="X73" i="104"/>
  <c r="X109" i="104"/>
  <c r="U91" i="107"/>
  <c r="U59" i="107"/>
  <c r="U88" i="107"/>
  <c r="U199" i="107"/>
  <c r="X87" i="104"/>
  <c r="X93" i="104"/>
  <c r="X86" i="104"/>
  <c r="X74" i="104"/>
  <c r="X150" i="104"/>
  <c r="X56" i="104"/>
  <c r="X71" i="104"/>
  <c r="X85" i="104"/>
  <c r="U105" i="107"/>
  <c r="U78" i="107"/>
  <c r="U56" i="107"/>
  <c r="U99" i="107"/>
  <c r="X98" i="104"/>
  <c r="X65" i="104"/>
  <c r="U142" i="107"/>
  <c r="U128" i="107"/>
  <c r="U114" i="107"/>
  <c r="U157" i="107"/>
  <c r="U174" i="107"/>
  <c r="X171" i="104"/>
  <c r="X70" i="104"/>
  <c r="U64" i="107"/>
  <c r="U58" i="107"/>
  <c r="U60" i="107"/>
  <c r="U72" i="107"/>
  <c r="U188" i="107"/>
  <c r="U189" i="107"/>
  <c r="X66" i="104"/>
  <c r="X100" i="104"/>
  <c r="U96" i="107"/>
  <c r="U54" i="107"/>
  <c r="U127" i="107"/>
  <c r="U196" i="107"/>
  <c r="X158" i="104"/>
  <c r="X99" i="104"/>
  <c r="X175" i="104"/>
  <c r="X79" i="104"/>
  <c r="X104" i="104"/>
  <c r="U97" i="107"/>
  <c r="U92" i="107"/>
  <c r="U65" i="107"/>
  <c r="U80" i="107"/>
  <c r="U89" i="107"/>
  <c r="U152" i="107"/>
  <c r="U182" i="107"/>
  <c r="X62" i="104"/>
  <c r="X81" i="104"/>
  <c r="X95" i="104"/>
  <c r="X91" i="104"/>
  <c r="X75" i="104"/>
  <c r="X90" i="104"/>
  <c r="X122" i="104"/>
  <c r="X89" i="104"/>
  <c r="X119" i="104"/>
  <c r="X191" i="104"/>
  <c r="X148" i="104"/>
  <c r="X117" i="104"/>
  <c r="X147" i="104"/>
  <c r="X133" i="104"/>
  <c r="U171" i="107"/>
  <c r="U195" i="107"/>
  <c r="U100" i="107"/>
  <c r="U172" i="107"/>
  <c r="X92" i="104"/>
  <c r="X78" i="104"/>
  <c r="X77" i="104"/>
  <c r="X153" i="104"/>
  <c r="X76" i="104"/>
  <c r="X114" i="104"/>
  <c r="X166" i="104"/>
  <c r="X149" i="104"/>
  <c r="X192" i="104"/>
  <c r="X111" i="104"/>
  <c r="X139" i="104"/>
  <c r="X168" i="104"/>
  <c r="X197" i="104"/>
  <c r="X140" i="104"/>
  <c r="X151" i="104"/>
  <c r="U168" i="107"/>
  <c r="U160" i="107"/>
  <c r="X167" i="104"/>
  <c r="U140" i="107"/>
  <c r="U115" i="107"/>
  <c r="U76" i="107"/>
  <c r="U121" i="107"/>
  <c r="U148" i="107"/>
  <c r="U136" i="107"/>
  <c r="U70" i="107"/>
  <c r="U155" i="107"/>
  <c r="U77" i="107"/>
  <c r="U124" i="107"/>
  <c r="U102" i="107"/>
  <c r="X96" i="104"/>
  <c r="X94" i="104"/>
  <c r="X186" i="104"/>
  <c r="X127" i="104"/>
  <c r="X199" i="104"/>
  <c r="X185" i="104"/>
  <c r="X157" i="104"/>
  <c r="X142" i="104"/>
  <c r="U90" i="107"/>
  <c r="AB6" i="1" l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Y6" i="1"/>
  <c r="N6" i="104" s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F6" i="104"/>
  <c r="D6" i="104"/>
  <c r="F5" i="104"/>
  <c r="AC6" i="1" l="1"/>
  <c r="F7" i="104"/>
  <c r="AN969" i="1" l="1"/>
  <c r="AI969" i="1"/>
  <c r="Y969" i="1"/>
  <c r="AN968" i="1"/>
  <c r="AI968" i="1"/>
  <c r="Y968" i="1"/>
  <c r="AN967" i="1"/>
  <c r="AI967" i="1"/>
  <c r="Y967" i="1"/>
  <c r="AN966" i="1"/>
  <c r="AI966" i="1"/>
  <c r="Y966" i="1"/>
  <c r="AN965" i="1"/>
  <c r="AI965" i="1"/>
  <c r="Y965" i="1"/>
  <c r="AN964" i="1"/>
  <c r="AI964" i="1"/>
  <c r="Y964" i="1"/>
  <c r="AN963" i="1"/>
  <c r="AI963" i="1"/>
  <c r="Y963" i="1"/>
  <c r="AN962" i="1"/>
  <c r="AI962" i="1"/>
  <c r="Y962" i="1"/>
  <c r="AN961" i="1"/>
  <c r="AI961" i="1"/>
  <c r="Y961" i="1"/>
  <c r="AN960" i="1"/>
  <c r="AI960" i="1"/>
  <c r="Y960" i="1"/>
  <c r="AN959" i="1"/>
  <c r="AI959" i="1"/>
  <c r="Y959" i="1"/>
  <c r="AN958" i="1"/>
  <c r="AI958" i="1"/>
  <c r="Y958" i="1"/>
  <c r="AN957" i="1"/>
  <c r="AI957" i="1"/>
  <c r="Y957" i="1"/>
  <c r="AN956" i="1"/>
  <c r="AI956" i="1"/>
  <c r="Y956" i="1"/>
  <c r="AN955" i="1"/>
  <c r="AI955" i="1"/>
  <c r="Y955" i="1"/>
  <c r="AN954" i="1"/>
  <c r="AI954" i="1"/>
  <c r="Y954" i="1"/>
  <c r="AN953" i="1"/>
  <c r="AI953" i="1"/>
  <c r="Y953" i="1"/>
  <c r="AN952" i="1"/>
  <c r="AI952" i="1"/>
  <c r="Y952" i="1"/>
  <c r="AN951" i="1"/>
  <c r="AI951" i="1"/>
  <c r="Y951" i="1"/>
  <c r="AN950" i="1"/>
  <c r="AI950" i="1"/>
  <c r="Y950" i="1"/>
  <c r="Y941" i="1"/>
  <c r="Y942" i="1"/>
  <c r="Y943" i="1"/>
  <c r="Y944" i="1"/>
  <c r="Y945" i="1"/>
  <c r="Y946" i="1"/>
  <c r="Y947" i="1"/>
  <c r="AE947" i="1" s="1"/>
  <c r="Y948" i="1"/>
  <c r="Y949" i="1"/>
  <c r="AI941" i="1"/>
  <c r="AI942" i="1"/>
  <c r="AI943" i="1"/>
  <c r="AI944" i="1"/>
  <c r="AI945" i="1"/>
  <c r="AI946" i="1"/>
  <c r="AI947" i="1"/>
  <c r="AI948" i="1"/>
  <c r="AI949" i="1"/>
  <c r="AN941" i="1"/>
  <c r="AN942" i="1"/>
  <c r="AN943" i="1"/>
  <c r="AN944" i="1"/>
  <c r="AN945" i="1"/>
  <c r="AN946" i="1"/>
  <c r="AN947" i="1"/>
  <c r="AN948" i="1"/>
  <c r="AN949" i="1"/>
  <c r="Y940" i="1"/>
  <c r="AI940" i="1"/>
  <c r="AN940" i="1"/>
  <c r="AN614" i="1"/>
  <c r="AI614" i="1"/>
  <c r="Y614" i="1"/>
  <c r="T39" i="107" s="1"/>
  <c r="AN613" i="1"/>
  <c r="AI613" i="1"/>
  <c r="Y613" i="1"/>
  <c r="S39" i="107" s="1"/>
  <c r="AN612" i="1"/>
  <c r="AI612" i="1"/>
  <c r="Y612" i="1"/>
  <c r="R39" i="107" s="1"/>
  <c r="AN611" i="1"/>
  <c r="AI611" i="1"/>
  <c r="Y611" i="1"/>
  <c r="Q39" i="107" s="1"/>
  <c r="AN610" i="1"/>
  <c r="AI610" i="1"/>
  <c r="Y610" i="1"/>
  <c r="P39" i="107" s="1"/>
  <c r="AN609" i="1"/>
  <c r="AI609" i="1"/>
  <c r="Y609" i="1"/>
  <c r="O39" i="107" s="1"/>
  <c r="AN608" i="1"/>
  <c r="AI608" i="1"/>
  <c r="Y608" i="1"/>
  <c r="N39" i="107" s="1"/>
  <c r="AN607" i="1"/>
  <c r="AI607" i="1"/>
  <c r="Y607" i="1"/>
  <c r="M39" i="107" s="1"/>
  <c r="AN606" i="1"/>
  <c r="AI606" i="1"/>
  <c r="Y606" i="1"/>
  <c r="W37" i="104" s="1"/>
  <c r="AN605" i="1"/>
  <c r="AI605" i="1"/>
  <c r="Y605" i="1"/>
  <c r="V37" i="104" s="1"/>
  <c r="AN604" i="1"/>
  <c r="AI604" i="1"/>
  <c r="Y604" i="1"/>
  <c r="U37" i="104" s="1"/>
  <c r="AN603" i="1"/>
  <c r="AI603" i="1"/>
  <c r="Y603" i="1"/>
  <c r="T37" i="104" s="1"/>
  <c r="AN602" i="1"/>
  <c r="AI602" i="1"/>
  <c r="Y602" i="1"/>
  <c r="S37" i="104" s="1"/>
  <c r="AN601" i="1"/>
  <c r="AI601" i="1"/>
  <c r="Y601" i="1"/>
  <c r="R37" i="104" s="1"/>
  <c r="AN600" i="1"/>
  <c r="AI600" i="1"/>
  <c r="Y600" i="1"/>
  <c r="Q37" i="104" s="1"/>
  <c r="AN599" i="1"/>
  <c r="AI599" i="1"/>
  <c r="Y599" i="1"/>
  <c r="P37" i="104" s="1"/>
  <c r="AN598" i="1"/>
  <c r="AI598" i="1"/>
  <c r="Y598" i="1"/>
  <c r="O37" i="104" s="1"/>
  <c r="AN597" i="1"/>
  <c r="AI597" i="1"/>
  <c r="Y597" i="1"/>
  <c r="N37" i="104" s="1"/>
  <c r="AN861" i="1"/>
  <c r="AI861" i="1"/>
  <c r="Y861" i="1"/>
  <c r="AN860" i="1"/>
  <c r="AI860" i="1"/>
  <c r="Y860" i="1"/>
  <c r="AN859" i="1"/>
  <c r="AI859" i="1"/>
  <c r="Y859" i="1"/>
  <c r="AN858" i="1"/>
  <c r="AI858" i="1"/>
  <c r="Y858" i="1"/>
  <c r="AN857" i="1"/>
  <c r="AI857" i="1"/>
  <c r="Y857" i="1"/>
  <c r="AN856" i="1"/>
  <c r="AI856" i="1"/>
  <c r="Y856" i="1"/>
  <c r="AN855" i="1"/>
  <c r="AI855" i="1"/>
  <c r="Y855" i="1"/>
  <c r="AN881" i="1"/>
  <c r="AI881" i="1"/>
  <c r="Y881" i="1"/>
  <c r="AN880" i="1"/>
  <c r="AI880" i="1"/>
  <c r="Y880" i="1"/>
  <c r="AN879" i="1"/>
  <c r="AI879" i="1"/>
  <c r="Y879" i="1"/>
  <c r="AN878" i="1"/>
  <c r="AI878" i="1"/>
  <c r="Y878" i="1"/>
  <c r="AN877" i="1"/>
  <c r="AI877" i="1"/>
  <c r="Y877" i="1"/>
  <c r="AN876" i="1"/>
  <c r="AI876" i="1"/>
  <c r="Y876" i="1"/>
  <c r="AN875" i="1"/>
  <c r="AI875" i="1"/>
  <c r="Y875" i="1"/>
  <c r="AN874" i="1"/>
  <c r="AI874" i="1"/>
  <c r="Y874" i="1"/>
  <c r="AN873" i="1"/>
  <c r="AI873" i="1"/>
  <c r="Y873" i="1"/>
  <c r="AN872" i="1"/>
  <c r="AI872" i="1"/>
  <c r="Y872" i="1"/>
  <c r="AN871" i="1"/>
  <c r="AI871" i="1"/>
  <c r="Y871" i="1"/>
  <c r="AN870" i="1"/>
  <c r="AI870" i="1"/>
  <c r="Y870" i="1"/>
  <c r="AN869" i="1"/>
  <c r="AI869" i="1"/>
  <c r="Y869" i="1"/>
  <c r="AN868" i="1"/>
  <c r="AI868" i="1"/>
  <c r="Y868" i="1"/>
  <c r="AN867" i="1"/>
  <c r="AI867" i="1"/>
  <c r="Y867" i="1"/>
  <c r="AN866" i="1"/>
  <c r="AI866" i="1"/>
  <c r="Y866" i="1"/>
  <c r="AN865" i="1"/>
  <c r="AI865" i="1"/>
  <c r="Y865" i="1"/>
  <c r="AN864" i="1"/>
  <c r="AI864" i="1"/>
  <c r="Y864" i="1"/>
  <c r="AN863" i="1"/>
  <c r="AI863" i="1"/>
  <c r="Y863" i="1"/>
  <c r="AN862" i="1"/>
  <c r="AI862" i="1"/>
  <c r="Y862" i="1"/>
  <c r="AN854" i="1"/>
  <c r="AI854" i="1"/>
  <c r="Y854" i="1"/>
  <c r="AN853" i="1"/>
  <c r="AI853" i="1"/>
  <c r="Y853" i="1"/>
  <c r="AN852" i="1"/>
  <c r="AI852" i="1"/>
  <c r="Y852" i="1"/>
  <c r="AN851" i="1"/>
  <c r="AI851" i="1"/>
  <c r="Y851" i="1"/>
  <c r="AN850" i="1"/>
  <c r="AI850" i="1"/>
  <c r="Y850" i="1"/>
  <c r="AN849" i="1"/>
  <c r="AI849" i="1"/>
  <c r="Y849" i="1"/>
  <c r="AN848" i="1"/>
  <c r="AI848" i="1"/>
  <c r="Y848" i="1"/>
  <c r="AN847" i="1"/>
  <c r="AI847" i="1"/>
  <c r="Y847" i="1"/>
  <c r="AN939" i="1"/>
  <c r="AI939" i="1"/>
  <c r="Y939" i="1"/>
  <c r="W55" i="104" s="1"/>
  <c r="AN938" i="1"/>
  <c r="AI938" i="1"/>
  <c r="Y938" i="1"/>
  <c r="V55" i="104" s="1"/>
  <c r="AN937" i="1"/>
  <c r="AI937" i="1"/>
  <c r="Y937" i="1"/>
  <c r="U55" i="104" s="1"/>
  <c r="AN936" i="1"/>
  <c r="AI936" i="1"/>
  <c r="Y936" i="1"/>
  <c r="T55" i="104" s="1"/>
  <c r="AN935" i="1"/>
  <c r="AI935" i="1"/>
  <c r="Y935" i="1"/>
  <c r="S55" i="104" s="1"/>
  <c r="AN934" i="1"/>
  <c r="AI934" i="1"/>
  <c r="Y934" i="1"/>
  <c r="R55" i="104" s="1"/>
  <c r="AN933" i="1"/>
  <c r="AI933" i="1"/>
  <c r="Y933" i="1"/>
  <c r="Q55" i="104" s="1"/>
  <c r="AN932" i="1"/>
  <c r="AI932" i="1"/>
  <c r="Y932" i="1"/>
  <c r="P55" i="104" s="1"/>
  <c r="AN931" i="1"/>
  <c r="AI931" i="1"/>
  <c r="Y931" i="1"/>
  <c r="O55" i="104" s="1"/>
  <c r="AN930" i="1"/>
  <c r="AI930" i="1"/>
  <c r="Y930" i="1"/>
  <c r="N55" i="104" s="1"/>
  <c r="AN79" i="1"/>
  <c r="AI79" i="1"/>
  <c r="Y79" i="1"/>
  <c r="W53" i="104" s="1"/>
  <c r="AN78" i="1"/>
  <c r="AI78" i="1"/>
  <c r="Y78" i="1"/>
  <c r="V53" i="104" s="1"/>
  <c r="AN77" i="1"/>
  <c r="AI77" i="1"/>
  <c r="Y77" i="1"/>
  <c r="U53" i="104" s="1"/>
  <c r="AN76" i="1"/>
  <c r="AI76" i="1"/>
  <c r="Y76" i="1"/>
  <c r="T53" i="104" s="1"/>
  <c r="AN75" i="1"/>
  <c r="AI75" i="1"/>
  <c r="Y75" i="1"/>
  <c r="S53" i="104" s="1"/>
  <c r="AN74" i="1"/>
  <c r="AI74" i="1"/>
  <c r="Y74" i="1"/>
  <c r="R53" i="104" s="1"/>
  <c r="AN73" i="1"/>
  <c r="AI73" i="1"/>
  <c r="Y73" i="1"/>
  <c r="Q53" i="104" s="1"/>
  <c r="AN72" i="1"/>
  <c r="AI72" i="1"/>
  <c r="Y72" i="1"/>
  <c r="P53" i="104" s="1"/>
  <c r="AN71" i="1"/>
  <c r="AI71" i="1"/>
  <c r="Y71" i="1"/>
  <c r="O53" i="104" s="1"/>
  <c r="AN70" i="1"/>
  <c r="AI70" i="1"/>
  <c r="Y70" i="1"/>
  <c r="N53" i="104" s="1"/>
  <c r="Y763" i="1"/>
  <c r="M44" i="107" s="1"/>
  <c r="AN929" i="1"/>
  <c r="AI929" i="1"/>
  <c r="Y929" i="1"/>
  <c r="W54" i="104" s="1"/>
  <c r="AN928" i="1"/>
  <c r="AI928" i="1"/>
  <c r="Y928" i="1"/>
  <c r="V54" i="104" s="1"/>
  <c r="AN927" i="1"/>
  <c r="AI927" i="1"/>
  <c r="Y927" i="1"/>
  <c r="U54" i="104" s="1"/>
  <c r="AN926" i="1"/>
  <c r="AI926" i="1"/>
  <c r="Y926" i="1"/>
  <c r="T54" i="104" s="1"/>
  <c r="AN925" i="1"/>
  <c r="AI925" i="1"/>
  <c r="Y925" i="1"/>
  <c r="S54" i="104" s="1"/>
  <c r="AN924" i="1"/>
  <c r="AI924" i="1"/>
  <c r="Y924" i="1"/>
  <c r="R54" i="104" s="1"/>
  <c r="AN923" i="1"/>
  <c r="AI923" i="1"/>
  <c r="Y923" i="1"/>
  <c r="Q54" i="104" s="1"/>
  <c r="AN922" i="1"/>
  <c r="AI922" i="1"/>
  <c r="Y922" i="1"/>
  <c r="P54" i="104" s="1"/>
  <c r="AN921" i="1"/>
  <c r="AI921" i="1"/>
  <c r="Y921" i="1"/>
  <c r="O54" i="104" s="1"/>
  <c r="AN920" i="1"/>
  <c r="AI920" i="1"/>
  <c r="Y920" i="1"/>
  <c r="N54" i="104" s="1"/>
  <c r="U39" i="107" l="1"/>
  <c r="AO965" i="1"/>
  <c r="AE960" i="1"/>
  <c r="AE964" i="1"/>
  <c r="AD961" i="1"/>
  <c r="AD963" i="1"/>
  <c r="AD969" i="1"/>
  <c r="AC955" i="1"/>
  <c r="AA945" i="1"/>
  <c r="AJ966" i="1"/>
  <c r="AO949" i="1"/>
  <c r="AD952" i="1"/>
  <c r="AD956" i="1"/>
  <c r="AA944" i="1"/>
  <c r="AE946" i="1"/>
  <c r="AD944" i="1"/>
  <c r="AA957" i="1"/>
  <c r="AJ941" i="1"/>
  <c r="AO952" i="1"/>
  <c r="AA958" i="1"/>
  <c r="AD962" i="1"/>
  <c r="AE952" i="1"/>
  <c r="AO957" i="1"/>
  <c r="AO961" i="1"/>
  <c r="AJ962" i="1"/>
  <c r="AJ963" i="1"/>
  <c r="AA967" i="1"/>
  <c r="AC947" i="1"/>
  <c r="AO947" i="1"/>
  <c r="AD964" i="1"/>
  <c r="AO951" i="1"/>
  <c r="AJ961" i="1"/>
  <c r="AJ967" i="1"/>
  <c r="AJ959" i="1"/>
  <c r="AJ960" i="1"/>
  <c r="AD966" i="1"/>
  <c r="AE967" i="1"/>
  <c r="AJ968" i="1"/>
  <c r="AE969" i="1"/>
  <c r="AE950" i="1"/>
  <c r="AD955" i="1"/>
  <c r="AD957" i="1"/>
  <c r="AD967" i="1"/>
  <c r="AJ942" i="1"/>
  <c r="AD960" i="1"/>
  <c r="AA966" i="1"/>
  <c r="AK968" i="1"/>
  <c r="AK967" i="1"/>
  <c r="AE965" i="1"/>
  <c r="AA964" i="1"/>
  <c r="AK964" i="1"/>
  <c r="AA963" i="1"/>
  <c r="AA961" i="1"/>
  <c r="AA960" i="1"/>
  <c r="AC959" i="1"/>
  <c r="AE959" i="1"/>
  <c r="AE956" i="1"/>
  <c r="AC954" i="1"/>
  <c r="AA953" i="1"/>
  <c r="AC953" i="1"/>
  <c r="AA952" i="1"/>
  <c r="AK952" i="1"/>
  <c r="AA951" i="1"/>
  <c r="AE949" i="1"/>
  <c r="AC948" i="1"/>
  <c r="AA948" i="1"/>
  <c r="AA947" i="1"/>
  <c r="AA946" i="1"/>
  <c r="AK944" i="1"/>
  <c r="AC943" i="1"/>
  <c r="AK942" i="1"/>
  <c r="AE941" i="1"/>
  <c r="AK940" i="1"/>
  <c r="AC969" i="1"/>
  <c r="AK969" i="1"/>
  <c r="AE968" i="1"/>
  <c r="AP969" i="1"/>
  <c r="AO968" i="1"/>
  <c r="AA969" i="1"/>
  <c r="AK966" i="1"/>
  <c r="AP966" i="1"/>
  <c r="AO967" i="1"/>
  <c r="AE966" i="1"/>
  <c r="AC965" i="1"/>
  <c r="AP965" i="1"/>
  <c r="AO964" i="1"/>
  <c r="AP964" i="1"/>
  <c r="AC963" i="1"/>
  <c r="AE963" i="1"/>
  <c r="AK963" i="1"/>
  <c r="AP963" i="1"/>
  <c r="AK962" i="1"/>
  <c r="AO962" i="1"/>
  <c r="AK961" i="1"/>
  <c r="AK960" i="1"/>
  <c r="AP960" i="1"/>
  <c r="AE961" i="1"/>
  <c r="AC960" i="1"/>
  <c r="AC961" i="1"/>
  <c r="AP959" i="1"/>
  <c r="AA956" i="1"/>
  <c r="AK954" i="1"/>
  <c r="AJ950" i="1"/>
  <c r="AK950" i="1"/>
  <c r="AE951" i="1"/>
  <c r="AD951" i="1"/>
  <c r="AC950" i="1"/>
  <c r="AK949" i="1"/>
  <c r="AA949" i="1"/>
  <c r="AK947" i="1"/>
  <c r="AA942" i="1"/>
  <c r="AE942" i="1"/>
  <c r="AO956" i="1"/>
  <c r="AP947" i="1"/>
  <c r="AP941" i="1"/>
  <c r="AK948" i="1"/>
  <c r="AP944" i="1"/>
  <c r="AO950" i="1"/>
  <c r="AC952" i="1"/>
  <c r="AE953" i="1"/>
  <c r="AK957" i="1"/>
  <c r="AP962" i="1"/>
  <c r="AJ965" i="1"/>
  <c r="AP968" i="1"/>
  <c r="AP942" i="1"/>
  <c r="AK953" i="1"/>
  <c r="AD954" i="1"/>
  <c r="AJ958" i="1"/>
  <c r="AO958" i="1"/>
  <c r="AC962" i="1"/>
  <c r="AK965" i="1"/>
  <c r="AC968" i="1"/>
  <c r="AP945" i="1"/>
  <c r="AK946" i="1"/>
  <c r="AO954" i="1"/>
  <c r="AP961" i="1"/>
  <c r="AJ964" i="1"/>
  <c r="AP967" i="1"/>
  <c r="AD968" i="1"/>
  <c r="AA962" i="1"/>
  <c r="AA968" i="1"/>
  <c r="AO942" i="1"/>
  <c r="AK945" i="1"/>
  <c r="AJ956" i="1"/>
  <c r="AE958" i="1"/>
  <c r="AA959" i="1"/>
  <c r="AO960" i="1"/>
  <c r="AE962" i="1"/>
  <c r="AO966" i="1"/>
  <c r="AC967" i="1"/>
  <c r="AO946" i="1"/>
  <c r="AA950" i="1"/>
  <c r="AC951" i="1"/>
  <c r="AK956" i="1"/>
  <c r="AD959" i="1"/>
  <c r="AJ969" i="1"/>
  <c r="AP948" i="1"/>
  <c r="AO945" i="1"/>
  <c r="AD950" i="1"/>
  <c r="AK951" i="1"/>
  <c r="AJ953" i="1"/>
  <c r="AO953" i="1"/>
  <c r="AA965" i="1"/>
  <c r="AC966" i="1"/>
  <c r="AP940" i="1"/>
  <c r="AD942" i="1"/>
  <c r="AO944" i="1"/>
  <c r="AJ952" i="1"/>
  <c r="AP953" i="1"/>
  <c r="AE955" i="1"/>
  <c r="AK959" i="1"/>
  <c r="AK941" i="1"/>
  <c r="AO943" i="1"/>
  <c r="AA954" i="1"/>
  <c r="AK955" i="1"/>
  <c r="AE957" i="1"/>
  <c r="AD958" i="1"/>
  <c r="AD965" i="1"/>
  <c r="AD948" i="1"/>
  <c r="AK958" i="1"/>
  <c r="AO963" i="1"/>
  <c r="AC964" i="1"/>
  <c r="AO969" i="1"/>
  <c r="AD953" i="1"/>
  <c r="AE954" i="1"/>
  <c r="AP955" i="1"/>
  <c r="AC956" i="1"/>
  <c r="AO959" i="1"/>
  <c r="AO941" i="1"/>
  <c r="AD947" i="1"/>
  <c r="AF947" i="1" s="1"/>
  <c r="AP952" i="1"/>
  <c r="AJ955" i="1"/>
  <c r="AP958" i="1"/>
  <c r="AP949" i="1"/>
  <c r="AA941" i="1"/>
  <c r="AC958" i="1"/>
  <c r="AD949" i="1"/>
  <c r="AP951" i="1"/>
  <c r="AJ954" i="1"/>
  <c r="AP957" i="1"/>
  <c r="AC957" i="1"/>
  <c r="AP946" i="1"/>
  <c r="AP950" i="1"/>
  <c r="AP956" i="1"/>
  <c r="AD946" i="1"/>
  <c r="AP943" i="1"/>
  <c r="AA955" i="1"/>
  <c r="AO955" i="1"/>
  <c r="AD945" i="1"/>
  <c r="AO948" i="1"/>
  <c r="AJ951" i="1"/>
  <c r="AP954" i="1"/>
  <c r="AJ957" i="1"/>
  <c r="AD941" i="1"/>
  <c r="AC949" i="1"/>
  <c r="AC942" i="1"/>
  <c r="AC941" i="1"/>
  <c r="AA943" i="1"/>
  <c r="AK943" i="1"/>
  <c r="AE943" i="1"/>
  <c r="AE948" i="1"/>
  <c r="AD943" i="1"/>
  <c r="AO940" i="1"/>
  <c r="AJ949" i="1"/>
  <c r="AC946" i="1"/>
  <c r="AJ948" i="1"/>
  <c r="AC945" i="1"/>
  <c r="AJ947" i="1"/>
  <c r="AC944" i="1"/>
  <c r="AJ946" i="1"/>
  <c r="AO603" i="1"/>
  <c r="AJ604" i="1"/>
  <c r="AD940" i="1"/>
  <c r="AJ945" i="1"/>
  <c r="AJ605" i="1"/>
  <c r="AJ944" i="1"/>
  <c r="AJ609" i="1"/>
  <c r="AJ614" i="1"/>
  <c r="AJ943" i="1"/>
  <c r="AA940" i="1"/>
  <c r="AE945" i="1"/>
  <c r="AE944" i="1"/>
  <c r="AJ940" i="1"/>
  <c r="AE940" i="1"/>
  <c r="AC940" i="1"/>
  <c r="AO608" i="1"/>
  <c r="AO610" i="1"/>
  <c r="AD611" i="1"/>
  <c r="AJ598" i="1"/>
  <c r="AJ600" i="1"/>
  <c r="AK605" i="1"/>
  <c r="AC609" i="1"/>
  <c r="AO611" i="1"/>
  <c r="AD610" i="1"/>
  <c r="AA611" i="1"/>
  <c r="AJ612" i="1"/>
  <c r="AA609" i="1"/>
  <c r="AK614" i="1"/>
  <c r="AC613" i="1"/>
  <c r="AA613" i="1"/>
  <c r="AE610" i="1"/>
  <c r="AC608" i="1"/>
  <c r="AE607" i="1"/>
  <c r="AC607" i="1"/>
  <c r="AK607" i="1"/>
  <c r="AA610" i="1"/>
  <c r="AD608" i="1"/>
  <c r="AE599" i="1"/>
  <c r="AK613" i="1"/>
  <c r="AK611" i="1"/>
  <c r="AD612" i="1"/>
  <c r="AA614" i="1"/>
  <c r="AD614" i="1"/>
  <c r="AE609" i="1"/>
  <c r="AE613" i="1"/>
  <c r="AD613" i="1"/>
  <c r="AO612" i="1"/>
  <c r="AO607" i="1"/>
  <c r="AK610" i="1"/>
  <c r="AP607" i="1"/>
  <c r="AD609" i="1"/>
  <c r="AC612" i="1"/>
  <c r="AJ611" i="1"/>
  <c r="AO614" i="1"/>
  <c r="AA608" i="1"/>
  <c r="AA612" i="1"/>
  <c r="AA607" i="1"/>
  <c r="AK609" i="1"/>
  <c r="AE611" i="1"/>
  <c r="AO609" i="1"/>
  <c r="AO613" i="1"/>
  <c r="AD607" i="1"/>
  <c r="AP610" i="1"/>
  <c r="AE612" i="1"/>
  <c r="AE608" i="1"/>
  <c r="AK608" i="1"/>
  <c r="AP609" i="1"/>
  <c r="AK612" i="1"/>
  <c r="AE614" i="1"/>
  <c r="AP608" i="1"/>
  <c r="AP614" i="1"/>
  <c r="AC614" i="1"/>
  <c r="AJ610" i="1"/>
  <c r="AP613" i="1"/>
  <c r="AP612" i="1"/>
  <c r="AJ608" i="1"/>
  <c r="AP611" i="1"/>
  <c r="AC611" i="1"/>
  <c r="AJ607" i="1"/>
  <c r="AJ613" i="1"/>
  <c r="AC610" i="1"/>
  <c r="AC601" i="1"/>
  <c r="AA601" i="1"/>
  <c r="AA599" i="1"/>
  <c r="AC599" i="1"/>
  <c r="AK598" i="1"/>
  <c r="AE597" i="1"/>
  <c r="AC597" i="1"/>
  <c r="AP600" i="1"/>
  <c r="AK604" i="1"/>
  <c r="AO601" i="1"/>
  <c r="AP606" i="1"/>
  <c r="AO597" i="1"/>
  <c r="AD604" i="1"/>
  <c r="AO606" i="1"/>
  <c r="AP602" i="1"/>
  <c r="AA605" i="1"/>
  <c r="AE606" i="1"/>
  <c r="AD606" i="1"/>
  <c r="AC602" i="1"/>
  <c r="AK606" i="1"/>
  <c r="AP601" i="1"/>
  <c r="AK597" i="1"/>
  <c r="AA598" i="1"/>
  <c r="AE604" i="1"/>
  <c r="AD599" i="1"/>
  <c r="AK603" i="1"/>
  <c r="AD597" i="1"/>
  <c r="AE598" i="1"/>
  <c r="AK599" i="1"/>
  <c r="AK601" i="1"/>
  <c r="AA606" i="1"/>
  <c r="AD603" i="1"/>
  <c r="AD598" i="1"/>
  <c r="AA600" i="1"/>
  <c r="AA602" i="1"/>
  <c r="AD600" i="1"/>
  <c r="AD602" i="1"/>
  <c r="AE605" i="1"/>
  <c r="AE600" i="1"/>
  <c r="AE602" i="1"/>
  <c r="AK600" i="1"/>
  <c r="AK602" i="1"/>
  <c r="AE603" i="1"/>
  <c r="AO604" i="1"/>
  <c r="AA597" i="1"/>
  <c r="AO598" i="1"/>
  <c r="AO600" i="1"/>
  <c r="AA603" i="1"/>
  <c r="AJ597" i="1"/>
  <c r="AD601" i="1"/>
  <c r="AJ603" i="1"/>
  <c r="AO599" i="1"/>
  <c r="AC600" i="1"/>
  <c r="AE601" i="1"/>
  <c r="AO605" i="1"/>
  <c r="AC606" i="1"/>
  <c r="AP599" i="1"/>
  <c r="AJ602" i="1"/>
  <c r="AP605" i="1"/>
  <c r="AA604" i="1"/>
  <c r="AC605" i="1"/>
  <c r="AP598" i="1"/>
  <c r="AJ601" i="1"/>
  <c r="AP604" i="1"/>
  <c r="AD605" i="1"/>
  <c r="AC598" i="1"/>
  <c r="AC604" i="1"/>
  <c r="AP597" i="1"/>
  <c r="AP603" i="1"/>
  <c r="AJ606" i="1"/>
  <c r="AO602" i="1"/>
  <c r="AC603" i="1"/>
  <c r="AJ599" i="1"/>
  <c r="AJ869" i="1"/>
  <c r="AA861" i="1"/>
  <c r="AA860" i="1"/>
  <c r="AJ859" i="1"/>
  <c r="AO858" i="1"/>
  <c r="AO861" i="1"/>
  <c r="AE857" i="1"/>
  <c r="AA858" i="1"/>
  <c r="AD858" i="1"/>
  <c r="AK855" i="1"/>
  <c r="AE860" i="1"/>
  <c r="AP857" i="1"/>
  <c r="AK858" i="1"/>
  <c r="AD860" i="1"/>
  <c r="AA855" i="1"/>
  <c r="AJ856" i="1"/>
  <c r="AE855" i="1"/>
  <c r="AK859" i="1"/>
  <c r="AE861" i="1"/>
  <c r="AC856" i="1"/>
  <c r="AD859" i="1"/>
  <c r="AA857" i="1"/>
  <c r="AE858" i="1"/>
  <c r="AC857" i="1"/>
  <c r="AO870" i="1"/>
  <c r="AO875" i="1"/>
  <c r="AO876" i="1"/>
  <c r="AP855" i="1"/>
  <c r="AK860" i="1"/>
  <c r="AE859" i="1"/>
  <c r="AK856" i="1"/>
  <c r="AD861" i="1"/>
  <c r="AP856" i="1"/>
  <c r="AK861" i="1"/>
  <c r="AO856" i="1"/>
  <c r="AP858" i="1"/>
  <c r="AJ860" i="1"/>
  <c r="AJ861" i="1"/>
  <c r="AD857" i="1"/>
  <c r="AA856" i="1"/>
  <c r="AD855" i="1"/>
  <c r="AP859" i="1"/>
  <c r="AP861" i="1"/>
  <c r="AK857" i="1"/>
  <c r="AO859" i="1"/>
  <c r="AO855" i="1"/>
  <c r="AD856" i="1"/>
  <c r="AJ858" i="1"/>
  <c r="AC855" i="1"/>
  <c r="AE856" i="1"/>
  <c r="AO860" i="1"/>
  <c r="AC861" i="1"/>
  <c r="AO877" i="1"/>
  <c r="AJ879" i="1"/>
  <c r="AJ880" i="1"/>
  <c r="AJ857" i="1"/>
  <c r="AP860" i="1"/>
  <c r="AE869" i="1"/>
  <c r="AA872" i="1"/>
  <c r="AE874" i="1"/>
  <c r="AE875" i="1"/>
  <c r="AA859" i="1"/>
  <c r="AC860" i="1"/>
  <c r="AC859" i="1"/>
  <c r="AJ855" i="1"/>
  <c r="AO857" i="1"/>
  <c r="AC858" i="1"/>
  <c r="AE877" i="1"/>
  <c r="AD876" i="1"/>
  <c r="AC878" i="1"/>
  <c r="AJ876" i="1"/>
  <c r="AD877" i="1"/>
  <c r="AD879" i="1"/>
  <c r="AO850" i="1"/>
  <c r="AJ851" i="1"/>
  <c r="AO852" i="1"/>
  <c r="AO853" i="1"/>
  <c r="AO854" i="1"/>
  <c r="AO862" i="1"/>
  <c r="AO864" i="1"/>
  <c r="AO867" i="1"/>
  <c r="AA869" i="1"/>
  <c r="AD878" i="1"/>
  <c r="AE879" i="1"/>
  <c r="AJ881" i="1"/>
  <c r="AE880" i="1"/>
  <c r="AO872" i="1"/>
  <c r="AJ873" i="1"/>
  <c r="AA874" i="1"/>
  <c r="AD881" i="1"/>
  <c r="AK867" i="1"/>
  <c r="AO880" i="1"/>
  <c r="AJ863" i="1"/>
  <c r="AC867" i="1"/>
  <c r="AD850" i="1"/>
  <c r="AC871" i="1"/>
  <c r="AE872" i="1"/>
  <c r="AJ878" i="1"/>
  <c r="AK851" i="1"/>
  <c r="AC866" i="1"/>
  <c r="AE881" i="1"/>
  <c r="AP851" i="1"/>
  <c r="AJ874" i="1"/>
  <c r="AD880" i="1"/>
  <c r="AA849" i="1"/>
  <c r="AO881" i="1"/>
  <c r="AO878" i="1"/>
  <c r="AD872" i="1"/>
  <c r="AE876" i="1"/>
  <c r="AO879" i="1"/>
  <c r="AA881" i="1"/>
  <c r="AC881" i="1"/>
  <c r="AK881" i="1"/>
  <c r="AK880" i="1"/>
  <c r="AA880" i="1"/>
  <c r="AA879" i="1"/>
  <c r="AP879" i="1"/>
  <c r="AE878" i="1"/>
  <c r="AK878" i="1"/>
  <c r="AA878" i="1"/>
  <c r="AP877" i="1"/>
  <c r="AA877" i="1"/>
  <c r="AC877" i="1"/>
  <c r="AK877" i="1"/>
  <c r="AK876" i="1"/>
  <c r="AP876" i="1"/>
  <c r="AA876" i="1"/>
  <c r="AC876" i="1"/>
  <c r="AJ849" i="1"/>
  <c r="AK879" i="1"/>
  <c r="AP847" i="1"/>
  <c r="AK869" i="1"/>
  <c r="AP881" i="1"/>
  <c r="AE873" i="1"/>
  <c r="AA875" i="1"/>
  <c r="AE851" i="1"/>
  <c r="AO869" i="1"/>
  <c r="AC870" i="1"/>
  <c r="AK874" i="1"/>
  <c r="AD875" i="1"/>
  <c r="AJ877" i="1"/>
  <c r="AP880" i="1"/>
  <c r="AE853" i="1"/>
  <c r="AO868" i="1"/>
  <c r="AP869" i="1"/>
  <c r="AK875" i="1"/>
  <c r="AC880" i="1"/>
  <c r="AD873" i="1"/>
  <c r="AD853" i="1"/>
  <c r="AE868" i="1"/>
  <c r="AC879" i="1"/>
  <c r="AJ865" i="1"/>
  <c r="AK873" i="1"/>
  <c r="AP875" i="1"/>
  <c r="AP878" i="1"/>
  <c r="AD871" i="1"/>
  <c r="AE865" i="1"/>
  <c r="AJ866" i="1"/>
  <c r="AK871" i="1"/>
  <c r="AO873" i="1"/>
  <c r="AO847" i="1"/>
  <c r="AO848" i="1"/>
  <c r="AD869" i="1"/>
  <c r="AK872" i="1"/>
  <c r="AA871" i="1"/>
  <c r="AE871" i="1"/>
  <c r="AK870" i="1"/>
  <c r="AP870" i="1"/>
  <c r="AA870" i="1"/>
  <c r="AK852" i="1"/>
  <c r="AD870" i="1"/>
  <c r="AJ872" i="1"/>
  <c r="AC869" i="1"/>
  <c r="AE870" i="1"/>
  <c r="AO874" i="1"/>
  <c r="AC875" i="1"/>
  <c r="AD847" i="1"/>
  <c r="AA851" i="1"/>
  <c r="AA862" i="1"/>
  <c r="AK865" i="1"/>
  <c r="AJ871" i="1"/>
  <c r="AP874" i="1"/>
  <c r="AJ853" i="1"/>
  <c r="AD854" i="1"/>
  <c r="AA868" i="1"/>
  <c r="AA873" i="1"/>
  <c r="AC874" i="1"/>
  <c r="AO865" i="1"/>
  <c r="AJ870" i="1"/>
  <c r="AP873" i="1"/>
  <c r="AD874" i="1"/>
  <c r="AE863" i="1"/>
  <c r="AC873" i="1"/>
  <c r="AJ852" i="1"/>
  <c r="AJ867" i="1"/>
  <c r="AJ868" i="1"/>
  <c r="AP872" i="1"/>
  <c r="AJ875" i="1"/>
  <c r="AD863" i="1"/>
  <c r="AD865" i="1"/>
  <c r="AO871" i="1"/>
  <c r="AC872" i="1"/>
  <c r="AO849" i="1"/>
  <c r="AE864" i="1"/>
  <c r="AE867" i="1"/>
  <c r="AP871" i="1"/>
  <c r="AD848" i="1"/>
  <c r="AO866" i="1"/>
  <c r="AK868" i="1"/>
  <c r="AD862" i="1"/>
  <c r="AO863" i="1"/>
  <c r="AD864" i="1"/>
  <c r="AD867" i="1"/>
  <c r="AA864" i="1"/>
  <c r="AA866" i="1"/>
  <c r="AC864" i="1"/>
  <c r="AK866" i="1"/>
  <c r="AK864" i="1"/>
  <c r="AP866" i="1"/>
  <c r="AP864" i="1"/>
  <c r="AE866" i="1"/>
  <c r="AA865" i="1"/>
  <c r="AA867" i="1"/>
  <c r="AK863" i="1"/>
  <c r="AP863" i="1"/>
  <c r="AA863" i="1"/>
  <c r="AC863" i="1"/>
  <c r="AC862" i="1"/>
  <c r="AE862" i="1"/>
  <c r="AK862" i="1"/>
  <c r="AJ848" i="1"/>
  <c r="AK850" i="1"/>
  <c r="AP852" i="1"/>
  <c r="AP862" i="1"/>
  <c r="AP868" i="1"/>
  <c r="AC868" i="1"/>
  <c r="AK848" i="1"/>
  <c r="AJ864" i="1"/>
  <c r="AP867" i="1"/>
  <c r="AD868" i="1"/>
  <c r="AP850" i="1"/>
  <c r="AE854" i="1"/>
  <c r="AE849" i="1"/>
  <c r="AJ862" i="1"/>
  <c r="AP865" i="1"/>
  <c r="AD866" i="1"/>
  <c r="AE852" i="1"/>
  <c r="AC865" i="1"/>
  <c r="AD849" i="1"/>
  <c r="AO851" i="1"/>
  <c r="AE850" i="1"/>
  <c r="AD852" i="1"/>
  <c r="AD851" i="1"/>
  <c r="AA854" i="1"/>
  <c r="AC849" i="1"/>
  <c r="AK853" i="1"/>
  <c r="AA853" i="1"/>
  <c r="AK849" i="1"/>
  <c r="AP849" i="1"/>
  <c r="AA850" i="1"/>
  <c r="AA852" i="1"/>
  <c r="AA848" i="1"/>
  <c r="AC848" i="1"/>
  <c r="AE848" i="1"/>
  <c r="AC847" i="1"/>
  <c r="AE847" i="1"/>
  <c r="AK847" i="1"/>
  <c r="AA847" i="1"/>
  <c r="AK854" i="1"/>
  <c r="AP848" i="1"/>
  <c r="AP854" i="1"/>
  <c r="AC854" i="1"/>
  <c r="AJ850" i="1"/>
  <c r="AP853" i="1"/>
  <c r="AC853" i="1"/>
  <c r="AJ931" i="1"/>
  <c r="AJ932" i="1"/>
  <c r="AJ933" i="1"/>
  <c r="AJ937" i="1"/>
  <c r="AC852" i="1"/>
  <c r="AJ854" i="1"/>
  <c r="AC851" i="1"/>
  <c r="AJ847" i="1"/>
  <c r="AC850" i="1"/>
  <c r="AA938" i="1"/>
  <c r="AA939" i="1"/>
  <c r="AO930" i="1"/>
  <c r="AO934" i="1"/>
  <c r="AO935" i="1"/>
  <c r="AO938" i="1"/>
  <c r="AD930" i="1"/>
  <c r="AD931" i="1"/>
  <c r="AD937" i="1"/>
  <c r="AE938" i="1"/>
  <c r="AP934" i="1"/>
  <c r="AD939" i="1"/>
  <c r="AE934" i="1"/>
  <c r="AA933" i="1"/>
  <c r="AD933" i="1"/>
  <c r="AC933" i="1"/>
  <c r="AO933" i="1"/>
  <c r="AE937" i="1"/>
  <c r="AE932" i="1"/>
  <c r="AK934" i="1"/>
  <c r="AC935" i="1"/>
  <c r="AD938" i="1"/>
  <c r="AE939" i="1"/>
  <c r="AO931" i="1"/>
  <c r="AD932" i="1"/>
  <c r="AD935" i="1"/>
  <c r="AE936" i="1"/>
  <c r="AC939" i="1"/>
  <c r="AD936" i="1"/>
  <c r="AK939" i="1"/>
  <c r="AE930" i="1"/>
  <c r="AJ936" i="1"/>
  <c r="AA934" i="1"/>
  <c r="AA937" i="1"/>
  <c r="AJ930" i="1"/>
  <c r="AA931" i="1"/>
  <c r="AD934" i="1"/>
  <c r="AC934" i="1"/>
  <c r="AK937" i="1"/>
  <c r="AK938" i="1"/>
  <c r="AA936" i="1"/>
  <c r="AA935" i="1"/>
  <c r="AE935" i="1"/>
  <c r="AK935" i="1"/>
  <c r="AP935" i="1"/>
  <c r="AE933" i="1"/>
  <c r="AK933" i="1"/>
  <c r="AP933" i="1"/>
  <c r="AA932" i="1"/>
  <c r="AC932" i="1"/>
  <c r="AK932" i="1"/>
  <c r="AA930" i="1"/>
  <c r="AC930" i="1"/>
  <c r="AC931" i="1"/>
  <c r="AE931" i="1"/>
  <c r="AK931" i="1"/>
  <c r="AK930" i="1"/>
  <c r="AO932" i="1"/>
  <c r="AK936" i="1"/>
  <c r="AO936" i="1"/>
  <c r="AJ934" i="1"/>
  <c r="AJ938" i="1"/>
  <c r="AO939" i="1"/>
  <c r="AO937" i="1"/>
  <c r="AP939" i="1"/>
  <c r="AP932" i="1"/>
  <c r="AJ935" i="1"/>
  <c r="AP938" i="1"/>
  <c r="AC938" i="1"/>
  <c r="AP931" i="1"/>
  <c r="AP937" i="1"/>
  <c r="AC937" i="1"/>
  <c r="AP930" i="1"/>
  <c r="AP936" i="1"/>
  <c r="AJ939" i="1"/>
  <c r="AC936" i="1"/>
  <c r="AJ77" i="1"/>
  <c r="AO70" i="1"/>
  <c r="AO72" i="1"/>
  <c r="AO76" i="1"/>
  <c r="AA75" i="1"/>
  <c r="AE75" i="1"/>
  <c r="AO79" i="1"/>
  <c r="AK73" i="1"/>
  <c r="AK71" i="1"/>
  <c r="AA78" i="1"/>
  <c r="AE77" i="1"/>
  <c r="AK75" i="1"/>
  <c r="AJ71" i="1"/>
  <c r="AO73" i="1"/>
  <c r="AP75" i="1"/>
  <c r="AP73" i="1"/>
  <c r="AO74" i="1"/>
  <c r="AD73" i="1"/>
  <c r="AO71" i="1"/>
  <c r="AC74" i="1"/>
  <c r="AJ72" i="1"/>
  <c r="AE79" i="1"/>
  <c r="AD77" i="1"/>
  <c r="AK72" i="1"/>
  <c r="AD79" i="1"/>
  <c r="AD71" i="1"/>
  <c r="AC75" i="1"/>
  <c r="AD72" i="1"/>
  <c r="AJ73" i="1"/>
  <c r="AK77" i="1"/>
  <c r="AD75" i="1"/>
  <c r="AA76" i="1"/>
  <c r="AP79" i="1"/>
  <c r="AP74" i="1"/>
  <c r="AK74" i="1"/>
  <c r="AA73" i="1"/>
  <c r="AE73" i="1"/>
  <c r="AA72" i="1"/>
  <c r="AC72" i="1"/>
  <c r="AE72" i="1"/>
  <c r="AE70" i="1"/>
  <c r="AE78" i="1"/>
  <c r="AE76" i="1"/>
  <c r="AO77" i="1"/>
  <c r="AD78" i="1"/>
  <c r="AK78" i="1"/>
  <c r="AK79" i="1"/>
  <c r="AD76" i="1"/>
  <c r="AK76" i="1"/>
  <c r="AE71" i="1"/>
  <c r="AA70" i="1"/>
  <c r="AD70" i="1"/>
  <c r="AC70" i="1"/>
  <c r="AA79" i="1"/>
  <c r="AJ70" i="1"/>
  <c r="AD74" i="1"/>
  <c r="AJ76" i="1"/>
  <c r="AC73" i="1"/>
  <c r="AE74" i="1"/>
  <c r="AO78" i="1"/>
  <c r="AC79" i="1"/>
  <c r="AK70" i="1"/>
  <c r="AP72" i="1"/>
  <c r="AJ75" i="1"/>
  <c r="AP78" i="1"/>
  <c r="AA71" i="1"/>
  <c r="AA77" i="1"/>
  <c r="AC78" i="1"/>
  <c r="AP71" i="1"/>
  <c r="AJ74" i="1"/>
  <c r="AP77" i="1"/>
  <c r="AC71" i="1"/>
  <c r="AC77" i="1"/>
  <c r="AP70" i="1"/>
  <c r="AP76" i="1"/>
  <c r="AJ79" i="1"/>
  <c r="AO75" i="1"/>
  <c r="AC76" i="1"/>
  <c r="AJ78" i="1"/>
  <c r="AA74" i="1"/>
  <c r="AP926" i="1"/>
  <c r="AE925" i="1"/>
  <c r="AO920" i="1"/>
  <c r="AO921" i="1"/>
  <c r="AC922" i="1"/>
  <c r="AP927" i="1"/>
  <c r="AA929" i="1"/>
  <c r="AP923" i="1"/>
  <c r="AE924" i="1"/>
  <c r="AC925" i="1"/>
  <c r="AC924" i="1"/>
  <c r="AA921" i="1"/>
  <c r="AC920" i="1"/>
  <c r="AP928" i="1"/>
  <c r="AO926" i="1"/>
  <c r="AO928" i="1"/>
  <c r="AO922" i="1"/>
  <c r="AO923" i="1"/>
  <c r="AO924" i="1"/>
  <c r="AJ924" i="1"/>
  <c r="AD922" i="1"/>
  <c r="AE923" i="1"/>
  <c r="AD923" i="1"/>
  <c r="AK928" i="1"/>
  <c r="AD929" i="1"/>
  <c r="AK925" i="1"/>
  <c r="AC926" i="1"/>
  <c r="AC927" i="1"/>
  <c r="AK922" i="1"/>
  <c r="AE921" i="1"/>
  <c r="AA926" i="1"/>
  <c r="AP921" i="1"/>
  <c r="AK924" i="1"/>
  <c r="AP925" i="1"/>
  <c r="AD920" i="1"/>
  <c r="AA922" i="1"/>
  <c r="AP924" i="1"/>
  <c r="AO925" i="1"/>
  <c r="AA927" i="1"/>
  <c r="AA923" i="1"/>
  <c r="AD927" i="1"/>
  <c r="AC928" i="1"/>
  <c r="AP929" i="1"/>
  <c r="AD921" i="1"/>
  <c r="AA924" i="1"/>
  <c r="AA925" i="1"/>
  <c r="AC921" i="1"/>
  <c r="AE922" i="1"/>
  <c r="AC923" i="1"/>
  <c r="AD924" i="1"/>
  <c r="AD925" i="1"/>
  <c r="AK927" i="1"/>
  <c r="AJ922" i="1"/>
  <c r="AE926" i="1"/>
  <c r="AA928" i="1"/>
  <c r="AK926" i="1"/>
  <c r="AD928" i="1"/>
  <c r="AE929" i="1"/>
  <c r="AP920" i="1"/>
  <c r="AA920" i="1"/>
  <c r="AE920" i="1"/>
  <c r="AJ920" i="1"/>
  <c r="AK920" i="1"/>
  <c r="AK921" i="1"/>
  <c r="AE927" i="1"/>
  <c r="AO927" i="1"/>
  <c r="AK929" i="1"/>
  <c r="AD926" i="1"/>
  <c r="AJ928" i="1"/>
  <c r="AC929" i="1"/>
  <c r="AP922" i="1"/>
  <c r="AJ923" i="1"/>
  <c r="AJ927" i="1"/>
  <c r="AK923" i="1"/>
  <c r="AO929" i="1"/>
  <c r="AJ926" i="1"/>
  <c r="AE928" i="1"/>
  <c r="AJ921" i="1"/>
  <c r="AJ925" i="1"/>
  <c r="AJ929" i="1"/>
  <c r="Y910" i="1"/>
  <c r="N50" i="104" s="1"/>
  <c r="Y911" i="1"/>
  <c r="O50" i="104" s="1"/>
  <c r="Y912" i="1"/>
  <c r="P50" i="104" s="1"/>
  <c r="Y913" i="1"/>
  <c r="Q50" i="104" s="1"/>
  <c r="Y914" i="1"/>
  <c r="R50" i="104" s="1"/>
  <c r="Y915" i="1"/>
  <c r="S50" i="104" s="1"/>
  <c r="Y916" i="1"/>
  <c r="T50" i="104" s="1"/>
  <c r="Y917" i="1"/>
  <c r="U50" i="104" s="1"/>
  <c r="Y918" i="1"/>
  <c r="V50" i="104" s="1"/>
  <c r="Y919" i="1"/>
  <c r="W50" i="104" s="1"/>
  <c r="AI910" i="1"/>
  <c r="AI911" i="1"/>
  <c r="AI912" i="1"/>
  <c r="AI913" i="1"/>
  <c r="AI914" i="1"/>
  <c r="AI915" i="1"/>
  <c r="AI916" i="1"/>
  <c r="AI917" i="1"/>
  <c r="AI918" i="1"/>
  <c r="AI919" i="1"/>
  <c r="AN910" i="1"/>
  <c r="AN911" i="1"/>
  <c r="AN912" i="1"/>
  <c r="AN913" i="1"/>
  <c r="AN914" i="1"/>
  <c r="AN915" i="1"/>
  <c r="AN916" i="1"/>
  <c r="AN917" i="1"/>
  <c r="AN918" i="1"/>
  <c r="AN919" i="1"/>
  <c r="Y900" i="1"/>
  <c r="N51" i="104" s="1"/>
  <c r="Y901" i="1"/>
  <c r="O51" i="104" s="1"/>
  <c r="Y902" i="1"/>
  <c r="P51" i="104" s="1"/>
  <c r="Y903" i="1"/>
  <c r="Q51" i="104" s="1"/>
  <c r="Y904" i="1"/>
  <c r="R51" i="104" s="1"/>
  <c r="Y905" i="1"/>
  <c r="S51" i="104" s="1"/>
  <c r="Y906" i="1"/>
  <c r="T51" i="104" s="1"/>
  <c r="Y907" i="1"/>
  <c r="U51" i="104" s="1"/>
  <c r="Y908" i="1"/>
  <c r="V51" i="104" s="1"/>
  <c r="Y909" i="1"/>
  <c r="W51" i="104" s="1"/>
  <c r="AI900" i="1"/>
  <c r="AI901" i="1"/>
  <c r="AI902" i="1"/>
  <c r="AI903" i="1"/>
  <c r="AI904" i="1"/>
  <c r="AI905" i="1"/>
  <c r="AI906" i="1"/>
  <c r="AI907" i="1"/>
  <c r="AI908" i="1"/>
  <c r="AI909" i="1"/>
  <c r="AN900" i="1"/>
  <c r="AN901" i="1"/>
  <c r="AN902" i="1"/>
  <c r="AN903" i="1"/>
  <c r="AN904" i="1"/>
  <c r="AN905" i="1"/>
  <c r="AN906" i="1"/>
  <c r="AN907" i="1"/>
  <c r="AN908" i="1"/>
  <c r="AN909" i="1"/>
  <c r="AN249" i="1"/>
  <c r="AI249" i="1"/>
  <c r="Y249" i="1"/>
  <c r="W19" i="104" s="1"/>
  <c r="AN248" i="1"/>
  <c r="AI248" i="1"/>
  <c r="Y248" i="1"/>
  <c r="V19" i="104" s="1"/>
  <c r="AN247" i="1"/>
  <c r="AI247" i="1"/>
  <c r="Y247" i="1"/>
  <c r="U19" i="104" s="1"/>
  <c r="AN246" i="1"/>
  <c r="AI246" i="1"/>
  <c r="Y246" i="1"/>
  <c r="T19" i="104" s="1"/>
  <c r="Y894" i="1"/>
  <c r="Y895" i="1"/>
  <c r="Y896" i="1"/>
  <c r="Y897" i="1"/>
  <c r="Y898" i="1"/>
  <c r="Y899" i="1"/>
  <c r="AI894" i="1"/>
  <c r="AI895" i="1"/>
  <c r="AI896" i="1"/>
  <c r="AI897" i="1"/>
  <c r="AI898" i="1"/>
  <c r="AI899" i="1"/>
  <c r="AN894" i="1"/>
  <c r="AN895" i="1"/>
  <c r="AN896" i="1"/>
  <c r="AN897" i="1"/>
  <c r="AN898" i="1"/>
  <c r="AN899" i="1"/>
  <c r="Y888" i="1"/>
  <c r="Y889" i="1"/>
  <c r="Y890" i="1"/>
  <c r="Y891" i="1"/>
  <c r="Y892" i="1"/>
  <c r="Y893" i="1"/>
  <c r="AI888" i="1"/>
  <c r="AI889" i="1"/>
  <c r="AI890" i="1"/>
  <c r="AI891" i="1"/>
  <c r="AI892" i="1"/>
  <c r="AI893" i="1"/>
  <c r="AN888" i="1"/>
  <c r="AN889" i="1"/>
  <c r="AN890" i="1"/>
  <c r="AN891" i="1"/>
  <c r="AN892" i="1"/>
  <c r="AN893" i="1"/>
  <c r="Y882" i="1"/>
  <c r="Y883" i="1"/>
  <c r="Y884" i="1"/>
  <c r="Y885" i="1"/>
  <c r="Y886" i="1"/>
  <c r="Y887" i="1"/>
  <c r="AI882" i="1"/>
  <c r="AI883" i="1"/>
  <c r="AI884" i="1"/>
  <c r="AI885" i="1"/>
  <c r="AI886" i="1"/>
  <c r="AI887" i="1"/>
  <c r="AN882" i="1"/>
  <c r="AN883" i="1"/>
  <c r="AN884" i="1"/>
  <c r="AN885" i="1"/>
  <c r="AN886" i="1"/>
  <c r="AN887" i="1"/>
  <c r="AN443" i="1"/>
  <c r="AI443" i="1"/>
  <c r="Y443" i="1"/>
  <c r="W28" i="104" s="1"/>
  <c r="AN442" i="1"/>
  <c r="AI442" i="1"/>
  <c r="Y442" i="1"/>
  <c r="V28" i="104" s="1"/>
  <c r="Y508" i="1"/>
  <c r="Q32" i="104" s="1"/>
  <c r="Y507" i="1"/>
  <c r="P32" i="104" s="1"/>
  <c r="Y506" i="1"/>
  <c r="O32" i="104" s="1"/>
  <c r="Y511" i="1"/>
  <c r="T32" i="104" s="1"/>
  <c r="Y394" i="1"/>
  <c r="O27" i="107" s="1"/>
  <c r="Y837" i="1"/>
  <c r="N52" i="104" s="1"/>
  <c r="Y838" i="1"/>
  <c r="O52" i="104" s="1"/>
  <c r="Y839" i="1"/>
  <c r="P52" i="104" s="1"/>
  <c r="Y840" i="1"/>
  <c r="Q52" i="104" s="1"/>
  <c r="Y841" i="1"/>
  <c r="R52" i="104" s="1"/>
  <c r="Y842" i="1"/>
  <c r="S52" i="104" s="1"/>
  <c r="Y843" i="1"/>
  <c r="T52" i="104" s="1"/>
  <c r="Y844" i="1"/>
  <c r="U52" i="104" s="1"/>
  <c r="Y845" i="1"/>
  <c r="V52" i="104" s="1"/>
  <c r="Y846" i="1"/>
  <c r="W52" i="104" s="1"/>
  <c r="AI837" i="1"/>
  <c r="AI838" i="1"/>
  <c r="AI839" i="1"/>
  <c r="AI840" i="1"/>
  <c r="AI841" i="1"/>
  <c r="AI842" i="1"/>
  <c r="AI843" i="1"/>
  <c r="AI844" i="1"/>
  <c r="AI845" i="1"/>
  <c r="AI846" i="1"/>
  <c r="AN837" i="1"/>
  <c r="AN838" i="1"/>
  <c r="AN839" i="1"/>
  <c r="AN840" i="1"/>
  <c r="AN841" i="1"/>
  <c r="AN842" i="1"/>
  <c r="AN843" i="1"/>
  <c r="AN844" i="1"/>
  <c r="AN845" i="1"/>
  <c r="AN846" i="1"/>
  <c r="Y829" i="1"/>
  <c r="M51" i="107" s="1"/>
  <c r="Y830" i="1"/>
  <c r="N51" i="107" s="1"/>
  <c r="Y831" i="1"/>
  <c r="O51" i="107" s="1"/>
  <c r="Y832" i="1"/>
  <c r="P51" i="107" s="1"/>
  <c r="Y833" i="1"/>
  <c r="Q51" i="107" s="1"/>
  <c r="Y834" i="1"/>
  <c r="R51" i="107" s="1"/>
  <c r="Y835" i="1"/>
  <c r="S51" i="107" s="1"/>
  <c r="Y836" i="1"/>
  <c r="T51" i="107" s="1"/>
  <c r="AI829" i="1"/>
  <c r="AI830" i="1"/>
  <c r="AI831" i="1"/>
  <c r="AI832" i="1"/>
  <c r="AI833" i="1"/>
  <c r="AI834" i="1"/>
  <c r="AI835" i="1"/>
  <c r="AI836" i="1"/>
  <c r="AN829" i="1"/>
  <c r="AN830" i="1"/>
  <c r="AN831" i="1"/>
  <c r="AN832" i="1"/>
  <c r="AN833" i="1"/>
  <c r="AN834" i="1"/>
  <c r="AN835" i="1"/>
  <c r="AN836" i="1"/>
  <c r="Y821" i="1"/>
  <c r="M50" i="107" s="1"/>
  <c r="Y822" i="1"/>
  <c r="N50" i="107" s="1"/>
  <c r="Y823" i="1"/>
  <c r="O50" i="107" s="1"/>
  <c r="Y824" i="1"/>
  <c r="P50" i="107" s="1"/>
  <c r="Y825" i="1"/>
  <c r="Q50" i="107" s="1"/>
  <c r="Y826" i="1"/>
  <c r="R50" i="107" s="1"/>
  <c r="Y827" i="1"/>
  <c r="S50" i="107" s="1"/>
  <c r="Y828" i="1"/>
  <c r="T50" i="107" s="1"/>
  <c r="AI821" i="1"/>
  <c r="AI822" i="1"/>
  <c r="AI823" i="1"/>
  <c r="AI824" i="1"/>
  <c r="AI825" i="1"/>
  <c r="AI826" i="1"/>
  <c r="AI827" i="1"/>
  <c r="AI828" i="1"/>
  <c r="AN821" i="1"/>
  <c r="AN822" i="1"/>
  <c r="AN823" i="1"/>
  <c r="AN824" i="1"/>
  <c r="AN825" i="1"/>
  <c r="AN826" i="1"/>
  <c r="AN827" i="1"/>
  <c r="AN828" i="1"/>
  <c r="Y813" i="1"/>
  <c r="M52" i="107" s="1"/>
  <c r="Y814" i="1"/>
  <c r="N52" i="107" s="1"/>
  <c r="Y815" i="1"/>
  <c r="O52" i="107" s="1"/>
  <c r="Y816" i="1"/>
  <c r="P52" i="107" s="1"/>
  <c r="Y817" i="1"/>
  <c r="Q52" i="107" s="1"/>
  <c r="Y818" i="1"/>
  <c r="R52" i="107" s="1"/>
  <c r="Y819" i="1"/>
  <c r="S52" i="107" s="1"/>
  <c r="Y820" i="1"/>
  <c r="T52" i="107" s="1"/>
  <c r="AI813" i="1"/>
  <c r="AI814" i="1"/>
  <c r="AI815" i="1"/>
  <c r="AI816" i="1"/>
  <c r="AI817" i="1"/>
  <c r="AI818" i="1"/>
  <c r="AI819" i="1"/>
  <c r="AI820" i="1"/>
  <c r="AN813" i="1"/>
  <c r="AN814" i="1"/>
  <c r="AN815" i="1"/>
  <c r="AN816" i="1"/>
  <c r="AN817" i="1"/>
  <c r="AN818" i="1"/>
  <c r="AN819" i="1"/>
  <c r="AN820" i="1"/>
  <c r="AI419" i="1"/>
  <c r="AN419" i="1"/>
  <c r="AI420" i="1"/>
  <c r="AN420" i="1"/>
  <c r="AI421" i="1"/>
  <c r="AN421" i="1"/>
  <c r="AI422" i="1"/>
  <c r="AN422" i="1"/>
  <c r="AI423" i="1"/>
  <c r="AN423" i="1"/>
  <c r="AI424" i="1"/>
  <c r="AN424" i="1"/>
  <c r="AI425" i="1"/>
  <c r="AN425" i="1"/>
  <c r="U51" i="107" l="1"/>
  <c r="U52" i="107"/>
  <c r="U50" i="107"/>
  <c r="AF946" i="1"/>
  <c r="AF944" i="1"/>
  <c r="AQ608" i="1"/>
  <c r="AR608" i="1" s="1"/>
  <c r="AL955" i="1"/>
  <c r="AM955" i="1" s="1"/>
  <c r="AQ955" i="1"/>
  <c r="AR955" i="1" s="1"/>
  <c r="AQ601" i="1"/>
  <c r="AR601" i="1" s="1"/>
  <c r="AF969" i="1"/>
  <c r="AQ597" i="1"/>
  <c r="AR597" i="1" s="1"/>
  <c r="AQ927" i="1"/>
  <c r="AR927" i="1" s="1"/>
  <c r="AL870" i="1"/>
  <c r="AM870" i="1" s="1"/>
  <c r="AF960" i="1"/>
  <c r="AF964" i="1"/>
  <c r="AF965" i="1"/>
  <c r="AF955" i="1"/>
  <c r="AL954" i="1"/>
  <c r="AM954" i="1" s="1"/>
  <c r="AQ943" i="1"/>
  <c r="AR943" i="1" s="1"/>
  <c r="AQ953" i="1"/>
  <c r="AR953" i="1" s="1"/>
  <c r="AF950" i="1"/>
  <c r="AL943" i="1"/>
  <c r="AM943" i="1" s="1"/>
  <c r="AF952" i="1"/>
  <c r="AQ961" i="1"/>
  <c r="AR961" i="1" s="1"/>
  <c r="AF967" i="1"/>
  <c r="AL961" i="1"/>
  <c r="AM961" i="1" s="1"/>
  <c r="AL953" i="1"/>
  <c r="AM953" i="1" s="1"/>
  <c r="AQ942" i="1"/>
  <c r="AR942" i="1" s="1"/>
  <c r="AQ957" i="1"/>
  <c r="AR957" i="1" s="1"/>
  <c r="AL951" i="1"/>
  <c r="AM951" i="1" s="1"/>
  <c r="AL945" i="1"/>
  <c r="AM945" i="1" s="1"/>
  <c r="AL946" i="1"/>
  <c r="AM946" i="1" s="1"/>
  <c r="AQ954" i="1"/>
  <c r="AR954" i="1" s="1"/>
  <c r="AQ945" i="1"/>
  <c r="AR945" i="1" s="1"/>
  <c r="AQ947" i="1"/>
  <c r="AR947" i="1" s="1"/>
  <c r="AL959" i="1"/>
  <c r="AM959" i="1" s="1"/>
  <c r="AL608" i="1"/>
  <c r="AM608" i="1" s="1"/>
  <c r="AQ951" i="1"/>
  <c r="AR951" i="1" s="1"/>
  <c r="AF966" i="1"/>
  <c r="AL965" i="1"/>
  <c r="AM965" i="1" s="1"/>
  <c r="AL957" i="1"/>
  <c r="AM957" i="1" s="1"/>
  <c r="AL940" i="1"/>
  <c r="AM940" i="1" s="1"/>
  <c r="AL952" i="1"/>
  <c r="AM952" i="1" s="1"/>
  <c r="AQ948" i="1"/>
  <c r="AR948" i="1" s="1"/>
  <c r="AL950" i="1"/>
  <c r="AM950" i="1" s="1"/>
  <c r="AL966" i="1"/>
  <c r="AM966" i="1" s="1"/>
  <c r="AQ950" i="1"/>
  <c r="AR950" i="1" s="1"/>
  <c r="AL960" i="1"/>
  <c r="AM960" i="1" s="1"/>
  <c r="AQ964" i="1"/>
  <c r="AR964" i="1" s="1"/>
  <c r="AL947" i="1"/>
  <c r="AM947" i="1" s="1"/>
  <c r="AQ959" i="1"/>
  <c r="AR959" i="1" s="1"/>
  <c r="AQ944" i="1"/>
  <c r="AR944" i="1" s="1"/>
  <c r="AQ952" i="1"/>
  <c r="AR952" i="1" s="1"/>
  <c r="AL948" i="1"/>
  <c r="AM948" i="1" s="1"/>
  <c r="AQ965" i="1"/>
  <c r="AR965" i="1" s="1"/>
  <c r="AF957" i="1"/>
  <c r="AQ968" i="1"/>
  <c r="AR968" i="1" s="1"/>
  <c r="AQ941" i="1"/>
  <c r="AR941" i="1" s="1"/>
  <c r="AL942" i="1"/>
  <c r="AM942" i="1" s="1"/>
  <c r="AL964" i="1"/>
  <c r="AM964" i="1" s="1"/>
  <c r="AQ956" i="1"/>
  <c r="AR956" i="1" s="1"/>
  <c r="AQ940" i="1"/>
  <c r="AR940" i="1" s="1"/>
  <c r="AQ967" i="1"/>
  <c r="AR967" i="1" s="1"/>
  <c r="AL962" i="1"/>
  <c r="AM962" i="1" s="1"/>
  <c r="AL944" i="1"/>
  <c r="AM944" i="1" s="1"/>
  <c r="AQ946" i="1"/>
  <c r="AR946" i="1" s="1"/>
  <c r="AL941" i="1"/>
  <c r="AM941" i="1" s="1"/>
  <c r="AL956" i="1"/>
  <c r="AM956" i="1" s="1"/>
  <c r="AQ962" i="1"/>
  <c r="AR962" i="1" s="1"/>
  <c r="AL949" i="1"/>
  <c r="AM949" i="1" s="1"/>
  <c r="AQ963" i="1"/>
  <c r="AR963" i="1" s="1"/>
  <c r="AQ949" i="1"/>
  <c r="AR949" i="1" s="1"/>
  <c r="AL963" i="1"/>
  <c r="AM963" i="1" s="1"/>
  <c r="AQ958" i="1"/>
  <c r="AR958" i="1" s="1"/>
  <c r="AQ960" i="1"/>
  <c r="AR960" i="1" s="1"/>
  <c r="AL967" i="1"/>
  <c r="AM967" i="1" s="1"/>
  <c r="AQ969" i="1"/>
  <c r="AR969" i="1" s="1"/>
  <c r="AL968" i="1"/>
  <c r="AM968" i="1" s="1"/>
  <c r="AQ966" i="1"/>
  <c r="AR966" i="1" s="1"/>
  <c r="AL969" i="1"/>
  <c r="AM969" i="1" s="1"/>
  <c r="AL958" i="1"/>
  <c r="AM958" i="1" s="1"/>
  <c r="AF961" i="1"/>
  <c r="AF959" i="1"/>
  <c r="AF956" i="1"/>
  <c r="AF953" i="1"/>
  <c r="AF951" i="1"/>
  <c r="AF949" i="1"/>
  <c r="AF942" i="1"/>
  <c r="AF941" i="1"/>
  <c r="AF968" i="1"/>
  <c r="AF963" i="1"/>
  <c r="AF958" i="1"/>
  <c r="AF954" i="1"/>
  <c r="AF962" i="1"/>
  <c r="AF945" i="1"/>
  <c r="AF943" i="1"/>
  <c r="AF948" i="1"/>
  <c r="AF940" i="1"/>
  <c r="AL605" i="1"/>
  <c r="AM605" i="1" s="1"/>
  <c r="AF599" i="1"/>
  <c r="AF611" i="1"/>
  <c r="AQ600" i="1"/>
  <c r="AR600" i="1" s="1"/>
  <c r="AL612" i="1"/>
  <c r="AM612" i="1" s="1"/>
  <c r="AQ612" i="1"/>
  <c r="AR612" i="1" s="1"/>
  <c r="AQ609" i="1"/>
  <c r="AR609" i="1" s="1"/>
  <c r="AL609" i="1"/>
  <c r="AM609" i="1" s="1"/>
  <c r="AQ607" i="1"/>
  <c r="AR607" i="1" s="1"/>
  <c r="AL607" i="1"/>
  <c r="AM607" i="1" s="1"/>
  <c r="AF612" i="1"/>
  <c r="AL611" i="1"/>
  <c r="AM611" i="1" s="1"/>
  <c r="AL613" i="1"/>
  <c r="AM613" i="1" s="1"/>
  <c r="AQ613" i="1"/>
  <c r="AR613" i="1" s="1"/>
  <c r="AQ614" i="1"/>
  <c r="AR614" i="1" s="1"/>
  <c r="AQ611" i="1"/>
  <c r="AR611" i="1" s="1"/>
  <c r="AL614" i="1"/>
  <c r="AM614" i="1" s="1"/>
  <c r="AF610" i="1"/>
  <c r="AL610" i="1"/>
  <c r="AM610" i="1" s="1"/>
  <c r="AQ610" i="1"/>
  <c r="AR610" i="1" s="1"/>
  <c r="AF613" i="1"/>
  <c r="AF609" i="1"/>
  <c r="AF607" i="1"/>
  <c r="AF608" i="1"/>
  <c r="AF614" i="1"/>
  <c r="AL857" i="1"/>
  <c r="AM857" i="1" s="1"/>
  <c r="AL601" i="1"/>
  <c r="AM601" i="1" s="1"/>
  <c r="AQ602" i="1"/>
  <c r="AR602" i="1" s="1"/>
  <c r="AF606" i="1"/>
  <c r="AQ599" i="1"/>
  <c r="AR599" i="1" s="1"/>
  <c r="AL599" i="1"/>
  <c r="AM599" i="1" s="1"/>
  <c r="AL598" i="1"/>
  <c r="AM598" i="1" s="1"/>
  <c r="AF597" i="1"/>
  <c r="AL597" i="1"/>
  <c r="AM597" i="1" s="1"/>
  <c r="AL604" i="1"/>
  <c r="AM604" i="1" s="1"/>
  <c r="AQ606" i="1"/>
  <c r="AR606" i="1" s="1"/>
  <c r="AL603" i="1"/>
  <c r="AM603" i="1" s="1"/>
  <c r="AL602" i="1"/>
  <c r="AM602" i="1" s="1"/>
  <c r="AF598" i="1"/>
  <c r="AL606" i="1"/>
  <c r="AM606" i="1" s="1"/>
  <c r="AL600" i="1"/>
  <c r="AM600" i="1" s="1"/>
  <c r="AF605" i="1"/>
  <c r="AF600" i="1"/>
  <c r="AF604" i="1"/>
  <c r="AQ604" i="1"/>
  <c r="AR604" i="1" s="1"/>
  <c r="AQ605" i="1"/>
  <c r="AR605" i="1" s="1"/>
  <c r="AF603" i="1"/>
  <c r="AF602" i="1"/>
  <c r="AF601" i="1"/>
  <c r="AQ603" i="1"/>
  <c r="AR603" i="1" s="1"/>
  <c r="AQ598" i="1"/>
  <c r="AR598" i="1" s="1"/>
  <c r="AL851" i="1"/>
  <c r="AM851" i="1" s="1"/>
  <c r="AQ871" i="1"/>
  <c r="AR871" i="1" s="1"/>
  <c r="AQ856" i="1"/>
  <c r="AR856" i="1" s="1"/>
  <c r="AQ855" i="1"/>
  <c r="AR855" i="1" s="1"/>
  <c r="AL868" i="1"/>
  <c r="AM868" i="1" s="1"/>
  <c r="AQ857" i="1"/>
  <c r="AR857" i="1" s="1"/>
  <c r="AF859" i="1"/>
  <c r="AL858" i="1"/>
  <c r="AM858" i="1" s="1"/>
  <c r="AF858" i="1"/>
  <c r="AF855" i="1"/>
  <c r="AL856" i="1"/>
  <c r="AM856" i="1" s="1"/>
  <c r="AF869" i="1"/>
  <c r="AF863" i="1"/>
  <c r="AF857" i="1"/>
  <c r="AQ850" i="1"/>
  <c r="AR850" i="1" s="1"/>
  <c r="AQ861" i="1"/>
  <c r="AR861" i="1" s="1"/>
  <c r="AF879" i="1"/>
  <c r="AF860" i="1"/>
  <c r="AL860" i="1"/>
  <c r="AM860" i="1" s="1"/>
  <c r="AF861" i="1"/>
  <c r="AQ867" i="1"/>
  <c r="AR867" i="1" s="1"/>
  <c r="AQ881" i="1"/>
  <c r="AR881" i="1" s="1"/>
  <c r="AL861" i="1"/>
  <c r="AM861" i="1" s="1"/>
  <c r="AF873" i="1"/>
  <c r="AL867" i="1"/>
  <c r="AM867" i="1" s="1"/>
  <c r="AQ878" i="1"/>
  <c r="AR878" i="1" s="1"/>
  <c r="AQ859" i="1"/>
  <c r="AR859" i="1" s="1"/>
  <c r="AF876" i="1"/>
  <c r="AQ868" i="1"/>
  <c r="AR868" i="1" s="1"/>
  <c r="AL855" i="1"/>
  <c r="AM855" i="1" s="1"/>
  <c r="AL878" i="1"/>
  <c r="AM878" i="1" s="1"/>
  <c r="AF875" i="1"/>
  <c r="AF856" i="1"/>
  <c r="AL859" i="1"/>
  <c r="AM859" i="1" s="1"/>
  <c r="AQ858" i="1"/>
  <c r="AR858" i="1" s="1"/>
  <c r="AF874" i="1"/>
  <c r="AF877" i="1"/>
  <c r="AQ860" i="1"/>
  <c r="AR860" i="1" s="1"/>
  <c r="AF851" i="1"/>
  <c r="AF880" i="1"/>
  <c r="AL874" i="1"/>
  <c r="AM874" i="1" s="1"/>
  <c r="AL865" i="1"/>
  <c r="AM865" i="1" s="1"/>
  <c r="AL872" i="1"/>
  <c r="AM872" i="1" s="1"/>
  <c r="AL871" i="1"/>
  <c r="AM871" i="1" s="1"/>
  <c r="AQ847" i="1"/>
  <c r="AR847" i="1" s="1"/>
  <c r="AL881" i="1"/>
  <c r="AM881" i="1" s="1"/>
  <c r="AL863" i="1"/>
  <c r="AM863" i="1" s="1"/>
  <c r="AF872" i="1"/>
  <c r="AF881" i="1"/>
  <c r="AL848" i="1"/>
  <c r="AM848" i="1" s="1"/>
  <c r="AF865" i="1"/>
  <c r="AQ866" i="1"/>
  <c r="AR866" i="1" s="1"/>
  <c r="AF853" i="1"/>
  <c r="AL866" i="1"/>
  <c r="AM866" i="1" s="1"/>
  <c r="AQ862" i="1"/>
  <c r="AR862" i="1" s="1"/>
  <c r="AQ879" i="1"/>
  <c r="AR879" i="1" s="1"/>
  <c r="AF852" i="1"/>
  <c r="AF850" i="1"/>
  <c r="AF864" i="1"/>
  <c r="AF878" i="1"/>
  <c r="AL879" i="1"/>
  <c r="AM879" i="1" s="1"/>
  <c r="AQ876" i="1"/>
  <c r="AR876" i="1" s="1"/>
  <c r="AF868" i="1"/>
  <c r="AQ873" i="1"/>
  <c r="AR873" i="1" s="1"/>
  <c r="AQ877" i="1"/>
  <c r="AR877" i="1" s="1"/>
  <c r="AL880" i="1"/>
  <c r="AM880" i="1" s="1"/>
  <c r="AL877" i="1"/>
  <c r="AM877" i="1" s="1"/>
  <c r="AL876" i="1"/>
  <c r="AM876" i="1" s="1"/>
  <c r="AF848" i="1"/>
  <c r="AL864" i="1"/>
  <c r="AM864" i="1" s="1"/>
  <c r="AQ870" i="1"/>
  <c r="AR870" i="1" s="1"/>
  <c r="AQ880" i="1"/>
  <c r="AR880" i="1" s="1"/>
  <c r="AQ872" i="1"/>
  <c r="AR872" i="1" s="1"/>
  <c r="AQ863" i="1"/>
  <c r="AR863" i="1" s="1"/>
  <c r="AF867" i="1"/>
  <c r="AQ869" i="1"/>
  <c r="AR869" i="1" s="1"/>
  <c r="AF849" i="1"/>
  <c r="AL862" i="1"/>
  <c r="AM862" i="1" s="1"/>
  <c r="AL873" i="1"/>
  <c r="AM873" i="1" s="1"/>
  <c r="AF854" i="1"/>
  <c r="AQ875" i="1"/>
  <c r="AR875" i="1" s="1"/>
  <c r="AF871" i="1"/>
  <c r="AF870" i="1"/>
  <c r="AL847" i="1"/>
  <c r="AM847" i="1" s="1"/>
  <c r="AL875" i="1"/>
  <c r="AM875" i="1" s="1"/>
  <c r="AF847" i="1"/>
  <c r="AQ874" i="1"/>
  <c r="AR874" i="1" s="1"/>
  <c r="AL869" i="1"/>
  <c r="AM869" i="1" s="1"/>
  <c r="AL852" i="1"/>
  <c r="AM852" i="1" s="1"/>
  <c r="AF866" i="1"/>
  <c r="AQ865" i="1"/>
  <c r="AR865" i="1" s="1"/>
  <c r="AQ864" i="1"/>
  <c r="AR864" i="1" s="1"/>
  <c r="AF862" i="1"/>
  <c r="AL854" i="1"/>
  <c r="AM854" i="1" s="1"/>
  <c r="AQ851" i="1"/>
  <c r="AR851" i="1" s="1"/>
  <c r="AQ853" i="1"/>
  <c r="AR853" i="1" s="1"/>
  <c r="AL853" i="1"/>
  <c r="AM853" i="1" s="1"/>
  <c r="AQ849" i="1"/>
  <c r="AR849" i="1" s="1"/>
  <c r="AL849" i="1"/>
  <c r="AM849" i="1" s="1"/>
  <c r="AQ848" i="1"/>
  <c r="AR848" i="1" s="1"/>
  <c r="AQ854" i="1"/>
  <c r="AR854" i="1" s="1"/>
  <c r="AL850" i="1"/>
  <c r="AM850" i="1" s="1"/>
  <c r="AQ852" i="1"/>
  <c r="AR852" i="1" s="1"/>
  <c r="AF938" i="1"/>
  <c r="AQ930" i="1"/>
  <c r="AR930" i="1" s="1"/>
  <c r="AF936" i="1"/>
  <c r="AL933" i="1"/>
  <c r="AM933" i="1" s="1"/>
  <c r="AF934" i="1"/>
  <c r="AF939" i="1"/>
  <c r="AF930" i="1"/>
  <c r="AL937" i="1"/>
  <c r="AM937" i="1" s="1"/>
  <c r="AL934" i="1"/>
  <c r="AM934" i="1" s="1"/>
  <c r="AQ935" i="1"/>
  <c r="AR935" i="1" s="1"/>
  <c r="AL935" i="1"/>
  <c r="AM935" i="1" s="1"/>
  <c r="AQ936" i="1"/>
  <c r="AR936" i="1" s="1"/>
  <c r="AQ931" i="1"/>
  <c r="AR931" i="1" s="1"/>
  <c r="AL938" i="1"/>
  <c r="AM938" i="1" s="1"/>
  <c r="AQ933" i="1"/>
  <c r="AR933" i="1" s="1"/>
  <c r="AL939" i="1"/>
  <c r="AM939" i="1" s="1"/>
  <c r="AL932" i="1"/>
  <c r="AM932" i="1" s="1"/>
  <c r="AF932" i="1"/>
  <c r="AQ934" i="1"/>
  <c r="AR934" i="1" s="1"/>
  <c r="AF935" i="1"/>
  <c r="AF937" i="1"/>
  <c r="AQ932" i="1"/>
  <c r="AR932" i="1" s="1"/>
  <c r="AF933" i="1"/>
  <c r="AQ939" i="1"/>
  <c r="AR939" i="1" s="1"/>
  <c r="AL930" i="1"/>
  <c r="AM930" i="1" s="1"/>
  <c r="AL936" i="1"/>
  <c r="AM936" i="1" s="1"/>
  <c r="AQ937" i="1"/>
  <c r="AR937" i="1" s="1"/>
  <c r="AF931" i="1"/>
  <c r="AL931" i="1"/>
  <c r="AM931" i="1" s="1"/>
  <c r="AQ938" i="1"/>
  <c r="AR938" i="1" s="1"/>
  <c r="AL71" i="1"/>
  <c r="AM71" i="1" s="1"/>
  <c r="AF75" i="1"/>
  <c r="AQ74" i="1"/>
  <c r="AR74" i="1" s="1"/>
  <c r="AF77" i="1"/>
  <c r="AF79" i="1"/>
  <c r="AL75" i="1"/>
  <c r="AM75" i="1" s="1"/>
  <c r="AL78" i="1"/>
  <c r="AM78" i="1" s="1"/>
  <c r="AQ70" i="1"/>
  <c r="AR70" i="1" s="1"/>
  <c r="AQ75" i="1"/>
  <c r="AR75" i="1" s="1"/>
  <c r="AQ73" i="1"/>
  <c r="AR73" i="1" s="1"/>
  <c r="AL74" i="1"/>
  <c r="AM74" i="1" s="1"/>
  <c r="AL72" i="1"/>
  <c r="AM72" i="1" s="1"/>
  <c r="AL77" i="1"/>
  <c r="AM77" i="1" s="1"/>
  <c r="AL70" i="1"/>
  <c r="AM70" i="1" s="1"/>
  <c r="AL76" i="1"/>
  <c r="AM76" i="1" s="1"/>
  <c r="AF76" i="1"/>
  <c r="AQ79" i="1"/>
  <c r="AR79" i="1" s="1"/>
  <c r="AF73" i="1"/>
  <c r="AL73" i="1"/>
  <c r="AM73" i="1" s="1"/>
  <c r="AQ72" i="1"/>
  <c r="AR72" i="1" s="1"/>
  <c r="AF72" i="1"/>
  <c r="AF70" i="1"/>
  <c r="AQ77" i="1"/>
  <c r="AR77" i="1" s="1"/>
  <c r="AF78" i="1"/>
  <c r="AQ76" i="1"/>
  <c r="AR76" i="1" s="1"/>
  <c r="AF71" i="1"/>
  <c r="AL79" i="1"/>
  <c r="AM79" i="1" s="1"/>
  <c r="AQ78" i="1"/>
  <c r="AR78" i="1" s="1"/>
  <c r="AF74" i="1"/>
  <c r="AQ71" i="1"/>
  <c r="AR71" i="1" s="1"/>
  <c r="AQ926" i="1"/>
  <c r="AR926" i="1" s="1"/>
  <c r="AL920" i="1"/>
  <c r="AM920" i="1" s="1"/>
  <c r="AQ922" i="1"/>
  <c r="AR922" i="1" s="1"/>
  <c r="AL922" i="1"/>
  <c r="AM922" i="1" s="1"/>
  <c r="AF925" i="1"/>
  <c r="AQ924" i="1"/>
  <c r="AR924" i="1" s="1"/>
  <c r="AL924" i="1"/>
  <c r="AM924" i="1" s="1"/>
  <c r="AQ923" i="1"/>
  <c r="AR923" i="1" s="1"/>
  <c r="AF924" i="1"/>
  <c r="AL925" i="1"/>
  <c r="AM925" i="1" s="1"/>
  <c r="AQ925" i="1"/>
  <c r="AR925" i="1" s="1"/>
  <c r="AF923" i="1"/>
  <c r="AQ920" i="1"/>
  <c r="AR920" i="1" s="1"/>
  <c r="AE844" i="1"/>
  <c r="AL929" i="1"/>
  <c r="AM929" i="1" s="1"/>
  <c r="AA817" i="1"/>
  <c r="AL928" i="1"/>
  <c r="AM928" i="1" s="1"/>
  <c r="AL927" i="1"/>
  <c r="AM927" i="1" s="1"/>
  <c r="AL926" i="1"/>
  <c r="AM926" i="1" s="1"/>
  <c r="AF926" i="1"/>
  <c r="AF929" i="1"/>
  <c r="AL923" i="1"/>
  <c r="AM923" i="1" s="1"/>
  <c r="AF921" i="1"/>
  <c r="AQ928" i="1"/>
  <c r="AR928" i="1" s="1"/>
  <c r="AL921" i="1"/>
  <c r="AM921" i="1" s="1"/>
  <c r="AF922" i="1"/>
  <c r="AQ929" i="1"/>
  <c r="AR929" i="1" s="1"/>
  <c r="AQ921" i="1"/>
  <c r="AR921" i="1" s="1"/>
  <c r="AF927" i="1"/>
  <c r="AF920" i="1"/>
  <c r="AF928" i="1"/>
  <c r="AA839" i="1"/>
  <c r="AE919" i="1"/>
  <c r="AE905" i="1"/>
  <c r="AE829" i="1"/>
  <c r="AA918" i="1"/>
  <c r="AE911" i="1"/>
  <c r="AE906" i="1"/>
  <c r="AE837" i="1"/>
  <c r="AE909" i="1"/>
  <c r="AE891" i="1"/>
  <c r="AA841" i="1"/>
  <c r="AA900" i="1"/>
  <c r="AA912" i="1"/>
  <c r="AE913" i="1"/>
  <c r="AJ917" i="1"/>
  <c r="AP919" i="1"/>
  <c r="AE883" i="1"/>
  <c r="AP911" i="1"/>
  <c r="AC916" i="1"/>
  <c r="AD916" i="1"/>
  <c r="AE912" i="1"/>
  <c r="AO911" i="1"/>
  <c r="AO914" i="1"/>
  <c r="AJ916" i="1"/>
  <c r="AC914" i="1"/>
  <c r="AO918" i="1"/>
  <c r="AD918" i="1"/>
  <c r="AK913" i="1"/>
  <c r="AO917" i="1"/>
  <c r="AA919" i="1"/>
  <c r="AP918" i="1"/>
  <c r="AO915" i="1"/>
  <c r="AC917" i="1"/>
  <c r="AA913" i="1"/>
  <c r="AK912" i="1"/>
  <c r="AC913" i="1"/>
  <c r="AK919" i="1"/>
  <c r="AP917" i="1"/>
  <c r="AO913" i="1"/>
  <c r="AD917" i="1"/>
  <c r="AA917" i="1"/>
  <c r="AC915" i="1"/>
  <c r="AE917" i="1"/>
  <c r="AJ913" i="1"/>
  <c r="AJ915" i="1"/>
  <c r="AD913" i="1"/>
  <c r="AD914" i="1"/>
  <c r="AA889" i="1"/>
  <c r="AA902" i="1"/>
  <c r="AJ909" i="1"/>
  <c r="AJ901" i="1"/>
  <c r="AK918" i="1"/>
  <c r="AD912" i="1"/>
  <c r="AA916" i="1"/>
  <c r="AK917" i="1"/>
  <c r="AA914" i="1"/>
  <c r="AP916" i="1"/>
  <c r="AC919" i="1"/>
  <c r="AK911" i="1"/>
  <c r="AA911" i="1"/>
  <c r="AC911" i="1"/>
  <c r="AO912" i="1"/>
  <c r="AJ911" i="1"/>
  <c r="AP915" i="1"/>
  <c r="AP913" i="1"/>
  <c r="AJ914" i="1"/>
  <c r="AP912" i="1"/>
  <c r="AP910" i="1"/>
  <c r="AJ919" i="1"/>
  <c r="AD919" i="1"/>
  <c r="AC912" i="1"/>
  <c r="AO919" i="1"/>
  <c r="AD911" i="1"/>
  <c r="AA915" i="1"/>
  <c r="AD915" i="1"/>
  <c r="AK915" i="1"/>
  <c r="AE915" i="1"/>
  <c r="AK910" i="1"/>
  <c r="AD910" i="1"/>
  <c r="AO910" i="1"/>
  <c r="AA910" i="1"/>
  <c r="AP914" i="1"/>
  <c r="AO916" i="1"/>
  <c r="AK916" i="1"/>
  <c r="AJ918" i="1"/>
  <c r="AJ910" i="1"/>
  <c r="AE916" i="1"/>
  <c r="AK914" i="1"/>
  <c r="AE914" i="1"/>
  <c r="AC918" i="1"/>
  <c r="AC910" i="1"/>
  <c r="AJ912" i="1"/>
  <c r="AE918" i="1"/>
  <c r="AE910" i="1"/>
  <c r="AA904" i="1"/>
  <c r="AC908" i="1"/>
  <c r="AJ904" i="1"/>
  <c r="AP904" i="1"/>
  <c r="AO903" i="1"/>
  <c r="AD907" i="1"/>
  <c r="AP905" i="1"/>
  <c r="AC904" i="1"/>
  <c r="AA249" i="1"/>
  <c r="AO909" i="1"/>
  <c r="AO901" i="1"/>
  <c r="AJ903" i="1"/>
  <c r="AK904" i="1"/>
  <c r="AC246" i="1"/>
  <c r="AD904" i="1"/>
  <c r="AC903" i="1"/>
  <c r="AD903" i="1"/>
  <c r="AE904" i="1"/>
  <c r="AK905" i="1"/>
  <c r="AD905" i="1"/>
  <c r="AE248" i="1"/>
  <c r="AD906" i="1"/>
  <c r="AK906" i="1"/>
  <c r="AJ906" i="1"/>
  <c r="AK903" i="1"/>
  <c r="AD902" i="1"/>
  <c r="AC909" i="1"/>
  <c r="AC901" i="1"/>
  <c r="AD901" i="1"/>
  <c r="AP907" i="1"/>
  <c r="AO908" i="1"/>
  <c r="AO906" i="1"/>
  <c r="AO900" i="1"/>
  <c r="AP908" i="1"/>
  <c r="AA909" i="1"/>
  <c r="AA905" i="1"/>
  <c r="AA906" i="1"/>
  <c r="AC905" i="1"/>
  <c r="AP906" i="1"/>
  <c r="AA903" i="1"/>
  <c r="AK909" i="1"/>
  <c r="AP902" i="1"/>
  <c r="AK901" i="1"/>
  <c r="AC900" i="1"/>
  <c r="AC906" i="1"/>
  <c r="AE901" i="1"/>
  <c r="AA901" i="1"/>
  <c r="AC907" i="1"/>
  <c r="AO904" i="1"/>
  <c r="AD909" i="1"/>
  <c r="AA908" i="1"/>
  <c r="AP909" i="1"/>
  <c r="AP901" i="1"/>
  <c r="AK908" i="1"/>
  <c r="AK900" i="1"/>
  <c r="AD908" i="1"/>
  <c r="AD900" i="1"/>
  <c r="AP900" i="1"/>
  <c r="AE845" i="1"/>
  <c r="AO907" i="1"/>
  <c r="AJ908" i="1"/>
  <c r="AJ900" i="1"/>
  <c r="AC902" i="1"/>
  <c r="AP903" i="1"/>
  <c r="AO905" i="1"/>
  <c r="AJ907" i="1"/>
  <c r="AK907" i="1"/>
  <c r="AE907" i="1"/>
  <c r="AA907" i="1"/>
  <c r="AJ905" i="1"/>
  <c r="AE903" i="1"/>
  <c r="AO902" i="1"/>
  <c r="AK902" i="1"/>
  <c r="AE902" i="1"/>
  <c r="AJ902" i="1"/>
  <c r="AE908" i="1"/>
  <c r="AE900" i="1"/>
  <c r="AO248" i="1"/>
  <c r="AA247" i="1"/>
  <c r="AD249" i="1"/>
  <c r="AD247" i="1"/>
  <c r="AO247" i="1"/>
  <c r="AP248" i="1"/>
  <c r="AP249" i="1"/>
  <c r="AP246" i="1"/>
  <c r="AP247" i="1"/>
  <c r="AK249" i="1"/>
  <c r="AE247" i="1"/>
  <c r="AC247" i="1"/>
  <c r="AA248" i="1"/>
  <c r="AE249" i="1"/>
  <c r="AD248" i="1"/>
  <c r="AE246" i="1"/>
  <c r="AK246" i="1"/>
  <c r="AO246" i="1"/>
  <c r="AA246" i="1"/>
  <c r="AD246" i="1"/>
  <c r="AJ248" i="1"/>
  <c r="AK248" i="1"/>
  <c r="AC249" i="1"/>
  <c r="AJ247" i="1"/>
  <c r="AK247" i="1"/>
  <c r="AC248" i="1"/>
  <c r="AO249" i="1"/>
  <c r="AJ246" i="1"/>
  <c r="AJ249" i="1"/>
  <c r="AE834" i="1"/>
  <c r="AE884" i="1"/>
  <c r="AA898" i="1"/>
  <c r="AD895" i="1"/>
  <c r="AE899" i="1"/>
  <c r="AC896" i="1"/>
  <c r="AJ896" i="1"/>
  <c r="AE897" i="1"/>
  <c r="AJ895" i="1"/>
  <c r="AK897" i="1"/>
  <c r="AK896" i="1"/>
  <c r="AD898" i="1"/>
  <c r="AJ893" i="1"/>
  <c r="AJ898" i="1"/>
  <c r="AO897" i="1"/>
  <c r="AC897" i="1"/>
  <c r="AO894" i="1"/>
  <c r="AK898" i="1"/>
  <c r="AC898" i="1"/>
  <c r="AA897" i="1"/>
  <c r="AA896" i="1"/>
  <c r="AP895" i="1"/>
  <c r="AP894" i="1"/>
  <c r="AC899" i="1"/>
  <c r="AJ897" i="1"/>
  <c r="AE896" i="1"/>
  <c r="AP896" i="1"/>
  <c r="AE895" i="1"/>
  <c r="AD899" i="1"/>
  <c r="AP899" i="1"/>
  <c r="AE898" i="1"/>
  <c r="AC894" i="1"/>
  <c r="AJ894" i="1"/>
  <c r="AE894" i="1"/>
  <c r="AD894" i="1"/>
  <c r="AO899" i="1"/>
  <c r="AK895" i="1"/>
  <c r="AA895" i="1"/>
  <c r="AP898" i="1"/>
  <c r="AD896" i="1"/>
  <c r="AC895" i="1"/>
  <c r="AP897" i="1"/>
  <c r="AO896" i="1"/>
  <c r="AJ899" i="1"/>
  <c r="AO888" i="1"/>
  <c r="AO898" i="1"/>
  <c r="AK894" i="1"/>
  <c r="AD897" i="1"/>
  <c r="AA894" i="1"/>
  <c r="AO895" i="1"/>
  <c r="AK899" i="1"/>
  <c r="AA899" i="1"/>
  <c r="AD891" i="1"/>
  <c r="AO890" i="1"/>
  <c r="AK891" i="1"/>
  <c r="AO889" i="1"/>
  <c r="AD893" i="1"/>
  <c r="AO885" i="1"/>
  <c r="AO884" i="1"/>
  <c r="AO883" i="1"/>
  <c r="AJ888" i="1"/>
  <c r="AD889" i="1"/>
  <c r="AO891" i="1"/>
  <c r="AA893" i="1"/>
  <c r="AC893" i="1"/>
  <c r="AK893" i="1"/>
  <c r="AP893" i="1"/>
  <c r="AA892" i="1"/>
  <c r="AA891" i="1"/>
  <c r="AP891" i="1"/>
  <c r="AP890" i="1"/>
  <c r="AP889" i="1"/>
  <c r="AK888" i="1"/>
  <c r="AD892" i="1"/>
  <c r="AP892" i="1"/>
  <c r="AK892" i="1"/>
  <c r="AE892" i="1"/>
  <c r="AA890" i="1"/>
  <c r="AD890" i="1"/>
  <c r="AD888" i="1"/>
  <c r="AC892" i="1"/>
  <c r="AC891" i="1"/>
  <c r="AC888" i="1"/>
  <c r="AA888" i="1"/>
  <c r="AE888" i="1"/>
  <c r="AO893" i="1"/>
  <c r="AJ891" i="1"/>
  <c r="AE893" i="1"/>
  <c r="AC889" i="1"/>
  <c r="AP888" i="1"/>
  <c r="AC890" i="1"/>
  <c r="AO892" i="1"/>
  <c r="AJ890" i="1"/>
  <c r="AJ892" i="1"/>
  <c r="AJ883" i="1"/>
  <c r="AJ889" i="1"/>
  <c r="AK890" i="1"/>
  <c r="AE890" i="1"/>
  <c r="AK889" i="1"/>
  <c r="AE889" i="1"/>
  <c r="AA887" i="1"/>
  <c r="AA886" i="1"/>
  <c r="AC886" i="1"/>
  <c r="AC885" i="1"/>
  <c r="AE885" i="1"/>
  <c r="AA884" i="1"/>
  <c r="AA883" i="1"/>
  <c r="AK887" i="1"/>
  <c r="AP887" i="1"/>
  <c r="AD887" i="1"/>
  <c r="AK886" i="1"/>
  <c r="AP886" i="1"/>
  <c r="AP884" i="1"/>
  <c r="AE836" i="1"/>
  <c r="AE828" i="1"/>
  <c r="AD884" i="1"/>
  <c r="AK884" i="1"/>
  <c r="AA882" i="1"/>
  <c r="AP882" i="1"/>
  <c r="AJ886" i="1"/>
  <c r="AD886" i="1"/>
  <c r="AD882" i="1"/>
  <c r="AD883" i="1"/>
  <c r="AP883" i="1"/>
  <c r="AA885" i="1"/>
  <c r="AP885" i="1"/>
  <c r="AC884" i="1"/>
  <c r="AK885" i="1"/>
  <c r="AC887" i="1"/>
  <c r="AD885" i="1"/>
  <c r="AO882" i="1"/>
  <c r="AJ887" i="1"/>
  <c r="AO887" i="1"/>
  <c r="AJ885" i="1"/>
  <c r="AE887" i="1"/>
  <c r="AC883" i="1"/>
  <c r="AO886" i="1"/>
  <c r="AJ884" i="1"/>
  <c r="AE886" i="1"/>
  <c r="AC882" i="1"/>
  <c r="AJ882" i="1"/>
  <c r="AK883" i="1"/>
  <c r="AK882" i="1"/>
  <c r="AE882" i="1"/>
  <c r="AO442" i="1"/>
  <c r="AJ443" i="1"/>
  <c r="AA442" i="1"/>
  <c r="AK443" i="1"/>
  <c r="AA443" i="1"/>
  <c r="AD442" i="1"/>
  <c r="AE443" i="1"/>
  <c r="AD443" i="1"/>
  <c r="AP442" i="1"/>
  <c r="AP443" i="1"/>
  <c r="AO443" i="1"/>
  <c r="AC443" i="1"/>
  <c r="AJ442" i="1"/>
  <c r="AK442" i="1"/>
  <c r="AC442" i="1"/>
  <c r="AE442" i="1"/>
  <c r="AA814" i="1"/>
  <c r="AA813" i="1"/>
  <c r="AE821" i="1"/>
  <c r="AE823" i="1"/>
  <c r="AA815" i="1"/>
  <c r="AE813" i="1"/>
  <c r="AA833" i="1"/>
  <c r="AE835" i="1"/>
  <c r="AA830" i="1"/>
  <c r="AD839" i="1"/>
  <c r="AC837" i="1"/>
  <c r="AO841" i="1"/>
  <c r="AK841" i="1"/>
  <c r="AD843" i="1"/>
  <c r="AP844" i="1"/>
  <c r="AD840" i="1"/>
  <c r="AD845" i="1"/>
  <c r="AD837" i="1"/>
  <c r="AO845" i="1"/>
  <c r="AO837" i="1"/>
  <c r="AO840" i="1"/>
  <c r="AJ842" i="1"/>
  <c r="AJ840" i="1"/>
  <c r="AC843" i="1"/>
  <c r="AD844" i="1"/>
  <c r="AP841" i="1"/>
  <c r="AK845" i="1"/>
  <c r="AC842" i="1"/>
  <c r="AA821" i="1"/>
  <c r="AK844" i="1"/>
  <c r="AE841" i="1"/>
  <c r="AJ843" i="1"/>
  <c r="AO842" i="1"/>
  <c r="AD846" i="1"/>
  <c r="AD838" i="1"/>
  <c r="AC845" i="1"/>
  <c r="AD842" i="1"/>
  <c r="AD841" i="1"/>
  <c r="AC840" i="1"/>
  <c r="AP843" i="1"/>
  <c r="AA845" i="1"/>
  <c r="AA844" i="1"/>
  <c r="AP845" i="1"/>
  <c r="AP846" i="1"/>
  <c r="AA843" i="1"/>
  <c r="AK842" i="1"/>
  <c r="AA842" i="1"/>
  <c r="AK840" i="1"/>
  <c r="AP839" i="1"/>
  <c r="AK839" i="1"/>
  <c r="AP838" i="1"/>
  <c r="AA840" i="1"/>
  <c r="AC838" i="1"/>
  <c r="AC844" i="1"/>
  <c r="AE840" i="1"/>
  <c r="AP840" i="1"/>
  <c r="AC846" i="1"/>
  <c r="AC841" i="1"/>
  <c r="AK837" i="1"/>
  <c r="AA837" i="1"/>
  <c r="AP837" i="1"/>
  <c r="AE832" i="1"/>
  <c r="AP842" i="1"/>
  <c r="AO844" i="1"/>
  <c r="AJ846" i="1"/>
  <c r="AJ838" i="1"/>
  <c r="AE838" i="1"/>
  <c r="AO846" i="1"/>
  <c r="AO838" i="1"/>
  <c r="AK846" i="1"/>
  <c r="AK838" i="1"/>
  <c r="AE846" i="1"/>
  <c r="AA846" i="1"/>
  <c r="AA838" i="1"/>
  <c r="AO843" i="1"/>
  <c r="AK843" i="1"/>
  <c r="AJ845" i="1"/>
  <c r="AJ837" i="1"/>
  <c r="AE843" i="1"/>
  <c r="AC839" i="1"/>
  <c r="AJ844" i="1"/>
  <c r="AE842" i="1"/>
  <c r="AO839" i="1"/>
  <c r="AJ841" i="1"/>
  <c r="AE839" i="1"/>
  <c r="AA820" i="1"/>
  <c r="AJ839" i="1"/>
  <c r="AP835" i="1"/>
  <c r="AA834" i="1"/>
  <c r="AJ830" i="1"/>
  <c r="AA836" i="1"/>
  <c r="AP819" i="1"/>
  <c r="AJ828" i="1"/>
  <c r="AK835" i="1"/>
  <c r="AD829" i="1"/>
  <c r="AA831" i="1"/>
  <c r="AO827" i="1"/>
  <c r="AO834" i="1"/>
  <c r="AC834" i="1"/>
  <c r="AO836" i="1"/>
  <c r="AA826" i="1"/>
  <c r="AD836" i="1"/>
  <c r="AC818" i="1"/>
  <c r="AD823" i="1"/>
  <c r="AD834" i="1"/>
  <c r="AP828" i="1"/>
  <c r="AK823" i="1"/>
  <c r="AJ823" i="1"/>
  <c r="AA823" i="1"/>
  <c r="AA828" i="1"/>
  <c r="AK829" i="1"/>
  <c r="AD830" i="1"/>
  <c r="AJ814" i="1"/>
  <c r="AP830" i="1"/>
  <c r="AA835" i="1"/>
  <c r="AO817" i="1"/>
  <c r="AJ817" i="1"/>
  <c r="AC826" i="1"/>
  <c r="AO822" i="1"/>
  <c r="AC816" i="1"/>
  <c r="AC825" i="1"/>
  <c r="AC831" i="1"/>
  <c r="AO832" i="1"/>
  <c r="AP832" i="1"/>
  <c r="AJ813" i="1"/>
  <c r="AC828" i="1"/>
  <c r="AO831" i="1"/>
  <c r="AD835" i="1"/>
  <c r="AC836" i="1"/>
  <c r="AK822" i="1"/>
  <c r="AA827" i="1"/>
  <c r="AK836" i="1"/>
  <c r="AO820" i="1"/>
  <c r="AC815" i="1"/>
  <c r="AD822" i="1"/>
  <c r="AO835" i="1"/>
  <c r="AK830" i="1"/>
  <c r="AJ832" i="1"/>
  <c r="AA832" i="1"/>
  <c r="AO829" i="1"/>
  <c r="AC821" i="1"/>
  <c r="AA825" i="1"/>
  <c r="AP836" i="1"/>
  <c r="AC832" i="1"/>
  <c r="AA824" i="1"/>
  <c r="AJ836" i="1"/>
  <c r="AE820" i="1"/>
  <c r="AO816" i="1"/>
  <c r="AC813" i="1"/>
  <c r="AP824" i="1"/>
  <c r="AC827" i="1"/>
  <c r="AP834" i="1"/>
  <c r="AK834" i="1"/>
  <c r="AC835" i="1"/>
  <c r="AO830" i="1"/>
  <c r="AC829" i="1"/>
  <c r="AA829" i="1"/>
  <c r="AJ835" i="1"/>
  <c r="AE830" i="1"/>
  <c r="AC830" i="1"/>
  <c r="AJ834" i="1"/>
  <c r="AJ833" i="1"/>
  <c r="AE833" i="1"/>
  <c r="AC833" i="1"/>
  <c r="AJ831" i="1"/>
  <c r="AK831" i="1"/>
  <c r="AE831" i="1"/>
  <c r="AP831" i="1"/>
  <c r="AK833" i="1"/>
  <c r="AP833" i="1"/>
  <c r="AD831" i="1"/>
  <c r="AO833" i="1"/>
  <c r="AP829" i="1"/>
  <c r="AJ829" i="1"/>
  <c r="AP818" i="1"/>
  <c r="AO828" i="1"/>
  <c r="AK832" i="1"/>
  <c r="AD832" i="1"/>
  <c r="AJ816" i="1"/>
  <c r="AD828" i="1"/>
  <c r="AD824" i="1"/>
  <c r="AD833" i="1"/>
  <c r="AJ827" i="1"/>
  <c r="AE827" i="1"/>
  <c r="AO813" i="1"/>
  <c r="AD817" i="1"/>
  <c r="AD819" i="1"/>
  <c r="AO821" i="1"/>
  <c r="AD827" i="1"/>
  <c r="AC822" i="1"/>
  <c r="AK813" i="1"/>
  <c r="AP827" i="1"/>
  <c r="AK827" i="1"/>
  <c r="AD814" i="1"/>
  <c r="AD813" i="1"/>
  <c r="AJ821" i="1"/>
  <c r="AA822" i="1"/>
  <c r="AO824" i="1"/>
  <c r="AK824" i="1"/>
  <c r="AP823" i="1"/>
  <c r="AP822" i="1"/>
  <c r="AK828" i="1"/>
  <c r="AJ822" i="1"/>
  <c r="AO823" i="1"/>
  <c r="AK821" i="1"/>
  <c r="AE822" i="1"/>
  <c r="AP826" i="1"/>
  <c r="AP825" i="1"/>
  <c r="AE817" i="1"/>
  <c r="AJ819" i="1"/>
  <c r="AO818" i="1"/>
  <c r="AA818" i="1"/>
  <c r="AC820" i="1"/>
  <c r="AC819" i="1"/>
  <c r="AJ815" i="1"/>
  <c r="AE825" i="1"/>
  <c r="AD825" i="1"/>
  <c r="AC824" i="1"/>
  <c r="AK826" i="1"/>
  <c r="AJ826" i="1"/>
  <c r="AE824" i="1"/>
  <c r="AC823" i="1"/>
  <c r="AD826" i="1"/>
  <c r="AO826" i="1"/>
  <c r="AK825" i="1"/>
  <c r="AJ825" i="1"/>
  <c r="AE826" i="1"/>
  <c r="AO825" i="1"/>
  <c r="AJ824" i="1"/>
  <c r="AP821" i="1"/>
  <c r="AK819" i="1"/>
  <c r="AE819" i="1"/>
  <c r="AA819" i="1"/>
  <c r="AK818" i="1"/>
  <c r="AJ818" i="1"/>
  <c r="AE818" i="1"/>
  <c r="AP816" i="1"/>
  <c r="AD821" i="1"/>
  <c r="AO819" i="1"/>
  <c r="AO814" i="1"/>
  <c r="AK817" i="1"/>
  <c r="AK816" i="1"/>
  <c r="AE816" i="1"/>
  <c r="AA816" i="1"/>
  <c r="AE815" i="1"/>
  <c r="AK814" i="1"/>
  <c r="AP815" i="1"/>
  <c r="AC814" i="1"/>
  <c r="AP814" i="1"/>
  <c r="AJ820" i="1"/>
  <c r="AE814" i="1"/>
  <c r="AK815" i="1"/>
  <c r="AD815" i="1"/>
  <c r="AO815" i="1"/>
  <c r="AP813" i="1"/>
  <c r="AK820" i="1"/>
  <c r="AD820" i="1"/>
  <c r="AD818" i="1"/>
  <c r="AC817" i="1"/>
  <c r="AD816" i="1"/>
  <c r="AP817" i="1"/>
  <c r="AP820" i="1"/>
  <c r="AF844" i="1" l="1"/>
  <c r="AL885" i="1"/>
  <c r="AM885" i="1" s="1"/>
  <c r="AL886" i="1"/>
  <c r="AM886" i="1" s="1"/>
  <c r="AL841" i="1"/>
  <c r="AM841" i="1" s="1"/>
  <c r="AF919" i="1"/>
  <c r="AF911" i="1"/>
  <c r="AQ896" i="1"/>
  <c r="AR896" i="1" s="1"/>
  <c r="AF905" i="1"/>
  <c r="AF829" i="1"/>
  <c r="AF837" i="1"/>
  <c r="AF906" i="1"/>
  <c r="AL903" i="1"/>
  <c r="AM903" i="1" s="1"/>
  <c r="AF891" i="1"/>
  <c r="AF909" i="1"/>
  <c r="AL904" i="1"/>
  <c r="AM904" i="1" s="1"/>
  <c r="AF913" i="1"/>
  <c r="AF912" i="1"/>
  <c r="AL914" i="1"/>
  <c r="AM914" i="1" s="1"/>
  <c r="AQ918" i="1"/>
  <c r="AR918" i="1" s="1"/>
  <c r="AF883" i="1"/>
  <c r="AQ917" i="1"/>
  <c r="AR917" i="1" s="1"/>
  <c r="AL917" i="1"/>
  <c r="AM917" i="1" s="1"/>
  <c r="AQ913" i="1"/>
  <c r="AR913" i="1" s="1"/>
  <c r="AQ919" i="1"/>
  <c r="AR919" i="1" s="1"/>
  <c r="AL915" i="1"/>
  <c r="AM915" i="1" s="1"/>
  <c r="AQ916" i="1"/>
  <c r="AR916" i="1" s="1"/>
  <c r="AQ915" i="1"/>
  <c r="AR915" i="1" s="1"/>
  <c r="AF914" i="1"/>
  <c r="AL916" i="1"/>
  <c r="AM916" i="1" s="1"/>
  <c r="AL905" i="1"/>
  <c r="AM905" i="1" s="1"/>
  <c r="AQ914" i="1"/>
  <c r="AR914" i="1" s="1"/>
  <c r="AL912" i="1"/>
  <c r="AM912" i="1" s="1"/>
  <c r="AQ246" i="1"/>
  <c r="AR246" i="1" s="1"/>
  <c r="AL913" i="1"/>
  <c r="AM913" i="1" s="1"/>
  <c r="AQ911" i="1"/>
  <c r="AR911" i="1" s="1"/>
  <c r="AL246" i="1"/>
  <c r="AM246" i="1" s="1"/>
  <c r="AL911" i="1"/>
  <c r="AM911" i="1" s="1"/>
  <c r="AF917" i="1"/>
  <c r="AL919" i="1"/>
  <c r="AM919" i="1" s="1"/>
  <c r="AL908" i="1"/>
  <c r="AM908" i="1" s="1"/>
  <c r="AQ910" i="1"/>
  <c r="AR910" i="1" s="1"/>
  <c r="AQ908" i="1"/>
  <c r="AR908" i="1" s="1"/>
  <c r="AQ912" i="1"/>
  <c r="AR912" i="1" s="1"/>
  <c r="AL910" i="1"/>
  <c r="AM910" i="1" s="1"/>
  <c r="AL918" i="1"/>
  <c r="AM918" i="1" s="1"/>
  <c r="AF915" i="1"/>
  <c r="AL902" i="1"/>
  <c r="AM902" i="1" s="1"/>
  <c r="AL901" i="1"/>
  <c r="AM901" i="1" s="1"/>
  <c r="AQ901" i="1"/>
  <c r="AR901" i="1" s="1"/>
  <c r="AQ903" i="1"/>
  <c r="AR903" i="1" s="1"/>
  <c r="AQ900" i="1"/>
  <c r="AR900" i="1" s="1"/>
  <c r="AF916" i="1"/>
  <c r="AQ904" i="1"/>
  <c r="AR904" i="1" s="1"/>
  <c r="AF910" i="1"/>
  <c r="AF918" i="1"/>
  <c r="AF904" i="1"/>
  <c r="AQ909" i="1"/>
  <c r="AR909" i="1" s="1"/>
  <c r="AL909" i="1"/>
  <c r="AM909" i="1" s="1"/>
  <c r="AF907" i="1"/>
  <c r="AF845" i="1"/>
  <c r="AF903" i="1"/>
  <c r="AF248" i="1"/>
  <c r="AL907" i="1"/>
  <c r="AM907" i="1" s="1"/>
  <c r="AQ906" i="1"/>
  <c r="AR906" i="1" s="1"/>
  <c r="AQ905" i="1"/>
  <c r="AR905" i="1" s="1"/>
  <c r="AQ902" i="1"/>
  <c r="AR902" i="1" s="1"/>
  <c r="AL900" i="1"/>
  <c r="AM900" i="1" s="1"/>
  <c r="AQ907" i="1"/>
  <c r="AR907" i="1" s="1"/>
  <c r="AL906" i="1"/>
  <c r="AM906" i="1" s="1"/>
  <c r="AF908" i="1"/>
  <c r="AF900" i="1"/>
  <c r="AF901" i="1"/>
  <c r="AF902" i="1"/>
  <c r="AF834" i="1"/>
  <c r="AQ247" i="1"/>
  <c r="AR247" i="1" s="1"/>
  <c r="AL247" i="1"/>
  <c r="AM247" i="1" s="1"/>
  <c r="AQ249" i="1"/>
  <c r="AR249" i="1" s="1"/>
  <c r="AF247" i="1"/>
  <c r="AQ248" i="1"/>
  <c r="AR248" i="1" s="1"/>
  <c r="AF246" i="1"/>
  <c r="AF249" i="1"/>
  <c r="AL248" i="1"/>
  <c r="AM248" i="1" s="1"/>
  <c r="AL249" i="1"/>
  <c r="AM249" i="1" s="1"/>
  <c r="AF893" i="1"/>
  <c r="AF884" i="1"/>
  <c r="AL894" i="1"/>
  <c r="AM894" i="1" s="1"/>
  <c r="AF828" i="1"/>
  <c r="AL896" i="1"/>
  <c r="AM896" i="1" s="1"/>
  <c r="AF897" i="1"/>
  <c r="AF899" i="1"/>
  <c r="AQ898" i="1"/>
  <c r="AR898" i="1" s="1"/>
  <c r="AQ897" i="1"/>
  <c r="AR897" i="1" s="1"/>
  <c r="AL898" i="1"/>
  <c r="AM898" i="1" s="1"/>
  <c r="AL891" i="1"/>
  <c r="AM891" i="1" s="1"/>
  <c r="AL899" i="1"/>
  <c r="AM899" i="1" s="1"/>
  <c r="AQ899" i="1"/>
  <c r="AR899" i="1" s="1"/>
  <c r="AQ895" i="1"/>
  <c r="AR895" i="1" s="1"/>
  <c r="AL895" i="1"/>
  <c r="AM895" i="1" s="1"/>
  <c r="AQ894" i="1"/>
  <c r="AR894" i="1" s="1"/>
  <c r="AL897" i="1"/>
  <c r="AM897" i="1" s="1"/>
  <c r="AF896" i="1"/>
  <c r="AF895" i="1"/>
  <c r="AF894" i="1"/>
  <c r="AF898" i="1"/>
  <c r="AQ888" i="1"/>
  <c r="AR888" i="1" s="1"/>
  <c r="AQ889" i="1"/>
  <c r="AR889" i="1" s="1"/>
  <c r="AQ885" i="1"/>
  <c r="AR885" i="1" s="1"/>
  <c r="AL889" i="1"/>
  <c r="AM889" i="1" s="1"/>
  <c r="AL892" i="1"/>
  <c r="AM892" i="1" s="1"/>
  <c r="AQ892" i="1"/>
  <c r="AR892" i="1" s="1"/>
  <c r="AL890" i="1"/>
  <c r="AM890" i="1" s="1"/>
  <c r="AQ893" i="1"/>
  <c r="AR893" i="1" s="1"/>
  <c r="AL882" i="1"/>
  <c r="AM882" i="1" s="1"/>
  <c r="AL888" i="1"/>
  <c r="AM888" i="1" s="1"/>
  <c r="AL893" i="1"/>
  <c r="AM893" i="1" s="1"/>
  <c r="AQ890" i="1"/>
  <c r="AR890" i="1" s="1"/>
  <c r="AQ891" i="1"/>
  <c r="AR891" i="1" s="1"/>
  <c r="AF889" i="1"/>
  <c r="AF888" i="1"/>
  <c r="AF892" i="1"/>
  <c r="AL887" i="1"/>
  <c r="AM887" i="1" s="1"/>
  <c r="AL883" i="1"/>
  <c r="AM883" i="1" s="1"/>
  <c r="AQ883" i="1"/>
  <c r="AR883" i="1" s="1"/>
  <c r="AQ884" i="1"/>
  <c r="AR884" i="1" s="1"/>
  <c r="AQ882" i="1"/>
  <c r="AR882" i="1" s="1"/>
  <c r="AQ887" i="1"/>
  <c r="AR887" i="1" s="1"/>
  <c r="AL884" i="1"/>
  <c r="AM884" i="1" s="1"/>
  <c r="AF836" i="1"/>
  <c r="AQ886" i="1"/>
  <c r="AR886" i="1" s="1"/>
  <c r="AF890" i="1"/>
  <c r="AF885" i="1"/>
  <c r="AF882" i="1"/>
  <c r="AF887" i="1"/>
  <c r="AF886" i="1"/>
  <c r="AF821" i="1"/>
  <c r="AF443" i="1"/>
  <c r="AL443" i="1"/>
  <c r="AM443" i="1" s="1"/>
  <c r="AF823" i="1"/>
  <c r="AF442" i="1"/>
  <c r="AQ442" i="1"/>
  <c r="AR442" i="1" s="1"/>
  <c r="AQ443" i="1"/>
  <c r="AR443" i="1" s="1"/>
  <c r="AL442" i="1"/>
  <c r="AM442" i="1" s="1"/>
  <c r="AF813" i="1"/>
  <c r="AF835" i="1"/>
  <c r="AQ836" i="1"/>
  <c r="AR836" i="1" s="1"/>
  <c r="AQ815" i="1"/>
  <c r="AR815" i="1" s="1"/>
  <c r="AL837" i="1"/>
  <c r="AM837" i="1" s="1"/>
  <c r="AF839" i="1"/>
  <c r="AF843" i="1"/>
  <c r="AQ840" i="1"/>
  <c r="AR840" i="1" s="1"/>
  <c r="AL842" i="1"/>
  <c r="AM842" i="1" s="1"/>
  <c r="AL846" i="1"/>
  <c r="AM846" i="1" s="1"/>
  <c r="AQ842" i="1"/>
  <c r="AR842" i="1" s="1"/>
  <c r="AF841" i="1"/>
  <c r="AL826" i="1"/>
  <c r="AM826" i="1" s="1"/>
  <c r="AQ837" i="1"/>
  <c r="AR837" i="1" s="1"/>
  <c r="AQ835" i="1"/>
  <c r="AR835" i="1" s="1"/>
  <c r="AQ845" i="1"/>
  <c r="AR845" i="1" s="1"/>
  <c r="AL840" i="1"/>
  <c r="AM840" i="1" s="1"/>
  <c r="AL843" i="1"/>
  <c r="AM843" i="1" s="1"/>
  <c r="AQ838" i="1"/>
  <c r="AR838" i="1" s="1"/>
  <c r="AQ821" i="1"/>
  <c r="AR821" i="1" s="1"/>
  <c r="AF846" i="1"/>
  <c r="AL845" i="1"/>
  <c r="AM845" i="1" s="1"/>
  <c r="AL838" i="1"/>
  <c r="AM838" i="1" s="1"/>
  <c r="AQ843" i="1"/>
  <c r="AR843" i="1" s="1"/>
  <c r="AQ846" i="1"/>
  <c r="AR846" i="1" s="1"/>
  <c r="AL839" i="1"/>
  <c r="AM839" i="1" s="1"/>
  <c r="AF838" i="1"/>
  <c r="AL844" i="1"/>
  <c r="AM844" i="1" s="1"/>
  <c r="AQ844" i="1"/>
  <c r="AR844" i="1" s="1"/>
  <c r="AQ839" i="1"/>
  <c r="AR839" i="1" s="1"/>
  <c r="AQ841" i="1"/>
  <c r="AR841" i="1" s="1"/>
  <c r="AF840" i="1"/>
  <c r="AF842" i="1"/>
  <c r="AQ826" i="1"/>
  <c r="AR826" i="1" s="1"/>
  <c r="AF832" i="1"/>
  <c r="AQ833" i="1"/>
  <c r="AR833" i="1" s="1"/>
  <c r="AQ828" i="1"/>
  <c r="AR828" i="1" s="1"/>
  <c r="AQ819" i="1"/>
  <c r="AR819" i="1" s="1"/>
  <c r="AL834" i="1"/>
  <c r="AM834" i="1" s="1"/>
  <c r="AQ831" i="1"/>
  <c r="AR831" i="1" s="1"/>
  <c r="AF822" i="1"/>
  <c r="AL822" i="1"/>
  <c r="AM822" i="1" s="1"/>
  <c r="AL821" i="1"/>
  <c r="AM821" i="1" s="1"/>
  <c r="AF819" i="1"/>
  <c r="AQ832" i="1"/>
  <c r="AR832" i="1" s="1"/>
  <c r="AL825" i="1"/>
  <c r="AM825" i="1" s="1"/>
  <c r="AQ829" i="1"/>
  <c r="AR829" i="1" s="1"/>
  <c r="AL823" i="1"/>
  <c r="AM823" i="1" s="1"/>
  <c r="AQ820" i="1"/>
  <c r="AR820" i="1" s="1"/>
  <c r="AF820" i="1"/>
  <c r="AQ834" i="1"/>
  <c r="AR834" i="1" s="1"/>
  <c r="AQ824" i="1"/>
  <c r="AR824" i="1" s="1"/>
  <c r="AL815" i="1"/>
  <c r="AM815" i="1" s="1"/>
  <c r="AQ825" i="1"/>
  <c r="AR825" i="1" s="1"/>
  <c r="AL831" i="1"/>
  <c r="AM831" i="1" s="1"/>
  <c r="AF818" i="1"/>
  <c r="AL816" i="1"/>
  <c r="AM816" i="1" s="1"/>
  <c r="AQ816" i="1"/>
  <c r="AR816" i="1" s="1"/>
  <c r="AQ822" i="1"/>
  <c r="AR822" i="1" s="1"/>
  <c r="AF827" i="1"/>
  <c r="AQ830" i="1"/>
  <c r="AR830" i="1" s="1"/>
  <c r="AL829" i="1"/>
  <c r="AM829" i="1" s="1"/>
  <c r="AL818" i="1"/>
  <c r="AM818" i="1" s="1"/>
  <c r="AL828" i="1"/>
  <c r="AM828" i="1" s="1"/>
  <c r="AQ818" i="1"/>
  <c r="AR818" i="1" s="1"/>
  <c r="AF815" i="1"/>
  <c r="AL832" i="1"/>
  <c r="AM832" i="1" s="1"/>
  <c r="AQ813" i="1"/>
  <c r="AR813" i="1" s="1"/>
  <c r="AL836" i="1"/>
  <c r="AM836" i="1" s="1"/>
  <c r="AL813" i="1"/>
  <c r="AM813" i="1" s="1"/>
  <c r="AF831" i="1"/>
  <c r="AL830" i="1"/>
  <c r="AM830" i="1" s="1"/>
  <c r="AF826" i="1"/>
  <c r="AF825" i="1"/>
  <c r="AL835" i="1"/>
  <c r="AM835" i="1" s="1"/>
  <c r="AL833" i="1"/>
  <c r="AM833" i="1" s="1"/>
  <c r="AL827" i="1"/>
  <c r="AM827" i="1" s="1"/>
  <c r="AQ827" i="1"/>
  <c r="AR827" i="1" s="1"/>
  <c r="AF830" i="1"/>
  <c r="AF833" i="1"/>
  <c r="AQ823" i="1"/>
  <c r="AR823" i="1" s="1"/>
  <c r="AL824" i="1"/>
  <c r="AM824" i="1" s="1"/>
  <c r="AF817" i="1"/>
  <c r="AL820" i="1"/>
  <c r="AM820" i="1" s="1"/>
  <c r="AL819" i="1"/>
  <c r="AM819" i="1" s="1"/>
  <c r="AF824" i="1"/>
  <c r="AQ817" i="1"/>
  <c r="AR817" i="1" s="1"/>
  <c r="AL814" i="1"/>
  <c r="AM814" i="1" s="1"/>
  <c r="AF816" i="1"/>
  <c r="AQ814" i="1"/>
  <c r="AR814" i="1" s="1"/>
  <c r="AL817" i="1"/>
  <c r="AM817" i="1" s="1"/>
  <c r="AF814" i="1"/>
  <c r="Y411" i="1" l="1"/>
  <c r="Q27" i="104" s="1"/>
  <c r="Y806" i="1"/>
  <c r="N49" i="107" s="1"/>
  <c r="Y807" i="1"/>
  <c r="O49" i="107" s="1"/>
  <c r="Y808" i="1"/>
  <c r="P49" i="107" s="1"/>
  <c r="Y809" i="1"/>
  <c r="Q49" i="107" s="1"/>
  <c r="Y810" i="1"/>
  <c r="R49" i="107" s="1"/>
  <c r="Y811" i="1"/>
  <c r="S49" i="107" s="1"/>
  <c r="Y812" i="1"/>
  <c r="T49" i="107" s="1"/>
  <c r="AI806" i="1"/>
  <c r="AI807" i="1"/>
  <c r="AI808" i="1"/>
  <c r="AI809" i="1"/>
  <c r="AI810" i="1"/>
  <c r="AI811" i="1"/>
  <c r="AI812" i="1"/>
  <c r="AN806" i="1"/>
  <c r="AN807" i="1"/>
  <c r="AN808" i="1"/>
  <c r="AN809" i="1"/>
  <c r="AN810" i="1"/>
  <c r="AN811" i="1"/>
  <c r="AN812" i="1"/>
  <c r="Y805" i="1"/>
  <c r="M49" i="107" s="1"/>
  <c r="AI805" i="1"/>
  <c r="AN805" i="1"/>
  <c r="Y694" i="1"/>
  <c r="P43" i="107" s="1"/>
  <c r="Y691" i="1"/>
  <c r="M43" i="107" s="1"/>
  <c r="Y797" i="1"/>
  <c r="AI797" i="1"/>
  <c r="AN797" i="1"/>
  <c r="Y798" i="1"/>
  <c r="AI798" i="1"/>
  <c r="AN798" i="1"/>
  <c r="Y799" i="1"/>
  <c r="AI799" i="1"/>
  <c r="AN799" i="1"/>
  <c r="Y800" i="1"/>
  <c r="AI800" i="1"/>
  <c r="AN800" i="1"/>
  <c r="Y801" i="1"/>
  <c r="AI801" i="1"/>
  <c r="AN801" i="1"/>
  <c r="Y802" i="1"/>
  <c r="AI802" i="1"/>
  <c r="AN802" i="1"/>
  <c r="Y803" i="1"/>
  <c r="AI803" i="1"/>
  <c r="AN803" i="1"/>
  <c r="Y804" i="1"/>
  <c r="AI804" i="1"/>
  <c r="AN804" i="1"/>
  <c r="Y587" i="1"/>
  <c r="N38" i="104" s="1"/>
  <c r="Y588" i="1"/>
  <c r="O38" i="104" s="1"/>
  <c r="Y589" i="1"/>
  <c r="P38" i="104" s="1"/>
  <c r="Y590" i="1"/>
  <c r="Q38" i="104" s="1"/>
  <c r="Y591" i="1"/>
  <c r="R38" i="104" s="1"/>
  <c r="Y592" i="1"/>
  <c r="S38" i="104" s="1"/>
  <c r="Y593" i="1"/>
  <c r="T38" i="104" s="1"/>
  <c r="Y594" i="1"/>
  <c r="U38" i="104" s="1"/>
  <c r="Y595" i="1"/>
  <c r="V38" i="104" s="1"/>
  <c r="Y596" i="1"/>
  <c r="W38" i="104" s="1"/>
  <c r="Y615" i="1"/>
  <c r="M40" i="107" s="1"/>
  <c r="Y616" i="1"/>
  <c r="N40" i="107" s="1"/>
  <c r="Y617" i="1"/>
  <c r="O40" i="107" s="1"/>
  <c r="Y618" i="1"/>
  <c r="P40" i="107" s="1"/>
  <c r="Y619" i="1"/>
  <c r="Q40" i="107" s="1"/>
  <c r="Y620" i="1"/>
  <c r="R40" i="107" s="1"/>
  <c r="Y621" i="1"/>
  <c r="S40" i="107" s="1"/>
  <c r="Y622" i="1"/>
  <c r="T40" i="107" s="1"/>
  <c r="Y623" i="1"/>
  <c r="N39" i="104" s="1"/>
  <c r="Y624" i="1"/>
  <c r="O39" i="104" s="1"/>
  <c r="Y625" i="1"/>
  <c r="P39" i="104" s="1"/>
  <c r="Y626" i="1"/>
  <c r="Q39" i="104" s="1"/>
  <c r="Y627" i="1"/>
  <c r="R39" i="104" s="1"/>
  <c r="Y628" i="1"/>
  <c r="S39" i="104" s="1"/>
  <c r="Y629" i="1"/>
  <c r="T39" i="104" s="1"/>
  <c r="Y630" i="1"/>
  <c r="U39" i="104" s="1"/>
  <c r="Y631" i="1"/>
  <c r="V39" i="104" s="1"/>
  <c r="Y632" i="1"/>
  <c r="W39" i="104" s="1"/>
  <c r="Y633" i="1"/>
  <c r="M41" i="107" s="1"/>
  <c r="Y634" i="1"/>
  <c r="N41" i="107" s="1"/>
  <c r="Y635" i="1"/>
  <c r="O41" i="107" s="1"/>
  <c r="Y636" i="1"/>
  <c r="P41" i="107" s="1"/>
  <c r="Y637" i="1"/>
  <c r="Q41" i="107" s="1"/>
  <c r="Y638" i="1"/>
  <c r="R41" i="107" s="1"/>
  <c r="Y639" i="1"/>
  <c r="S41" i="107" s="1"/>
  <c r="Y640" i="1"/>
  <c r="T41" i="107" s="1"/>
  <c r="Y641" i="1"/>
  <c r="N40" i="104" s="1"/>
  <c r="Y642" i="1"/>
  <c r="O40" i="104" s="1"/>
  <c r="Y643" i="1"/>
  <c r="P40" i="104" s="1"/>
  <c r="Y644" i="1"/>
  <c r="Q40" i="104" s="1"/>
  <c r="Y645" i="1"/>
  <c r="R40" i="104" s="1"/>
  <c r="Y646" i="1"/>
  <c r="S40" i="104" s="1"/>
  <c r="Y647" i="1"/>
  <c r="T40" i="104" s="1"/>
  <c r="Y648" i="1"/>
  <c r="U40" i="104" s="1"/>
  <c r="Y649" i="1"/>
  <c r="V40" i="104" s="1"/>
  <c r="Y650" i="1"/>
  <c r="W40" i="104" s="1"/>
  <c r="Y651" i="1"/>
  <c r="N41" i="104" s="1"/>
  <c r="Y652" i="1"/>
  <c r="O41" i="104" s="1"/>
  <c r="Y653" i="1"/>
  <c r="P41" i="104" s="1"/>
  <c r="Y654" i="1"/>
  <c r="Q41" i="104" s="1"/>
  <c r="Y655" i="1"/>
  <c r="R41" i="104" s="1"/>
  <c r="Y656" i="1"/>
  <c r="S41" i="104" s="1"/>
  <c r="Y657" i="1"/>
  <c r="T41" i="104" s="1"/>
  <c r="Y658" i="1"/>
  <c r="U41" i="104" s="1"/>
  <c r="Y659" i="1"/>
  <c r="V41" i="104" s="1"/>
  <c r="Y660" i="1"/>
  <c r="W41" i="104" s="1"/>
  <c r="Y661" i="1"/>
  <c r="N42" i="104" s="1"/>
  <c r="Y662" i="1"/>
  <c r="O42" i="104" s="1"/>
  <c r="Y663" i="1"/>
  <c r="P42" i="104" s="1"/>
  <c r="Y664" i="1"/>
  <c r="Q42" i="104" s="1"/>
  <c r="Y665" i="1"/>
  <c r="R42" i="104" s="1"/>
  <c r="Y666" i="1"/>
  <c r="S42" i="104" s="1"/>
  <c r="Y667" i="1"/>
  <c r="T42" i="104" s="1"/>
  <c r="Y668" i="1"/>
  <c r="U42" i="104" s="1"/>
  <c r="Y669" i="1"/>
  <c r="V42" i="104" s="1"/>
  <c r="Y670" i="1"/>
  <c r="W42" i="104" s="1"/>
  <c r="Y671" i="1"/>
  <c r="N43" i="104" s="1"/>
  <c r="Y672" i="1"/>
  <c r="O43" i="104" s="1"/>
  <c r="Y673" i="1"/>
  <c r="P43" i="104" s="1"/>
  <c r="Y674" i="1"/>
  <c r="Q43" i="104" s="1"/>
  <c r="Y675" i="1"/>
  <c r="R43" i="104" s="1"/>
  <c r="Y676" i="1"/>
  <c r="S43" i="104" s="1"/>
  <c r="Y677" i="1"/>
  <c r="T43" i="104" s="1"/>
  <c r="Y678" i="1"/>
  <c r="U43" i="104" s="1"/>
  <c r="Y679" i="1"/>
  <c r="V43" i="104" s="1"/>
  <c r="Y680" i="1"/>
  <c r="W43" i="104" s="1"/>
  <c r="Y681" i="1"/>
  <c r="N48" i="104" s="1"/>
  <c r="Y682" i="1"/>
  <c r="O48" i="104" s="1"/>
  <c r="Y683" i="1"/>
  <c r="P48" i="104" s="1"/>
  <c r="Y684" i="1"/>
  <c r="Q48" i="104" s="1"/>
  <c r="Y685" i="1"/>
  <c r="R48" i="104" s="1"/>
  <c r="Y686" i="1"/>
  <c r="S48" i="104" s="1"/>
  <c r="Y687" i="1"/>
  <c r="T48" i="104" s="1"/>
  <c r="Y688" i="1"/>
  <c r="U48" i="104" s="1"/>
  <c r="Y689" i="1"/>
  <c r="V48" i="104" s="1"/>
  <c r="Y690" i="1"/>
  <c r="W48" i="104" s="1"/>
  <c r="Y692" i="1"/>
  <c r="N43" i="107" s="1"/>
  <c r="Y693" i="1"/>
  <c r="O43" i="107" s="1"/>
  <c r="Y695" i="1"/>
  <c r="Q43" i="107" s="1"/>
  <c r="Y696" i="1"/>
  <c r="R43" i="107" s="1"/>
  <c r="Y697" i="1"/>
  <c r="S43" i="107" s="1"/>
  <c r="Y698" i="1"/>
  <c r="T43" i="107" s="1"/>
  <c r="Y699" i="1"/>
  <c r="N49" i="104" s="1"/>
  <c r="Y700" i="1"/>
  <c r="O49" i="104" s="1"/>
  <c r="Y701" i="1"/>
  <c r="P49" i="104" s="1"/>
  <c r="Y702" i="1"/>
  <c r="Q49" i="104" s="1"/>
  <c r="Y703" i="1"/>
  <c r="R49" i="104" s="1"/>
  <c r="Y704" i="1"/>
  <c r="S49" i="104" s="1"/>
  <c r="Y705" i="1"/>
  <c r="T49" i="104" s="1"/>
  <c r="Y706" i="1"/>
  <c r="U49" i="104" s="1"/>
  <c r="Y707" i="1"/>
  <c r="V49" i="104" s="1"/>
  <c r="Y708" i="1"/>
  <c r="W49" i="104" s="1"/>
  <c r="Y709" i="1"/>
  <c r="N47" i="104" s="1"/>
  <c r="Y710" i="1"/>
  <c r="O47" i="104" s="1"/>
  <c r="Y711" i="1"/>
  <c r="P47" i="104" s="1"/>
  <c r="Y712" i="1"/>
  <c r="Q47" i="104" s="1"/>
  <c r="Y713" i="1"/>
  <c r="R47" i="104" s="1"/>
  <c r="Y714" i="1"/>
  <c r="S47" i="104" s="1"/>
  <c r="Y715" i="1"/>
  <c r="T47" i="104" s="1"/>
  <c r="Y716" i="1"/>
  <c r="U47" i="104" s="1"/>
  <c r="Y717" i="1"/>
  <c r="V47" i="104" s="1"/>
  <c r="Y718" i="1"/>
  <c r="W47" i="104" s="1"/>
  <c r="Y719" i="1"/>
  <c r="N46" i="104" s="1"/>
  <c r="Y720" i="1"/>
  <c r="O46" i="104" s="1"/>
  <c r="Y721" i="1"/>
  <c r="P46" i="104" s="1"/>
  <c r="Y722" i="1"/>
  <c r="Q46" i="104" s="1"/>
  <c r="Y723" i="1"/>
  <c r="R46" i="104" s="1"/>
  <c r="Y724" i="1"/>
  <c r="S46" i="104" s="1"/>
  <c r="Y725" i="1"/>
  <c r="T46" i="104" s="1"/>
  <c r="Y726" i="1"/>
  <c r="U46" i="104" s="1"/>
  <c r="Y727" i="1"/>
  <c r="V46" i="104" s="1"/>
  <c r="Y728" i="1"/>
  <c r="W46" i="104" s="1"/>
  <c r="Y729" i="1"/>
  <c r="M47" i="107" s="1"/>
  <c r="Y730" i="1"/>
  <c r="N47" i="107" s="1"/>
  <c r="Y731" i="1"/>
  <c r="O47" i="107" s="1"/>
  <c r="Y732" i="1"/>
  <c r="P47" i="107" s="1"/>
  <c r="Y733" i="1"/>
  <c r="Q47" i="107" s="1"/>
  <c r="Y734" i="1"/>
  <c r="R47" i="107" s="1"/>
  <c r="Y735" i="1"/>
  <c r="S47" i="107" s="1"/>
  <c r="Y736" i="1"/>
  <c r="T47" i="107" s="1"/>
  <c r="Y737" i="1"/>
  <c r="N45" i="104" s="1"/>
  <c r="Y738" i="1"/>
  <c r="O45" i="104" s="1"/>
  <c r="Y739" i="1"/>
  <c r="P45" i="104" s="1"/>
  <c r="Y740" i="1"/>
  <c r="Q45" i="104" s="1"/>
  <c r="Y741" i="1"/>
  <c r="R45" i="104" s="1"/>
  <c r="Y742" i="1"/>
  <c r="S45" i="104" s="1"/>
  <c r="Y743" i="1"/>
  <c r="T45" i="104" s="1"/>
  <c r="Y744" i="1"/>
  <c r="U45" i="104" s="1"/>
  <c r="Y745" i="1"/>
  <c r="V45" i="104" s="1"/>
  <c r="Y746" i="1"/>
  <c r="W45" i="104" s="1"/>
  <c r="Y747" i="1"/>
  <c r="M48" i="107" s="1"/>
  <c r="Y748" i="1"/>
  <c r="N48" i="107" s="1"/>
  <c r="Y749" i="1"/>
  <c r="O48" i="107" s="1"/>
  <c r="Y750" i="1"/>
  <c r="P48" i="107" s="1"/>
  <c r="Y751" i="1"/>
  <c r="Q48" i="107" s="1"/>
  <c r="Y752" i="1"/>
  <c r="R48" i="107" s="1"/>
  <c r="Y753" i="1"/>
  <c r="S48" i="107" s="1"/>
  <c r="Y754" i="1"/>
  <c r="T48" i="107" s="1"/>
  <c r="Y755" i="1"/>
  <c r="M42" i="107" s="1"/>
  <c r="Y756" i="1"/>
  <c r="N42" i="107" s="1"/>
  <c r="Y757" i="1"/>
  <c r="O42" i="107" s="1"/>
  <c r="Y758" i="1"/>
  <c r="P42" i="107" s="1"/>
  <c r="Y759" i="1"/>
  <c r="Q42" i="107" s="1"/>
  <c r="Y760" i="1"/>
  <c r="R42" i="107" s="1"/>
  <c r="Y761" i="1"/>
  <c r="S42" i="107" s="1"/>
  <c r="Y762" i="1"/>
  <c r="T42" i="107" s="1"/>
  <c r="Y764" i="1"/>
  <c r="N44" i="107" s="1"/>
  <c r="Y765" i="1"/>
  <c r="O44" i="107" s="1"/>
  <c r="Y766" i="1"/>
  <c r="P44" i="107" s="1"/>
  <c r="Y767" i="1"/>
  <c r="Q44" i="107" s="1"/>
  <c r="Y768" i="1"/>
  <c r="R44" i="107" s="1"/>
  <c r="Y769" i="1"/>
  <c r="S44" i="107" s="1"/>
  <c r="Y770" i="1"/>
  <c r="T44" i="107" s="1"/>
  <c r="Y771" i="1"/>
  <c r="M46" i="107" s="1"/>
  <c r="Y772" i="1"/>
  <c r="N46" i="107" s="1"/>
  <c r="Y773" i="1"/>
  <c r="O46" i="107" s="1"/>
  <c r="Y774" i="1"/>
  <c r="P46" i="107" s="1"/>
  <c r="Y775" i="1"/>
  <c r="Q46" i="107" s="1"/>
  <c r="Y776" i="1"/>
  <c r="R46" i="107" s="1"/>
  <c r="Y777" i="1"/>
  <c r="S46" i="107" s="1"/>
  <c r="Y778" i="1"/>
  <c r="T46" i="107" s="1"/>
  <c r="Y779" i="1"/>
  <c r="N44" i="104" s="1"/>
  <c r="Y780" i="1"/>
  <c r="O44" i="104" s="1"/>
  <c r="Y781" i="1"/>
  <c r="P44" i="104" s="1"/>
  <c r="Y782" i="1"/>
  <c r="Q44" i="104" s="1"/>
  <c r="Y783" i="1"/>
  <c r="R44" i="104" s="1"/>
  <c r="Y784" i="1"/>
  <c r="S44" i="104" s="1"/>
  <c r="Y785" i="1"/>
  <c r="T44" i="104" s="1"/>
  <c r="Y786" i="1"/>
  <c r="U44" i="104" s="1"/>
  <c r="Y787" i="1"/>
  <c r="V44" i="104" s="1"/>
  <c r="Y788" i="1"/>
  <c r="W44" i="104" s="1"/>
  <c r="Y789" i="1"/>
  <c r="M45" i="107" s="1"/>
  <c r="Y790" i="1"/>
  <c r="N45" i="107" s="1"/>
  <c r="Y791" i="1"/>
  <c r="O45" i="107" s="1"/>
  <c r="Y792" i="1"/>
  <c r="P45" i="107" s="1"/>
  <c r="Y793" i="1"/>
  <c r="Q45" i="107" s="1"/>
  <c r="Y794" i="1"/>
  <c r="R45" i="107" s="1"/>
  <c r="Y795" i="1"/>
  <c r="S45" i="107" s="1"/>
  <c r="Y796" i="1"/>
  <c r="T45" i="107" s="1"/>
  <c r="AI587" i="1"/>
  <c r="AI588" i="1"/>
  <c r="AI589" i="1"/>
  <c r="AI590" i="1"/>
  <c r="AI591" i="1"/>
  <c r="AI592" i="1"/>
  <c r="AI593" i="1"/>
  <c r="AI594" i="1"/>
  <c r="AI595" i="1"/>
  <c r="AI596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N587" i="1"/>
  <c r="AN588" i="1"/>
  <c r="AN589" i="1"/>
  <c r="AN590" i="1"/>
  <c r="AN591" i="1"/>
  <c r="AN592" i="1"/>
  <c r="AN593" i="1"/>
  <c r="AN594" i="1"/>
  <c r="AN595" i="1"/>
  <c r="AN596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Y452" i="1"/>
  <c r="N29" i="104" s="1"/>
  <c r="Y453" i="1"/>
  <c r="O29" i="104" s="1"/>
  <c r="Y454" i="1"/>
  <c r="P29" i="104" s="1"/>
  <c r="Y455" i="1"/>
  <c r="Q29" i="104" s="1"/>
  <c r="Y456" i="1"/>
  <c r="R29" i="104" s="1"/>
  <c r="Y457" i="1"/>
  <c r="S29" i="104" s="1"/>
  <c r="Y458" i="1"/>
  <c r="T29" i="104" s="1"/>
  <c r="Y459" i="1"/>
  <c r="U29" i="104" s="1"/>
  <c r="Y460" i="1"/>
  <c r="V29" i="104" s="1"/>
  <c r="Y461" i="1"/>
  <c r="W29" i="104" s="1"/>
  <c r="Y462" i="1"/>
  <c r="M32" i="107" s="1"/>
  <c r="Y463" i="1"/>
  <c r="N32" i="107" s="1"/>
  <c r="Y464" i="1"/>
  <c r="O32" i="107" s="1"/>
  <c r="Y465" i="1"/>
  <c r="P32" i="107" s="1"/>
  <c r="Y466" i="1"/>
  <c r="Q32" i="107" s="1"/>
  <c r="Y467" i="1"/>
  <c r="R32" i="107" s="1"/>
  <c r="Y468" i="1"/>
  <c r="S32" i="107" s="1"/>
  <c r="Y469" i="1"/>
  <c r="N30" i="104" s="1"/>
  <c r="Y470" i="1"/>
  <c r="O30" i="104" s="1"/>
  <c r="Y471" i="1"/>
  <c r="P30" i="104" s="1"/>
  <c r="Y472" i="1"/>
  <c r="Q30" i="104" s="1"/>
  <c r="Y473" i="1"/>
  <c r="R30" i="104" s="1"/>
  <c r="Y474" i="1"/>
  <c r="S30" i="104" s="1"/>
  <c r="Y475" i="1"/>
  <c r="T30" i="104" s="1"/>
  <c r="Y476" i="1"/>
  <c r="U30" i="104" s="1"/>
  <c r="Y477" i="1"/>
  <c r="V30" i="104" s="1"/>
  <c r="Y478" i="1"/>
  <c r="W30" i="104" s="1"/>
  <c r="Y479" i="1"/>
  <c r="M33" i="107" s="1"/>
  <c r="Y480" i="1"/>
  <c r="N33" i="107" s="1"/>
  <c r="Y481" i="1"/>
  <c r="O33" i="107" s="1"/>
  <c r="Y482" i="1"/>
  <c r="P33" i="107" s="1"/>
  <c r="Y483" i="1"/>
  <c r="Q33" i="107" s="1"/>
  <c r="Y484" i="1"/>
  <c r="R33" i="107" s="1"/>
  <c r="Y485" i="1"/>
  <c r="S33" i="107" s="1"/>
  <c r="Y486" i="1"/>
  <c r="T33" i="107" s="1"/>
  <c r="Y487" i="1"/>
  <c r="N31" i="104" s="1"/>
  <c r="Y488" i="1"/>
  <c r="O31" i="104" s="1"/>
  <c r="Y489" i="1"/>
  <c r="P31" i="104" s="1"/>
  <c r="Y490" i="1"/>
  <c r="Q31" i="104" s="1"/>
  <c r="Y491" i="1"/>
  <c r="R31" i="104" s="1"/>
  <c r="Y492" i="1"/>
  <c r="S31" i="104" s="1"/>
  <c r="Y493" i="1"/>
  <c r="T31" i="104" s="1"/>
  <c r="Y494" i="1"/>
  <c r="U31" i="104" s="1"/>
  <c r="Y495" i="1"/>
  <c r="V31" i="104" s="1"/>
  <c r="Y496" i="1"/>
  <c r="W31" i="104" s="1"/>
  <c r="Y497" i="1"/>
  <c r="M34" i="107" s="1"/>
  <c r="Y498" i="1"/>
  <c r="N34" i="107" s="1"/>
  <c r="Y499" i="1"/>
  <c r="O34" i="107" s="1"/>
  <c r="Y500" i="1"/>
  <c r="P34" i="107" s="1"/>
  <c r="Y501" i="1"/>
  <c r="Q34" i="107" s="1"/>
  <c r="Y502" i="1"/>
  <c r="R34" i="107" s="1"/>
  <c r="Y503" i="1"/>
  <c r="S34" i="107" s="1"/>
  <c r="Y504" i="1"/>
  <c r="T34" i="107" s="1"/>
  <c r="Y505" i="1"/>
  <c r="N32" i="104" s="1"/>
  <c r="Y509" i="1"/>
  <c r="R32" i="104" s="1"/>
  <c r="Y510" i="1"/>
  <c r="S32" i="104" s="1"/>
  <c r="Y512" i="1"/>
  <c r="U32" i="104" s="1"/>
  <c r="Y513" i="1"/>
  <c r="V32" i="104" s="1"/>
  <c r="Y514" i="1"/>
  <c r="W32" i="104" s="1"/>
  <c r="Y515" i="1"/>
  <c r="M35" i="107" s="1"/>
  <c r="Y516" i="1"/>
  <c r="N35" i="107" s="1"/>
  <c r="Y517" i="1"/>
  <c r="O35" i="107" s="1"/>
  <c r="Y518" i="1"/>
  <c r="P35" i="107" s="1"/>
  <c r="Y519" i="1"/>
  <c r="Q35" i="107" s="1"/>
  <c r="Y520" i="1"/>
  <c r="R35" i="107" s="1"/>
  <c r="Y521" i="1"/>
  <c r="S35" i="107" s="1"/>
  <c r="Y522" i="1"/>
  <c r="T35" i="107" s="1"/>
  <c r="Y523" i="1"/>
  <c r="N33" i="104" s="1"/>
  <c r="Y524" i="1"/>
  <c r="O33" i="104" s="1"/>
  <c r="Y525" i="1"/>
  <c r="P33" i="104" s="1"/>
  <c r="Y526" i="1"/>
  <c r="Q33" i="104" s="1"/>
  <c r="Y527" i="1"/>
  <c r="R33" i="104" s="1"/>
  <c r="Y528" i="1"/>
  <c r="S33" i="104" s="1"/>
  <c r="Y529" i="1"/>
  <c r="T33" i="104" s="1"/>
  <c r="Y530" i="1"/>
  <c r="U33" i="104" s="1"/>
  <c r="Y531" i="1"/>
  <c r="V33" i="104" s="1"/>
  <c r="Y532" i="1"/>
  <c r="W33" i="104" s="1"/>
  <c r="Y533" i="1"/>
  <c r="M36" i="107" s="1"/>
  <c r="Y534" i="1"/>
  <c r="N36" i="107" s="1"/>
  <c r="Y535" i="1"/>
  <c r="O36" i="107" s="1"/>
  <c r="Y536" i="1"/>
  <c r="P36" i="107" s="1"/>
  <c r="Y537" i="1"/>
  <c r="Q36" i="107" s="1"/>
  <c r="Y538" i="1"/>
  <c r="R36" i="107" s="1"/>
  <c r="Y539" i="1"/>
  <c r="S36" i="107" s="1"/>
  <c r="Y540" i="1"/>
  <c r="T36" i="107" s="1"/>
  <c r="Y541" i="1"/>
  <c r="N34" i="104" s="1"/>
  <c r="Y542" i="1"/>
  <c r="O34" i="104" s="1"/>
  <c r="Y543" i="1"/>
  <c r="P34" i="104" s="1"/>
  <c r="Y544" i="1"/>
  <c r="Q34" i="104" s="1"/>
  <c r="Y545" i="1"/>
  <c r="R34" i="104" s="1"/>
  <c r="Y546" i="1"/>
  <c r="S34" i="104" s="1"/>
  <c r="Y547" i="1"/>
  <c r="T34" i="104" s="1"/>
  <c r="Y548" i="1"/>
  <c r="U34" i="104" s="1"/>
  <c r="Y549" i="1"/>
  <c r="V34" i="104" s="1"/>
  <c r="Y550" i="1"/>
  <c r="W34" i="104" s="1"/>
  <c r="Y551" i="1"/>
  <c r="M38" i="107" s="1"/>
  <c r="Y552" i="1"/>
  <c r="N38" i="107" s="1"/>
  <c r="Y553" i="1"/>
  <c r="O38" i="107" s="1"/>
  <c r="Y554" i="1"/>
  <c r="P38" i="107" s="1"/>
  <c r="Y555" i="1"/>
  <c r="Q38" i="107" s="1"/>
  <c r="Y556" i="1"/>
  <c r="R38" i="107" s="1"/>
  <c r="Y557" i="1"/>
  <c r="S38" i="107" s="1"/>
  <c r="Y558" i="1"/>
  <c r="T38" i="107" s="1"/>
  <c r="Y559" i="1"/>
  <c r="N35" i="104" s="1"/>
  <c r="Y560" i="1"/>
  <c r="O35" i="104" s="1"/>
  <c r="Y561" i="1"/>
  <c r="P35" i="104" s="1"/>
  <c r="Y562" i="1"/>
  <c r="Q35" i="104" s="1"/>
  <c r="Y563" i="1"/>
  <c r="R35" i="104" s="1"/>
  <c r="Y564" i="1"/>
  <c r="S35" i="104" s="1"/>
  <c r="Y565" i="1"/>
  <c r="T35" i="104" s="1"/>
  <c r="Y566" i="1"/>
  <c r="U35" i="104" s="1"/>
  <c r="Y567" i="1"/>
  <c r="V35" i="104" s="1"/>
  <c r="Y568" i="1"/>
  <c r="W35" i="104" s="1"/>
  <c r="Y569" i="1"/>
  <c r="N36" i="104" s="1"/>
  <c r="Y570" i="1"/>
  <c r="O36" i="104" s="1"/>
  <c r="Y571" i="1"/>
  <c r="P36" i="104" s="1"/>
  <c r="Y572" i="1"/>
  <c r="Q36" i="104" s="1"/>
  <c r="Y573" i="1"/>
  <c r="R36" i="104" s="1"/>
  <c r="Y574" i="1"/>
  <c r="S36" i="104" s="1"/>
  <c r="Y575" i="1"/>
  <c r="T36" i="104" s="1"/>
  <c r="Y576" i="1"/>
  <c r="U36" i="104" s="1"/>
  <c r="Y577" i="1"/>
  <c r="V36" i="104" s="1"/>
  <c r="Y578" i="1"/>
  <c r="W36" i="104" s="1"/>
  <c r="Y579" i="1"/>
  <c r="M37" i="107" s="1"/>
  <c r="Y580" i="1"/>
  <c r="N37" i="107" s="1"/>
  <c r="Y581" i="1"/>
  <c r="O37" i="107" s="1"/>
  <c r="Y582" i="1"/>
  <c r="P37" i="107" s="1"/>
  <c r="Y583" i="1"/>
  <c r="Q37" i="107" s="1"/>
  <c r="Y584" i="1"/>
  <c r="R37" i="107" s="1"/>
  <c r="Y585" i="1"/>
  <c r="S37" i="107" s="1"/>
  <c r="Y586" i="1"/>
  <c r="T37" i="107" s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Y320" i="1"/>
  <c r="N23" i="104" s="1"/>
  <c r="Y321" i="1"/>
  <c r="O23" i="104" s="1"/>
  <c r="Y322" i="1"/>
  <c r="P23" i="104" s="1"/>
  <c r="Y323" i="1"/>
  <c r="Q23" i="104" s="1"/>
  <c r="Y324" i="1"/>
  <c r="R23" i="104" s="1"/>
  <c r="Y325" i="1"/>
  <c r="S23" i="104" s="1"/>
  <c r="Y326" i="1"/>
  <c r="T23" i="104" s="1"/>
  <c r="Y327" i="1"/>
  <c r="U23" i="104" s="1"/>
  <c r="Y328" i="1"/>
  <c r="V23" i="104" s="1"/>
  <c r="Y329" i="1"/>
  <c r="W23" i="104" s="1"/>
  <c r="Y330" i="1"/>
  <c r="M23" i="107" s="1"/>
  <c r="Y331" i="1"/>
  <c r="N23" i="107" s="1"/>
  <c r="Y332" i="1"/>
  <c r="O23" i="107" s="1"/>
  <c r="Y333" i="1"/>
  <c r="P23" i="107" s="1"/>
  <c r="Y334" i="1"/>
  <c r="Q23" i="107" s="1"/>
  <c r="Y335" i="1"/>
  <c r="R23" i="107" s="1"/>
  <c r="Y336" i="1"/>
  <c r="S23" i="107" s="1"/>
  <c r="Y337" i="1"/>
  <c r="T23" i="107" s="1"/>
  <c r="Y338" i="1"/>
  <c r="N24" i="104" s="1"/>
  <c r="Y339" i="1"/>
  <c r="O24" i="104" s="1"/>
  <c r="Y340" i="1"/>
  <c r="P24" i="104" s="1"/>
  <c r="Y341" i="1"/>
  <c r="Q24" i="104" s="1"/>
  <c r="Y342" i="1"/>
  <c r="R24" i="104" s="1"/>
  <c r="Y343" i="1"/>
  <c r="S24" i="104" s="1"/>
  <c r="Y344" i="1"/>
  <c r="T24" i="104" s="1"/>
  <c r="Y345" i="1"/>
  <c r="U24" i="104" s="1"/>
  <c r="Y346" i="1"/>
  <c r="V24" i="104" s="1"/>
  <c r="Y347" i="1"/>
  <c r="W24" i="104" s="1"/>
  <c r="Y348" i="1"/>
  <c r="M24" i="107" s="1"/>
  <c r="Y349" i="1"/>
  <c r="N24" i="107" s="1"/>
  <c r="Y350" i="1"/>
  <c r="O24" i="107" s="1"/>
  <c r="Y351" i="1"/>
  <c r="P24" i="107" s="1"/>
  <c r="Y352" i="1"/>
  <c r="Q24" i="107" s="1"/>
  <c r="Y353" i="1"/>
  <c r="R24" i="107" s="1"/>
  <c r="Y354" i="1"/>
  <c r="S24" i="107" s="1"/>
  <c r="Y355" i="1"/>
  <c r="T24" i="107" s="1"/>
  <c r="Y356" i="1"/>
  <c r="N25" i="104" s="1"/>
  <c r="Y357" i="1"/>
  <c r="O25" i="104" s="1"/>
  <c r="Y358" i="1"/>
  <c r="P25" i="104" s="1"/>
  <c r="Y359" i="1"/>
  <c r="Q25" i="104" s="1"/>
  <c r="Y360" i="1"/>
  <c r="R25" i="104" s="1"/>
  <c r="Y361" i="1"/>
  <c r="S25" i="104" s="1"/>
  <c r="Y362" i="1"/>
  <c r="T25" i="104" s="1"/>
  <c r="Y363" i="1"/>
  <c r="U25" i="104" s="1"/>
  <c r="Y364" i="1"/>
  <c r="V25" i="104" s="1"/>
  <c r="Y365" i="1"/>
  <c r="W25" i="104" s="1"/>
  <c r="Y366" i="1"/>
  <c r="M25" i="107" s="1"/>
  <c r="Y367" i="1"/>
  <c r="N25" i="107" s="1"/>
  <c r="Y368" i="1"/>
  <c r="O25" i="107" s="1"/>
  <c r="Y369" i="1"/>
  <c r="P25" i="107" s="1"/>
  <c r="Y370" i="1"/>
  <c r="Q25" i="107" s="1"/>
  <c r="Y371" i="1"/>
  <c r="R25" i="107" s="1"/>
  <c r="Y372" i="1"/>
  <c r="S25" i="107" s="1"/>
  <c r="Y373" i="1"/>
  <c r="T25" i="107" s="1"/>
  <c r="Y374" i="1"/>
  <c r="M26" i="107" s="1"/>
  <c r="Y375" i="1"/>
  <c r="N26" i="107" s="1"/>
  <c r="Y376" i="1"/>
  <c r="O26" i="107" s="1"/>
  <c r="Y377" i="1"/>
  <c r="P26" i="107" s="1"/>
  <c r="Y378" i="1"/>
  <c r="Q26" i="107" s="1"/>
  <c r="Y379" i="1"/>
  <c r="R26" i="107" s="1"/>
  <c r="Y380" i="1"/>
  <c r="S26" i="107" s="1"/>
  <c r="Y381" i="1"/>
  <c r="T26" i="107" s="1"/>
  <c r="Y382" i="1"/>
  <c r="N26" i="104" s="1"/>
  <c r="Y383" i="1"/>
  <c r="O26" i="104" s="1"/>
  <c r="Y384" i="1"/>
  <c r="P26" i="104" s="1"/>
  <c r="Y385" i="1"/>
  <c r="Q26" i="104" s="1"/>
  <c r="Y386" i="1"/>
  <c r="R26" i="104" s="1"/>
  <c r="Y387" i="1"/>
  <c r="S26" i="104" s="1"/>
  <c r="Y388" i="1"/>
  <c r="T26" i="104" s="1"/>
  <c r="Y389" i="1"/>
  <c r="U26" i="104" s="1"/>
  <c r="Y390" i="1"/>
  <c r="V26" i="104" s="1"/>
  <c r="Y391" i="1"/>
  <c r="W26" i="104" s="1"/>
  <c r="Y392" i="1"/>
  <c r="M27" i="107" s="1"/>
  <c r="Y393" i="1"/>
  <c r="N27" i="107" s="1"/>
  <c r="Y395" i="1"/>
  <c r="P27" i="107" s="1"/>
  <c r="Y396" i="1"/>
  <c r="Q27" i="107" s="1"/>
  <c r="Y397" i="1"/>
  <c r="R27" i="107" s="1"/>
  <c r="Y398" i="1"/>
  <c r="S27" i="107" s="1"/>
  <c r="Y399" i="1"/>
  <c r="T27" i="107" s="1"/>
  <c r="Y400" i="1"/>
  <c r="M28" i="107" s="1"/>
  <c r="Y401" i="1"/>
  <c r="N28" i="107" s="1"/>
  <c r="Y402" i="1"/>
  <c r="O28" i="107" s="1"/>
  <c r="Y403" i="1"/>
  <c r="P28" i="107" s="1"/>
  <c r="Y404" i="1"/>
  <c r="Q28" i="107" s="1"/>
  <c r="Y405" i="1"/>
  <c r="R28" i="107" s="1"/>
  <c r="Y406" i="1"/>
  <c r="S28" i="107" s="1"/>
  <c r="Y407" i="1"/>
  <c r="T28" i="107" s="1"/>
  <c r="Y408" i="1"/>
  <c r="N27" i="104" s="1"/>
  <c r="Y409" i="1"/>
  <c r="O27" i="104" s="1"/>
  <c r="Y410" i="1"/>
  <c r="P27" i="104" s="1"/>
  <c r="Y412" i="1"/>
  <c r="R27" i="104" s="1"/>
  <c r="Y413" i="1"/>
  <c r="S27" i="104" s="1"/>
  <c r="Y414" i="1"/>
  <c r="T27" i="104" s="1"/>
  <c r="Y415" i="1"/>
  <c r="U27" i="104" s="1"/>
  <c r="Y416" i="1"/>
  <c r="V27" i="104" s="1"/>
  <c r="Y417" i="1"/>
  <c r="W27" i="104" s="1"/>
  <c r="Y418" i="1"/>
  <c r="M29" i="107" s="1"/>
  <c r="Y419" i="1"/>
  <c r="N29" i="107" s="1"/>
  <c r="Y420" i="1"/>
  <c r="O29" i="107" s="1"/>
  <c r="Y421" i="1"/>
  <c r="P29" i="107" s="1"/>
  <c r="Y422" i="1"/>
  <c r="Q29" i="107" s="1"/>
  <c r="Y423" i="1"/>
  <c r="R29" i="107" s="1"/>
  <c r="Y424" i="1"/>
  <c r="S29" i="107" s="1"/>
  <c r="Y425" i="1"/>
  <c r="T29" i="107" s="1"/>
  <c r="Y426" i="1"/>
  <c r="M30" i="107" s="1"/>
  <c r="Y427" i="1"/>
  <c r="N30" i="107" s="1"/>
  <c r="Y428" i="1"/>
  <c r="O30" i="107" s="1"/>
  <c r="Y429" i="1"/>
  <c r="P30" i="107" s="1"/>
  <c r="Y430" i="1"/>
  <c r="Q30" i="107" s="1"/>
  <c r="Y431" i="1"/>
  <c r="R30" i="107" s="1"/>
  <c r="Y432" i="1"/>
  <c r="S30" i="107" s="1"/>
  <c r="Y433" i="1"/>
  <c r="T30" i="107" s="1"/>
  <c r="Y434" i="1"/>
  <c r="N28" i="104" s="1"/>
  <c r="Y435" i="1"/>
  <c r="O28" i="104" s="1"/>
  <c r="Y436" i="1"/>
  <c r="P28" i="104" s="1"/>
  <c r="Y437" i="1"/>
  <c r="Q28" i="104" s="1"/>
  <c r="Y438" i="1"/>
  <c r="R28" i="104" s="1"/>
  <c r="Y439" i="1"/>
  <c r="S28" i="104" s="1"/>
  <c r="Y440" i="1"/>
  <c r="T28" i="104" s="1"/>
  <c r="Y441" i="1"/>
  <c r="U28" i="104" s="1"/>
  <c r="Y444" i="1"/>
  <c r="M31" i="107" s="1"/>
  <c r="Y445" i="1"/>
  <c r="N31" i="107" s="1"/>
  <c r="Y446" i="1"/>
  <c r="O31" i="107" s="1"/>
  <c r="Y447" i="1"/>
  <c r="P31" i="107" s="1"/>
  <c r="Y448" i="1"/>
  <c r="Q31" i="107" s="1"/>
  <c r="Y449" i="1"/>
  <c r="R31" i="107" s="1"/>
  <c r="Y450" i="1"/>
  <c r="S31" i="107" s="1"/>
  <c r="Y451" i="1"/>
  <c r="T31" i="107" s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4" i="1"/>
  <c r="AI445" i="1"/>
  <c r="AI446" i="1"/>
  <c r="AI447" i="1"/>
  <c r="AI448" i="1"/>
  <c r="AI449" i="1"/>
  <c r="AI450" i="1"/>
  <c r="AI451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4" i="1"/>
  <c r="AN445" i="1"/>
  <c r="AN446" i="1"/>
  <c r="AN447" i="1"/>
  <c r="AN448" i="1"/>
  <c r="AN449" i="1"/>
  <c r="AN450" i="1"/>
  <c r="AN451" i="1"/>
  <c r="U26" i="107" l="1"/>
  <c r="U38" i="107"/>
  <c r="U35" i="107"/>
  <c r="U48" i="107"/>
  <c r="U32" i="107"/>
  <c r="U46" i="107"/>
  <c r="U49" i="107"/>
  <c r="U24" i="107"/>
  <c r="U34" i="107"/>
  <c r="U42" i="107"/>
  <c r="U41" i="107"/>
  <c r="U31" i="107"/>
  <c r="U29" i="107"/>
  <c r="U27" i="107"/>
  <c r="U36" i="107"/>
  <c r="U47" i="107"/>
  <c r="U45" i="107"/>
  <c r="U25" i="107"/>
  <c r="U23" i="107"/>
  <c r="U37" i="107"/>
  <c r="U33" i="107"/>
  <c r="U44" i="107"/>
  <c r="U40" i="107"/>
  <c r="U43" i="107"/>
  <c r="U30" i="107"/>
  <c r="U28" i="107"/>
  <c r="AA411" i="1"/>
  <c r="AA392" i="1"/>
  <c r="AA380" i="1"/>
  <c r="AA360" i="1"/>
  <c r="AA348" i="1"/>
  <c r="AA322" i="1"/>
  <c r="AA384" i="1"/>
  <c r="AA364" i="1"/>
  <c r="AE352" i="1"/>
  <c r="AA340" i="1"/>
  <c r="AA351" i="1"/>
  <c r="AA389" i="1"/>
  <c r="AA369" i="1"/>
  <c r="AE345" i="1"/>
  <c r="AA333" i="1"/>
  <c r="AE393" i="1"/>
  <c r="AA361" i="1"/>
  <c r="AE349" i="1"/>
  <c r="AA325" i="1"/>
  <c r="AA379" i="1"/>
  <c r="AE335" i="1"/>
  <c r="AA376" i="1"/>
  <c r="AA368" i="1"/>
  <c r="AA356" i="1"/>
  <c r="AA367" i="1"/>
  <c r="AE330" i="1"/>
  <c r="AE385" i="1"/>
  <c r="AE329" i="1"/>
  <c r="AA336" i="1"/>
  <c r="AA372" i="1"/>
  <c r="AE365" i="1"/>
  <c r="AE427" i="1"/>
  <c r="AE451" i="1"/>
  <c r="AA447" i="1"/>
  <c r="AA439" i="1"/>
  <c r="AA433" i="1"/>
  <c r="AA397" i="1"/>
  <c r="AA401" i="1"/>
  <c r="AA446" i="1"/>
  <c r="AA410" i="1"/>
  <c r="AA396" i="1"/>
  <c r="AE436" i="1"/>
  <c r="AE430" i="1"/>
  <c r="AE400" i="1"/>
  <c r="AA450" i="1"/>
  <c r="AA434" i="1"/>
  <c r="AA428" i="1"/>
  <c r="AA414" i="1"/>
  <c r="AA406" i="1"/>
  <c r="AA424" i="1"/>
  <c r="AD424" i="1"/>
  <c r="AK424" i="1"/>
  <c r="AP424" i="1"/>
  <c r="AJ422" i="1"/>
  <c r="AO422" i="1"/>
  <c r="AJ420" i="1"/>
  <c r="AO420" i="1"/>
  <c r="AC423" i="1"/>
  <c r="AE423" i="1"/>
  <c r="AJ419" i="1"/>
  <c r="AO419" i="1"/>
  <c r="AA423" i="1"/>
  <c r="AP423" i="1"/>
  <c r="AD423" i="1"/>
  <c r="AK423" i="1"/>
  <c r="AE424" i="1"/>
  <c r="AC424" i="1"/>
  <c r="AE422" i="1"/>
  <c r="AC422" i="1"/>
  <c r="AA422" i="1"/>
  <c r="AK422" i="1"/>
  <c r="AP422" i="1"/>
  <c r="AD422" i="1"/>
  <c r="AC421" i="1"/>
  <c r="AE421" i="1"/>
  <c r="AJ425" i="1"/>
  <c r="AO425" i="1"/>
  <c r="AC420" i="1"/>
  <c r="AE420" i="1"/>
  <c r="AJ424" i="1"/>
  <c r="AO424" i="1"/>
  <c r="AA420" i="1"/>
  <c r="AP420" i="1"/>
  <c r="AD420" i="1"/>
  <c r="AK420" i="1"/>
  <c r="AA421" i="1"/>
  <c r="AD421" i="1"/>
  <c r="AP421" i="1"/>
  <c r="AK421" i="1"/>
  <c r="AC419" i="1"/>
  <c r="AE419" i="1"/>
  <c r="AJ423" i="1"/>
  <c r="AO423" i="1"/>
  <c r="AA419" i="1"/>
  <c r="AK419" i="1"/>
  <c r="AD419" i="1"/>
  <c r="AP419" i="1"/>
  <c r="AE425" i="1"/>
  <c r="AC425" i="1"/>
  <c r="AJ421" i="1"/>
  <c r="AO421" i="1"/>
  <c r="AA425" i="1"/>
  <c r="AK425" i="1"/>
  <c r="AP425" i="1"/>
  <c r="AD425" i="1"/>
  <c r="AE444" i="1"/>
  <c r="AA381" i="1"/>
  <c r="AJ806" i="1"/>
  <c r="AJ812" i="1"/>
  <c r="AJ807" i="1"/>
  <c r="AE811" i="1"/>
  <c r="AC809" i="1"/>
  <c r="AO811" i="1"/>
  <c r="AA809" i="1"/>
  <c r="AA808" i="1"/>
  <c r="AD811" i="1"/>
  <c r="AE806" i="1"/>
  <c r="AD810" i="1"/>
  <c r="AP809" i="1"/>
  <c r="AK809" i="1"/>
  <c r="AA811" i="1"/>
  <c r="AA807" i="1"/>
  <c r="AO812" i="1"/>
  <c r="AP806" i="1"/>
  <c r="AE809" i="1"/>
  <c r="AO807" i="1"/>
  <c r="AO809" i="1"/>
  <c r="AA812" i="1"/>
  <c r="AC807" i="1"/>
  <c r="AD806" i="1"/>
  <c r="AP808" i="1"/>
  <c r="AJ810" i="1"/>
  <c r="AD812" i="1"/>
  <c r="AJ808" i="1"/>
  <c r="AC811" i="1"/>
  <c r="AE808" i="1"/>
  <c r="AO806" i="1"/>
  <c r="AK812" i="1"/>
  <c r="AD809" i="1"/>
  <c r="AC806" i="1"/>
  <c r="AD808" i="1"/>
  <c r="AA810" i="1"/>
  <c r="AK808" i="1"/>
  <c r="AD807" i="1"/>
  <c r="AE812" i="1"/>
  <c r="AK807" i="1"/>
  <c r="AO810" i="1"/>
  <c r="AP812" i="1"/>
  <c r="AC810" i="1"/>
  <c r="AJ809" i="1"/>
  <c r="AP807" i="1"/>
  <c r="AP811" i="1"/>
  <c r="AK806" i="1"/>
  <c r="AE810" i="1"/>
  <c r="AC808" i="1"/>
  <c r="AA806" i="1"/>
  <c r="AP810" i="1"/>
  <c r="AO808" i="1"/>
  <c r="AJ811" i="1"/>
  <c r="AK811" i="1"/>
  <c r="AE807" i="1"/>
  <c r="AK810" i="1"/>
  <c r="AC812" i="1"/>
  <c r="AO805" i="1"/>
  <c r="AE805" i="1"/>
  <c r="AC805" i="1"/>
  <c r="AK805" i="1"/>
  <c r="AD805" i="1"/>
  <c r="AA805" i="1"/>
  <c r="AP805" i="1"/>
  <c r="AJ805" i="1"/>
  <c r="AA332" i="1"/>
  <c r="AE795" i="1"/>
  <c r="AE787" i="1"/>
  <c r="AA773" i="1"/>
  <c r="AA767" i="1"/>
  <c r="AE761" i="1"/>
  <c r="AE747" i="1"/>
  <c r="AE739" i="1"/>
  <c r="AA715" i="1"/>
  <c r="AE707" i="1"/>
  <c r="AE699" i="1"/>
  <c r="AE677" i="1"/>
  <c r="AE663" i="1"/>
  <c r="AE655" i="1"/>
  <c r="AE649" i="1"/>
  <c r="AE641" i="1"/>
  <c r="AE633" i="1"/>
  <c r="AE627" i="1"/>
  <c r="AD747" i="1"/>
  <c r="AD707" i="1"/>
  <c r="AD683" i="1"/>
  <c r="AD677" i="1"/>
  <c r="AD649" i="1"/>
  <c r="AD633" i="1"/>
  <c r="AD589" i="1"/>
  <c r="AD581" i="1"/>
  <c r="AD557" i="1"/>
  <c r="AD525" i="1"/>
  <c r="AD493" i="1"/>
  <c r="AD477" i="1"/>
  <c r="AD794" i="1"/>
  <c r="AD766" i="1"/>
  <c r="AD754" i="1"/>
  <c r="AD746" i="1"/>
  <c r="AD730" i="1"/>
  <c r="AD722" i="1"/>
  <c r="AD706" i="1"/>
  <c r="AD698" i="1"/>
  <c r="AD682" i="1"/>
  <c r="AD676" i="1"/>
  <c r="AD670" i="1"/>
  <c r="AD662" i="1"/>
  <c r="AD640" i="1"/>
  <c r="AD626" i="1"/>
  <c r="AD620" i="1"/>
  <c r="AD596" i="1"/>
  <c r="AD628" i="1"/>
  <c r="AE519" i="1"/>
  <c r="AJ766" i="1"/>
  <c r="AJ722" i="1"/>
  <c r="AJ690" i="1"/>
  <c r="AJ682" i="1"/>
  <c r="AJ670" i="1"/>
  <c r="AJ648" i="1"/>
  <c r="AJ640" i="1"/>
  <c r="AJ588" i="1"/>
  <c r="AE463" i="1"/>
  <c r="AO794" i="1"/>
  <c r="AO786" i="1"/>
  <c r="AO772" i="1"/>
  <c r="AO766" i="1"/>
  <c r="AO754" i="1"/>
  <c r="AO738" i="1"/>
  <c r="AO730" i="1"/>
  <c r="AO698" i="1"/>
  <c r="AC738" i="1"/>
  <c r="AC431" i="1"/>
  <c r="AC367" i="1"/>
  <c r="AC343" i="1"/>
  <c r="AC331" i="1"/>
  <c r="AC323" i="1"/>
  <c r="AJ771" i="1"/>
  <c r="AJ669" i="1"/>
  <c r="AA801" i="1"/>
  <c r="AD790" i="1"/>
  <c r="AD782" i="1"/>
  <c r="AD776" i="1"/>
  <c r="AD770" i="1"/>
  <c r="AD750" i="1"/>
  <c r="AD742" i="1"/>
  <c r="AD734" i="1"/>
  <c r="AD726" i="1"/>
  <c r="AD694" i="1"/>
  <c r="AD686" i="1"/>
  <c r="AD672" i="1"/>
  <c r="AD666" i="1"/>
  <c r="AD644" i="1"/>
  <c r="AD630" i="1"/>
  <c r="AD616" i="1"/>
  <c r="AD592" i="1"/>
  <c r="AC799" i="1"/>
  <c r="AA785" i="1"/>
  <c r="AE771" i="1"/>
  <c r="AA765" i="1"/>
  <c r="AA759" i="1"/>
  <c r="AA753" i="1"/>
  <c r="AE737" i="1"/>
  <c r="AA721" i="1"/>
  <c r="AA661" i="1"/>
  <c r="AA647" i="1"/>
  <c r="AE557" i="1"/>
  <c r="AE533" i="1"/>
  <c r="AE517" i="1"/>
  <c r="AE509" i="1"/>
  <c r="AA469" i="1"/>
  <c r="AE464" i="1"/>
  <c r="AE456" i="1"/>
  <c r="AO798" i="1"/>
  <c r="AE751" i="1"/>
  <c r="AE645" i="1"/>
  <c r="AE782" i="1"/>
  <c r="AE776" i="1"/>
  <c r="AE756" i="1"/>
  <c r="AE742" i="1"/>
  <c r="AE718" i="1"/>
  <c r="AE710" i="1"/>
  <c r="AE694" i="1"/>
  <c r="AE680" i="1"/>
  <c r="AE658" i="1"/>
  <c r="AE616" i="1"/>
  <c r="AO804" i="1"/>
  <c r="AD798" i="1"/>
  <c r="AC571" i="1"/>
  <c r="AE580" i="1"/>
  <c r="AE556" i="1"/>
  <c r="AE548" i="1"/>
  <c r="AE532" i="1"/>
  <c r="AE516" i="1"/>
  <c r="AE508" i="1"/>
  <c r="AE500" i="1"/>
  <c r="AE492" i="1"/>
  <c r="AE484" i="1"/>
  <c r="AE476" i="1"/>
  <c r="AE455" i="1"/>
  <c r="AE794" i="1"/>
  <c r="AE772" i="1"/>
  <c r="AE766" i="1"/>
  <c r="AE754" i="1"/>
  <c r="AE746" i="1"/>
  <c r="AE738" i="1"/>
  <c r="AE730" i="1"/>
  <c r="AE722" i="1"/>
  <c r="AE706" i="1"/>
  <c r="AE690" i="1"/>
  <c r="AE682" i="1"/>
  <c r="AE676" i="1"/>
  <c r="AE670" i="1"/>
  <c r="AE662" i="1"/>
  <c r="AE640" i="1"/>
  <c r="AE626" i="1"/>
  <c r="AA620" i="1"/>
  <c r="AE596" i="1"/>
  <c r="AC797" i="1"/>
  <c r="AO595" i="1"/>
  <c r="AA793" i="1"/>
  <c r="AE793" i="1"/>
  <c r="AA745" i="1"/>
  <c r="AE745" i="1"/>
  <c r="AA729" i="1"/>
  <c r="AE729" i="1"/>
  <c r="AA713" i="1"/>
  <c r="AE713" i="1"/>
  <c r="AA697" i="1"/>
  <c r="AE697" i="1"/>
  <c r="AA689" i="1"/>
  <c r="AE689" i="1"/>
  <c r="AA681" i="1"/>
  <c r="AE681" i="1"/>
  <c r="AA675" i="1"/>
  <c r="AE675" i="1"/>
  <c r="AA669" i="1"/>
  <c r="AE669" i="1"/>
  <c r="AA653" i="1"/>
  <c r="AE653" i="1"/>
  <c r="AA639" i="1"/>
  <c r="AE639" i="1"/>
  <c r="AA619" i="1"/>
  <c r="AE619" i="1"/>
  <c r="AA587" i="1"/>
  <c r="AE587" i="1"/>
  <c r="AO582" i="1"/>
  <c r="AO558" i="1"/>
  <c r="AO542" i="1"/>
  <c r="AO510" i="1"/>
  <c r="AC466" i="1"/>
  <c r="AO776" i="1"/>
  <c r="AO770" i="1"/>
  <c r="AO756" i="1"/>
  <c r="AO750" i="1"/>
  <c r="AO734" i="1"/>
  <c r="AO726" i="1"/>
  <c r="AO702" i="1"/>
  <c r="AO694" i="1"/>
  <c r="AO680" i="1"/>
  <c r="AO672" i="1"/>
  <c r="AO666" i="1"/>
  <c r="AO636" i="1"/>
  <c r="AO630" i="1"/>
  <c r="AO616" i="1"/>
  <c r="AO592" i="1"/>
  <c r="AD546" i="1"/>
  <c r="AD530" i="1"/>
  <c r="AD514" i="1"/>
  <c r="AD490" i="1"/>
  <c r="AD482" i="1"/>
  <c r="AO779" i="1"/>
  <c r="AO773" i="1"/>
  <c r="AO723" i="1"/>
  <c r="AO699" i="1"/>
  <c r="AO691" i="1"/>
  <c r="AO677" i="1"/>
  <c r="AO663" i="1"/>
  <c r="AO649" i="1"/>
  <c r="AO633" i="1"/>
  <c r="AO627" i="1"/>
  <c r="AO621" i="1"/>
  <c r="AK721" i="1"/>
  <c r="AK661" i="1"/>
  <c r="AE781" i="1"/>
  <c r="AE775" i="1"/>
  <c r="AE769" i="1"/>
  <c r="AA755" i="1"/>
  <c r="AA749" i="1"/>
  <c r="AA741" i="1"/>
  <c r="AE725" i="1"/>
  <c r="AE709" i="1"/>
  <c r="AE693" i="1"/>
  <c r="AA685" i="1"/>
  <c r="AA679" i="1"/>
  <c r="AA665" i="1"/>
  <c r="AA657" i="1"/>
  <c r="AA643" i="1"/>
  <c r="AE635" i="1"/>
  <c r="AE615" i="1"/>
  <c r="AA591" i="1"/>
  <c r="AA705" i="1"/>
  <c r="AP744" i="1"/>
  <c r="AP652" i="1"/>
  <c r="AJ795" i="1"/>
  <c r="AJ761" i="1"/>
  <c r="AJ683" i="1"/>
  <c r="AE791" i="1"/>
  <c r="AE783" i="1"/>
  <c r="AE777" i="1"/>
  <c r="AE763" i="1"/>
  <c r="AE757" i="1"/>
  <c r="AE743" i="1"/>
  <c r="AE727" i="1"/>
  <c r="AE719" i="1"/>
  <c r="AE711" i="1"/>
  <c r="AE703" i="1"/>
  <c r="AE687" i="1"/>
  <c r="AE673" i="1"/>
  <c r="AE659" i="1"/>
  <c r="AK645" i="1"/>
  <c r="AE631" i="1"/>
  <c r="AP623" i="1"/>
  <c r="AE617" i="1"/>
  <c r="AP593" i="1"/>
  <c r="AP793" i="1"/>
  <c r="AP753" i="1"/>
  <c r="AP705" i="1"/>
  <c r="AP669" i="1"/>
  <c r="AP661" i="1"/>
  <c r="AP625" i="1"/>
  <c r="AP595" i="1"/>
  <c r="AD800" i="1"/>
  <c r="AA797" i="1"/>
  <c r="AJ802" i="1"/>
  <c r="AO803" i="1"/>
  <c r="AC804" i="1"/>
  <c r="AD801" i="1"/>
  <c r="AJ803" i="1"/>
  <c r="AE803" i="1"/>
  <c r="AE784" i="1"/>
  <c r="AE764" i="1"/>
  <c r="AE712" i="1"/>
  <c r="AE688" i="1"/>
  <c r="AA668" i="1"/>
  <c r="AE646" i="1"/>
  <c r="AE624" i="1"/>
  <c r="AE594" i="1"/>
  <c r="AC803" i="1"/>
  <c r="AC386" i="1"/>
  <c r="AA627" i="1"/>
  <c r="AC416" i="1"/>
  <c r="AK472" i="1"/>
  <c r="AA790" i="1"/>
  <c r="AE790" i="1"/>
  <c r="AA770" i="1"/>
  <c r="AE770" i="1"/>
  <c r="AA750" i="1"/>
  <c r="AE750" i="1"/>
  <c r="AA734" i="1"/>
  <c r="AE734" i="1"/>
  <c r="AA726" i="1"/>
  <c r="AE726" i="1"/>
  <c r="AA702" i="1"/>
  <c r="AE702" i="1"/>
  <c r="AA686" i="1"/>
  <c r="AE686" i="1"/>
  <c r="AA672" i="1"/>
  <c r="AE672" i="1"/>
  <c r="AA666" i="1"/>
  <c r="AE666" i="1"/>
  <c r="AE644" i="1"/>
  <c r="AA644" i="1"/>
  <c r="AA636" i="1"/>
  <c r="AE636" i="1"/>
  <c r="AA630" i="1"/>
  <c r="AE630" i="1"/>
  <c r="AE592" i="1"/>
  <c r="AA592" i="1"/>
  <c r="AJ465" i="1"/>
  <c r="AJ457" i="1"/>
  <c r="AO583" i="1"/>
  <c r="AO575" i="1"/>
  <c r="AO559" i="1"/>
  <c r="AO551" i="1"/>
  <c r="AO527" i="1"/>
  <c r="AO503" i="1"/>
  <c r="AJ793" i="1"/>
  <c r="AK785" i="1"/>
  <c r="AJ753" i="1"/>
  <c r="AJ705" i="1"/>
  <c r="AJ675" i="1"/>
  <c r="AK669" i="1"/>
  <c r="AK653" i="1"/>
  <c r="AA621" i="1"/>
  <c r="AE621" i="1"/>
  <c r="AE651" i="1"/>
  <c r="AP651" i="1"/>
  <c r="AC430" i="1"/>
  <c r="AD572" i="1"/>
  <c r="AD556" i="1"/>
  <c r="AD532" i="1"/>
  <c r="AD516" i="1"/>
  <c r="AD508" i="1"/>
  <c r="AD492" i="1"/>
  <c r="AD484" i="1"/>
  <c r="AP635" i="1"/>
  <c r="AJ779" i="1"/>
  <c r="AD791" i="1"/>
  <c r="AD777" i="1"/>
  <c r="AD757" i="1"/>
  <c r="AD743" i="1"/>
  <c r="AD735" i="1"/>
  <c r="AD727" i="1"/>
  <c r="AD719" i="1"/>
  <c r="AD711" i="1"/>
  <c r="AD703" i="1"/>
  <c r="AD695" i="1"/>
  <c r="AD687" i="1"/>
  <c r="AD673" i="1"/>
  <c r="AD667" i="1"/>
  <c r="AD659" i="1"/>
  <c r="AD651" i="1"/>
  <c r="AD645" i="1"/>
  <c r="AD637" i="1"/>
  <c r="AD631" i="1"/>
  <c r="AD623" i="1"/>
  <c r="AD617" i="1"/>
  <c r="AD593" i="1"/>
  <c r="AP702" i="1"/>
  <c r="AP791" i="1"/>
  <c r="AP777" i="1"/>
  <c r="AP790" i="1"/>
  <c r="AP742" i="1"/>
  <c r="AP718" i="1"/>
  <c r="AP658" i="1"/>
  <c r="AK683" i="1"/>
  <c r="AK637" i="1"/>
  <c r="AK631" i="1"/>
  <c r="AP636" i="1"/>
  <c r="AP787" i="1"/>
  <c r="AP655" i="1"/>
  <c r="AP589" i="1"/>
  <c r="AJ595" i="1"/>
  <c r="AC636" i="1"/>
  <c r="AA791" i="1"/>
  <c r="AA783" i="1"/>
  <c r="AA777" i="1"/>
  <c r="AA763" i="1"/>
  <c r="AA751" i="1"/>
  <c r="AA735" i="1"/>
  <c r="AA727" i="1"/>
  <c r="AA695" i="1"/>
  <c r="AE667" i="1"/>
  <c r="AE593" i="1"/>
  <c r="AO785" i="1"/>
  <c r="AO771" i="1"/>
  <c r="AO759" i="1"/>
  <c r="AO737" i="1"/>
  <c r="AO713" i="1"/>
  <c r="AO587" i="1"/>
  <c r="AK790" i="1"/>
  <c r="AK776" i="1"/>
  <c r="AK770" i="1"/>
  <c r="AK756" i="1"/>
  <c r="AK750" i="1"/>
  <c r="AK742" i="1"/>
  <c r="AK726" i="1"/>
  <c r="AK718" i="1"/>
  <c r="AK710" i="1"/>
  <c r="AK702" i="1"/>
  <c r="AK694" i="1"/>
  <c r="AK658" i="1"/>
  <c r="AK616" i="1"/>
  <c r="AK592" i="1"/>
  <c r="AE735" i="1"/>
  <c r="AE695" i="1"/>
  <c r="AC787" i="1"/>
  <c r="AC739" i="1"/>
  <c r="AC731" i="1"/>
  <c r="AC723" i="1"/>
  <c r="AC663" i="1"/>
  <c r="AP711" i="1"/>
  <c r="AP703" i="1"/>
  <c r="AP673" i="1"/>
  <c r="AP645" i="1"/>
  <c r="AA794" i="1"/>
  <c r="AA786" i="1"/>
  <c r="AA772" i="1"/>
  <c r="AA766" i="1"/>
  <c r="AA760" i="1"/>
  <c r="AA754" i="1"/>
  <c r="AA746" i="1"/>
  <c r="AA738" i="1"/>
  <c r="AA722" i="1"/>
  <c r="AA714" i="1"/>
  <c r="AA706" i="1"/>
  <c r="AA698" i="1"/>
  <c r="AA690" i="1"/>
  <c r="AA676" i="1"/>
  <c r="AA662" i="1"/>
  <c r="AA654" i="1"/>
  <c r="AA648" i="1"/>
  <c r="AA640" i="1"/>
  <c r="AA596" i="1"/>
  <c r="AA588" i="1"/>
  <c r="AA779" i="1"/>
  <c r="AA796" i="1"/>
  <c r="AA788" i="1"/>
  <c r="AA780" i="1"/>
  <c r="AA774" i="1"/>
  <c r="AA768" i="1"/>
  <c r="AA762" i="1"/>
  <c r="AA748" i="1"/>
  <c r="AA740" i="1"/>
  <c r="AA732" i="1"/>
  <c r="AA724" i="1"/>
  <c r="AA716" i="1"/>
  <c r="AA708" i="1"/>
  <c r="AA700" i="1"/>
  <c r="AA692" i="1"/>
  <c r="AA684" i="1"/>
  <c r="AA678" i="1"/>
  <c r="AA664" i="1"/>
  <c r="AA656" i="1"/>
  <c r="AA650" i="1"/>
  <c r="AA642" i="1"/>
  <c r="AA634" i="1"/>
  <c r="AA628" i="1"/>
  <c r="AA622" i="1"/>
  <c r="AA590" i="1"/>
  <c r="AD802" i="1"/>
  <c r="AK799" i="1"/>
  <c r="AD803" i="1"/>
  <c r="AD804" i="1"/>
  <c r="AP802" i="1"/>
  <c r="AE799" i="1"/>
  <c r="AE797" i="1"/>
  <c r="AO797" i="1"/>
  <c r="AP743" i="1"/>
  <c r="AP637" i="1"/>
  <c r="AO655" i="1"/>
  <c r="AO690" i="1"/>
  <c r="AA492" i="1"/>
  <c r="AJ739" i="1"/>
  <c r="AP783" i="1"/>
  <c r="AP757" i="1"/>
  <c r="AJ662" i="1"/>
  <c r="AJ596" i="1"/>
  <c r="AO589" i="1"/>
  <c r="AK771" i="1"/>
  <c r="AK759" i="1"/>
  <c r="AJ729" i="1"/>
  <c r="AJ689" i="1"/>
  <c r="AP581" i="1"/>
  <c r="AP573" i="1"/>
  <c r="AP565" i="1"/>
  <c r="AP557" i="1"/>
  <c r="AP549" i="1"/>
  <c r="AP541" i="1"/>
  <c r="AP533" i="1"/>
  <c r="AP773" i="1"/>
  <c r="AP572" i="1"/>
  <c r="AP556" i="1"/>
  <c r="AP548" i="1"/>
  <c r="AP540" i="1"/>
  <c r="AP532" i="1"/>
  <c r="AP516" i="1"/>
  <c r="AP484" i="1"/>
  <c r="AP476" i="1"/>
  <c r="AJ482" i="1"/>
  <c r="AC573" i="1"/>
  <c r="AC564" i="1"/>
  <c r="AC463" i="1"/>
  <c r="AC455" i="1"/>
  <c r="AO739" i="1"/>
  <c r="AO707" i="1"/>
  <c r="AO641" i="1"/>
  <c r="AP641" i="1"/>
  <c r="AP633" i="1"/>
  <c r="AK734" i="1"/>
  <c r="AK686" i="1"/>
  <c r="AK680" i="1"/>
  <c r="AJ680" i="1"/>
  <c r="AK644" i="1"/>
  <c r="AD749" i="1"/>
  <c r="AA723" i="1"/>
  <c r="AE723" i="1"/>
  <c r="AA691" i="1"/>
  <c r="AE691" i="1"/>
  <c r="AA677" i="1"/>
  <c r="AE773" i="1"/>
  <c r="AE767" i="1"/>
  <c r="AE715" i="1"/>
  <c r="AJ655" i="1"/>
  <c r="AJ649" i="1"/>
  <c r="AJ641" i="1"/>
  <c r="AJ621" i="1"/>
  <c r="AE785" i="1"/>
  <c r="AE759" i="1"/>
  <c r="AK797" i="1"/>
  <c r="AD797" i="1"/>
  <c r="AA803" i="1"/>
  <c r="AP801" i="1"/>
  <c r="AO801" i="1"/>
  <c r="AP803" i="1"/>
  <c r="AA802" i="1"/>
  <c r="AE802" i="1"/>
  <c r="AA800" i="1"/>
  <c r="AE800" i="1"/>
  <c r="AP804" i="1"/>
  <c r="AO802" i="1"/>
  <c r="AC798" i="1"/>
  <c r="AK798" i="1"/>
  <c r="AA804" i="1"/>
  <c r="AP800" i="1"/>
  <c r="AJ801" i="1"/>
  <c r="AK800" i="1"/>
  <c r="AK803" i="1"/>
  <c r="AA799" i="1"/>
  <c r="AK804" i="1"/>
  <c r="AK802" i="1"/>
  <c r="AO800" i="1"/>
  <c r="AO566" i="1"/>
  <c r="AJ581" i="1"/>
  <c r="AJ573" i="1"/>
  <c r="AJ565" i="1"/>
  <c r="AJ557" i="1"/>
  <c r="AJ549" i="1"/>
  <c r="AJ541" i="1"/>
  <c r="AJ533" i="1"/>
  <c r="AJ525" i="1"/>
  <c r="AJ517" i="1"/>
  <c r="AJ509" i="1"/>
  <c r="AJ501" i="1"/>
  <c r="AJ493" i="1"/>
  <c r="AJ485" i="1"/>
  <c r="AJ477" i="1"/>
  <c r="AJ469" i="1"/>
  <c r="AJ464" i="1"/>
  <c r="AJ456" i="1"/>
  <c r="AC575" i="1"/>
  <c r="AC559" i="1"/>
  <c r="AC551" i="1"/>
  <c r="AC543" i="1"/>
  <c r="AC535" i="1"/>
  <c r="AC527" i="1"/>
  <c r="AA789" i="1"/>
  <c r="AE789" i="1"/>
  <c r="AA733" i="1"/>
  <c r="AE733" i="1"/>
  <c r="AA717" i="1"/>
  <c r="AE717" i="1"/>
  <c r="AA701" i="1"/>
  <c r="AE701" i="1"/>
  <c r="AA671" i="1"/>
  <c r="AE671" i="1"/>
  <c r="AC671" i="1"/>
  <c r="AA629" i="1"/>
  <c r="AE629" i="1"/>
  <c r="AD441" i="1"/>
  <c r="AD427" i="1"/>
  <c r="AD405" i="1"/>
  <c r="AD399" i="1"/>
  <c r="AD383" i="1"/>
  <c r="AD363" i="1"/>
  <c r="AK580" i="1"/>
  <c r="AK564" i="1"/>
  <c r="AK556" i="1"/>
  <c r="AK548" i="1"/>
  <c r="AK540" i="1"/>
  <c r="AK532" i="1"/>
  <c r="AK524" i="1"/>
  <c r="AK508" i="1"/>
  <c r="AK500" i="1"/>
  <c r="AK492" i="1"/>
  <c r="AK484" i="1"/>
  <c r="AK476" i="1"/>
  <c r="AK463" i="1"/>
  <c r="AK455" i="1"/>
  <c r="AP739" i="1"/>
  <c r="AA555" i="1"/>
  <c r="AA515" i="1"/>
  <c r="AA454" i="1"/>
  <c r="AE583" i="1"/>
  <c r="AE575" i="1"/>
  <c r="AE567" i="1"/>
  <c r="AE559" i="1"/>
  <c r="AA551" i="1"/>
  <c r="AE543" i="1"/>
  <c r="AE535" i="1"/>
  <c r="AA527" i="1"/>
  <c r="AE511" i="1"/>
  <c r="AE503" i="1"/>
  <c r="AA495" i="1"/>
  <c r="AE479" i="1"/>
  <c r="AE471" i="1"/>
  <c r="AE466" i="1"/>
  <c r="AE458" i="1"/>
  <c r="AE665" i="1"/>
  <c r="AE657" i="1"/>
  <c r="AO795" i="1"/>
  <c r="AO767" i="1"/>
  <c r="AO761" i="1"/>
  <c r="AO747" i="1"/>
  <c r="AO731" i="1"/>
  <c r="AP715" i="1"/>
  <c r="AO683" i="1"/>
  <c r="AP683" i="1"/>
  <c r="AJ698" i="1"/>
  <c r="AJ654" i="1"/>
  <c r="AO714" i="1"/>
  <c r="AO706" i="1"/>
  <c r="AC783" i="1"/>
  <c r="AD783" i="1"/>
  <c r="AP543" i="1"/>
  <c r="AP519" i="1"/>
  <c r="AP511" i="1"/>
  <c r="AP495" i="1"/>
  <c r="AP487" i="1"/>
  <c r="AP479" i="1"/>
  <c r="AP471" i="1"/>
  <c r="AP458" i="1"/>
  <c r="AP745" i="1"/>
  <c r="AP721" i="1"/>
  <c r="AO721" i="1"/>
  <c r="AP697" i="1"/>
  <c r="AO689" i="1"/>
  <c r="AP681" i="1"/>
  <c r="AP675" i="1"/>
  <c r="AO675" i="1"/>
  <c r="AO653" i="1"/>
  <c r="AO647" i="1"/>
  <c r="AA775" i="1"/>
  <c r="AA769" i="1"/>
  <c r="AA709" i="1"/>
  <c r="AA693" i="1"/>
  <c r="AA615" i="1"/>
  <c r="AO619" i="1"/>
  <c r="AP764" i="1"/>
  <c r="AO764" i="1"/>
  <c r="AK636" i="1"/>
  <c r="AJ636" i="1"/>
  <c r="AK630" i="1"/>
  <c r="AJ630" i="1"/>
  <c r="AP617" i="1"/>
  <c r="AP750" i="1"/>
  <c r="AJ592" i="1"/>
  <c r="AP621" i="1"/>
  <c r="AO789" i="1"/>
  <c r="AO733" i="1"/>
  <c r="AO709" i="1"/>
  <c r="AP701" i="1"/>
  <c r="AO693" i="1"/>
  <c r="AO685" i="1"/>
  <c r="AO679" i="1"/>
  <c r="AO671" i="1"/>
  <c r="AO657" i="1"/>
  <c r="AO635" i="1"/>
  <c r="AO615" i="1"/>
  <c r="AJ781" i="1"/>
  <c r="AK775" i="1"/>
  <c r="AJ749" i="1"/>
  <c r="AJ733" i="1"/>
  <c r="AJ725" i="1"/>
  <c r="AJ717" i="1"/>
  <c r="AK701" i="1"/>
  <c r="AK693" i="1"/>
  <c r="AJ679" i="1"/>
  <c r="AK671" i="1"/>
  <c r="AP663" i="1"/>
  <c r="AP627" i="1"/>
  <c r="AP780" i="1"/>
  <c r="AP768" i="1"/>
  <c r="AP732" i="1"/>
  <c r="AP724" i="1"/>
  <c r="AP708" i="1"/>
  <c r="AP684" i="1"/>
  <c r="AP678" i="1"/>
  <c r="AP664" i="1"/>
  <c r="AP642" i="1"/>
  <c r="AP634" i="1"/>
  <c r="AP628" i="1"/>
  <c r="AK793" i="1"/>
  <c r="AJ788" i="1"/>
  <c r="AJ780" i="1"/>
  <c r="AJ774" i="1"/>
  <c r="AJ762" i="1"/>
  <c r="AJ748" i="1"/>
  <c r="AJ716" i="1"/>
  <c r="AJ708" i="1"/>
  <c r="AJ678" i="1"/>
  <c r="AJ634" i="1"/>
  <c r="AJ622" i="1"/>
  <c r="AC789" i="1"/>
  <c r="AD781" i="1"/>
  <c r="AC775" i="1"/>
  <c r="AC769" i="1"/>
  <c r="AC755" i="1"/>
  <c r="AC749" i="1"/>
  <c r="AC741" i="1"/>
  <c r="AC733" i="1"/>
  <c r="AC725" i="1"/>
  <c r="AC717" i="1"/>
  <c r="AC709" i="1"/>
  <c r="AC701" i="1"/>
  <c r="AC693" i="1"/>
  <c r="AD679" i="1"/>
  <c r="AD671" i="1"/>
  <c r="AD665" i="1"/>
  <c r="AD629" i="1"/>
  <c r="AD615" i="1"/>
  <c r="AC796" i="1"/>
  <c r="AC788" i="1"/>
  <c r="AC780" i="1"/>
  <c r="AC774" i="1"/>
  <c r="AC768" i="1"/>
  <c r="AC748" i="1"/>
  <c r="AC732" i="1"/>
  <c r="AC724" i="1"/>
  <c r="AC716" i="1"/>
  <c r="AC708" i="1"/>
  <c r="AC700" i="1"/>
  <c r="AC692" i="1"/>
  <c r="AC678" i="1"/>
  <c r="AC664" i="1"/>
  <c r="AC656" i="1"/>
  <c r="AD642" i="1"/>
  <c r="AA625" i="1"/>
  <c r="AE625" i="1"/>
  <c r="AA595" i="1"/>
  <c r="AE595" i="1"/>
  <c r="AK792" i="1"/>
  <c r="AK618" i="1"/>
  <c r="AK720" i="1"/>
  <c r="AJ799" i="1"/>
  <c r="AA798" i="1"/>
  <c r="AP797" i="1"/>
  <c r="AE804" i="1"/>
  <c r="AC802" i="1"/>
  <c r="AC800" i="1"/>
  <c r="AJ800" i="1"/>
  <c r="AJ804" i="1"/>
  <c r="AE801" i="1"/>
  <c r="AO799" i="1"/>
  <c r="AD799" i="1"/>
  <c r="AP799" i="1"/>
  <c r="AJ797" i="1"/>
  <c r="AC801" i="1"/>
  <c r="AP798" i="1"/>
  <c r="AE798" i="1"/>
  <c r="AK801" i="1"/>
  <c r="AJ798" i="1"/>
  <c r="AA405" i="1"/>
  <c r="AE405" i="1"/>
  <c r="AE383" i="1"/>
  <c r="AD347" i="1"/>
  <c r="AD327" i="1"/>
  <c r="AP554" i="1"/>
  <c r="AP546" i="1"/>
  <c r="AP538" i="1"/>
  <c r="AP522" i="1"/>
  <c r="AP490" i="1"/>
  <c r="AP474" i="1"/>
  <c r="AP453" i="1"/>
  <c r="AE570" i="1"/>
  <c r="AA562" i="1"/>
  <c r="AA546" i="1"/>
  <c r="AE530" i="1"/>
  <c r="AE474" i="1"/>
  <c r="AP752" i="1"/>
  <c r="AK764" i="1"/>
  <c r="AD758" i="1"/>
  <c r="AD736" i="1"/>
  <c r="AD712" i="1"/>
  <c r="AD688" i="1"/>
  <c r="AC652" i="1"/>
  <c r="AD638" i="1"/>
  <c r="AO585" i="1"/>
  <c r="AO569" i="1"/>
  <c r="AO561" i="1"/>
  <c r="AO553" i="1"/>
  <c r="AO521" i="1"/>
  <c r="AO489" i="1"/>
  <c r="AO481" i="1"/>
  <c r="AO468" i="1"/>
  <c r="AO460" i="1"/>
  <c r="AO452" i="1"/>
  <c r="AA511" i="1"/>
  <c r="AE497" i="1"/>
  <c r="AE473" i="1"/>
  <c r="AJ796" i="1"/>
  <c r="AK796" i="1"/>
  <c r="AC589" i="1"/>
  <c r="AE488" i="1"/>
  <c r="AE472" i="1"/>
  <c r="AP767" i="1"/>
  <c r="AP747" i="1"/>
  <c r="AK748" i="1"/>
  <c r="AP779" i="1"/>
  <c r="AK780" i="1"/>
  <c r="AA792" i="1"/>
  <c r="AA784" i="1"/>
  <c r="AA778" i="1"/>
  <c r="AA764" i="1"/>
  <c r="AA758" i="1"/>
  <c r="AE744" i="1"/>
  <c r="AA736" i="1"/>
  <c r="AE728" i="1"/>
  <c r="AA720" i="1"/>
  <c r="AA712" i="1"/>
  <c r="AA696" i="1"/>
  <c r="AK696" i="1"/>
  <c r="AA688" i="1"/>
  <c r="AE674" i="1"/>
  <c r="AE668" i="1"/>
  <c r="AA660" i="1"/>
  <c r="AK660" i="1"/>
  <c r="AE652" i="1"/>
  <c r="AA646" i="1"/>
  <c r="AA632" i="1"/>
  <c r="AA624" i="1"/>
  <c r="AA618" i="1"/>
  <c r="AA594" i="1"/>
  <c r="AA464" i="1"/>
  <c r="AP723" i="1"/>
  <c r="AP699" i="1"/>
  <c r="AK728" i="1"/>
  <c r="AK712" i="1"/>
  <c r="AC627" i="1"/>
  <c r="AD627" i="1"/>
  <c r="AP347" i="1"/>
  <c r="AC448" i="1"/>
  <c r="AC440" i="1"/>
  <c r="AC426" i="1"/>
  <c r="AC412" i="1"/>
  <c r="AC398" i="1"/>
  <c r="AC390" i="1"/>
  <c r="AC382" i="1"/>
  <c r="AC374" i="1"/>
  <c r="AC370" i="1"/>
  <c r="AC362" i="1"/>
  <c r="AC354" i="1"/>
  <c r="AC346" i="1"/>
  <c r="AC338" i="1"/>
  <c r="AC334" i="1"/>
  <c r="AC326" i="1"/>
  <c r="AE495" i="1"/>
  <c r="AC505" i="1"/>
  <c r="AP555" i="1"/>
  <c r="AP547" i="1"/>
  <c r="AP539" i="1"/>
  <c r="AP523" i="1"/>
  <c r="AP507" i="1"/>
  <c r="AP491" i="1"/>
  <c r="AP483" i="1"/>
  <c r="AP475" i="1"/>
  <c r="AE527" i="1"/>
  <c r="AA543" i="1"/>
  <c r="AA579" i="1"/>
  <c r="AA539" i="1"/>
  <c r="AA674" i="1"/>
  <c r="AK773" i="1"/>
  <c r="AK767" i="1"/>
  <c r="AK707" i="1"/>
  <c r="AK649" i="1"/>
  <c r="AE755" i="1"/>
  <c r="AE741" i="1"/>
  <c r="AE679" i="1"/>
  <c r="AE643" i="1"/>
  <c r="AA781" i="1"/>
  <c r="AA747" i="1"/>
  <c r="AA663" i="1"/>
  <c r="AA589" i="1"/>
  <c r="AA771" i="1"/>
  <c r="AE765" i="1"/>
  <c r="AE753" i="1"/>
  <c r="AA737" i="1"/>
  <c r="AE721" i="1"/>
  <c r="AE705" i="1"/>
  <c r="AE661" i="1"/>
  <c r="AE647" i="1"/>
  <c r="AE749" i="1"/>
  <c r="AE685" i="1"/>
  <c r="AE591" i="1"/>
  <c r="AD733" i="1"/>
  <c r="AC735" i="1"/>
  <c r="AC654" i="1"/>
  <c r="AA725" i="1"/>
  <c r="AA635" i="1"/>
  <c r="AE637" i="1"/>
  <c r="AE623" i="1"/>
  <c r="AK784" i="1"/>
  <c r="AK778" i="1"/>
  <c r="AK758" i="1"/>
  <c r="AK752" i="1"/>
  <c r="AK744" i="1"/>
  <c r="AK736" i="1"/>
  <c r="AK704" i="1"/>
  <c r="AK688" i="1"/>
  <c r="AK674" i="1"/>
  <c r="AK668" i="1"/>
  <c r="AK646" i="1"/>
  <c r="AK638" i="1"/>
  <c r="AK632" i="1"/>
  <c r="AK624" i="1"/>
  <c r="AE589" i="1"/>
  <c r="AD717" i="1"/>
  <c r="AA718" i="1"/>
  <c r="AA658" i="1"/>
  <c r="AD693" i="1"/>
  <c r="AJ767" i="1"/>
  <c r="AA795" i="1"/>
  <c r="AA787" i="1"/>
  <c r="AE779" i="1"/>
  <c r="AA761" i="1"/>
  <c r="AA739" i="1"/>
  <c r="AE731" i="1"/>
  <c r="AA707" i="1"/>
  <c r="AA699" i="1"/>
  <c r="AA683" i="1"/>
  <c r="AA655" i="1"/>
  <c r="AA649" i="1"/>
  <c r="AA641" i="1"/>
  <c r="AA633" i="1"/>
  <c r="AC657" i="1"/>
  <c r="AC591" i="1"/>
  <c r="AE786" i="1"/>
  <c r="AE760" i="1"/>
  <c r="AE714" i="1"/>
  <c r="AE698" i="1"/>
  <c r="AE654" i="1"/>
  <c r="AE648" i="1"/>
  <c r="AE620" i="1"/>
  <c r="AE588" i="1"/>
  <c r="AD505" i="1"/>
  <c r="AP460" i="1"/>
  <c r="AP638" i="1"/>
  <c r="AJ521" i="1"/>
  <c r="AO497" i="1"/>
  <c r="AJ460" i="1"/>
  <c r="AP688" i="1"/>
  <c r="AP728" i="1"/>
  <c r="AO728" i="1"/>
  <c r="AO717" i="1"/>
  <c r="AP717" i="1"/>
  <c r="AK729" i="1"/>
  <c r="AJ790" i="1"/>
  <c r="AC592" i="1"/>
  <c r="AD636" i="1"/>
  <c r="AP726" i="1"/>
  <c r="AP672" i="1"/>
  <c r="AP666" i="1"/>
  <c r="AJ661" i="1"/>
  <c r="AA731" i="1"/>
  <c r="AP615" i="1"/>
  <c r="AK675" i="1"/>
  <c r="AK595" i="1"/>
  <c r="AK753" i="1"/>
  <c r="AK705" i="1"/>
  <c r="AJ721" i="1"/>
  <c r="AC644" i="1"/>
  <c r="AP685" i="1"/>
  <c r="AK739" i="1"/>
  <c r="AK689" i="1"/>
  <c r="AJ686" i="1"/>
  <c r="AD723" i="1"/>
  <c r="AC743" i="1"/>
  <c r="AP577" i="1"/>
  <c r="AP545" i="1"/>
  <c r="AP537" i="1"/>
  <c r="AP529" i="1"/>
  <c r="AP513" i="1"/>
  <c r="AP505" i="1"/>
  <c r="AP497" i="1"/>
  <c r="AP473" i="1"/>
  <c r="AJ571" i="1"/>
  <c r="AJ499" i="1"/>
  <c r="AA487" i="1"/>
  <c r="AE487" i="1"/>
  <c r="AK567" i="1"/>
  <c r="AK559" i="1"/>
  <c r="AK551" i="1"/>
  <c r="AK535" i="1"/>
  <c r="AK503" i="1"/>
  <c r="AK495" i="1"/>
  <c r="AK487" i="1"/>
  <c r="AK471" i="1"/>
  <c r="AE551" i="1"/>
  <c r="AP489" i="1"/>
  <c r="AO579" i="1"/>
  <c r="AO531" i="1"/>
  <c r="AO515" i="1"/>
  <c r="AO499" i="1"/>
  <c r="AD585" i="1"/>
  <c r="AD545" i="1"/>
  <c r="AJ585" i="1"/>
  <c r="AJ577" i="1"/>
  <c r="AJ569" i="1"/>
  <c r="AJ561" i="1"/>
  <c r="AJ553" i="1"/>
  <c r="AJ545" i="1"/>
  <c r="AJ537" i="1"/>
  <c r="AJ529" i="1"/>
  <c r="AJ513" i="1"/>
  <c r="AJ497" i="1"/>
  <c r="AJ468" i="1"/>
  <c r="AJ452" i="1"/>
  <c r="AD583" i="1"/>
  <c r="AD503" i="1"/>
  <c r="AD466" i="1"/>
  <c r="AD458" i="1"/>
  <c r="AJ791" i="1"/>
  <c r="AJ783" i="1"/>
  <c r="AJ777" i="1"/>
  <c r="AJ763" i="1"/>
  <c r="AJ757" i="1"/>
  <c r="AJ751" i="1"/>
  <c r="AJ743" i="1"/>
  <c r="AJ735" i="1"/>
  <c r="AJ719" i="1"/>
  <c r="AJ703" i="1"/>
  <c r="AJ695" i="1"/>
  <c r="AJ687" i="1"/>
  <c r="AJ667" i="1"/>
  <c r="AJ659" i="1"/>
  <c r="AJ651" i="1"/>
  <c r="AJ645" i="1"/>
  <c r="AJ637" i="1"/>
  <c r="AJ631" i="1"/>
  <c r="AJ623" i="1"/>
  <c r="AJ593" i="1"/>
  <c r="AK466" i="1"/>
  <c r="AK458" i="1"/>
  <c r="AJ765" i="1"/>
  <c r="AK765" i="1"/>
  <c r="AJ745" i="1"/>
  <c r="AK745" i="1"/>
  <c r="AJ737" i="1"/>
  <c r="AK737" i="1"/>
  <c r="AJ727" i="1"/>
  <c r="AK727" i="1"/>
  <c r="AK713" i="1"/>
  <c r="AJ713" i="1"/>
  <c r="AJ711" i="1"/>
  <c r="AK711" i="1"/>
  <c r="AJ697" i="1"/>
  <c r="AK697" i="1"/>
  <c r="AJ681" i="1"/>
  <c r="AK681" i="1"/>
  <c r="AJ673" i="1"/>
  <c r="AK673" i="1"/>
  <c r="AJ647" i="1"/>
  <c r="AK647" i="1"/>
  <c r="AJ639" i="1"/>
  <c r="AK639" i="1"/>
  <c r="AJ625" i="1"/>
  <c r="AK625" i="1"/>
  <c r="AJ619" i="1"/>
  <c r="AK619" i="1"/>
  <c r="AJ617" i="1"/>
  <c r="AK617" i="1"/>
  <c r="AK587" i="1"/>
  <c r="AJ587" i="1"/>
  <c r="AC795" i="1"/>
  <c r="AD795" i="1"/>
  <c r="AC773" i="1"/>
  <c r="AD773" i="1"/>
  <c r="AD767" i="1"/>
  <c r="AC767" i="1"/>
  <c r="AC761" i="1"/>
  <c r="AD761" i="1"/>
  <c r="AD715" i="1"/>
  <c r="AC715" i="1"/>
  <c r="AD699" i="1"/>
  <c r="AC699" i="1"/>
  <c r="AD691" i="1"/>
  <c r="AC691" i="1"/>
  <c r="AC655" i="1"/>
  <c r="AD655" i="1"/>
  <c r="AC641" i="1"/>
  <c r="AD641" i="1"/>
  <c r="AD621" i="1"/>
  <c r="AC621" i="1"/>
  <c r="AO661" i="1"/>
  <c r="AO625" i="1"/>
  <c r="AK622" i="1"/>
  <c r="AC666" i="1"/>
  <c r="AC630" i="1"/>
  <c r="AK708" i="1"/>
  <c r="AC781" i="1"/>
  <c r="AC665" i="1"/>
  <c r="AD756" i="1"/>
  <c r="AC756" i="1"/>
  <c r="AC702" i="1"/>
  <c r="AD702" i="1"/>
  <c r="AD685" i="1"/>
  <c r="AC685" i="1"/>
  <c r="AD643" i="1"/>
  <c r="AC643" i="1"/>
  <c r="AC635" i="1"/>
  <c r="AD635" i="1"/>
  <c r="AJ785" i="1"/>
  <c r="AJ653" i="1"/>
  <c r="AJ784" i="1"/>
  <c r="AJ778" i="1"/>
  <c r="AJ744" i="1"/>
  <c r="AJ736" i="1"/>
  <c r="AJ728" i="1"/>
  <c r="AJ688" i="1"/>
  <c r="AJ674" i="1"/>
  <c r="AJ638" i="1"/>
  <c r="AJ632" i="1"/>
  <c r="AJ624" i="1"/>
  <c r="AO791" i="1"/>
  <c r="AO783" i="1"/>
  <c r="AO777" i="1"/>
  <c r="AO763" i="1"/>
  <c r="AO757" i="1"/>
  <c r="AO751" i="1"/>
  <c r="AO743" i="1"/>
  <c r="AO735" i="1"/>
  <c r="AO727" i="1"/>
  <c r="AO719" i="1"/>
  <c r="AO711" i="1"/>
  <c r="AO703" i="1"/>
  <c r="AO695" i="1"/>
  <c r="AO687" i="1"/>
  <c r="AO673" i="1"/>
  <c r="AO667" i="1"/>
  <c r="AO659" i="1"/>
  <c r="AO651" i="1"/>
  <c r="AO645" i="1"/>
  <c r="AO637" i="1"/>
  <c r="AO631" i="1"/>
  <c r="AO623" i="1"/>
  <c r="AO617" i="1"/>
  <c r="AO593" i="1"/>
  <c r="AE683" i="1"/>
  <c r="AC687" i="1"/>
  <c r="AO450" i="1"/>
  <c r="AO434" i="1"/>
  <c r="AO414" i="1"/>
  <c r="AO406" i="1"/>
  <c r="AO392" i="1"/>
  <c r="AO356" i="1"/>
  <c r="AO336" i="1"/>
  <c r="AO328" i="1"/>
  <c r="AO320" i="1"/>
  <c r="AC574" i="1"/>
  <c r="AP518" i="1"/>
  <c r="AC478" i="1"/>
  <c r="AP693" i="1"/>
  <c r="AO701" i="1"/>
  <c r="AP482" i="1"/>
  <c r="AO537" i="1"/>
  <c r="AE581" i="1"/>
  <c r="AA573" i="1"/>
  <c r="AE565" i="1"/>
  <c r="AE549" i="1"/>
  <c r="AE541" i="1"/>
  <c r="AA533" i="1"/>
  <c r="AA517" i="1"/>
  <c r="AE501" i="1"/>
  <c r="AE493" i="1"/>
  <c r="AE485" i="1"/>
  <c r="AA477" i="1"/>
  <c r="AA456" i="1"/>
  <c r="AP733" i="1"/>
  <c r="AP709" i="1"/>
  <c r="AP671" i="1"/>
  <c r="AO513" i="1"/>
  <c r="AK534" i="1"/>
  <c r="AK555" i="1"/>
  <c r="AK547" i="1"/>
  <c r="AK531" i="1"/>
  <c r="AK523" i="1"/>
  <c r="AK515" i="1"/>
  <c r="AK507" i="1"/>
  <c r="AK483" i="1"/>
  <c r="AK462" i="1"/>
  <c r="AK454" i="1"/>
  <c r="AK789" i="1"/>
  <c r="AJ789" i="1"/>
  <c r="AJ769" i="1"/>
  <c r="AK769" i="1"/>
  <c r="AK755" i="1"/>
  <c r="AJ755" i="1"/>
  <c r="AK709" i="1"/>
  <c r="AJ709" i="1"/>
  <c r="AJ685" i="1"/>
  <c r="AK685" i="1"/>
  <c r="AJ665" i="1"/>
  <c r="AK665" i="1"/>
  <c r="AK657" i="1"/>
  <c r="AJ657" i="1"/>
  <c r="AJ643" i="1"/>
  <c r="AJ635" i="1"/>
  <c r="AK635" i="1"/>
  <c r="AJ629" i="1"/>
  <c r="AJ615" i="1"/>
  <c r="AK615" i="1"/>
  <c r="AJ591" i="1"/>
  <c r="AK591" i="1"/>
  <c r="AJ450" i="1"/>
  <c r="AJ434" i="1"/>
  <c r="AJ392" i="1"/>
  <c r="AJ384" i="1"/>
  <c r="AJ376" i="1"/>
  <c r="AJ372" i="1"/>
  <c r="AJ364" i="1"/>
  <c r="AJ356" i="1"/>
  <c r="AJ328" i="1"/>
  <c r="AJ320" i="1"/>
  <c r="AP468" i="1"/>
  <c r="AO505" i="1"/>
  <c r="AK485" i="1"/>
  <c r="AD551" i="1"/>
  <c r="AD579" i="1"/>
  <c r="AD563" i="1"/>
  <c r="AD547" i="1"/>
  <c r="AD531" i="1"/>
  <c r="AD523" i="1"/>
  <c r="AD507" i="1"/>
  <c r="AD491" i="1"/>
  <c r="AD483" i="1"/>
  <c r="AD462" i="1"/>
  <c r="AD454" i="1"/>
  <c r="AE555" i="1"/>
  <c r="AE539" i="1"/>
  <c r="AA523" i="1"/>
  <c r="AE515" i="1"/>
  <c r="AA507" i="1"/>
  <c r="AE454" i="1"/>
  <c r="AO781" i="1"/>
  <c r="AP781" i="1"/>
  <c r="AP775" i="1"/>
  <c r="AO775" i="1"/>
  <c r="AP769" i="1"/>
  <c r="AO769" i="1"/>
  <c r="AP755" i="1"/>
  <c r="AO755" i="1"/>
  <c r="AO749" i="1"/>
  <c r="AP749" i="1"/>
  <c r="AO741" i="1"/>
  <c r="AP741" i="1"/>
  <c r="AP725" i="1"/>
  <c r="AO725" i="1"/>
  <c r="AO665" i="1"/>
  <c r="AP665" i="1"/>
  <c r="AP643" i="1"/>
  <c r="AO643" i="1"/>
  <c r="AO629" i="1"/>
  <c r="AP629" i="1"/>
  <c r="AP591" i="1"/>
  <c r="AO591" i="1"/>
  <c r="AP582" i="1"/>
  <c r="AP789" i="1"/>
  <c r="AP569" i="1"/>
  <c r="AO466" i="1"/>
  <c r="AP657" i="1"/>
  <c r="AP795" i="1"/>
  <c r="AP727" i="1"/>
  <c r="AP707" i="1"/>
  <c r="AP687" i="1"/>
  <c r="AP677" i="1"/>
  <c r="AP667" i="1"/>
  <c r="AP659" i="1"/>
  <c r="AP649" i="1"/>
  <c r="AP631" i="1"/>
  <c r="AO697" i="1"/>
  <c r="AJ626" i="1"/>
  <c r="AK626" i="1"/>
  <c r="AP765" i="1"/>
  <c r="AO765" i="1"/>
  <c r="AP639" i="1"/>
  <c r="AO639" i="1"/>
  <c r="AP770" i="1"/>
  <c r="AP761" i="1"/>
  <c r="AP751" i="1"/>
  <c r="AP735" i="1"/>
  <c r="AP719" i="1"/>
  <c r="AP695" i="1"/>
  <c r="AO715" i="1"/>
  <c r="AO745" i="1"/>
  <c r="AP763" i="1"/>
  <c r="AP731" i="1"/>
  <c r="AP691" i="1"/>
  <c r="AE660" i="1"/>
  <c r="AE632" i="1"/>
  <c r="AD741" i="1"/>
  <c r="AC679" i="1"/>
  <c r="AK735" i="1"/>
  <c r="AK703" i="1"/>
  <c r="AE778" i="1"/>
  <c r="AE618" i="1"/>
  <c r="AD789" i="1"/>
  <c r="AD775" i="1"/>
  <c r="AD739" i="1"/>
  <c r="AD709" i="1"/>
  <c r="AD663" i="1"/>
  <c r="AD591" i="1"/>
  <c r="AC747" i="1"/>
  <c r="AC677" i="1"/>
  <c r="AC633" i="1"/>
  <c r="AE736" i="1"/>
  <c r="AD755" i="1"/>
  <c r="AA652" i="1"/>
  <c r="AD725" i="1"/>
  <c r="AD657" i="1"/>
  <c r="AD769" i="1"/>
  <c r="AO758" i="1"/>
  <c r="AO752" i="1"/>
  <c r="AO744" i="1"/>
  <c r="AO688" i="1"/>
  <c r="AO668" i="1"/>
  <c r="AO652" i="1"/>
  <c r="AO638" i="1"/>
  <c r="AK719" i="1"/>
  <c r="AK667" i="1"/>
  <c r="AK651" i="1"/>
  <c r="AD701" i="1"/>
  <c r="AD784" i="1"/>
  <c r="AC784" i="1"/>
  <c r="AK525" i="1"/>
  <c r="AK469" i="1"/>
  <c r="AP758" i="1"/>
  <c r="AK456" i="1"/>
  <c r="AC583" i="1"/>
  <c r="AO760" i="1"/>
  <c r="AP760" i="1"/>
  <c r="AO746" i="1"/>
  <c r="AP746" i="1"/>
  <c r="AO722" i="1"/>
  <c r="AP722" i="1"/>
  <c r="AO682" i="1"/>
  <c r="AO676" i="1"/>
  <c r="AP676" i="1"/>
  <c r="AO670" i="1"/>
  <c r="AO662" i="1"/>
  <c r="AP662" i="1"/>
  <c r="AO654" i="1"/>
  <c r="AP654" i="1"/>
  <c r="AO648" i="1"/>
  <c r="AP648" i="1"/>
  <c r="AO626" i="1"/>
  <c r="AP626" i="1"/>
  <c r="AO620" i="1"/>
  <c r="AP620" i="1"/>
  <c r="AO588" i="1"/>
  <c r="AP588" i="1"/>
  <c r="AJ794" i="1"/>
  <c r="AK794" i="1"/>
  <c r="AJ786" i="1"/>
  <c r="AK786" i="1"/>
  <c r="AO545" i="1"/>
  <c r="AO473" i="1"/>
  <c r="AD559" i="1"/>
  <c r="AC503" i="1"/>
  <c r="AP792" i="1"/>
  <c r="AO792" i="1"/>
  <c r="AP784" i="1"/>
  <c r="AO784" i="1"/>
  <c r="AO778" i="1"/>
  <c r="AP778" i="1"/>
  <c r="AO736" i="1"/>
  <c r="AP736" i="1"/>
  <c r="AP720" i="1"/>
  <c r="AO720" i="1"/>
  <c r="AO712" i="1"/>
  <c r="AP712" i="1"/>
  <c r="AO704" i="1"/>
  <c r="AO696" i="1"/>
  <c r="AP696" i="1"/>
  <c r="AP674" i="1"/>
  <c r="AO674" i="1"/>
  <c r="AO660" i="1"/>
  <c r="AP660" i="1"/>
  <c r="AP646" i="1"/>
  <c r="AO646" i="1"/>
  <c r="AP632" i="1"/>
  <c r="AO632" i="1"/>
  <c r="AO624" i="1"/>
  <c r="AP624" i="1"/>
  <c r="AP618" i="1"/>
  <c r="AO618" i="1"/>
  <c r="AO594" i="1"/>
  <c r="AP594" i="1"/>
  <c r="AP553" i="1"/>
  <c r="AP452" i="1"/>
  <c r="AP704" i="1"/>
  <c r="AP668" i="1"/>
  <c r="AP527" i="1"/>
  <c r="AD535" i="1"/>
  <c r="AD646" i="1"/>
  <c r="AC646" i="1"/>
  <c r="AD632" i="1"/>
  <c r="AC632" i="1"/>
  <c r="AD624" i="1"/>
  <c r="AC624" i="1"/>
  <c r="AD618" i="1"/>
  <c r="AC618" i="1"/>
  <c r="AD594" i="1"/>
  <c r="AC594" i="1"/>
  <c r="AK678" i="1"/>
  <c r="AK654" i="1"/>
  <c r="AK640" i="1"/>
  <c r="AK788" i="1"/>
  <c r="AK774" i="1"/>
  <c r="AK716" i="1"/>
  <c r="AK662" i="1"/>
  <c r="AO787" i="1"/>
  <c r="AK682" i="1"/>
  <c r="AK722" i="1"/>
  <c r="AK698" i="1"/>
  <c r="AK596" i="1"/>
  <c r="AJ768" i="1"/>
  <c r="AK768" i="1"/>
  <c r="AJ740" i="1"/>
  <c r="AK740" i="1"/>
  <c r="AJ724" i="1"/>
  <c r="AK724" i="1"/>
  <c r="AJ700" i="1"/>
  <c r="AK700" i="1"/>
  <c r="AJ692" i="1"/>
  <c r="AK692" i="1"/>
  <c r="AJ664" i="1"/>
  <c r="AK664" i="1"/>
  <c r="AJ656" i="1"/>
  <c r="AK656" i="1"/>
  <c r="AJ650" i="1"/>
  <c r="AK650" i="1"/>
  <c r="AJ628" i="1"/>
  <c r="AK628" i="1"/>
  <c r="AJ590" i="1"/>
  <c r="AK590" i="1"/>
  <c r="AK762" i="1"/>
  <c r="AK670" i="1"/>
  <c r="AK648" i="1"/>
  <c r="AK634" i="1"/>
  <c r="AD654" i="1"/>
  <c r="AJ772" i="1"/>
  <c r="AK772" i="1"/>
  <c r="AJ760" i="1"/>
  <c r="AK760" i="1"/>
  <c r="AJ754" i="1"/>
  <c r="AK754" i="1"/>
  <c r="AJ746" i="1"/>
  <c r="AK746" i="1"/>
  <c r="AJ738" i="1"/>
  <c r="AK738" i="1"/>
  <c r="AJ730" i="1"/>
  <c r="AK730" i="1"/>
  <c r="AJ714" i="1"/>
  <c r="AK714" i="1"/>
  <c r="AJ706" i="1"/>
  <c r="AK706" i="1"/>
  <c r="AJ676" i="1"/>
  <c r="AK676" i="1"/>
  <c r="AJ620" i="1"/>
  <c r="AK620" i="1"/>
  <c r="AC714" i="1"/>
  <c r="AD714" i="1"/>
  <c r="AC648" i="1"/>
  <c r="AD648" i="1"/>
  <c r="AD588" i="1"/>
  <c r="AC588" i="1"/>
  <c r="AK766" i="1"/>
  <c r="AK690" i="1"/>
  <c r="AK588" i="1"/>
  <c r="AA752" i="1"/>
  <c r="AE752" i="1"/>
  <c r="AE704" i="1"/>
  <c r="AA704" i="1"/>
  <c r="AA638" i="1"/>
  <c r="AE638" i="1"/>
  <c r="AD763" i="1"/>
  <c r="AC763" i="1"/>
  <c r="AD751" i="1"/>
  <c r="AC751" i="1"/>
  <c r="AJ792" i="1"/>
  <c r="AJ764" i="1"/>
  <c r="AJ758" i="1"/>
  <c r="AJ720" i="1"/>
  <c r="AJ712" i="1"/>
  <c r="AJ704" i="1"/>
  <c r="AJ696" i="1"/>
  <c r="AJ668" i="1"/>
  <c r="AJ660" i="1"/>
  <c r="AJ652" i="1"/>
  <c r="AJ646" i="1"/>
  <c r="AJ618" i="1"/>
  <c r="AJ594" i="1"/>
  <c r="AC718" i="1"/>
  <c r="AD718" i="1"/>
  <c r="AD710" i="1"/>
  <c r="AC710" i="1"/>
  <c r="AD680" i="1"/>
  <c r="AC680" i="1"/>
  <c r="AC658" i="1"/>
  <c r="AD658" i="1"/>
  <c r="AA744" i="1"/>
  <c r="AE792" i="1"/>
  <c r="AC782" i="1"/>
  <c r="AD779" i="1"/>
  <c r="AC779" i="1"/>
  <c r="AK763" i="1"/>
  <c r="AK757" i="1"/>
  <c r="AK751" i="1"/>
  <c r="AJ759" i="1"/>
  <c r="AJ658" i="1"/>
  <c r="AJ644" i="1"/>
  <c r="AE758" i="1"/>
  <c r="AE720" i="1"/>
  <c r="AE696" i="1"/>
  <c r="AC770" i="1"/>
  <c r="AC734" i="1"/>
  <c r="AA728" i="1"/>
  <c r="AC707" i="1"/>
  <c r="AC683" i="1"/>
  <c r="AC649" i="1"/>
  <c r="AC757" i="1"/>
  <c r="AC651" i="1"/>
  <c r="AC645" i="1"/>
  <c r="AC623" i="1"/>
  <c r="AD731" i="1"/>
  <c r="AC776" i="1"/>
  <c r="AC742" i="1"/>
  <c r="AC694" i="1"/>
  <c r="AC686" i="1"/>
  <c r="AC616" i="1"/>
  <c r="AC673" i="1"/>
  <c r="AP525" i="1"/>
  <c r="AP517" i="1"/>
  <c r="AP509" i="1"/>
  <c r="AP501" i="1"/>
  <c r="AP493" i="1"/>
  <c r="AP485" i="1"/>
  <c r="AP477" i="1"/>
  <c r="AP469" i="1"/>
  <c r="AP464" i="1"/>
  <c r="AK582" i="1"/>
  <c r="AK558" i="1"/>
  <c r="AK550" i="1"/>
  <c r="AK526" i="1"/>
  <c r="AK518" i="1"/>
  <c r="AK486" i="1"/>
  <c r="AK457" i="1"/>
  <c r="AO577" i="1"/>
  <c r="AO529" i="1"/>
  <c r="AO485" i="1"/>
  <c r="AK465" i="1"/>
  <c r="AE525" i="1"/>
  <c r="AE469" i="1"/>
  <c r="AP559" i="1"/>
  <c r="AO479" i="1"/>
  <c r="AE331" i="1"/>
  <c r="AP551" i="1"/>
  <c r="AO511" i="1"/>
  <c r="AE477" i="1"/>
  <c r="AP585" i="1"/>
  <c r="AK493" i="1"/>
  <c r="AO543" i="1"/>
  <c r="AP566" i="1"/>
  <c r="AP510" i="1"/>
  <c r="AP729" i="1"/>
  <c r="AO729" i="1"/>
  <c r="AE528" i="1"/>
  <c r="AE512" i="1"/>
  <c r="AA480" i="1"/>
  <c r="AP772" i="1"/>
  <c r="AP690" i="1"/>
  <c r="AD577" i="1"/>
  <c r="AD569" i="1"/>
  <c r="AD561" i="1"/>
  <c r="AD553" i="1"/>
  <c r="AC545" i="1"/>
  <c r="AD537" i="1"/>
  <c r="AD529" i="1"/>
  <c r="AD521" i="1"/>
  <c r="AD513" i="1"/>
  <c r="AD497" i="1"/>
  <c r="AD489" i="1"/>
  <c r="AD481" i="1"/>
  <c r="AD473" i="1"/>
  <c r="AD468" i="1"/>
  <c r="AD460" i="1"/>
  <c r="AD452" i="1"/>
  <c r="AA583" i="1"/>
  <c r="AA575" i="1"/>
  <c r="AA567" i="1"/>
  <c r="AA559" i="1"/>
  <c r="AA535" i="1"/>
  <c r="AA519" i="1"/>
  <c r="AA503" i="1"/>
  <c r="AA479" i="1"/>
  <c r="AA471" i="1"/>
  <c r="AA466" i="1"/>
  <c r="AA458" i="1"/>
  <c r="AP754" i="1"/>
  <c r="AP730" i="1"/>
  <c r="AP679" i="1"/>
  <c r="AP670" i="1"/>
  <c r="AA582" i="1"/>
  <c r="AE574" i="1"/>
  <c r="AE558" i="1"/>
  <c r="AE510" i="1"/>
  <c r="AD502" i="1"/>
  <c r="AD486" i="1"/>
  <c r="AE470" i="1"/>
  <c r="AP786" i="1"/>
  <c r="AP714" i="1"/>
  <c r="AO793" i="1"/>
  <c r="AO705" i="1"/>
  <c r="AA581" i="1"/>
  <c r="AA565" i="1"/>
  <c r="AA557" i="1"/>
  <c r="AA549" i="1"/>
  <c r="AA541" i="1"/>
  <c r="AA525" i="1"/>
  <c r="AA509" i="1"/>
  <c r="AA501" i="1"/>
  <c r="AA493" i="1"/>
  <c r="AP766" i="1"/>
  <c r="AP698" i="1"/>
  <c r="AO753" i="1"/>
  <c r="AO681" i="1"/>
  <c r="AA580" i="1"/>
  <c r="AA556" i="1"/>
  <c r="AA548" i="1"/>
  <c r="AA540" i="1"/>
  <c r="AA532" i="1"/>
  <c r="AE524" i="1"/>
  <c r="AA516" i="1"/>
  <c r="AA508" i="1"/>
  <c r="AA500" i="1"/>
  <c r="AA484" i="1"/>
  <c r="AA476" i="1"/>
  <c r="AA463" i="1"/>
  <c r="AA455" i="1"/>
  <c r="AP738" i="1"/>
  <c r="AO669" i="1"/>
  <c r="AC565" i="1"/>
  <c r="AC549" i="1"/>
  <c r="AC541" i="1"/>
  <c r="AC533" i="1"/>
  <c r="AC517" i="1"/>
  <c r="AC509" i="1"/>
  <c r="AC501" i="1"/>
  <c r="AC493" i="1"/>
  <c r="AC485" i="1"/>
  <c r="AC469" i="1"/>
  <c r="AC464" i="1"/>
  <c r="AC456" i="1"/>
  <c r="AP794" i="1"/>
  <c r="AP706" i="1"/>
  <c r="AP682" i="1"/>
  <c r="AO640" i="1"/>
  <c r="AP640" i="1"/>
  <c r="AO596" i="1"/>
  <c r="AP596" i="1"/>
  <c r="AK781" i="1"/>
  <c r="AK659" i="1"/>
  <c r="AJ775" i="1"/>
  <c r="AJ750" i="1"/>
  <c r="AJ701" i="1"/>
  <c r="AJ694" i="1"/>
  <c r="AK777" i="1"/>
  <c r="AK733" i="1"/>
  <c r="AK717" i="1"/>
  <c r="AK679" i="1"/>
  <c r="AK643" i="1"/>
  <c r="AJ742" i="1"/>
  <c r="AJ693" i="1"/>
  <c r="AJ671" i="1"/>
  <c r="AK791" i="1"/>
  <c r="AK743" i="1"/>
  <c r="AK687" i="1"/>
  <c r="AK623" i="1"/>
  <c r="AK593" i="1"/>
  <c r="AJ756" i="1"/>
  <c r="AC762" i="1"/>
  <c r="AD762" i="1"/>
  <c r="AC740" i="1"/>
  <c r="AD740" i="1"/>
  <c r="AK782" i="1"/>
  <c r="AJ782" i="1"/>
  <c r="AK666" i="1"/>
  <c r="AJ666" i="1"/>
  <c r="AK741" i="1"/>
  <c r="AJ741" i="1"/>
  <c r="AK749" i="1"/>
  <c r="AK725" i="1"/>
  <c r="AK695" i="1"/>
  <c r="AK629" i="1"/>
  <c r="AJ726" i="1"/>
  <c r="AJ702" i="1"/>
  <c r="AC777" i="1"/>
  <c r="AC727" i="1"/>
  <c r="AJ616" i="1"/>
  <c r="AE796" i="1"/>
  <c r="AE788" i="1"/>
  <c r="AE780" i="1"/>
  <c r="AE774" i="1"/>
  <c r="AE768" i="1"/>
  <c r="AE762" i="1"/>
  <c r="AE748" i="1"/>
  <c r="AE740" i="1"/>
  <c r="AE732" i="1"/>
  <c r="AE724" i="1"/>
  <c r="AE716" i="1"/>
  <c r="AE708" i="1"/>
  <c r="AE700" i="1"/>
  <c r="AE692" i="1"/>
  <c r="AE684" i="1"/>
  <c r="AE678" i="1"/>
  <c r="AE664" i="1"/>
  <c r="AE656" i="1"/>
  <c r="AE650" i="1"/>
  <c r="AE642" i="1"/>
  <c r="AE634" i="1"/>
  <c r="AE628" i="1"/>
  <c r="AE622" i="1"/>
  <c r="AE590" i="1"/>
  <c r="AD738" i="1"/>
  <c r="AC695" i="1"/>
  <c r="AC684" i="1"/>
  <c r="AD684" i="1"/>
  <c r="AC719" i="1"/>
  <c r="AA711" i="1"/>
  <c r="AC711" i="1"/>
  <c r="AA703" i="1"/>
  <c r="AC703" i="1"/>
  <c r="AA667" i="1"/>
  <c r="AC667" i="1"/>
  <c r="AA659" i="1"/>
  <c r="AC659" i="1"/>
  <c r="AA637" i="1"/>
  <c r="AC637" i="1"/>
  <c r="AA631" i="1"/>
  <c r="AC631" i="1"/>
  <c r="AA617" i="1"/>
  <c r="AC617" i="1"/>
  <c r="AA757" i="1"/>
  <c r="AA743" i="1"/>
  <c r="AA719" i="1"/>
  <c r="AA687" i="1"/>
  <c r="AA673" i="1"/>
  <c r="AA651" i="1"/>
  <c r="AA645" i="1"/>
  <c r="AC791" i="1"/>
  <c r="AC786" i="1"/>
  <c r="AD786" i="1"/>
  <c r="AD772" i="1"/>
  <c r="AC772" i="1"/>
  <c r="AC760" i="1"/>
  <c r="AD760" i="1"/>
  <c r="AC690" i="1"/>
  <c r="AD690" i="1"/>
  <c r="AC650" i="1"/>
  <c r="AC642" i="1"/>
  <c r="AC634" i="1"/>
  <c r="AC628" i="1"/>
  <c r="AC622" i="1"/>
  <c r="AC590" i="1"/>
  <c r="AC790" i="1"/>
  <c r="AC726" i="1"/>
  <c r="AC672" i="1"/>
  <c r="AA623" i="1"/>
  <c r="AC750" i="1"/>
  <c r="AC746" i="1"/>
  <c r="AC730" i="1"/>
  <c r="AC722" i="1"/>
  <c r="AC682" i="1"/>
  <c r="AC676" i="1"/>
  <c r="AC670" i="1"/>
  <c r="AC626" i="1"/>
  <c r="AC620" i="1"/>
  <c r="AA782" i="1"/>
  <c r="AA776" i="1"/>
  <c r="AA756" i="1"/>
  <c r="AA742" i="1"/>
  <c r="AA710" i="1"/>
  <c r="AA694" i="1"/>
  <c r="AA680" i="1"/>
  <c r="AA616" i="1"/>
  <c r="AC629" i="1"/>
  <c r="AC615" i="1"/>
  <c r="AP558" i="1"/>
  <c r="AO574" i="1"/>
  <c r="AO550" i="1"/>
  <c r="AP550" i="1"/>
  <c r="AP542" i="1"/>
  <c r="AP534" i="1"/>
  <c r="AO534" i="1"/>
  <c r="AP502" i="1"/>
  <c r="AO502" i="1"/>
  <c r="AP494" i="1"/>
  <c r="AO494" i="1"/>
  <c r="AP486" i="1"/>
  <c r="AP478" i="1"/>
  <c r="AO470" i="1"/>
  <c r="AP470" i="1"/>
  <c r="AP465" i="1"/>
  <c r="AO465" i="1"/>
  <c r="AP457" i="1"/>
  <c r="AJ584" i="1"/>
  <c r="AK584" i="1"/>
  <c r="AJ576" i="1"/>
  <c r="AJ568" i="1"/>
  <c r="AJ560" i="1"/>
  <c r="AJ552" i="1"/>
  <c r="AJ544" i="1"/>
  <c r="AK544" i="1"/>
  <c r="AJ536" i="1"/>
  <c r="AJ528" i="1"/>
  <c r="AJ520" i="1"/>
  <c r="AJ512" i="1"/>
  <c r="AK512" i="1"/>
  <c r="AJ504" i="1"/>
  <c r="AK504" i="1"/>
  <c r="AJ496" i="1"/>
  <c r="AJ488" i="1"/>
  <c r="AK488" i="1"/>
  <c r="AJ480" i="1"/>
  <c r="AK480" i="1"/>
  <c r="AJ472" i="1"/>
  <c r="AJ467" i="1"/>
  <c r="AJ459" i="1"/>
  <c r="AK568" i="1"/>
  <c r="AD455" i="1"/>
  <c r="AK574" i="1"/>
  <c r="AJ574" i="1"/>
  <c r="AJ566" i="1"/>
  <c r="AK566" i="1"/>
  <c r="AK542" i="1"/>
  <c r="AJ542" i="1"/>
  <c r="AK510" i="1"/>
  <c r="AK502" i="1"/>
  <c r="AJ494" i="1"/>
  <c r="AK494" i="1"/>
  <c r="AK478" i="1"/>
  <c r="AJ478" i="1"/>
  <c r="AK470" i="1"/>
  <c r="AC580" i="1"/>
  <c r="AD580" i="1"/>
  <c r="AD540" i="1"/>
  <c r="AC540" i="1"/>
  <c r="AC524" i="1"/>
  <c r="AD524" i="1"/>
  <c r="AP526" i="1"/>
  <c r="AK496" i="1"/>
  <c r="AJ582" i="1"/>
  <c r="AO782" i="1"/>
  <c r="AO768" i="1"/>
  <c r="AO732" i="1"/>
  <c r="AO710" i="1"/>
  <c r="AO634" i="1"/>
  <c r="AO796" i="1"/>
  <c r="AP796" i="1"/>
  <c r="AO788" i="1"/>
  <c r="AP788" i="1"/>
  <c r="AO774" i="1"/>
  <c r="AP774" i="1"/>
  <c r="AO762" i="1"/>
  <c r="AP762" i="1"/>
  <c r="AO748" i="1"/>
  <c r="AP748" i="1"/>
  <c r="AO740" i="1"/>
  <c r="AP740" i="1"/>
  <c r="AO716" i="1"/>
  <c r="AP716" i="1"/>
  <c r="AO700" i="1"/>
  <c r="AP700" i="1"/>
  <c r="AO692" i="1"/>
  <c r="AP692" i="1"/>
  <c r="AO656" i="1"/>
  <c r="AP656" i="1"/>
  <c r="AO650" i="1"/>
  <c r="AP650" i="1"/>
  <c r="AO622" i="1"/>
  <c r="AP622" i="1"/>
  <c r="AO590" i="1"/>
  <c r="AP590" i="1"/>
  <c r="AP466" i="1"/>
  <c r="AO535" i="1"/>
  <c r="AJ567" i="1"/>
  <c r="AJ481" i="1"/>
  <c r="AD527" i="1"/>
  <c r="AD469" i="1"/>
  <c r="AJ551" i="1"/>
  <c r="AJ535" i="1"/>
  <c r="AO519" i="1"/>
  <c r="AJ503" i="1"/>
  <c r="AO495" i="1"/>
  <c r="AJ487" i="1"/>
  <c r="AJ471" i="1"/>
  <c r="AJ466" i="1"/>
  <c r="AJ458" i="1"/>
  <c r="AO780" i="1"/>
  <c r="AO742" i="1"/>
  <c r="AO686" i="1"/>
  <c r="AO644" i="1"/>
  <c r="AO471" i="1"/>
  <c r="AO570" i="1"/>
  <c r="AO530" i="1"/>
  <c r="AO514" i="1"/>
  <c r="AO506" i="1"/>
  <c r="AO498" i="1"/>
  <c r="AO482" i="1"/>
  <c r="AO461" i="1"/>
  <c r="AO453" i="1"/>
  <c r="AC458" i="1"/>
  <c r="AD584" i="1"/>
  <c r="AD576" i="1"/>
  <c r="AD568" i="1"/>
  <c r="AD560" i="1"/>
  <c r="AD552" i="1"/>
  <c r="AD544" i="1"/>
  <c r="AD536" i="1"/>
  <c r="AD528" i="1"/>
  <c r="AD520" i="1"/>
  <c r="AD512" i="1"/>
  <c r="AD504" i="1"/>
  <c r="AD496" i="1"/>
  <c r="AD488" i="1"/>
  <c r="AD480" i="1"/>
  <c r="AD472" i="1"/>
  <c r="AD467" i="1"/>
  <c r="AD459" i="1"/>
  <c r="AE584" i="1"/>
  <c r="AA536" i="1"/>
  <c r="AA504" i="1"/>
  <c r="AJ558" i="1"/>
  <c r="AJ550" i="1"/>
  <c r="AP782" i="1"/>
  <c r="AP756" i="1"/>
  <c r="AP734" i="1"/>
  <c r="AP710" i="1"/>
  <c r="AP686" i="1"/>
  <c r="AP680" i="1"/>
  <c r="AP644" i="1"/>
  <c r="AP630" i="1"/>
  <c r="AP616" i="1"/>
  <c r="AP503" i="1"/>
  <c r="AO458" i="1"/>
  <c r="AO790" i="1"/>
  <c r="AO724" i="1"/>
  <c r="AO718" i="1"/>
  <c r="AO684" i="1"/>
  <c r="AO664" i="1"/>
  <c r="AO658" i="1"/>
  <c r="AO642" i="1"/>
  <c r="AO584" i="1"/>
  <c r="AO576" i="1"/>
  <c r="AO568" i="1"/>
  <c r="AO560" i="1"/>
  <c r="AO552" i="1"/>
  <c r="AO544" i="1"/>
  <c r="AO536" i="1"/>
  <c r="AO528" i="1"/>
  <c r="AO520" i="1"/>
  <c r="AO512" i="1"/>
  <c r="AO504" i="1"/>
  <c r="AO496" i="1"/>
  <c r="AO488" i="1"/>
  <c r="AO480" i="1"/>
  <c r="AO472" i="1"/>
  <c r="AO467" i="1"/>
  <c r="AO459" i="1"/>
  <c r="AK573" i="1"/>
  <c r="AJ546" i="1"/>
  <c r="AJ530" i="1"/>
  <c r="AJ522" i="1"/>
  <c r="AJ514" i="1"/>
  <c r="AJ506" i="1"/>
  <c r="AJ498" i="1"/>
  <c r="AJ490" i="1"/>
  <c r="AJ474" i="1"/>
  <c r="AJ453" i="1"/>
  <c r="AD582" i="1"/>
  <c r="AD574" i="1"/>
  <c r="AD566" i="1"/>
  <c r="AD558" i="1"/>
  <c r="AD550" i="1"/>
  <c r="AD542" i="1"/>
  <c r="AD534" i="1"/>
  <c r="AD526" i="1"/>
  <c r="AD518" i="1"/>
  <c r="AD510" i="1"/>
  <c r="AD494" i="1"/>
  <c r="AD478" i="1"/>
  <c r="AD470" i="1"/>
  <c r="AD465" i="1"/>
  <c r="AD457" i="1"/>
  <c r="AE582" i="1"/>
  <c r="AA574" i="1"/>
  <c r="AC518" i="1"/>
  <c r="AC510" i="1"/>
  <c r="AC494" i="1"/>
  <c r="AE478" i="1"/>
  <c r="AC470" i="1"/>
  <c r="AC465" i="1"/>
  <c r="AE457" i="1"/>
  <c r="AO540" i="1"/>
  <c r="AO532" i="1"/>
  <c r="AJ524" i="1"/>
  <c r="AJ500" i="1"/>
  <c r="AJ463" i="1"/>
  <c r="AJ455" i="1"/>
  <c r="AD461" i="1"/>
  <c r="AP776" i="1"/>
  <c r="AP694" i="1"/>
  <c r="AP592" i="1"/>
  <c r="AO708" i="1"/>
  <c r="AO678" i="1"/>
  <c r="AO628" i="1"/>
  <c r="AK779" i="1"/>
  <c r="AK655" i="1"/>
  <c r="AK761" i="1"/>
  <c r="AK621" i="1"/>
  <c r="AJ773" i="1"/>
  <c r="AK641" i="1"/>
  <c r="AJ707" i="1"/>
  <c r="AJ787" i="1"/>
  <c r="AK787" i="1"/>
  <c r="AJ747" i="1"/>
  <c r="AK747" i="1"/>
  <c r="AJ731" i="1"/>
  <c r="AK731" i="1"/>
  <c r="AK723" i="1"/>
  <c r="AJ723" i="1"/>
  <c r="AJ715" i="1"/>
  <c r="AK715" i="1"/>
  <c r="AK699" i="1"/>
  <c r="AJ699" i="1"/>
  <c r="AJ691" i="1"/>
  <c r="AK691" i="1"/>
  <c r="AJ677" i="1"/>
  <c r="AK677" i="1"/>
  <c r="AK663" i="1"/>
  <c r="AJ663" i="1"/>
  <c r="AK633" i="1"/>
  <c r="AJ633" i="1"/>
  <c r="AJ627" i="1"/>
  <c r="AK627" i="1"/>
  <c r="AJ589" i="1"/>
  <c r="AK589" i="1"/>
  <c r="AP785" i="1"/>
  <c r="AP771" i="1"/>
  <c r="AP759" i="1"/>
  <c r="AP737" i="1"/>
  <c r="AP713" i="1"/>
  <c r="AP689" i="1"/>
  <c r="AP653" i="1"/>
  <c r="AP647" i="1"/>
  <c r="AP619" i="1"/>
  <c r="AP587" i="1"/>
  <c r="AK795" i="1"/>
  <c r="AD652" i="1"/>
  <c r="AC712" i="1"/>
  <c r="AK672" i="1"/>
  <c r="AJ672" i="1"/>
  <c r="AK652" i="1"/>
  <c r="AK594" i="1"/>
  <c r="AJ718" i="1"/>
  <c r="AC688" i="1"/>
  <c r="AJ752" i="1"/>
  <c r="AJ732" i="1"/>
  <c r="AK732" i="1"/>
  <c r="AJ684" i="1"/>
  <c r="AK684" i="1"/>
  <c r="AJ642" i="1"/>
  <c r="AK642" i="1"/>
  <c r="AD792" i="1"/>
  <c r="AC792" i="1"/>
  <c r="AC778" i="1"/>
  <c r="AD778" i="1"/>
  <c r="AD764" i="1"/>
  <c r="AC764" i="1"/>
  <c r="AD752" i="1"/>
  <c r="AC752" i="1"/>
  <c r="AD744" i="1"/>
  <c r="AC744" i="1"/>
  <c r="AD728" i="1"/>
  <c r="AC728" i="1"/>
  <c r="AD720" i="1"/>
  <c r="AC720" i="1"/>
  <c r="AD704" i="1"/>
  <c r="AC704" i="1"/>
  <c r="AD696" i="1"/>
  <c r="AC696" i="1"/>
  <c r="AC674" i="1"/>
  <c r="AD674" i="1"/>
  <c r="AC668" i="1"/>
  <c r="AD668" i="1"/>
  <c r="AD660" i="1"/>
  <c r="AC660" i="1"/>
  <c r="AJ776" i="1"/>
  <c r="AJ734" i="1"/>
  <c r="AC758" i="1"/>
  <c r="AJ770" i="1"/>
  <c r="AJ710" i="1"/>
  <c r="AC736" i="1"/>
  <c r="AD692" i="1"/>
  <c r="AA730" i="1"/>
  <c r="AA626" i="1"/>
  <c r="AC593" i="1"/>
  <c r="AD780" i="1"/>
  <c r="AD768" i="1"/>
  <c r="AC766" i="1"/>
  <c r="AC754" i="1"/>
  <c r="AC706" i="1"/>
  <c r="AC662" i="1"/>
  <c r="AC596" i="1"/>
  <c r="AA682" i="1"/>
  <c r="AA593" i="1"/>
  <c r="AA670" i="1"/>
  <c r="AD788" i="1"/>
  <c r="AD724" i="1"/>
  <c r="AD656" i="1"/>
  <c r="AC640" i="1"/>
  <c r="AD787" i="1"/>
  <c r="AD774" i="1"/>
  <c r="AD732" i="1"/>
  <c r="AD708" i="1"/>
  <c r="AD650" i="1"/>
  <c r="AC638" i="1"/>
  <c r="AD716" i="1"/>
  <c r="AD678" i="1"/>
  <c r="AD664" i="1"/>
  <c r="AC794" i="1"/>
  <c r="AC698" i="1"/>
  <c r="AP574" i="1"/>
  <c r="AP535" i="1"/>
  <c r="AK552" i="1"/>
  <c r="AK528" i="1"/>
  <c r="AK509" i="1"/>
  <c r="AK459" i="1"/>
  <c r="AJ575" i="1"/>
  <c r="AJ543" i="1"/>
  <c r="AJ519" i="1"/>
  <c r="AJ479" i="1"/>
  <c r="AD575" i="1"/>
  <c r="AC581" i="1"/>
  <c r="AD549" i="1"/>
  <c r="AD464" i="1"/>
  <c r="AC548" i="1"/>
  <c r="AD548" i="1"/>
  <c r="AC500" i="1"/>
  <c r="AD500" i="1"/>
  <c r="AO549" i="1"/>
  <c r="AO487" i="1"/>
  <c r="AK581" i="1"/>
  <c r="AK520" i="1"/>
  <c r="AK501" i="1"/>
  <c r="AJ572" i="1"/>
  <c r="AJ516" i="1"/>
  <c r="AD517" i="1"/>
  <c r="AD463" i="1"/>
  <c r="AP583" i="1"/>
  <c r="AP567" i="1"/>
  <c r="AO567" i="1"/>
  <c r="AO546" i="1"/>
  <c r="AK576" i="1"/>
  <c r="AK565" i="1"/>
  <c r="AK541" i="1"/>
  <c r="AD564" i="1"/>
  <c r="AC525" i="1"/>
  <c r="AC484" i="1"/>
  <c r="AO564" i="1"/>
  <c r="AO556" i="1"/>
  <c r="AO524" i="1"/>
  <c r="AO508" i="1"/>
  <c r="AO500" i="1"/>
  <c r="AO492" i="1"/>
  <c r="AO463" i="1"/>
  <c r="AO455" i="1"/>
  <c r="AK560" i="1"/>
  <c r="AK536" i="1"/>
  <c r="AK517" i="1"/>
  <c r="AK467" i="1"/>
  <c r="AJ454" i="1"/>
  <c r="AE562" i="1"/>
  <c r="AE546" i="1"/>
  <c r="AD543" i="1"/>
  <c r="AC557" i="1"/>
  <c r="AD509" i="1"/>
  <c r="AC477" i="1"/>
  <c r="AP575" i="1"/>
  <c r="AO475" i="1"/>
  <c r="AK557" i="1"/>
  <c r="AK533" i="1"/>
  <c r="AK464" i="1"/>
  <c r="AD533" i="1"/>
  <c r="AC508" i="1"/>
  <c r="AA530" i="1"/>
  <c r="AD573" i="1"/>
  <c r="AD485" i="1"/>
  <c r="AD456" i="1"/>
  <c r="AK783" i="1"/>
  <c r="AJ534" i="1"/>
  <c r="AJ510" i="1"/>
  <c r="AJ502" i="1"/>
  <c r="AJ470" i="1"/>
  <c r="AE573" i="1"/>
  <c r="AP481" i="1"/>
  <c r="AD748" i="1"/>
  <c r="AD700" i="1"/>
  <c r="AD622" i="1"/>
  <c r="AD590" i="1"/>
  <c r="AC793" i="1"/>
  <c r="AD793" i="1"/>
  <c r="AC785" i="1"/>
  <c r="AD785" i="1"/>
  <c r="AC771" i="1"/>
  <c r="AD771" i="1"/>
  <c r="AC765" i="1"/>
  <c r="AD765" i="1"/>
  <c r="AC759" i="1"/>
  <c r="AD759" i="1"/>
  <c r="AC753" i="1"/>
  <c r="AD753" i="1"/>
  <c r="AC745" i="1"/>
  <c r="AD745" i="1"/>
  <c r="AC737" i="1"/>
  <c r="AD737" i="1"/>
  <c r="AC729" i="1"/>
  <c r="AD729" i="1"/>
  <c r="AC721" i="1"/>
  <c r="AD721" i="1"/>
  <c r="AC713" i="1"/>
  <c r="AD713" i="1"/>
  <c r="AC705" i="1"/>
  <c r="AD705" i="1"/>
  <c r="AC697" i="1"/>
  <c r="AD697" i="1"/>
  <c r="AC689" i="1"/>
  <c r="AD689" i="1"/>
  <c r="AC681" i="1"/>
  <c r="AD681" i="1"/>
  <c r="AC675" i="1"/>
  <c r="AD675" i="1"/>
  <c r="AC669" i="1"/>
  <c r="AD669" i="1"/>
  <c r="AC661" i="1"/>
  <c r="AD661" i="1"/>
  <c r="AC653" i="1"/>
  <c r="AD653" i="1"/>
  <c r="AC647" i="1"/>
  <c r="AD647" i="1"/>
  <c r="AC639" i="1"/>
  <c r="AD639" i="1"/>
  <c r="AC625" i="1"/>
  <c r="AD625" i="1"/>
  <c r="AC619" i="1"/>
  <c r="AD619" i="1"/>
  <c r="AC595" i="1"/>
  <c r="AD595" i="1"/>
  <c r="AC587" i="1"/>
  <c r="AD587" i="1"/>
  <c r="AD796" i="1"/>
  <c r="AD634" i="1"/>
  <c r="AA331" i="1"/>
  <c r="AP462" i="1"/>
  <c r="AO483" i="1"/>
  <c r="AP586" i="1"/>
  <c r="AP571" i="1"/>
  <c r="AP563" i="1"/>
  <c r="AP531" i="1"/>
  <c r="AO586" i="1"/>
  <c r="AO571" i="1"/>
  <c r="AO563" i="1"/>
  <c r="AO539" i="1"/>
  <c r="AO523" i="1"/>
  <c r="AO454" i="1"/>
  <c r="AP570" i="1"/>
  <c r="AP562" i="1"/>
  <c r="AP530" i="1"/>
  <c r="AP515" i="1"/>
  <c r="AP499" i="1"/>
  <c r="AO562" i="1"/>
  <c r="AO522" i="1"/>
  <c r="AO507" i="1"/>
  <c r="AO491" i="1"/>
  <c r="AJ483" i="1"/>
  <c r="AO372" i="1"/>
  <c r="AP514" i="1"/>
  <c r="AP498" i="1"/>
  <c r="AP454" i="1"/>
  <c r="AO547" i="1"/>
  <c r="AO490" i="1"/>
  <c r="AO580" i="1"/>
  <c r="AP580" i="1"/>
  <c r="AJ507" i="1"/>
  <c r="AC496" i="1"/>
  <c r="AO526" i="1"/>
  <c r="AJ526" i="1"/>
  <c r="AJ518" i="1"/>
  <c r="AO518" i="1"/>
  <c r="AO478" i="1"/>
  <c r="AK579" i="1"/>
  <c r="AJ579" i="1"/>
  <c r="AJ563" i="1"/>
  <c r="AK563" i="1"/>
  <c r="AK539" i="1"/>
  <c r="AJ539" i="1"/>
  <c r="AK491" i="1"/>
  <c r="AJ491" i="1"/>
  <c r="AK475" i="1"/>
  <c r="AJ475" i="1"/>
  <c r="AP579" i="1"/>
  <c r="AO555" i="1"/>
  <c r="AP578" i="1"/>
  <c r="AO578" i="1"/>
  <c r="AJ580" i="1"/>
  <c r="AJ564" i="1"/>
  <c r="AO548" i="1"/>
  <c r="AJ508" i="1"/>
  <c r="AO476" i="1"/>
  <c r="AA586" i="1"/>
  <c r="AE586" i="1"/>
  <c r="AD586" i="1"/>
  <c r="AA578" i="1"/>
  <c r="AE578" i="1"/>
  <c r="AA570" i="1"/>
  <c r="AD570" i="1"/>
  <c r="AA554" i="1"/>
  <c r="AE554" i="1"/>
  <c r="AA538" i="1"/>
  <c r="AE538" i="1"/>
  <c r="AA522" i="1"/>
  <c r="AE522" i="1"/>
  <c r="AD522" i="1"/>
  <c r="AE514" i="1"/>
  <c r="AA514" i="1"/>
  <c r="AA506" i="1"/>
  <c r="AD506" i="1"/>
  <c r="AE506" i="1"/>
  <c r="AD498" i="1"/>
  <c r="AE498" i="1"/>
  <c r="AA498" i="1"/>
  <c r="AA490" i="1"/>
  <c r="AE490" i="1"/>
  <c r="AA482" i="1"/>
  <c r="AE482" i="1"/>
  <c r="AE461" i="1"/>
  <c r="AA461" i="1"/>
  <c r="AD453" i="1"/>
  <c r="AE453" i="1"/>
  <c r="AP357" i="1"/>
  <c r="AP524" i="1"/>
  <c r="AP492" i="1"/>
  <c r="AO554" i="1"/>
  <c r="AO462" i="1"/>
  <c r="AK499" i="1"/>
  <c r="AJ555" i="1"/>
  <c r="AD538" i="1"/>
  <c r="AO484" i="1"/>
  <c r="AK571" i="1"/>
  <c r="AJ523" i="1"/>
  <c r="AA453" i="1"/>
  <c r="AK583" i="1"/>
  <c r="AJ583" i="1"/>
  <c r="AK527" i="1"/>
  <c r="AJ527" i="1"/>
  <c r="AK511" i="1"/>
  <c r="AJ511" i="1"/>
  <c r="AD476" i="1"/>
  <c r="AC476" i="1"/>
  <c r="AJ486" i="1"/>
  <c r="AO486" i="1"/>
  <c r="AO457" i="1"/>
  <c r="AA572" i="1"/>
  <c r="AE572" i="1"/>
  <c r="AA564" i="1"/>
  <c r="AE564" i="1"/>
  <c r="AD578" i="1"/>
  <c r="AD562" i="1"/>
  <c r="AD554" i="1"/>
  <c r="AJ547" i="1"/>
  <c r="AJ531" i="1"/>
  <c r="AJ515" i="1"/>
  <c r="AJ462" i="1"/>
  <c r="AA561" i="1"/>
  <c r="AP561" i="1"/>
  <c r="AE521" i="1"/>
  <c r="AP521" i="1"/>
  <c r="AK546" i="1"/>
  <c r="AK506" i="1"/>
  <c r="AK482" i="1"/>
  <c r="AK461" i="1"/>
  <c r="AC567" i="1"/>
  <c r="AD567" i="1"/>
  <c r="AC519" i="1"/>
  <c r="AD519" i="1"/>
  <c r="AC511" i="1"/>
  <c r="AD511" i="1"/>
  <c r="AD487" i="1"/>
  <c r="AC487" i="1"/>
  <c r="AD471" i="1"/>
  <c r="AC471" i="1"/>
  <c r="AA524" i="1"/>
  <c r="AK549" i="1"/>
  <c r="AK477" i="1"/>
  <c r="AJ461" i="1"/>
  <c r="AE540" i="1"/>
  <c r="AJ505" i="1"/>
  <c r="AJ489" i="1"/>
  <c r="AJ473" i="1"/>
  <c r="AK585" i="1"/>
  <c r="AC577" i="1"/>
  <c r="AK569" i="1"/>
  <c r="AC561" i="1"/>
  <c r="AK553" i="1"/>
  <c r="AA545" i="1"/>
  <c r="AK537" i="1"/>
  <c r="AK529" i="1"/>
  <c r="AK521" i="1"/>
  <c r="AK513" i="1"/>
  <c r="AK505" i="1"/>
  <c r="AC497" i="1"/>
  <c r="AK489" i="1"/>
  <c r="AA481" i="1"/>
  <c r="AK473" i="1"/>
  <c r="AA468" i="1"/>
  <c r="AK460" i="1"/>
  <c r="AK452" i="1"/>
  <c r="AJ559" i="1"/>
  <c r="AA352" i="1"/>
  <c r="AE322" i="1"/>
  <c r="AP564" i="1"/>
  <c r="AP500" i="1"/>
  <c r="AP455" i="1"/>
  <c r="AO565" i="1"/>
  <c r="AO538" i="1"/>
  <c r="AO501" i="1"/>
  <c r="AO474" i="1"/>
  <c r="AC454" i="1"/>
  <c r="AO509" i="1"/>
  <c r="AO464" i="1"/>
  <c r="AP508" i="1"/>
  <c r="AP463" i="1"/>
  <c r="AO573" i="1"/>
  <c r="AO517" i="1"/>
  <c r="AD571" i="1"/>
  <c r="AC438" i="1"/>
  <c r="AC388" i="1"/>
  <c r="AC352" i="1"/>
  <c r="AC324" i="1"/>
  <c r="AO581" i="1"/>
  <c r="AO572" i="1"/>
  <c r="AO525" i="1"/>
  <c r="AO516" i="1"/>
  <c r="AJ586" i="1"/>
  <c r="AK586" i="1"/>
  <c r="AJ578" i="1"/>
  <c r="AK578" i="1"/>
  <c r="AJ570" i="1"/>
  <c r="AK570" i="1"/>
  <c r="AJ562" i="1"/>
  <c r="AK562" i="1"/>
  <c r="AJ554" i="1"/>
  <c r="AK554" i="1"/>
  <c r="AJ538" i="1"/>
  <c r="AK538" i="1"/>
  <c r="AE440" i="1"/>
  <c r="AE404" i="1"/>
  <c r="AE398" i="1"/>
  <c r="AE390" i="1"/>
  <c r="AE374" i="1"/>
  <c r="AE370" i="1"/>
  <c r="AE354" i="1"/>
  <c r="AE334" i="1"/>
  <c r="AE326" i="1"/>
  <c r="AP506" i="1"/>
  <c r="AP461" i="1"/>
  <c r="AO533" i="1"/>
  <c r="AO469" i="1"/>
  <c r="AE439" i="1"/>
  <c r="AE403" i="1"/>
  <c r="AE389" i="1"/>
  <c r="AE369" i="1"/>
  <c r="AE361" i="1"/>
  <c r="AA345" i="1"/>
  <c r="AE325" i="1"/>
  <c r="AO541" i="1"/>
  <c r="AO477" i="1"/>
  <c r="AE446" i="1"/>
  <c r="AE432" i="1"/>
  <c r="AE410" i="1"/>
  <c r="AE396" i="1"/>
  <c r="AE380" i="1"/>
  <c r="AE368" i="1"/>
  <c r="AE360" i="1"/>
  <c r="AE332" i="1"/>
  <c r="AP456" i="1"/>
  <c r="AO456" i="1"/>
  <c r="AP407" i="1"/>
  <c r="AP377" i="1"/>
  <c r="AP365" i="1"/>
  <c r="AP341" i="1"/>
  <c r="AE437" i="1"/>
  <c r="AA431" i="1"/>
  <c r="AA417" i="1"/>
  <c r="AE401" i="1"/>
  <c r="AE387" i="1"/>
  <c r="AE379" i="1"/>
  <c r="AE367" i="1"/>
  <c r="AE359" i="1"/>
  <c r="AE351" i="1"/>
  <c r="AE343" i="1"/>
  <c r="AE323" i="1"/>
  <c r="AO557" i="1"/>
  <c r="AO493" i="1"/>
  <c r="AD555" i="1"/>
  <c r="AC555" i="1"/>
  <c r="AD539" i="1"/>
  <c r="AC539" i="1"/>
  <c r="AD515" i="1"/>
  <c r="AC515" i="1"/>
  <c r="AD499" i="1"/>
  <c r="AC499" i="1"/>
  <c r="AC475" i="1"/>
  <c r="AD475" i="1"/>
  <c r="AE481" i="1"/>
  <c r="AC460" i="1"/>
  <c r="AC566" i="1"/>
  <c r="AE566" i="1"/>
  <c r="AA558" i="1"/>
  <c r="AC558" i="1"/>
  <c r="AC550" i="1"/>
  <c r="AE550" i="1"/>
  <c r="AA550" i="1"/>
  <c r="AC542" i="1"/>
  <c r="AE542" i="1"/>
  <c r="AC534" i="1"/>
  <c r="AA534" i="1"/>
  <c r="AA526" i="1"/>
  <c r="AE526" i="1"/>
  <c r="AC526" i="1"/>
  <c r="AE502" i="1"/>
  <c r="AC502" i="1"/>
  <c r="AC486" i="1"/>
  <c r="AE486" i="1"/>
  <c r="AK530" i="1"/>
  <c r="AK522" i="1"/>
  <c r="AK514" i="1"/>
  <c r="AK498" i="1"/>
  <c r="AK490" i="1"/>
  <c r="AK474" i="1"/>
  <c r="AK453" i="1"/>
  <c r="AJ532" i="1"/>
  <c r="AJ495" i="1"/>
  <c r="AE577" i="1"/>
  <c r="AE561" i="1"/>
  <c r="AE537" i="1"/>
  <c r="AE465" i="1"/>
  <c r="AE452" i="1"/>
  <c r="AC536" i="1"/>
  <c r="AK577" i="1"/>
  <c r="AK561" i="1"/>
  <c r="AK545" i="1"/>
  <c r="AK497" i="1"/>
  <c r="AK481" i="1"/>
  <c r="AK468" i="1"/>
  <c r="AJ540" i="1"/>
  <c r="AJ476" i="1"/>
  <c r="AE536" i="1"/>
  <c r="AC582" i="1"/>
  <c r="AC457" i="1"/>
  <c r="AJ548" i="1"/>
  <c r="AJ484" i="1"/>
  <c r="AA518" i="1"/>
  <c r="AA497" i="1"/>
  <c r="AC579" i="1"/>
  <c r="AE579" i="1"/>
  <c r="AE571" i="1"/>
  <c r="AA571" i="1"/>
  <c r="AE563" i="1"/>
  <c r="AC563" i="1"/>
  <c r="AA563" i="1"/>
  <c r="AC547" i="1"/>
  <c r="AA547" i="1"/>
  <c r="AE547" i="1"/>
  <c r="AC531" i="1"/>
  <c r="AC491" i="1"/>
  <c r="AP584" i="1"/>
  <c r="AP576" i="1"/>
  <c r="AP568" i="1"/>
  <c r="AP560" i="1"/>
  <c r="AP552" i="1"/>
  <c r="AP544" i="1"/>
  <c r="AP536" i="1"/>
  <c r="AP528" i="1"/>
  <c r="AP520" i="1"/>
  <c r="AP512" i="1"/>
  <c r="AP504" i="1"/>
  <c r="AP496" i="1"/>
  <c r="AP488" i="1"/>
  <c r="AP480" i="1"/>
  <c r="AP472" i="1"/>
  <c r="AP467" i="1"/>
  <c r="AP459" i="1"/>
  <c r="AK575" i="1"/>
  <c r="AK543" i="1"/>
  <c r="AK519" i="1"/>
  <c r="AK479" i="1"/>
  <c r="AJ556" i="1"/>
  <c r="AJ492" i="1"/>
  <c r="AE545" i="1"/>
  <c r="AE534" i="1"/>
  <c r="AA566" i="1"/>
  <c r="AA542" i="1"/>
  <c r="AA585" i="1"/>
  <c r="AC585" i="1"/>
  <c r="AE585" i="1"/>
  <c r="AA569" i="1"/>
  <c r="AC569" i="1"/>
  <c r="AE569" i="1"/>
  <c r="AA553" i="1"/>
  <c r="AE553" i="1"/>
  <c r="AC553" i="1"/>
  <c r="AC537" i="1"/>
  <c r="AA537" i="1"/>
  <c r="AA529" i="1"/>
  <c r="AE529" i="1"/>
  <c r="AC529" i="1"/>
  <c r="AC521" i="1"/>
  <c r="AA521" i="1"/>
  <c r="AA513" i="1"/>
  <c r="AC513" i="1"/>
  <c r="AE513" i="1"/>
  <c r="AA505" i="1"/>
  <c r="AE505" i="1"/>
  <c r="AA489" i="1"/>
  <c r="AE489" i="1"/>
  <c r="AC489" i="1"/>
  <c r="AC473" i="1"/>
  <c r="AA473" i="1"/>
  <c r="AC468" i="1"/>
  <c r="AE468" i="1"/>
  <c r="AA460" i="1"/>
  <c r="AE460" i="1"/>
  <c r="AC452" i="1"/>
  <c r="AA452" i="1"/>
  <c r="AA584" i="1"/>
  <c r="AC584" i="1"/>
  <c r="AA576" i="1"/>
  <c r="AE576" i="1"/>
  <c r="AC576" i="1"/>
  <c r="AA568" i="1"/>
  <c r="AC568" i="1"/>
  <c r="AE568" i="1"/>
  <c r="AA560" i="1"/>
  <c r="AE560" i="1"/>
  <c r="AA552" i="1"/>
  <c r="AC552" i="1"/>
  <c r="AA544" i="1"/>
  <c r="AE544" i="1"/>
  <c r="AC544" i="1"/>
  <c r="AA528" i="1"/>
  <c r="AC528" i="1"/>
  <c r="AA520" i="1"/>
  <c r="AE520" i="1"/>
  <c r="AA512" i="1"/>
  <c r="AC512" i="1"/>
  <c r="AC504" i="1"/>
  <c r="AE504" i="1"/>
  <c r="AA496" i="1"/>
  <c r="AE496" i="1"/>
  <c r="AC488" i="1"/>
  <c r="AA488" i="1"/>
  <c r="AC480" i="1"/>
  <c r="AE480" i="1"/>
  <c r="AC472" i="1"/>
  <c r="AA472" i="1"/>
  <c r="AA467" i="1"/>
  <c r="AC467" i="1"/>
  <c r="AA459" i="1"/>
  <c r="AC459" i="1"/>
  <c r="AE459" i="1"/>
  <c r="AK572" i="1"/>
  <c r="AK516" i="1"/>
  <c r="AE552" i="1"/>
  <c r="AE518" i="1"/>
  <c r="AE494" i="1"/>
  <c r="AE467" i="1"/>
  <c r="AC560" i="1"/>
  <c r="AC520" i="1"/>
  <c r="AC481" i="1"/>
  <c r="AA577" i="1"/>
  <c r="AA474" i="1"/>
  <c r="AD474" i="1"/>
  <c r="AD495" i="1"/>
  <c r="AC495" i="1"/>
  <c r="AD479" i="1"/>
  <c r="AC479" i="1"/>
  <c r="AC572" i="1"/>
  <c r="AC556" i="1"/>
  <c r="AC532" i="1"/>
  <c r="AC516" i="1"/>
  <c r="AC492" i="1"/>
  <c r="AA531" i="1"/>
  <c r="AE531" i="1"/>
  <c r="AC523" i="1"/>
  <c r="AE523" i="1"/>
  <c r="AC507" i="1"/>
  <c r="AE507" i="1"/>
  <c r="AA499" i="1"/>
  <c r="AE499" i="1"/>
  <c r="AA491" i="1"/>
  <c r="AE491" i="1"/>
  <c r="AC483" i="1"/>
  <c r="AE483" i="1"/>
  <c r="AA475" i="1"/>
  <c r="AE475" i="1"/>
  <c r="AC462" i="1"/>
  <c r="AA462" i="1"/>
  <c r="AE462" i="1"/>
  <c r="AD541" i="1"/>
  <c r="AA483" i="1"/>
  <c r="AD565" i="1"/>
  <c r="AD501" i="1"/>
  <c r="AA485" i="1"/>
  <c r="AC586" i="1"/>
  <c r="AC578" i="1"/>
  <c r="AC570" i="1"/>
  <c r="AC562" i="1"/>
  <c r="AC554" i="1"/>
  <c r="AC546" i="1"/>
  <c r="AC538" i="1"/>
  <c r="AC530" i="1"/>
  <c r="AC522" i="1"/>
  <c r="AC514" i="1"/>
  <c r="AC506" i="1"/>
  <c r="AC498" i="1"/>
  <c r="AC490" i="1"/>
  <c r="AC482" i="1"/>
  <c r="AC474" i="1"/>
  <c r="AC461" i="1"/>
  <c r="AC453" i="1"/>
  <c r="AA510" i="1"/>
  <c r="AA502" i="1"/>
  <c r="AA494" i="1"/>
  <c r="AA486" i="1"/>
  <c r="AA478" i="1"/>
  <c r="AA470" i="1"/>
  <c r="AA465" i="1"/>
  <c r="AA457" i="1"/>
  <c r="AP378" i="1"/>
  <c r="AD359" i="1"/>
  <c r="AO404" i="1"/>
  <c r="AO398" i="1"/>
  <c r="AO370" i="1"/>
  <c r="AA359" i="1"/>
  <c r="AC359" i="1"/>
  <c r="AJ347" i="1"/>
  <c r="AP376" i="1"/>
  <c r="AP372" i="1"/>
  <c r="AJ358" i="1"/>
  <c r="AO408" i="1"/>
  <c r="AO394" i="1"/>
  <c r="AO386" i="1"/>
  <c r="AO330" i="1"/>
  <c r="AJ416" i="1"/>
  <c r="AP398" i="1"/>
  <c r="AJ340" i="1"/>
  <c r="AJ336" i="1"/>
  <c r="AE445" i="1"/>
  <c r="AA445" i="1"/>
  <c r="AE409" i="1"/>
  <c r="AA409" i="1"/>
  <c r="AE395" i="1"/>
  <c r="AA395" i="1"/>
  <c r="AA362" i="1"/>
  <c r="AE362" i="1"/>
  <c r="AA338" i="1"/>
  <c r="AE338" i="1"/>
  <c r="AJ400" i="1"/>
  <c r="AO365" i="1"/>
  <c r="AO436" i="1"/>
  <c r="AO416" i="1"/>
  <c r="AP416" i="1"/>
  <c r="AO350" i="1"/>
  <c r="AP350" i="1"/>
  <c r="AO444" i="1"/>
  <c r="AO430" i="1"/>
  <c r="AO400" i="1"/>
  <c r="AO378" i="1"/>
  <c r="AO358" i="1"/>
  <c r="AO322" i="1"/>
  <c r="AP322" i="1"/>
  <c r="AO366" i="1"/>
  <c r="AO342" i="1"/>
  <c r="AJ441" i="1"/>
  <c r="AJ399" i="1"/>
  <c r="AJ363" i="1"/>
  <c r="AJ335" i="1"/>
  <c r="AE417" i="1"/>
  <c r="AD367" i="1"/>
  <c r="AA437" i="1"/>
  <c r="AA387" i="1"/>
  <c r="AA323" i="1"/>
  <c r="AP408" i="1"/>
  <c r="AP373" i="1"/>
  <c r="AK445" i="1"/>
  <c r="AK437" i="1"/>
  <c r="AK417" i="1"/>
  <c r="AK409" i="1"/>
  <c r="AK401" i="1"/>
  <c r="AK395" i="1"/>
  <c r="AK387" i="1"/>
  <c r="AK367" i="1"/>
  <c r="AK359" i="1"/>
  <c r="AK351" i="1"/>
  <c r="AK343" i="1"/>
  <c r="AK331" i="1"/>
  <c r="AK323" i="1"/>
  <c r="AE431" i="1"/>
  <c r="AA343" i="1"/>
  <c r="AO449" i="1"/>
  <c r="AO427" i="1"/>
  <c r="AO399" i="1"/>
  <c r="AO383" i="1"/>
  <c r="AO339" i="1"/>
  <c r="AO335" i="1"/>
  <c r="AO327" i="1"/>
  <c r="AD409" i="1"/>
  <c r="AD379" i="1"/>
  <c r="AD351" i="1"/>
  <c r="AP447" i="1"/>
  <c r="AP439" i="1"/>
  <c r="AP433" i="1"/>
  <c r="AP411" i="1"/>
  <c r="AP403" i="1"/>
  <c r="AP397" i="1"/>
  <c r="AP389" i="1"/>
  <c r="AP381" i="1"/>
  <c r="AP369" i="1"/>
  <c r="AP361" i="1"/>
  <c r="AP353" i="1"/>
  <c r="AP431" i="1"/>
  <c r="AP409" i="1"/>
  <c r="AP387" i="1"/>
  <c r="AP343" i="1"/>
  <c r="AP323" i="1"/>
  <c r="AA353" i="1"/>
  <c r="AE353" i="1"/>
  <c r="AE438" i="1"/>
  <c r="AA438" i="1"/>
  <c r="AA418" i="1"/>
  <c r="AE418" i="1"/>
  <c r="AA402" i="1"/>
  <c r="AE402" i="1"/>
  <c r="AP402" i="1"/>
  <c r="AA388" i="1"/>
  <c r="AE388" i="1"/>
  <c r="AE344" i="1"/>
  <c r="AA344" i="1"/>
  <c r="AA324" i="1"/>
  <c r="AE324" i="1"/>
  <c r="AP437" i="1"/>
  <c r="AA403" i="1"/>
  <c r="AP445" i="1"/>
  <c r="AP367" i="1"/>
  <c r="AJ348" i="1"/>
  <c r="AO382" i="1"/>
  <c r="AP401" i="1"/>
  <c r="AA432" i="1"/>
  <c r="AP446" i="1"/>
  <c r="AP432" i="1"/>
  <c r="AP418" i="1"/>
  <c r="AP388" i="1"/>
  <c r="AP360" i="1"/>
  <c r="AP352" i="1"/>
  <c r="AP344" i="1"/>
  <c r="AK439" i="1"/>
  <c r="AK411" i="1"/>
  <c r="AK389" i="1"/>
  <c r="AK369" i="1"/>
  <c r="AK353" i="1"/>
  <c r="AO415" i="1"/>
  <c r="AO373" i="1"/>
  <c r="AO357" i="1"/>
  <c r="AO341" i="1"/>
  <c r="AD447" i="1"/>
  <c r="AD439" i="1"/>
  <c r="AD433" i="1"/>
  <c r="AD411" i="1"/>
  <c r="AD403" i="1"/>
  <c r="AD397" i="1"/>
  <c r="AD389" i="1"/>
  <c r="AD381" i="1"/>
  <c r="AD369" i="1"/>
  <c r="AD361" i="1"/>
  <c r="AD353" i="1"/>
  <c r="AD345" i="1"/>
  <c r="AO354" i="1"/>
  <c r="AD394" i="1"/>
  <c r="AD366" i="1"/>
  <c r="AD350" i="1"/>
  <c r="AD342" i="1"/>
  <c r="AD330" i="1"/>
  <c r="AD322" i="1"/>
  <c r="AP333" i="1"/>
  <c r="AP325" i="1"/>
  <c r="AK438" i="1"/>
  <c r="AK418" i="1"/>
  <c r="AK410" i="1"/>
  <c r="AK402" i="1"/>
  <c r="AK396" i="1"/>
  <c r="AD396" i="1"/>
  <c r="AJ377" i="1"/>
  <c r="AJ373" i="1"/>
  <c r="AJ341" i="1"/>
  <c r="AK431" i="1"/>
  <c r="AJ431" i="1"/>
  <c r="AO451" i="1"/>
  <c r="AP451" i="1"/>
  <c r="AO435" i="1"/>
  <c r="AP435" i="1"/>
  <c r="AO429" i="1"/>
  <c r="AO407" i="1"/>
  <c r="AO393" i="1"/>
  <c r="AP393" i="1"/>
  <c r="AP385" i="1"/>
  <c r="AO385" i="1"/>
  <c r="AO377" i="1"/>
  <c r="AP349" i="1"/>
  <c r="AO349" i="1"/>
  <c r="AO337" i="1"/>
  <c r="AP337" i="1"/>
  <c r="AO329" i="1"/>
  <c r="AP329" i="1"/>
  <c r="AJ428" i="1"/>
  <c r="AJ414" i="1"/>
  <c r="AJ406" i="1"/>
  <c r="AK379" i="1"/>
  <c r="AP438" i="1"/>
  <c r="AP368" i="1"/>
  <c r="AO446" i="1"/>
  <c r="AO418" i="1"/>
  <c r="AO402" i="1"/>
  <c r="AO332" i="1"/>
  <c r="AK356" i="1"/>
  <c r="AK340" i="1"/>
  <c r="AE397" i="1"/>
  <c r="AE381" i="1"/>
  <c r="AE333" i="1"/>
  <c r="AC428" i="1"/>
  <c r="AC383" i="1"/>
  <c r="AC339" i="1"/>
  <c r="AJ445" i="1"/>
  <c r="AJ437" i="1"/>
  <c r="AO431" i="1"/>
  <c r="AJ395" i="1"/>
  <c r="AJ379" i="1"/>
  <c r="AJ367" i="1"/>
  <c r="AJ351" i="1"/>
  <c r="AJ343" i="1"/>
  <c r="AJ331" i="1"/>
  <c r="AJ323" i="1"/>
  <c r="AE411" i="1"/>
  <c r="AC409" i="1"/>
  <c r="AJ359" i="1"/>
  <c r="AE447" i="1"/>
  <c r="AE433" i="1"/>
  <c r="AD323" i="1"/>
  <c r="AC434" i="1"/>
  <c r="AJ411" i="1"/>
  <c r="AA451" i="1"/>
  <c r="AA393" i="1"/>
  <c r="AA385" i="1"/>
  <c r="AD341" i="1"/>
  <c r="AA329" i="1"/>
  <c r="AK384" i="1"/>
  <c r="AE384" i="1"/>
  <c r="AK336" i="1"/>
  <c r="AE336" i="1"/>
  <c r="AO384" i="1"/>
  <c r="AP384" i="1"/>
  <c r="AP348" i="1"/>
  <c r="AO348" i="1"/>
  <c r="AE364" i="1"/>
  <c r="AK364" i="1"/>
  <c r="AP450" i="1"/>
  <c r="AO391" i="1"/>
  <c r="AP391" i="1"/>
  <c r="AO375" i="1"/>
  <c r="AO371" i="1"/>
  <c r="AJ417" i="1"/>
  <c r="AJ409" i="1"/>
  <c r="AO409" i="1"/>
  <c r="AJ401" i="1"/>
  <c r="AE450" i="1"/>
  <c r="AK450" i="1"/>
  <c r="AE406" i="1"/>
  <c r="AK406" i="1"/>
  <c r="AK376" i="1"/>
  <c r="AE376" i="1"/>
  <c r="AE372" i="1"/>
  <c r="AK372" i="1"/>
  <c r="AP392" i="1"/>
  <c r="AP371" i="1"/>
  <c r="AP336" i="1"/>
  <c r="AO448" i="1"/>
  <c r="AP448" i="1"/>
  <c r="AP440" i="1"/>
  <c r="AO440" i="1"/>
  <c r="AO426" i="1"/>
  <c r="AP426" i="1"/>
  <c r="AO412" i="1"/>
  <c r="AP412" i="1"/>
  <c r="AO390" i="1"/>
  <c r="AP390" i="1"/>
  <c r="AP374" i="1"/>
  <c r="AO374" i="1"/>
  <c r="AO362" i="1"/>
  <c r="AP362" i="1"/>
  <c r="AO346" i="1"/>
  <c r="AP346" i="1"/>
  <c r="AP338" i="1"/>
  <c r="AO338" i="1"/>
  <c r="AO334" i="1"/>
  <c r="AP334" i="1"/>
  <c r="AO428" i="1"/>
  <c r="AP428" i="1"/>
  <c r="AE428" i="1"/>
  <c r="AK428" i="1"/>
  <c r="AE392" i="1"/>
  <c r="AK392" i="1"/>
  <c r="AE348" i="1"/>
  <c r="AK348" i="1"/>
  <c r="AK320" i="1"/>
  <c r="AE320" i="1"/>
  <c r="AP370" i="1"/>
  <c r="AO376" i="1"/>
  <c r="AO347" i="1"/>
  <c r="AE434" i="1"/>
  <c r="AK434" i="1"/>
  <c r="AK414" i="1"/>
  <c r="AE414" i="1"/>
  <c r="AE328" i="1"/>
  <c r="AK328" i="1"/>
  <c r="AP406" i="1"/>
  <c r="AO364" i="1"/>
  <c r="AP364" i="1"/>
  <c r="AP328" i="1"/>
  <c r="AP434" i="1"/>
  <c r="AP382" i="1"/>
  <c r="AP340" i="1"/>
  <c r="AO340" i="1"/>
  <c r="AP320" i="1"/>
  <c r="AP356" i="1"/>
  <c r="AE356" i="1"/>
  <c r="AE340" i="1"/>
  <c r="AD333" i="1"/>
  <c r="AC333" i="1"/>
  <c r="AC325" i="1"/>
  <c r="AD325" i="1"/>
  <c r="AP429" i="1"/>
  <c r="AO323" i="1"/>
  <c r="AD362" i="1"/>
  <c r="AJ446" i="1"/>
  <c r="AP415" i="1"/>
  <c r="AO445" i="1"/>
  <c r="AO437" i="1"/>
  <c r="AO417" i="1"/>
  <c r="AO395" i="1"/>
  <c r="AO379" i="1"/>
  <c r="AO367" i="1"/>
  <c r="AO359" i="1"/>
  <c r="AO351" i="1"/>
  <c r="AO343" i="1"/>
  <c r="AO331" i="1"/>
  <c r="AK416" i="1"/>
  <c r="AD398" i="1"/>
  <c r="AJ430" i="1"/>
  <c r="AK430" i="1"/>
  <c r="AJ330" i="1"/>
  <c r="AK330" i="1"/>
  <c r="AD335" i="1"/>
  <c r="AC335" i="1"/>
  <c r="AO321" i="1"/>
  <c r="AP321" i="1"/>
  <c r="AD449" i="1"/>
  <c r="AD413" i="1"/>
  <c r="AD391" i="1"/>
  <c r="AD371" i="1"/>
  <c r="AD355" i="1"/>
  <c r="AD339" i="1"/>
  <c r="AK435" i="1"/>
  <c r="AK429" i="1"/>
  <c r="AK407" i="1"/>
  <c r="AK393" i="1"/>
  <c r="AK385" i="1"/>
  <c r="AK365" i="1"/>
  <c r="AK357" i="1"/>
  <c r="AK337" i="1"/>
  <c r="AO432" i="1"/>
  <c r="AO388" i="1"/>
  <c r="AO360" i="1"/>
  <c r="AO344" i="1"/>
  <c r="AD428" i="1"/>
  <c r="AJ333" i="1"/>
  <c r="AD450" i="1"/>
  <c r="AD434" i="1"/>
  <c r="AD414" i="1"/>
  <c r="AD406" i="1"/>
  <c r="AD392" i="1"/>
  <c r="AD384" i="1"/>
  <c r="AD376" i="1"/>
  <c r="AD364" i="1"/>
  <c r="AD356" i="1"/>
  <c r="AD340" i="1"/>
  <c r="AD336" i="1"/>
  <c r="AD328" i="1"/>
  <c r="AD320" i="1"/>
  <c r="AP379" i="1"/>
  <c r="AP359" i="1"/>
  <c r="AO411" i="1"/>
  <c r="AC396" i="1"/>
  <c r="AO369" i="1"/>
  <c r="AC449" i="1"/>
  <c r="AE449" i="1"/>
  <c r="AC441" i="1"/>
  <c r="AE441" i="1"/>
  <c r="AE413" i="1"/>
  <c r="AC413" i="1"/>
  <c r="AC399" i="1"/>
  <c r="AE399" i="1"/>
  <c r="AE391" i="1"/>
  <c r="AC391" i="1"/>
  <c r="AC375" i="1"/>
  <c r="AE375" i="1"/>
  <c r="AE371" i="1"/>
  <c r="AC371" i="1"/>
  <c r="AC363" i="1"/>
  <c r="AE363" i="1"/>
  <c r="AC355" i="1"/>
  <c r="AE355" i="1"/>
  <c r="AC347" i="1"/>
  <c r="AE347" i="1"/>
  <c r="AC327" i="1"/>
  <c r="AE327" i="1"/>
  <c r="AO387" i="1"/>
  <c r="AP375" i="1"/>
  <c r="AP366" i="1"/>
  <c r="AP354" i="1"/>
  <c r="AP342" i="1"/>
  <c r="AK358" i="1"/>
  <c r="AJ435" i="1"/>
  <c r="AC427" i="1"/>
  <c r="AP417" i="1"/>
  <c r="AP404" i="1"/>
  <c r="AP386" i="1"/>
  <c r="AP351" i="1"/>
  <c r="AO401" i="1"/>
  <c r="AO325" i="1"/>
  <c r="AK400" i="1"/>
  <c r="AK335" i="1"/>
  <c r="AE339" i="1"/>
  <c r="AD438" i="1"/>
  <c r="AA399" i="1"/>
  <c r="AO397" i="1"/>
  <c r="AO361" i="1"/>
  <c r="AP436" i="1"/>
  <c r="AP430" i="1"/>
  <c r="AP400" i="1"/>
  <c r="AP395" i="1"/>
  <c r="AP331" i="1"/>
  <c r="AO326" i="1"/>
  <c r="AP326" i="1"/>
  <c r="AK373" i="1"/>
  <c r="AJ444" i="1"/>
  <c r="AK444" i="1"/>
  <c r="AK436" i="1"/>
  <c r="AJ436" i="1"/>
  <c r="AK408" i="1"/>
  <c r="AJ408" i="1"/>
  <c r="AJ394" i="1"/>
  <c r="AK394" i="1"/>
  <c r="AJ386" i="1"/>
  <c r="AK386" i="1"/>
  <c r="AJ378" i="1"/>
  <c r="AK378" i="1"/>
  <c r="AK366" i="1"/>
  <c r="AJ366" i="1"/>
  <c r="AJ350" i="1"/>
  <c r="AK350" i="1"/>
  <c r="AJ342" i="1"/>
  <c r="AK342" i="1"/>
  <c r="AK322" i="1"/>
  <c r="AJ322" i="1"/>
  <c r="AC405" i="1"/>
  <c r="AA436" i="1"/>
  <c r="AD446" i="1"/>
  <c r="AC446" i="1"/>
  <c r="AC432" i="1"/>
  <c r="AD432" i="1"/>
  <c r="AC418" i="1"/>
  <c r="AD418" i="1"/>
  <c r="AC410" i="1"/>
  <c r="AD410" i="1"/>
  <c r="AC402" i="1"/>
  <c r="AD402" i="1"/>
  <c r="AC380" i="1"/>
  <c r="AD380" i="1"/>
  <c r="AC368" i="1"/>
  <c r="AD368" i="1"/>
  <c r="AD360" i="1"/>
  <c r="AC360" i="1"/>
  <c r="AD344" i="1"/>
  <c r="AC344" i="1"/>
  <c r="AD332" i="1"/>
  <c r="AC332" i="1"/>
  <c r="AA416" i="1"/>
  <c r="AE416" i="1"/>
  <c r="AE408" i="1"/>
  <c r="AA408" i="1"/>
  <c r="AC394" i="1"/>
  <c r="AE394" i="1"/>
  <c r="AE386" i="1"/>
  <c r="AA386" i="1"/>
  <c r="AA378" i="1"/>
  <c r="AE378" i="1"/>
  <c r="AA366" i="1"/>
  <c r="AE366" i="1"/>
  <c r="AA358" i="1"/>
  <c r="AE358" i="1"/>
  <c r="AA350" i="1"/>
  <c r="AC350" i="1"/>
  <c r="AE350" i="1"/>
  <c r="AA342" i="1"/>
  <c r="AC342" i="1"/>
  <c r="AE342" i="1"/>
  <c r="AP427" i="1"/>
  <c r="AP414" i="1"/>
  <c r="AA441" i="1"/>
  <c r="AA391" i="1"/>
  <c r="AA375" i="1"/>
  <c r="AD375" i="1"/>
  <c r="AA363" i="1"/>
  <c r="AJ387" i="1"/>
  <c r="AC322" i="1"/>
  <c r="AP449" i="1"/>
  <c r="AP413" i="1"/>
  <c r="AP399" i="1"/>
  <c r="AP383" i="1"/>
  <c r="AP363" i="1"/>
  <c r="AP339" i="1"/>
  <c r="AP335" i="1"/>
  <c r="AP327" i="1"/>
  <c r="AA330" i="1"/>
  <c r="AC330" i="1"/>
  <c r="AA444" i="1"/>
  <c r="AA430" i="1"/>
  <c r="AA400" i="1"/>
  <c r="AA394" i="1"/>
  <c r="AA448" i="1"/>
  <c r="AA440" i="1"/>
  <c r="AE426" i="1"/>
  <c r="AA412" i="1"/>
  <c r="AA404" i="1"/>
  <c r="AA398" i="1"/>
  <c r="AA390" i="1"/>
  <c r="AA382" i="1"/>
  <c r="AA370" i="1"/>
  <c r="AA354" i="1"/>
  <c r="AA346" i="1"/>
  <c r="AD338" i="1"/>
  <c r="AA334" i="1"/>
  <c r="AA326" i="1"/>
  <c r="AK449" i="1"/>
  <c r="AK441" i="1"/>
  <c r="AK405" i="1"/>
  <c r="AK347" i="1"/>
  <c r="AD431" i="1"/>
  <c r="AC450" i="1"/>
  <c r="AC379" i="1"/>
  <c r="AJ432" i="1"/>
  <c r="AK432" i="1"/>
  <c r="AJ388" i="1"/>
  <c r="AK388" i="1"/>
  <c r="AJ380" i="1"/>
  <c r="AK380" i="1"/>
  <c r="AK368" i="1"/>
  <c r="AJ368" i="1"/>
  <c r="AK360" i="1"/>
  <c r="AJ360" i="1"/>
  <c r="AK352" i="1"/>
  <c r="AK344" i="1"/>
  <c r="AK332" i="1"/>
  <c r="AK324" i="1"/>
  <c r="AJ324" i="1"/>
  <c r="AO441" i="1"/>
  <c r="AP441" i="1"/>
  <c r="AO405" i="1"/>
  <c r="AP405" i="1"/>
  <c r="AP355" i="1"/>
  <c r="AO355" i="1"/>
  <c r="AJ396" i="1"/>
  <c r="AO413" i="1"/>
  <c r="AO368" i="1"/>
  <c r="AO352" i="1"/>
  <c r="AO410" i="1"/>
  <c r="AP410" i="1"/>
  <c r="AO396" i="1"/>
  <c r="AP396" i="1"/>
  <c r="AP380" i="1"/>
  <c r="AO380" i="1"/>
  <c r="AP332" i="1"/>
  <c r="AP324" i="1"/>
  <c r="AO324" i="1"/>
  <c r="AO438" i="1"/>
  <c r="AO363" i="1"/>
  <c r="AK446" i="1"/>
  <c r="AO381" i="1"/>
  <c r="AK363" i="1"/>
  <c r="AJ357" i="1"/>
  <c r="AO447" i="1"/>
  <c r="AO403" i="1"/>
  <c r="AO353" i="1"/>
  <c r="AK377" i="1"/>
  <c r="AJ393" i="1"/>
  <c r="AJ369" i="1"/>
  <c r="AJ353" i="1"/>
  <c r="AJ451" i="1"/>
  <c r="AK451" i="1"/>
  <c r="AJ415" i="1"/>
  <c r="AK415" i="1"/>
  <c r="AK349" i="1"/>
  <c r="AJ349" i="1"/>
  <c r="AJ329" i="1"/>
  <c r="AK329" i="1"/>
  <c r="AJ321" i="1"/>
  <c r="AK321" i="1"/>
  <c r="AK341" i="1"/>
  <c r="AJ449" i="1"/>
  <c r="AJ427" i="1"/>
  <c r="AK427" i="1"/>
  <c r="AJ413" i="1"/>
  <c r="AK413" i="1"/>
  <c r="AJ391" i="1"/>
  <c r="AK391" i="1"/>
  <c r="AJ383" i="1"/>
  <c r="AK383" i="1"/>
  <c r="AK375" i="1"/>
  <c r="AJ375" i="1"/>
  <c r="AK371" i="1"/>
  <c r="AJ371" i="1"/>
  <c r="AJ355" i="1"/>
  <c r="AK355" i="1"/>
  <c r="AJ339" i="1"/>
  <c r="AK339" i="1"/>
  <c r="AJ327" i="1"/>
  <c r="AK327" i="1"/>
  <c r="AD445" i="1"/>
  <c r="AC445" i="1"/>
  <c r="AC437" i="1"/>
  <c r="AD437" i="1"/>
  <c r="AD417" i="1"/>
  <c r="AC417" i="1"/>
  <c r="AC401" i="1"/>
  <c r="AD401" i="1"/>
  <c r="AC395" i="1"/>
  <c r="AD395" i="1"/>
  <c r="AD387" i="1"/>
  <c r="AC387" i="1"/>
  <c r="AJ407" i="1"/>
  <c r="AJ385" i="1"/>
  <c r="AJ365" i="1"/>
  <c r="AJ337" i="1"/>
  <c r="AJ438" i="1"/>
  <c r="AJ418" i="1"/>
  <c r="AJ410" i="1"/>
  <c r="AJ402" i="1"/>
  <c r="AJ352" i="1"/>
  <c r="AJ344" i="1"/>
  <c r="AJ332" i="1"/>
  <c r="AP345" i="1"/>
  <c r="AO345" i="1"/>
  <c r="AK399" i="1"/>
  <c r="AJ429" i="1"/>
  <c r="AJ405" i="1"/>
  <c r="AK447" i="1"/>
  <c r="AJ447" i="1"/>
  <c r="AK433" i="1"/>
  <c r="AJ433" i="1"/>
  <c r="AK403" i="1"/>
  <c r="AJ403" i="1"/>
  <c r="AK325" i="1"/>
  <c r="AJ325" i="1"/>
  <c r="AE382" i="1"/>
  <c r="AE346" i="1"/>
  <c r="AD448" i="1"/>
  <c r="AD430" i="1"/>
  <c r="AD412" i="1"/>
  <c r="AD444" i="1"/>
  <c r="AC444" i="1"/>
  <c r="AC436" i="1"/>
  <c r="AD436" i="1"/>
  <c r="AD408" i="1"/>
  <c r="AC408" i="1"/>
  <c r="AC400" i="1"/>
  <c r="AD400" i="1"/>
  <c r="AC378" i="1"/>
  <c r="AD378" i="1"/>
  <c r="AC358" i="1"/>
  <c r="AD358" i="1"/>
  <c r="AA426" i="1"/>
  <c r="AD426" i="1"/>
  <c r="AA374" i="1"/>
  <c r="AD374" i="1"/>
  <c r="AD372" i="1"/>
  <c r="AC372" i="1"/>
  <c r="AD348" i="1"/>
  <c r="AC348" i="1"/>
  <c r="AA435" i="1"/>
  <c r="AE435" i="1"/>
  <c r="AA429" i="1"/>
  <c r="AE429" i="1"/>
  <c r="AA415" i="1"/>
  <c r="AE415" i="1"/>
  <c r="AE407" i="1"/>
  <c r="AA407" i="1"/>
  <c r="AA377" i="1"/>
  <c r="AE377" i="1"/>
  <c r="AA373" i="1"/>
  <c r="AE373" i="1"/>
  <c r="AA357" i="1"/>
  <c r="AE357" i="1"/>
  <c r="AA341" i="1"/>
  <c r="AE341" i="1"/>
  <c r="AA337" i="1"/>
  <c r="AE337" i="1"/>
  <c r="AA321" i="1"/>
  <c r="AE321" i="1"/>
  <c r="AE448" i="1"/>
  <c r="AE412" i="1"/>
  <c r="AD440" i="1"/>
  <c r="AD386" i="1"/>
  <c r="AC384" i="1"/>
  <c r="AC366" i="1"/>
  <c r="AA365" i="1"/>
  <c r="AA349" i="1"/>
  <c r="AO333" i="1"/>
  <c r="AD416" i="1"/>
  <c r="AD334" i="1"/>
  <c r="AC414" i="1"/>
  <c r="AC351" i="1"/>
  <c r="AC451" i="1"/>
  <c r="AC435" i="1"/>
  <c r="AC429" i="1"/>
  <c r="AC415" i="1"/>
  <c r="AC407" i="1"/>
  <c r="AC393" i="1"/>
  <c r="AC377" i="1"/>
  <c r="AC357" i="1"/>
  <c r="AC341" i="1"/>
  <c r="AD343" i="1"/>
  <c r="AD331" i="1"/>
  <c r="AD404" i="1"/>
  <c r="AD390" i="1"/>
  <c r="AD370" i="1"/>
  <c r="AD354" i="1"/>
  <c r="AD326" i="1"/>
  <c r="AC447" i="1"/>
  <c r="AC439" i="1"/>
  <c r="AC411" i="1"/>
  <c r="AC403" i="1"/>
  <c r="AC397" i="1"/>
  <c r="AC381" i="1"/>
  <c r="AC361" i="1"/>
  <c r="AC353" i="1"/>
  <c r="AC345" i="1"/>
  <c r="AA449" i="1"/>
  <c r="AA427" i="1"/>
  <c r="AA413" i="1"/>
  <c r="AA383" i="1"/>
  <c r="AA371" i="1"/>
  <c r="AA355" i="1"/>
  <c r="AA347" i="1"/>
  <c r="AA339" i="1"/>
  <c r="AA335" i="1"/>
  <c r="AA327" i="1"/>
  <c r="AJ389" i="1"/>
  <c r="AP394" i="1"/>
  <c r="AP358" i="1"/>
  <c r="AP330" i="1"/>
  <c r="AO433" i="1"/>
  <c r="AO389" i="1"/>
  <c r="AJ439" i="1"/>
  <c r="AJ448" i="1"/>
  <c r="AK448" i="1"/>
  <c r="AJ440" i="1"/>
  <c r="AK440" i="1"/>
  <c r="AJ426" i="1"/>
  <c r="AK426" i="1"/>
  <c r="AJ412" i="1"/>
  <c r="AK412" i="1"/>
  <c r="AJ404" i="1"/>
  <c r="AK404" i="1"/>
  <c r="AJ398" i="1"/>
  <c r="AK398" i="1"/>
  <c r="AJ390" i="1"/>
  <c r="AK390" i="1"/>
  <c r="AJ382" i="1"/>
  <c r="AK382" i="1"/>
  <c r="AJ374" i="1"/>
  <c r="AK374" i="1"/>
  <c r="AJ370" i="1"/>
  <c r="AK370" i="1"/>
  <c r="AJ362" i="1"/>
  <c r="AK362" i="1"/>
  <c r="AJ354" i="1"/>
  <c r="AK354" i="1"/>
  <c r="AJ346" i="1"/>
  <c r="AK346" i="1"/>
  <c r="AJ338" i="1"/>
  <c r="AK338" i="1"/>
  <c r="AJ334" i="1"/>
  <c r="AK334" i="1"/>
  <c r="AJ326" i="1"/>
  <c r="AK326" i="1"/>
  <c r="AJ397" i="1"/>
  <c r="AK397" i="1"/>
  <c r="AJ381" i="1"/>
  <c r="AK381" i="1"/>
  <c r="AJ361" i="1"/>
  <c r="AK361" i="1"/>
  <c r="AJ345" i="1"/>
  <c r="AK345" i="1"/>
  <c r="AP444" i="1"/>
  <c r="AO439" i="1"/>
  <c r="AD385" i="1"/>
  <c r="AC385" i="1"/>
  <c r="AC373" i="1"/>
  <c r="AD373" i="1"/>
  <c r="AC365" i="1"/>
  <c r="AD365" i="1"/>
  <c r="AD349" i="1"/>
  <c r="AF349" i="1" s="1"/>
  <c r="AC349" i="1"/>
  <c r="AC337" i="1"/>
  <c r="AD337" i="1"/>
  <c r="AD329" i="1"/>
  <c r="AC329" i="1"/>
  <c r="AC321" i="1"/>
  <c r="AD321" i="1"/>
  <c r="AK333" i="1"/>
  <c r="AD451" i="1"/>
  <c r="AD435" i="1"/>
  <c r="AD429" i="1"/>
  <c r="AD415" i="1"/>
  <c r="AD407" i="1"/>
  <c r="AD393" i="1"/>
  <c r="AD377" i="1"/>
  <c r="AD357" i="1"/>
  <c r="AD382" i="1"/>
  <c r="AD346" i="1"/>
  <c r="AC404" i="1"/>
  <c r="AC376" i="1"/>
  <c r="AC340" i="1"/>
  <c r="AC336" i="1"/>
  <c r="AA328" i="1"/>
  <c r="AC328" i="1"/>
  <c r="AA320" i="1"/>
  <c r="AC320" i="1"/>
  <c r="AD388" i="1"/>
  <c r="AD352" i="1"/>
  <c r="AD324" i="1"/>
  <c r="AC392" i="1"/>
  <c r="AC356" i="1"/>
  <c r="AC364" i="1"/>
  <c r="AC406" i="1"/>
  <c r="AC433" i="1"/>
  <c r="AC389" i="1"/>
  <c r="AC369" i="1"/>
  <c r="AF430" i="1" l="1"/>
  <c r="AF345" i="1"/>
  <c r="AF335" i="1"/>
  <c r="AF330" i="1"/>
  <c r="AF393" i="1"/>
  <c r="AF329" i="1"/>
  <c r="AF352" i="1"/>
  <c r="AF385" i="1"/>
  <c r="AL588" i="1"/>
  <c r="AM588" i="1" s="1"/>
  <c r="AF365" i="1"/>
  <c r="AL594" i="1"/>
  <c r="AM594" i="1" s="1"/>
  <c r="AL551" i="1"/>
  <c r="AM551" i="1" s="1"/>
  <c r="AQ551" i="1"/>
  <c r="AR551" i="1" s="1"/>
  <c r="AQ592" i="1"/>
  <c r="AR592" i="1" s="1"/>
  <c r="AQ591" i="1"/>
  <c r="AR591" i="1" s="1"/>
  <c r="AL591" i="1"/>
  <c r="AM591" i="1" s="1"/>
  <c r="AQ590" i="1"/>
  <c r="AR590" i="1" s="1"/>
  <c r="AQ552" i="1"/>
  <c r="AR552" i="1" s="1"/>
  <c r="AQ553" i="1"/>
  <c r="AR553" i="1" s="1"/>
  <c r="AL553" i="1"/>
  <c r="AM553" i="1" s="1"/>
  <c r="AL554" i="1"/>
  <c r="AM554" i="1" s="1"/>
  <c r="AQ554" i="1"/>
  <c r="AR554" i="1" s="1"/>
  <c r="AL556" i="1"/>
  <c r="AM556" i="1" s="1"/>
  <c r="AL558" i="1"/>
  <c r="AM558" i="1" s="1"/>
  <c r="AL552" i="1"/>
  <c r="AM552" i="1" s="1"/>
  <c r="AL555" i="1"/>
  <c r="AM555" i="1" s="1"/>
  <c r="AQ555" i="1"/>
  <c r="AR555" i="1" s="1"/>
  <c r="AL557" i="1"/>
  <c r="AM557" i="1" s="1"/>
  <c r="AQ558" i="1"/>
  <c r="AR558" i="1" s="1"/>
  <c r="AQ557" i="1"/>
  <c r="AR557" i="1" s="1"/>
  <c r="AQ556" i="1"/>
  <c r="AR556" i="1" s="1"/>
  <c r="AL595" i="1"/>
  <c r="AM595" i="1" s="1"/>
  <c r="AQ596" i="1"/>
  <c r="AR596" i="1" s="1"/>
  <c r="AQ594" i="1"/>
  <c r="AR594" i="1" s="1"/>
  <c r="AQ588" i="1"/>
  <c r="AR588" i="1" s="1"/>
  <c r="AQ587" i="1"/>
  <c r="AR587" i="1" s="1"/>
  <c r="AL590" i="1"/>
  <c r="AM590" i="1" s="1"/>
  <c r="AL596" i="1"/>
  <c r="AM596" i="1" s="1"/>
  <c r="AQ593" i="1"/>
  <c r="AR593" i="1" s="1"/>
  <c r="AQ595" i="1"/>
  <c r="AR595" i="1" s="1"/>
  <c r="AL593" i="1"/>
  <c r="AM593" i="1" s="1"/>
  <c r="AL587" i="1"/>
  <c r="AM587" i="1" s="1"/>
  <c r="AL592" i="1"/>
  <c r="AM592" i="1" s="1"/>
  <c r="AQ589" i="1"/>
  <c r="AR589" i="1" s="1"/>
  <c r="AL589" i="1"/>
  <c r="AM589" i="1" s="1"/>
  <c r="AL804" i="1"/>
  <c r="AM804" i="1" s="1"/>
  <c r="AQ804" i="1"/>
  <c r="AR804" i="1" s="1"/>
  <c r="AQ799" i="1"/>
  <c r="AR799" i="1" s="1"/>
  <c r="AF427" i="1"/>
  <c r="AL801" i="1"/>
  <c r="AM801" i="1" s="1"/>
  <c r="AL803" i="1"/>
  <c r="AM803" i="1" s="1"/>
  <c r="AQ803" i="1"/>
  <c r="AR803" i="1" s="1"/>
  <c r="AL799" i="1"/>
  <c r="AM799" i="1" s="1"/>
  <c r="AQ797" i="1"/>
  <c r="AR797" i="1" s="1"/>
  <c r="AQ798" i="1"/>
  <c r="AR798" i="1" s="1"/>
  <c r="AL797" i="1"/>
  <c r="AM797" i="1" s="1"/>
  <c r="AL798" i="1"/>
  <c r="AM798" i="1" s="1"/>
  <c r="AQ802" i="1"/>
  <c r="AR802" i="1" s="1"/>
  <c r="AL802" i="1"/>
  <c r="AM802" i="1" s="1"/>
  <c r="AQ800" i="1"/>
  <c r="AR800" i="1" s="1"/>
  <c r="AQ801" i="1"/>
  <c r="AR801" i="1" s="1"/>
  <c r="AL800" i="1"/>
  <c r="AM800" i="1" s="1"/>
  <c r="AL399" i="1"/>
  <c r="AM399" i="1" s="1"/>
  <c r="AL397" i="1"/>
  <c r="AM397" i="1" s="1"/>
  <c r="AL361" i="1"/>
  <c r="AM361" i="1" s="1"/>
  <c r="AL383" i="1"/>
  <c r="AM383" i="1" s="1"/>
  <c r="AQ359" i="1"/>
  <c r="AR359" i="1" s="1"/>
  <c r="AF451" i="1"/>
  <c r="AL357" i="1"/>
  <c r="AM357" i="1" s="1"/>
  <c r="AQ365" i="1"/>
  <c r="AR365" i="1" s="1"/>
  <c r="AQ361" i="1"/>
  <c r="AR361" i="1" s="1"/>
  <c r="AL360" i="1"/>
  <c r="AM360" i="1" s="1"/>
  <c r="AL359" i="1"/>
  <c r="AM359" i="1" s="1"/>
  <c r="AL365" i="1"/>
  <c r="AM365" i="1" s="1"/>
  <c r="AL363" i="1"/>
  <c r="AM363" i="1" s="1"/>
  <c r="AQ362" i="1"/>
  <c r="AR362" i="1" s="1"/>
  <c r="AQ364" i="1"/>
  <c r="AR364" i="1" s="1"/>
  <c r="AQ357" i="1"/>
  <c r="AR357" i="1" s="1"/>
  <c r="AL358" i="1"/>
  <c r="AM358" i="1" s="1"/>
  <c r="AL356" i="1"/>
  <c r="AM356" i="1" s="1"/>
  <c r="AQ360" i="1"/>
  <c r="AR360" i="1" s="1"/>
  <c r="AQ358" i="1"/>
  <c r="AR358" i="1" s="1"/>
  <c r="AL362" i="1"/>
  <c r="AM362" i="1" s="1"/>
  <c r="AQ363" i="1"/>
  <c r="AR363" i="1" s="1"/>
  <c r="AQ356" i="1"/>
  <c r="AR356" i="1" s="1"/>
  <c r="AL364" i="1"/>
  <c r="AM364" i="1" s="1"/>
  <c r="AL763" i="1"/>
  <c r="AM763" i="1" s="1"/>
  <c r="AL751" i="1"/>
  <c r="AM751" i="1" s="1"/>
  <c r="AQ382" i="1"/>
  <c r="AR382" i="1" s="1"/>
  <c r="AQ394" i="1"/>
  <c r="AR394" i="1" s="1"/>
  <c r="AQ383" i="1"/>
  <c r="AR383" i="1" s="1"/>
  <c r="AL382" i="1"/>
  <c r="AM382" i="1" s="1"/>
  <c r="AF400" i="1"/>
  <c r="AQ396" i="1"/>
  <c r="AR396" i="1" s="1"/>
  <c r="AL391" i="1"/>
  <c r="AM391" i="1" s="1"/>
  <c r="AQ390" i="1"/>
  <c r="AR390" i="1" s="1"/>
  <c r="AL390" i="1"/>
  <c r="AM390" i="1" s="1"/>
  <c r="AQ564" i="1"/>
  <c r="AR564" i="1" s="1"/>
  <c r="AF436" i="1"/>
  <c r="AQ398" i="1"/>
  <c r="AR398" i="1" s="1"/>
  <c r="AL386" i="1"/>
  <c r="AM386" i="1" s="1"/>
  <c r="AL398" i="1"/>
  <c r="AM398" i="1" s="1"/>
  <c r="AQ386" i="1"/>
  <c r="AR386" i="1" s="1"/>
  <c r="AQ399" i="1"/>
  <c r="AR399" i="1" s="1"/>
  <c r="AL394" i="1"/>
  <c r="AM394" i="1" s="1"/>
  <c r="AQ395" i="1"/>
  <c r="AR395" i="1" s="1"/>
  <c r="AL393" i="1"/>
  <c r="AM393" i="1" s="1"/>
  <c r="AL392" i="1"/>
  <c r="AM392" i="1" s="1"/>
  <c r="AQ388" i="1"/>
  <c r="AR388" i="1" s="1"/>
  <c r="AL395" i="1"/>
  <c r="AM395" i="1" s="1"/>
  <c r="AQ393" i="1"/>
  <c r="AR393" i="1" s="1"/>
  <c r="AL396" i="1"/>
  <c r="AM396" i="1" s="1"/>
  <c r="AQ397" i="1"/>
  <c r="AR397" i="1" s="1"/>
  <c r="AL388" i="1"/>
  <c r="AM388" i="1" s="1"/>
  <c r="AQ392" i="1"/>
  <c r="AR392" i="1" s="1"/>
  <c r="AL387" i="1"/>
  <c r="AM387" i="1" s="1"/>
  <c r="AL389" i="1"/>
  <c r="AM389" i="1" s="1"/>
  <c r="AL384" i="1"/>
  <c r="AM384" i="1" s="1"/>
  <c r="AQ387" i="1"/>
  <c r="AR387" i="1" s="1"/>
  <c r="AQ389" i="1"/>
  <c r="AR389" i="1" s="1"/>
  <c r="AL385" i="1"/>
  <c r="AM385" i="1" s="1"/>
  <c r="AQ391" i="1"/>
  <c r="AR391" i="1" s="1"/>
  <c r="AQ385" i="1"/>
  <c r="AR385" i="1" s="1"/>
  <c r="AQ384" i="1"/>
  <c r="AR384" i="1" s="1"/>
  <c r="AL564" i="1"/>
  <c r="AM564" i="1" s="1"/>
  <c r="AL565" i="1"/>
  <c r="AM565" i="1" s="1"/>
  <c r="AL811" i="1"/>
  <c r="AM811" i="1" s="1"/>
  <c r="AL806" i="1"/>
  <c r="AM806" i="1" s="1"/>
  <c r="AQ811" i="1"/>
  <c r="AR811" i="1" s="1"/>
  <c r="AL810" i="1"/>
  <c r="AM810" i="1" s="1"/>
  <c r="AL809" i="1"/>
  <c r="AM809" i="1" s="1"/>
  <c r="AQ806" i="1"/>
  <c r="AR806" i="1" s="1"/>
  <c r="AL807" i="1"/>
  <c r="AM807" i="1" s="1"/>
  <c r="AQ463" i="1"/>
  <c r="AR463" i="1" s="1"/>
  <c r="AQ810" i="1"/>
  <c r="AR810" i="1" s="1"/>
  <c r="AQ807" i="1"/>
  <c r="AR807" i="1" s="1"/>
  <c r="AL812" i="1"/>
  <c r="AM812" i="1" s="1"/>
  <c r="AL808" i="1"/>
  <c r="AM808" i="1" s="1"/>
  <c r="AQ808" i="1"/>
  <c r="AR808" i="1" s="1"/>
  <c r="AQ809" i="1"/>
  <c r="AR809" i="1" s="1"/>
  <c r="AQ805" i="1"/>
  <c r="AR805" i="1" s="1"/>
  <c r="AL805" i="1"/>
  <c r="AM805" i="1" s="1"/>
  <c r="AQ812" i="1"/>
  <c r="AR812" i="1" s="1"/>
  <c r="AQ466" i="1"/>
  <c r="AR466" i="1" s="1"/>
  <c r="AL468" i="1"/>
  <c r="AM468" i="1" s="1"/>
  <c r="AQ465" i="1"/>
  <c r="AR465" i="1" s="1"/>
  <c r="AL467" i="1"/>
  <c r="AM467" i="1" s="1"/>
  <c r="AL464" i="1"/>
  <c r="AM464" i="1" s="1"/>
  <c r="AL466" i="1"/>
  <c r="AM466" i="1" s="1"/>
  <c r="AQ462" i="1"/>
  <c r="AR462" i="1" s="1"/>
  <c r="AL449" i="1"/>
  <c r="AM449" i="1" s="1"/>
  <c r="AQ332" i="1"/>
  <c r="AR332" i="1" s="1"/>
  <c r="AL465" i="1"/>
  <c r="AM465" i="1" s="1"/>
  <c r="AL462" i="1"/>
  <c r="AM462" i="1" s="1"/>
  <c r="AL463" i="1"/>
  <c r="AM463" i="1" s="1"/>
  <c r="AQ467" i="1"/>
  <c r="AR467" i="1" s="1"/>
  <c r="AL561" i="1"/>
  <c r="AM561" i="1" s="1"/>
  <c r="AQ468" i="1"/>
  <c r="AR468" i="1" s="1"/>
  <c r="AQ464" i="1"/>
  <c r="AR464" i="1" s="1"/>
  <c r="AL559" i="1"/>
  <c r="AM559" i="1" s="1"/>
  <c r="AQ561" i="1"/>
  <c r="AR561" i="1" s="1"/>
  <c r="AQ559" i="1"/>
  <c r="AR559" i="1" s="1"/>
  <c r="AQ380" i="1"/>
  <c r="AR380" i="1" s="1"/>
  <c r="AQ566" i="1"/>
  <c r="AR566" i="1" s="1"/>
  <c r="AQ427" i="1"/>
  <c r="AR427" i="1" s="1"/>
  <c r="AQ560" i="1"/>
  <c r="AR560" i="1" s="1"/>
  <c r="AQ568" i="1"/>
  <c r="AR568" i="1" s="1"/>
  <c r="AQ789" i="1"/>
  <c r="AR789" i="1" s="1"/>
  <c r="AQ565" i="1"/>
  <c r="AR565" i="1" s="1"/>
  <c r="AL568" i="1"/>
  <c r="AM568" i="1" s="1"/>
  <c r="AL563" i="1"/>
  <c r="AM563" i="1" s="1"/>
  <c r="AL566" i="1"/>
  <c r="AM566" i="1" s="1"/>
  <c r="AF444" i="1"/>
  <c r="AQ563" i="1"/>
  <c r="AR563" i="1" s="1"/>
  <c r="AL562" i="1"/>
  <c r="AM562" i="1" s="1"/>
  <c r="AL560" i="1"/>
  <c r="AM560" i="1" s="1"/>
  <c r="AQ562" i="1"/>
  <c r="AR562" i="1" s="1"/>
  <c r="AQ567" i="1"/>
  <c r="AR567" i="1" s="1"/>
  <c r="AL567" i="1"/>
  <c r="AM567" i="1" s="1"/>
  <c r="AQ422" i="1"/>
  <c r="AR422" i="1" s="1"/>
  <c r="AQ420" i="1"/>
  <c r="AR420" i="1" s="1"/>
  <c r="AL420" i="1"/>
  <c r="AM420" i="1" s="1"/>
  <c r="AF420" i="1"/>
  <c r="AQ421" i="1"/>
  <c r="AR421" i="1" s="1"/>
  <c r="AL419" i="1"/>
  <c r="AM419" i="1" s="1"/>
  <c r="AQ423" i="1"/>
  <c r="AR423" i="1" s="1"/>
  <c r="AL422" i="1"/>
  <c r="AM422" i="1" s="1"/>
  <c r="AF424" i="1"/>
  <c r="AF425" i="1"/>
  <c r="AQ419" i="1"/>
  <c r="AR419" i="1" s="1"/>
  <c r="AL421" i="1"/>
  <c r="AM421" i="1" s="1"/>
  <c r="AF422" i="1"/>
  <c r="AL423" i="1"/>
  <c r="AM423" i="1" s="1"/>
  <c r="AQ425" i="1"/>
  <c r="AR425" i="1" s="1"/>
  <c r="AF419" i="1"/>
  <c r="AF423" i="1"/>
  <c r="AL425" i="1"/>
  <c r="AM425" i="1" s="1"/>
  <c r="AF421" i="1"/>
  <c r="AQ424" i="1"/>
  <c r="AR424" i="1" s="1"/>
  <c r="AL424" i="1"/>
  <c r="AM424" i="1" s="1"/>
  <c r="AQ323" i="1"/>
  <c r="AR323" i="1" s="1"/>
  <c r="AL573" i="1"/>
  <c r="AM573" i="1" s="1"/>
  <c r="AL380" i="1"/>
  <c r="AM380" i="1" s="1"/>
  <c r="AL789" i="1"/>
  <c r="AM789" i="1" s="1"/>
  <c r="AQ571" i="1"/>
  <c r="AR571" i="1" s="1"/>
  <c r="AQ788" i="1"/>
  <c r="AR788" i="1" s="1"/>
  <c r="AQ374" i="1"/>
  <c r="AR374" i="1" s="1"/>
  <c r="AL374" i="1"/>
  <c r="AM374" i="1" s="1"/>
  <c r="AL571" i="1"/>
  <c r="AM571" i="1" s="1"/>
  <c r="AL779" i="1"/>
  <c r="AM779" i="1" s="1"/>
  <c r="AL574" i="1"/>
  <c r="AM574" i="1" s="1"/>
  <c r="AQ574" i="1"/>
  <c r="AR574" i="1" s="1"/>
  <c r="AL663" i="1"/>
  <c r="AM663" i="1" s="1"/>
  <c r="AL323" i="1"/>
  <c r="AM323" i="1" s="1"/>
  <c r="AL331" i="1"/>
  <c r="AM331" i="1" s="1"/>
  <c r="AQ782" i="1"/>
  <c r="AR782" i="1" s="1"/>
  <c r="AQ575" i="1"/>
  <c r="AR575" i="1" s="1"/>
  <c r="AL575" i="1"/>
  <c r="AM575" i="1" s="1"/>
  <c r="AL326" i="1"/>
  <c r="AM326" i="1" s="1"/>
  <c r="AL375" i="1"/>
  <c r="AM375" i="1" s="1"/>
  <c r="AQ375" i="1"/>
  <c r="AR375" i="1" s="1"/>
  <c r="AL381" i="1"/>
  <c r="AM381" i="1" s="1"/>
  <c r="AQ379" i="1"/>
  <c r="AR379" i="1" s="1"/>
  <c r="AQ378" i="1"/>
  <c r="AR378" i="1" s="1"/>
  <c r="AL796" i="1"/>
  <c r="AM796" i="1" s="1"/>
  <c r="AL377" i="1"/>
  <c r="AM377" i="1" s="1"/>
  <c r="AQ331" i="1"/>
  <c r="AR331" i="1" s="1"/>
  <c r="AQ796" i="1"/>
  <c r="AR796" i="1" s="1"/>
  <c r="AQ376" i="1"/>
  <c r="AR376" i="1" s="1"/>
  <c r="AL795" i="1"/>
  <c r="AM795" i="1" s="1"/>
  <c r="AL378" i="1"/>
  <c r="AM378" i="1" s="1"/>
  <c r="AL379" i="1"/>
  <c r="AM379" i="1" s="1"/>
  <c r="AQ381" i="1"/>
  <c r="AR381" i="1" s="1"/>
  <c r="AQ576" i="1"/>
  <c r="AR576" i="1" s="1"/>
  <c r="AL376" i="1"/>
  <c r="AM376" i="1" s="1"/>
  <c r="AQ377" i="1"/>
  <c r="AR377" i="1" s="1"/>
  <c r="AQ572" i="1"/>
  <c r="AR572" i="1" s="1"/>
  <c r="AL570" i="1"/>
  <c r="AM570" i="1" s="1"/>
  <c r="AQ573" i="1"/>
  <c r="AR573" i="1" s="1"/>
  <c r="AQ578" i="1"/>
  <c r="AR578" i="1" s="1"/>
  <c r="AL578" i="1"/>
  <c r="AM578" i="1" s="1"/>
  <c r="AQ570" i="1"/>
  <c r="AR570" i="1" s="1"/>
  <c r="AL572" i="1"/>
  <c r="AM572" i="1" s="1"/>
  <c r="AL577" i="1"/>
  <c r="AM577" i="1" s="1"/>
  <c r="AQ569" i="1"/>
  <c r="AR569" i="1" s="1"/>
  <c r="AQ577" i="1"/>
  <c r="AR577" i="1" s="1"/>
  <c r="AL569" i="1"/>
  <c r="AM569" i="1" s="1"/>
  <c r="AL576" i="1"/>
  <c r="AM576" i="1" s="1"/>
  <c r="AL781" i="1"/>
  <c r="AM781" i="1" s="1"/>
  <c r="AQ781" i="1"/>
  <c r="AR781" i="1" s="1"/>
  <c r="AL782" i="1"/>
  <c r="AM782" i="1" s="1"/>
  <c r="AQ792" i="1"/>
  <c r="AR792" i="1" s="1"/>
  <c r="AQ795" i="1"/>
  <c r="AR795" i="1" s="1"/>
  <c r="AL794" i="1"/>
  <c r="AM794" i="1" s="1"/>
  <c r="AL792" i="1"/>
  <c r="AM792" i="1" s="1"/>
  <c r="AL793" i="1"/>
  <c r="AM793" i="1" s="1"/>
  <c r="AL790" i="1"/>
  <c r="AM790" i="1" s="1"/>
  <c r="AL788" i="1"/>
  <c r="AM788" i="1" s="1"/>
  <c r="AL780" i="1"/>
  <c r="AM780" i="1" s="1"/>
  <c r="AQ791" i="1"/>
  <c r="AR791" i="1" s="1"/>
  <c r="AL787" i="1"/>
  <c r="AM787" i="1" s="1"/>
  <c r="AQ793" i="1"/>
  <c r="AR793" i="1" s="1"/>
  <c r="AL783" i="1"/>
  <c r="AM783" i="1" s="1"/>
  <c r="AL791" i="1"/>
  <c r="AM791" i="1" s="1"/>
  <c r="AQ790" i="1"/>
  <c r="AR790" i="1" s="1"/>
  <c r="AQ794" i="1"/>
  <c r="AR794" i="1" s="1"/>
  <c r="AQ783" i="1"/>
  <c r="AR783" i="1" s="1"/>
  <c r="AL784" i="1"/>
  <c r="AM784" i="1" s="1"/>
  <c r="AQ787" i="1"/>
  <c r="AR787" i="1" s="1"/>
  <c r="AL785" i="1"/>
  <c r="AM785" i="1" s="1"/>
  <c r="AQ785" i="1"/>
  <c r="AR785" i="1" s="1"/>
  <c r="AQ784" i="1"/>
  <c r="AR784" i="1" s="1"/>
  <c r="AQ786" i="1"/>
  <c r="AR786" i="1" s="1"/>
  <c r="AL786" i="1"/>
  <c r="AM786" i="1" s="1"/>
  <c r="AQ779" i="1"/>
  <c r="AR779" i="1" s="1"/>
  <c r="AQ780" i="1"/>
  <c r="AR780" i="1" s="1"/>
  <c r="AL334" i="1"/>
  <c r="AM334" i="1" s="1"/>
  <c r="AQ334" i="1"/>
  <c r="AR334" i="1" s="1"/>
  <c r="AQ330" i="1"/>
  <c r="AR330" i="1" s="1"/>
  <c r="AQ324" i="1"/>
  <c r="AR324" i="1" s="1"/>
  <c r="AL324" i="1"/>
  <c r="AM324" i="1" s="1"/>
  <c r="AQ326" i="1"/>
  <c r="AR326" i="1" s="1"/>
  <c r="AL666" i="1"/>
  <c r="AM666" i="1" s="1"/>
  <c r="AL322" i="1"/>
  <c r="AM322" i="1" s="1"/>
  <c r="AL327" i="1"/>
  <c r="AM327" i="1" s="1"/>
  <c r="AL330" i="1"/>
  <c r="AM330" i="1" s="1"/>
  <c r="AL325" i="1"/>
  <c r="AM325" i="1" s="1"/>
  <c r="AQ336" i="1"/>
  <c r="AR336" i="1" s="1"/>
  <c r="AL321" i="1"/>
  <c r="AM321" i="1" s="1"/>
  <c r="AL335" i="1"/>
  <c r="AM335" i="1" s="1"/>
  <c r="AQ333" i="1"/>
  <c r="AR333" i="1" s="1"/>
  <c r="AL337" i="1"/>
  <c r="AM337" i="1" s="1"/>
  <c r="AL336" i="1"/>
  <c r="AM336" i="1" s="1"/>
  <c r="AQ337" i="1"/>
  <c r="AR337" i="1" s="1"/>
  <c r="AQ322" i="1"/>
  <c r="AR322" i="1" s="1"/>
  <c r="AL332" i="1"/>
  <c r="AM332" i="1" s="1"/>
  <c r="AL333" i="1"/>
  <c r="AM333" i="1" s="1"/>
  <c r="AQ335" i="1"/>
  <c r="AR335" i="1" s="1"/>
  <c r="AQ321" i="1"/>
  <c r="AR321" i="1" s="1"/>
  <c r="AL320" i="1"/>
  <c r="AM320" i="1" s="1"/>
  <c r="AL329" i="1"/>
  <c r="AM329" i="1" s="1"/>
  <c r="AQ320" i="1"/>
  <c r="AR320" i="1" s="1"/>
  <c r="AQ328" i="1"/>
  <c r="AR328" i="1" s="1"/>
  <c r="AL328" i="1"/>
  <c r="AM328" i="1" s="1"/>
  <c r="AQ329" i="1"/>
  <c r="AR329" i="1" s="1"/>
  <c r="AQ327" i="1"/>
  <c r="AR327" i="1" s="1"/>
  <c r="AQ325" i="1"/>
  <c r="AR325" i="1" s="1"/>
  <c r="AQ663" i="1"/>
  <c r="AR663" i="1" s="1"/>
  <c r="AQ500" i="1"/>
  <c r="AR500" i="1" s="1"/>
  <c r="AL774" i="1"/>
  <c r="AM774" i="1" s="1"/>
  <c r="AQ774" i="1"/>
  <c r="AR774" i="1" s="1"/>
  <c r="AQ496" i="1"/>
  <c r="AR496" i="1" s="1"/>
  <c r="AQ769" i="1"/>
  <c r="AR769" i="1" s="1"/>
  <c r="AQ503" i="1"/>
  <c r="AR503" i="1" s="1"/>
  <c r="AL769" i="1"/>
  <c r="AM769" i="1" s="1"/>
  <c r="AQ478" i="1"/>
  <c r="AR478" i="1" s="1"/>
  <c r="AL478" i="1"/>
  <c r="AM478" i="1" s="1"/>
  <c r="AQ775" i="1"/>
  <c r="AR775" i="1" s="1"/>
  <c r="AL497" i="1"/>
  <c r="AM497" i="1" s="1"/>
  <c r="AQ504" i="1"/>
  <c r="AR504" i="1" s="1"/>
  <c r="AL490" i="1"/>
  <c r="AM490" i="1" s="1"/>
  <c r="AL501" i="1"/>
  <c r="AM501" i="1" s="1"/>
  <c r="AL498" i="1"/>
  <c r="AM498" i="1" s="1"/>
  <c r="AQ498" i="1"/>
  <c r="AR498" i="1" s="1"/>
  <c r="AL504" i="1"/>
  <c r="AM504" i="1" s="1"/>
  <c r="AQ493" i="1"/>
  <c r="AR493" i="1" s="1"/>
  <c r="AL741" i="1"/>
  <c r="AM741" i="1" s="1"/>
  <c r="AQ501" i="1"/>
  <c r="AR501" i="1" s="1"/>
  <c r="AQ499" i="1"/>
  <c r="AR499" i="1" s="1"/>
  <c r="AQ741" i="1"/>
  <c r="AR741" i="1" s="1"/>
  <c r="AL500" i="1"/>
  <c r="AM500" i="1" s="1"/>
  <c r="AL499" i="1"/>
  <c r="AM499" i="1" s="1"/>
  <c r="AQ502" i="1"/>
  <c r="AR502" i="1" s="1"/>
  <c r="AL768" i="1"/>
  <c r="AM768" i="1" s="1"/>
  <c r="AL503" i="1"/>
  <c r="AM503" i="1" s="1"/>
  <c r="AL502" i="1"/>
  <c r="AM502" i="1" s="1"/>
  <c r="AQ497" i="1"/>
  <c r="AR497" i="1" s="1"/>
  <c r="AQ490" i="1"/>
  <c r="AR490" i="1" s="1"/>
  <c r="AQ495" i="1"/>
  <c r="AR495" i="1" s="1"/>
  <c r="AQ489" i="1"/>
  <c r="AR489" i="1" s="1"/>
  <c r="AL493" i="1"/>
  <c r="AM493" i="1" s="1"/>
  <c r="AL487" i="1"/>
  <c r="AM487" i="1" s="1"/>
  <c r="AQ488" i="1"/>
  <c r="AR488" i="1" s="1"/>
  <c r="AL489" i="1"/>
  <c r="AM489" i="1" s="1"/>
  <c r="AQ492" i="1"/>
  <c r="AR492" i="1" s="1"/>
  <c r="AL495" i="1"/>
  <c r="AM495" i="1" s="1"/>
  <c r="AL494" i="1"/>
  <c r="AM494" i="1" s="1"/>
  <c r="AL488" i="1"/>
  <c r="AM488" i="1" s="1"/>
  <c r="AL491" i="1"/>
  <c r="AM491" i="1" s="1"/>
  <c r="AL492" i="1"/>
  <c r="AM492" i="1" s="1"/>
  <c r="AL496" i="1"/>
  <c r="AM496" i="1" s="1"/>
  <c r="AQ494" i="1"/>
  <c r="AR494" i="1" s="1"/>
  <c r="AQ491" i="1"/>
  <c r="AR491" i="1" s="1"/>
  <c r="AQ487" i="1"/>
  <c r="AR487" i="1" s="1"/>
  <c r="AL731" i="1"/>
  <c r="AM731" i="1" s="1"/>
  <c r="AQ738" i="1"/>
  <c r="AR738" i="1" s="1"/>
  <c r="AL738" i="1"/>
  <c r="AM738" i="1" s="1"/>
  <c r="AL479" i="1"/>
  <c r="AM479" i="1" s="1"/>
  <c r="AQ643" i="1"/>
  <c r="AR643" i="1" s="1"/>
  <c r="AQ477" i="1"/>
  <c r="AR477" i="1" s="1"/>
  <c r="AQ480" i="1"/>
  <c r="AR480" i="1" s="1"/>
  <c r="AL480" i="1"/>
  <c r="AM480" i="1" s="1"/>
  <c r="AQ485" i="1"/>
  <c r="AR485" i="1" s="1"/>
  <c r="AL775" i="1"/>
  <c r="AM775" i="1" s="1"/>
  <c r="AQ762" i="1"/>
  <c r="AR762" i="1" s="1"/>
  <c r="AL486" i="1"/>
  <c r="AM486" i="1" s="1"/>
  <c r="AQ483" i="1"/>
  <c r="AR483" i="1" s="1"/>
  <c r="AL482" i="1"/>
  <c r="AM482" i="1" s="1"/>
  <c r="AL485" i="1"/>
  <c r="AM485" i="1" s="1"/>
  <c r="AL484" i="1"/>
  <c r="AM484" i="1" s="1"/>
  <c r="AQ776" i="1"/>
  <c r="AR776" i="1" s="1"/>
  <c r="AQ756" i="1"/>
  <c r="AR756" i="1" s="1"/>
  <c r="AQ486" i="1"/>
  <c r="AR486" i="1" s="1"/>
  <c r="AL483" i="1"/>
  <c r="AM483" i="1" s="1"/>
  <c r="AQ482" i="1"/>
  <c r="AR482" i="1" s="1"/>
  <c r="AQ479" i="1"/>
  <c r="AR479" i="1" s="1"/>
  <c r="AQ484" i="1"/>
  <c r="AR484" i="1" s="1"/>
  <c r="AL481" i="1"/>
  <c r="AM481" i="1" s="1"/>
  <c r="AL473" i="1"/>
  <c r="AM473" i="1" s="1"/>
  <c r="AQ481" i="1"/>
  <c r="AR481" i="1" s="1"/>
  <c r="AL474" i="1"/>
  <c r="AM474" i="1" s="1"/>
  <c r="AL475" i="1"/>
  <c r="AM475" i="1" s="1"/>
  <c r="AQ471" i="1"/>
  <c r="AR471" i="1" s="1"/>
  <c r="AL477" i="1"/>
  <c r="AM477" i="1" s="1"/>
  <c r="AL470" i="1"/>
  <c r="AM470" i="1" s="1"/>
  <c r="AQ473" i="1"/>
  <c r="AR473" i="1" s="1"/>
  <c r="AQ475" i="1"/>
  <c r="AR475" i="1" s="1"/>
  <c r="AL472" i="1"/>
  <c r="AM472" i="1" s="1"/>
  <c r="AQ476" i="1"/>
  <c r="AR476" i="1" s="1"/>
  <c r="AQ472" i="1"/>
  <c r="AR472" i="1" s="1"/>
  <c r="AQ470" i="1"/>
  <c r="AR470" i="1" s="1"/>
  <c r="AQ469" i="1"/>
  <c r="AR469" i="1" s="1"/>
  <c r="AL469" i="1"/>
  <c r="AM469" i="1" s="1"/>
  <c r="AL471" i="1"/>
  <c r="AM471" i="1" s="1"/>
  <c r="AQ474" i="1"/>
  <c r="AR474" i="1" s="1"/>
  <c r="AL476" i="1"/>
  <c r="AM476" i="1" s="1"/>
  <c r="AL723" i="1"/>
  <c r="AM723" i="1" s="1"/>
  <c r="AQ723" i="1"/>
  <c r="AR723" i="1" s="1"/>
  <c r="AL778" i="1"/>
  <c r="AM778" i="1" s="1"/>
  <c r="AL777" i="1"/>
  <c r="AM777" i="1" s="1"/>
  <c r="AL771" i="1"/>
  <c r="AM771" i="1" s="1"/>
  <c r="AQ772" i="1"/>
  <c r="AR772" i="1" s="1"/>
  <c r="AL772" i="1"/>
  <c r="AM772" i="1" s="1"/>
  <c r="AL773" i="1"/>
  <c r="AM773" i="1" s="1"/>
  <c r="AL776" i="1"/>
  <c r="AM776" i="1" s="1"/>
  <c r="AQ773" i="1"/>
  <c r="AR773" i="1" s="1"/>
  <c r="AQ771" i="1"/>
  <c r="AR771" i="1" s="1"/>
  <c r="AQ778" i="1"/>
  <c r="AR778" i="1" s="1"/>
  <c r="AQ777" i="1"/>
  <c r="AR777" i="1" s="1"/>
  <c r="AL755" i="1"/>
  <c r="AM755" i="1" s="1"/>
  <c r="AQ770" i="1"/>
  <c r="AR770" i="1" s="1"/>
  <c r="AL743" i="1"/>
  <c r="AM743" i="1" s="1"/>
  <c r="AQ755" i="1"/>
  <c r="AR755" i="1" s="1"/>
  <c r="AQ766" i="1"/>
  <c r="AR766" i="1" s="1"/>
  <c r="AL766" i="1"/>
  <c r="AM766" i="1" s="1"/>
  <c r="AQ761" i="1"/>
  <c r="AR761" i="1" s="1"/>
  <c r="AQ765" i="1"/>
  <c r="AR765" i="1" s="1"/>
  <c r="AL756" i="1"/>
  <c r="AM756" i="1" s="1"/>
  <c r="AQ740" i="1"/>
  <c r="AR740" i="1" s="1"/>
  <c r="AL767" i="1"/>
  <c r="AM767" i="1" s="1"/>
  <c r="AQ768" i="1"/>
  <c r="AR768" i="1" s="1"/>
  <c r="AQ764" i="1"/>
  <c r="AR764" i="1" s="1"/>
  <c r="AL770" i="1"/>
  <c r="AM770" i="1" s="1"/>
  <c r="AQ763" i="1"/>
  <c r="AR763" i="1" s="1"/>
  <c r="AL765" i="1"/>
  <c r="AM765" i="1" s="1"/>
  <c r="AQ767" i="1"/>
  <c r="AR767" i="1" s="1"/>
  <c r="AL764" i="1"/>
  <c r="AM764" i="1" s="1"/>
  <c r="AQ745" i="1"/>
  <c r="AR745" i="1" s="1"/>
  <c r="AL761" i="1"/>
  <c r="AM761" i="1" s="1"/>
  <c r="AQ742" i="1"/>
  <c r="AR742" i="1" s="1"/>
  <c r="AL739" i="1"/>
  <c r="AM739" i="1" s="1"/>
  <c r="AL744" i="1"/>
  <c r="AM744" i="1" s="1"/>
  <c r="AQ744" i="1"/>
  <c r="AR744" i="1" s="1"/>
  <c r="AL740" i="1"/>
  <c r="AM740" i="1" s="1"/>
  <c r="AQ746" i="1"/>
  <c r="AR746" i="1" s="1"/>
  <c r="AL737" i="1"/>
  <c r="AM737" i="1" s="1"/>
  <c r="AQ739" i="1"/>
  <c r="AR739" i="1" s="1"/>
  <c r="AQ743" i="1"/>
  <c r="AR743" i="1" s="1"/>
  <c r="AL742" i="1"/>
  <c r="AM742" i="1" s="1"/>
  <c r="AQ737" i="1"/>
  <c r="AR737" i="1" s="1"/>
  <c r="AL746" i="1"/>
  <c r="AM746" i="1" s="1"/>
  <c r="AL745" i="1"/>
  <c r="AM745" i="1" s="1"/>
  <c r="AL757" i="1"/>
  <c r="AM757" i="1" s="1"/>
  <c r="AQ759" i="1"/>
  <c r="AR759" i="1" s="1"/>
  <c r="AL762" i="1"/>
  <c r="AM762" i="1" s="1"/>
  <c r="AQ760" i="1"/>
  <c r="AR760" i="1" s="1"/>
  <c r="AQ757" i="1"/>
  <c r="AR757" i="1" s="1"/>
  <c r="AQ758" i="1"/>
  <c r="AR758" i="1" s="1"/>
  <c r="AL758" i="1"/>
  <c r="AM758" i="1" s="1"/>
  <c r="AL760" i="1"/>
  <c r="AM760" i="1" s="1"/>
  <c r="AL759" i="1"/>
  <c r="AM759" i="1" s="1"/>
  <c r="AL662" i="1"/>
  <c r="AM662" i="1" s="1"/>
  <c r="AQ670" i="1"/>
  <c r="AR670" i="1" s="1"/>
  <c r="AL667" i="1"/>
  <c r="AM667" i="1" s="1"/>
  <c r="AQ664" i="1"/>
  <c r="AR664" i="1" s="1"/>
  <c r="AL664" i="1"/>
  <c r="AM664" i="1" s="1"/>
  <c r="AQ668" i="1"/>
  <c r="AR668" i="1" s="1"/>
  <c r="AQ667" i="1"/>
  <c r="AR667" i="1" s="1"/>
  <c r="AL665" i="1"/>
  <c r="AM665" i="1" s="1"/>
  <c r="AQ661" i="1"/>
  <c r="AR661" i="1" s="1"/>
  <c r="AQ669" i="1"/>
  <c r="AR669" i="1" s="1"/>
  <c r="AQ662" i="1"/>
  <c r="AR662" i="1" s="1"/>
  <c r="AQ666" i="1"/>
  <c r="AR666" i="1" s="1"/>
  <c r="AL661" i="1"/>
  <c r="AM661" i="1" s="1"/>
  <c r="AL670" i="1"/>
  <c r="AM670" i="1" s="1"/>
  <c r="AQ665" i="1"/>
  <c r="AR665" i="1" s="1"/>
  <c r="AL668" i="1"/>
  <c r="AM668" i="1" s="1"/>
  <c r="AL669" i="1"/>
  <c r="AM669" i="1" s="1"/>
  <c r="AL724" i="1"/>
  <c r="AM724" i="1" s="1"/>
  <c r="AQ731" i="1"/>
  <c r="AR731" i="1" s="1"/>
  <c r="AL438" i="1"/>
  <c r="AM438" i="1" s="1"/>
  <c r="AL747" i="1"/>
  <c r="AM747" i="1" s="1"/>
  <c r="AL657" i="1"/>
  <c r="AM657" i="1" s="1"/>
  <c r="AQ657" i="1"/>
  <c r="AR657" i="1" s="1"/>
  <c r="AL754" i="1"/>
  <c r="AM754" i="1" s="1"/>
  <c r="AQ724" i="1"/>
  <c r="AR724" i="1" s="1"/>
  <c r="AL727" i="1"/>
  <c r="AM727" i="1" s="1"/>
  <c r="AQ747" i="1"/>
  <c r="AR747" i="1" s="1"/>
  <c r="AQ748" i="1"/>
  <c r="AR748" i="1" s="1"/>
  <c r="AL748" i="1"/>
  <c r="AM748" i="1" s="1"/>
  <c r="AQ753" i="1"/>
  <c r="AR753" i="1" s="1"/>
  <c r="AQ749" i="1"/>
  <c r="AR749" i="1" s="1"/>
  <c r="AL753" i="1"/>
  <c r="AM753" i="1" s="1"/>
  <c r="AL726" i="1"/>
  <c r="AM726" i="1" s="1"/>
  <c r="AL749" i="1"/>
  <c r="AM749" i="1" s="1"/>
  <c r="AQ721" i="1"/>
  <c r="AR721" i="1" s="1"/>
  <c r="AL752" i="1"/>
  <c r="AM752" i="1" s="1"/>
  <c r="AQ750" i="1"/>
  <c r="AR750" i="1" s="1"/>
  <c r="AL750" i="1"/>
  <c r="AM750" i="1" s="1"/>
  <c r="AQ754" i="1"/>
  <c r="AR754" i="1" s="1"/>
  <c r="AL722" i="1"/>
  <c r="AM722" i="1" s="1"/>
  <c r="AL633" i="1"/>
  <c r="AM633" i="1" s="1"/>
  <c r="AQ735" i="1"/>
  <c r="AR735" i="1" s="1"/>
  <c r="AQ751" i="1"/>
  <c r="AR751" i="1" s="1"/>
  <c r="AQ728" i="1"/>
  <c r="AR728" i="1" s="1"/>
  <c r="AQ752" i="1"/>
  <c r="AR752" i="1" s="1"/>
  <c r="AL728" i="1"/>
  <c r="AM728" i="1" s="1"/>
  <c r="AQ719" i="1"/>
  <c r="AR719" i="1" s="1"/>
  <c r="AQ726" i="1"/>
  <c r="AR726" i="1" s="1"/>
  <c r="AQ720" i="1"/>
  <c r="AR720" i="1" s="1"/>
  <c r="AQ725" i="1"/>
  <c r="AR725" i="1" s="1"/>
  <c r="AL720" i="1"/>
  <c r="AM720" i="1" s="1"/>
  <c r="AQ734" i="1"/>
  <c r="AR734" i="1" s="1"/>
  <c r="AL719" i="1"/>
  <c r="AM719" i="1" s="1"/>
  <c r="AQ727" i="1"/>
  <c r="AR727" i="1" s="1"/>
  <c r="AL725" i="1"/>
  <c r="AM725" i="1" s="1"/>
  <c r="AQ722" i="1"/>
  <c r="AR722" i="1" s="1"/>
  <c r="AL721" i="1"/>
  <c r="AM721" i="1" s="1"/>
  <c r="AL733" i="1"/>
  <c r="AM733" i="1" s="1"/>
  <c r="AQ733" i="1"/>
  <c r="AR733" i="1" s="1"/>
  <c r="AL636" i="1"/>
  <c r="AM636" i="1" s="1"/>
  <c r="AL652" i="1"/>
  <c r="AM652" i="1" s="1"/>
  <c r="AL732" i="1"/>
  <c r="AM732" i="1" s="1"/>
  <c r="AL656" i="1"/>
  <c r="AM656" i="1" s="1"/>
  <c r="AQ729" i="1"/>
  <c r="AR729" i="1" s="1"/>
  <c r="AQ736" i="1"/>
  <c r="AR736" i="1" s="1"/>
  <c r="AL729" i="1"/>
  <c r="AM729" i="1" s="1"/>
  <c r="AL736" i="1"/>
  <c r="AM736" i="1" s="1"/>
  <c r="AL734" i="1"/>
  <c r="AM734" i="1" s="1"/>
  <c r="AL654" i="1"/>
  <c r="AM654" i="1" s="1"/>
  <c r="AQ654" i="1"/>
  <c r="AR654" i="1" s="1"/>
  <c r="AQ732" i="1"/>
  <c r="AR732" i="1" s="1"/>
  <c r="AL730" i="1"/>
  <c r="AM730" i="1" s="1"/>
  <c r="AQ656" i="1"/>
  <c r="AR656" i="1" s="1"/>
  <c r="AQ730" i="1"/>
  <c r="AR730" i="1" s="1"/>
  <c r="AL735" i="1"/>
  <c r="AM735" i="1" s="1"/>
  <c r="AL655" i="1"/>
  <c r="AM655" i="1" s="1"/>
  <c r="AQ651" i="1"/>
  <c r="AR651" i="1" s="1"/>
  <c r="AQ660" i="1"/>
  <c r="AR660" i="1" s="1"/>
  <c r="AQ636" i="1"/>
  <c r="AR636" i="1" s="1"/>
  <c r="AL651" i="1"/>
  <c r="AM651" i="1" s="1"/>
  <c r="AQ652" i="1"/>
  <c r="AR652" i="1" s="1"/>
  <c r="AQ653" i="1"/>
  <c r="AR653" i="1" s="1"/>
  <c r="AL659" i="1"/>
  <c r="AM659" i="1" s="1"/>
  <c r="AQ659" i="1"/>
  <c r="AR659" i="1" s="1"/>
  <c r="AL660" i="1"/>
  <c r="AM660" i="1" s="1"/>
  <c r="AQ628" i="1"/>
  <c r="AR628" i="1" s="1"/>
  <c r="AL658" i="1"/>
  <c r="AM658" i="1" s="1"/>
  <c r="AQ655" i="1"/>
  <c r="AR655" i="1" s="1"/>
  <c r="AL653" i="1"/>
  <c r="AM653" i="1" s="1"/>
  <c r="AQ658" i="1"/>
  <c r="AR658" i="1" s="1"/>
  <c r="AL623" i="1"/>
  <c r="AM623" i="1" s="1"/>
  <c r="AQ634" i="1"/>
  <c r="AR634" i="1" s="1"/>
  <c r="AQ635" i="1"/>
  <c r="AR635" i="1" s="1"/>
  <c r="AL640" i="1"/>
  <c r="AM640" i="1" s="1"/>
  <c r="AL638" i="1"/>
  <c r="AM638" i="1" s="1"/>
  <c r="AQ637" i="1"/>
  <c r="AR637" i="1" s="1"/>
  <c r="AQ630" i="1"/>
  <c r="AR630" i="1" s="1"/>
  <c r="AL639" i="1"/>
  <c r="AM639" i="1" s="1"/>
  <c r="AL628" i="1"/>
  <c r="AM628" i="1" s="1"/>
  <c r="AL635" i="1"/>
  <c r="AM635" i="1" s="1"/>
  <c r="AQ633" i="1"/>
  <c r="AR633" i="1" s="1"/>
  <c r="AQ640" i="1"/>
  <c r="AR640" i="1" s="1"/>
  <c r="AL634" i="1"/>
  <c r="AM634" i="1" s="1"/>
  <c r="AQ639" i="1"/>
  <c r="AR639" i="1" s="1"/>
  <c r="AQ638" i="1"/>
  <c r="AR638" i="1" s="1"/>
  <c r="AL637" i="1"/>
  <c r="AM637" i="1" s="1"/>
  <c r="AQ624" i="1"/>
  <c r="AR624" i="1" s="1"/>
  <c r="AQ627" i="1"/>
  <c r="AR627" i="1" s="1"/>
  <c r="AL629" i="1"/>
  <c r="AM629" i="1" s="1"/>
  <c r="AL631" i="1"/>
  <c r="AM631" i="1" s="1"/>
  <c r="AQ632" i="1"/>
  <c r="AR632" i="1" s="1"/>
  <c r="AL625" i="1"/>
  <c r="AM625" i="1" s="1"/>
  <c r="AQ623" i="1"/>
  <c r="AR623" i="1" s="1"/>
  <c r="AQ626" i="1"/>
  <c r="AR626" i="1" s="1"/>
  <c r="AQ631" i="1"/>
  <c r="AR631" i="1" s="1"/>
  <c r="AL624" i="1"/>
  <c r="AM624" i="1" s="1"/>
  <c r="AL627" i="1"/>
  <c r="AM627" i="1" s="1"/>
  <c r="AL626" i="1"/>
  <c r="AM626" i="1" s="1"/>
  <c r="AQ629" i="1"/>
  <c r="AR629" i="1" s="1"/>
  <c r="AL632" i="1"/>
  <c r="AM632" i="1" s="1"/>
  <c r="AQ625" i="1"/>
  <c r="AR625" i="1" s="1"/>
  <c r="AL630" i="1"/>
  <c r="AM630" i="1" s="1"/>
  <c r="AL430" i="1"/>
  <c r="AM430" i="1" s="1"/>
  <c r="AL527" i="1"/>
  <c r="AM527" i="1" s="1"/>
  <c r="AQ430" i="1"/>
  <c r="AR430" i="1" s="1"/>
  <c r="AL509" i="1"/>
  <c r="AM509" i="1" s="1"/>
  <c r="AL543" i="1"/>
  <c r="AM543" i="1" s="1"/>
  <c r="AQ444" i="1"/>
  <c r="AR444" i="1" s="1"/>
  <c r="AL446" i="1"/>
  <c r="AM446" i="1" s="1"/>
  <c r="AL519" i="1"/>
  <c r="AM519" i="1" s="1"/>
  <c r="AQ448" i="1"/>
  <c r="AR448" i="1" s="1"/>
  <c r="AL448" i="1"/>
  <c r="AM448" i="1" s="1"/>
  <c r="AQ709" i="1"/>
  <c r="AR709" i="1" s="1"/>
  <c r="AQ508" i="1"/>
  <c r="AR508" i="1" s="1"/>
  <c r="AL517" i="1"/>
  <c r="AM517" i="1" s="1"/>
  <c r="AL516" i="1"/>
  <c r="AM516" i="1" s="1"/>
  <c r="AQ518" i="1"/>
  <c r="AR518" i="1" s="1"/>
  <c r="AQ714" i="1"/>
  <c r="AR714" i="1" s="1"/>
  <c r="AL370" i="1"/>
  <c r="AM370" i="1" s="1"/>
  <c r="AL511" i="1"/>
  <c r="AM511" i="1" s="1"/>
  <c r="AL520" i="1"/>
  <c r="AM520" i="1" s="1"/>
  <c r="AQ522" i="1"/>
  <c r="AR522" i="1" s="1"/>
  <c r="AQ519" i="1"/>
  <c r="AR519" i="1" s="1"/>
  <c r="AQ520" i="1"/>
  <c r="AR520" i="1" s="1"/>
  <c r="AQ521" i="1"/>
  <c r="AR521" i="1" s="1"/>
  <c r="AQ516" i="1"/>
  <c r="AR516" i="1" s="1"/>
  <c r="AL522" i="1"/>
  <c r="AM522" i="1" s="1"/>
  <c r="AQ515" i="1"/>
  <c r="AR515" i="1" s="1"/>
  <c r="AQ616" i="1"/>
  <c r="AR616" i="1" s="1"/>
  <c r="AL518" i="1"/>
  <c r="AM518" i="1" s="1"/>
  <c r="AQ517" i="1"/>
  <c r="AR517" i="1" s="1"/>
  <c r="AL515" i="1"/>
  <c r="AM515" i="1" s="1"/>
  <c r="AL521" i="1"/>
  <c r="AM521" i="1" s="1"/>
  <c r="AQ434" i="1"/>
  <c r="AR434" i="1" s="1"/>
  <c r="AQ505" i="1"/>
  <c r="AR505" i="1" s="1"/>
  <c r="AQ507" i="1"/>
  <c r="AR507" i="1" s="1"/>
  <c r="AQ511" i="1"/>
  <c r="AR511" i="1" s="1"/>
  <c r="AQ440" i="1"/>
  <c r="AR440" i="1" s="1"/>
  <c r="AQ514" i="1"/>
  <c r="AR514" i="1" s="1"/>
  <c r="AL512" i="1"/>
  <c r="AM512" i="1" s="1"/>
  <c r="AQ513" i="1"/>
  <c r="AR513" i="1" s="1"/>
  <c r="AL434" i="1"/>
  <c r="AM434" i="1" s="1"/>
  <c r="AL505" i="1"/>
  <c r="AM505" i="1" s="1"/>
  <c r="AQ510" i="1"/>
  <c r="AR510" i="1" s="1"/>
  <c r="AQ509" i="1"/>
  <c r="AR509" i="1" s="1"/>
  <c r="AL507" i="1"/>
  <c r="AM507" i="1" s="1"/>
  <c r="AQ506" i="1"/>
  <c r="AR506" i="1" s="1"/>
  <c r="AL513" i="1"/>
  <c r="AM513" i="1" s="1"/>
  <c r="AL508" i="1"/>
  <c r="AM508" i="1" s="1"/>
  <c r="AQ512" i="1"/>
  <c r="AR512" i="1" s="1"/>
  <c r="AL506" i="1"/>
  <c r="AM506" i="1" s="1"/>
  <c r="AL510" i="1"/>
  <c r="AM510" i="1" s="1"/>
  <c r="AL514" i="1"/>
  <c r="AM514" i="1" s="1"/>
  <c r="AL440" i="1"/>
  <c r="AM440" i="1" s="1"/>
  <c r="AQ438" i="1"/>
  <c r="AR438" i="1" s="1"/>
  <c r="AL708" i="1"/>
  <c r="AM708" i="1" s="1"/>
  <c r="AL444" i="1"/>
  <c r="AM444" i="1" s="1"/>
  <c r="AL541" i="1"/>
  <c r="AM541" i="1" s="1"/>
  <c r="AQ449" i="1"/>
  <c r="AR449" i="1" s="1"/>
  <c r="AL447" i="1"/>
  <c r="AM447" i="1" s="1"/>
  <c r="AL435" i="1"/>
  <c r="AM435" i="1" s="1"/>
  <c r="AQ445" i="1"/>
  <c r="AR445" i="1" s="1"/>
  <c r="AL445" i="1"/>
  <c r="AM445" i="1" s="1"/>
  <c r="AL436" i="1"/>
  <c r="AM436" i="1" s="1"/>
  <c r="AL450" i="1"/>
  <c r="AM450" i="1" s="1"/>
  <c r="AQ450" i="1"/>
  <c r="AR450" i="1" s="1"/>
  <c r="AQ451" i="1"/>
  <c r="AR451" i="1" s="1"/>
  <c r="AL451" i="1"/>
  <c r="AM451" i="1" s="1"/>
  <c r="AQ447" i="1"/>
  <c r="AR447" i="1" s="1"/>
  <c r="AQ436" i="1"/>
  <c r="AR436" i="1" s="1"/>
  <c r="AQ446" i="1"/>
  <c r="AR446" i="1" s="1"/>
  <c r="AQ435" i="1"/>
  <c r="AR435" i="1" s="1"/>
  <c r="AQ439" i="1"/>
  <c r="AR439" i="1" s="1"/>
  <c r="AL709" i="1"/>
  <c r="AM709" i="1" s="1"/>
  <c r="AQ441" i="1"/>
  <c r="AR441" i="1" s="1"/>
  <c r="AQ437" i="1"/>
  <c r="AR437" i="1" s="1"/>
  <c r="AL441" i="1"/>
  <c r="AM441" i="1" s="1"/>
  <c r="AL437" i="1"/>
  <c r="AM437" i="1" s="1"/>
  <c r="AQ527" i="1"/>
  <c r="AR527" i="1" s="1"/>
  <c r="AL439" i="1"/>
  <c r="AM439" i="1" s="1"/>
  <c r="AQ700" i="1"/>
  <c r="AR700" i="1" s="1"/>
  <c r="AL367" i="1"/>
  <c r="AM367" i="1" s="1"/>
  <c r="AQ367" i="1"/>
  <c r="AR367" i="1" s="1"/>
  <c r="AL699" i="1"/>
  <c r="AM699" i="1" s="1"/>
  <c r="AL717" i="1"/>
  <c r="AM717" i="1" s="1"/>
  <c r="AQ524" i="1"/>
  <c r="AR524" i="1" s="1"/>
  <c r="AQ717" i="1"/>
  <c r="AR717" i="1" s="1"/>
  <c r="AQ622" i="1"/>
  <c r="AR622" i="1" s="1"/>
  <c r="AQ650" i="1"/>
  <c r="AR650" i="1" s="1"/>
  <c r="AL715" i="1"/>
  <c r="AM715" i="1" s="1"/>
  <c r="AL621" i="1"/>
  <c r="AM621" i="1" s="1"/>
  <c r="AQ431" i="1"/>
  <c r="AR431" i="1" s="1"/>
  <c r="AL642" i="1"/>
  <c r="AM642" i="1" s="1"/>
  <c r="AL416" i="1"/>
  <c r="AM416" i="1" s="1"/>
  <c r="AL713" i="1"/>
  <c r="AM713" i="1" s="1"/>
  <c r="AQ716" i="1"/>
  <c r="AR716" i="1" s="1"/>
  <c r="AL716" i="1"/>
  <c r="AM716" i="1" s="1"/>
  <c r="AQ711" i="1"/>
  <c r="AR711" i="1" s="1"/>
  <c r="AL431" i="1"/>
  <c r="AM431" i="1" s="1"/>
  <c r="AQ710" i="1"/>
  <c r="AR710" i="1" s="1"/>
  <c r="AQ715" i="1"/>
  <c r="AR715" i="1" s="1"/>
  <c r="AL427" i="1"/>
  <c r="AM427" i="1" s="1"/>
  <c r="AQ416" i="1"/>
  <c r="AR416" i="1" s="1"/>
  <c r="AQ713" i="1"/>
  <c r="AR713" i="1" s="1"/>
  <c r="AL712" i="1"/>
  <c r="AM712" i="1" s="1"/>
  <c r="AL714" i="1"/>
  <c r="AM714" i="1" s="1"/>
  <c r="AQ712" i="1"/>
  <c r="AR712" i="1" s="1"/>
  <c r="AQ718" i="1"/>
  <c r="AR718" i="1" s="1"/>
  <c r="AL643" i="1"/>
  <c r="AM643" i="1" s="1"/>
  <c r="AL641" i="1"/>
  <c r="AM641" i="1" s="1"/>
  <c r="AL711" i="1"/>
  <c r="AM711" i="1" s="1"/>
  <c r="AL710" i="1"/>
  <c r="AM710" i="1" s="1"/>
  <c r="AL718" i="1"/>
  <c r="AM718" i="1" s="1"/>
  <c r="AQ618" i="1"/>
  <c r="AR618" i="1" s="1"/>
  <c r="AL428" i="1"/>
  <c r="AM428" i="1" s="1"/>
  <c r="AQ428" i="1"/>
  <c r="AR428" i="1" s="1"/>
  <c r="AL432" i="1"/>
  <c r="AM432" i="1" s="1"/>
  <c r="AQ370" i="1"/>
  <c r="AR370" i="1" s="1"/>
  <c r="AL545" i="1"/>
  <c r="AM545" i="1" s="1"/>
  <c r="AQ648" i="1"/>
  <c r="AR648" i="1" s="1"/>
  <c r="AQ644" i="1"/>
  <c r="AR644" i="1" s="1"/>
  <c r="AL622" i="1"/>
  <c r="AM622" i="1" s="1"/>
  <c r="AL619" i="1"/>
  <c r="AM619" i="1" s="1"/>
  <c r="AL618" i="1"/>
  <c r="AM618" i="1" s="1"/>
  <c r="AL700" i="1"/>
  <c r="AM700" i="1" s="1"/>
  <c r="AQ615" i="1"/>
  <c r="AR615" i="1" s="1"/>
  <c r="AQ619" i="1"/>
  <c r="AR619" i="1" s="1"/>
  <c r="AL620" i="1"/>
  <c r="AM620" i="1" s="1"/>
  <c r="AL615" i="1"/>
  <c r="AM615" i="1" s="1"/>
  <c r="AQ617" i="1"/>
  <c r="AR617" i="1" s="1"/>
  <c r="AQ621" i="1"/>
  <c r="AR621" i="1" s="1"/>
  <c r="AL616" i="1"/>
  <c r="AM616" i="1" s="1"/>
  <c r="AQ580" i="1"/>
  <c r="AR580" i="1" s="1"/>
  <c r="AQ620" i="1"/>
  <c r="AR620" i="1" s="1"/>
  <c r="AL617" i="1"/>
  <c r="AM617" i="1" s="1"/>
  <c r="AL426" i="1"/>
  <c r="AM426" i="1" s="1"/>
  <c r="AL648" i="1"/>
  <c r="AM648" i="1" s="1"/>
  <c r="AQ645" i="1"/>
  <c r="AR645" i="1" s="1"/>
  <c r="AL645" i="1"/>
  <c r="AM645" i="1" s="1"/>
  <c r="AQ646" i="1"/>
  <c r="AR646" i="1" s="1"/>
  <c r="AQ642" i="1"/>
  <c r="AR642" i="1" s="1"/>
  <c r="AL650" i="1"/>
  <c r="AM650" i="1" s="1"/>
  <c r="AL646" i="1"/>
  <c r="AM646" i="1" s="1"/>
  <c r="AL647" i="1"/>
  <c r="AM647" i="1" s="1"/>
  <c r="AQ649" i="1"/>
  <c r="AR649" i="1" s="1"/>
  <c r="AQ426" i="1"/>
  <c r="AR426" i="1" s="1"/>
  <c r="AQ647" i="1"/>
  <c r="AR647" i="1" s="1"/>
  <c r="AL649" i="1"/>
  <c r="AM649" i="1" s="1"/>
  <c r="AL644" i="1"/>
  <c r="AM644" i="1" s="1"/>
  <c r="AQ641" i="1"/>
  <c r="AR641" i="1" s="1"/>
  <c r="AQ432" i="1"/>
  <c r="AR432" i="1" s="1"/>
  <c r="AQ429" i="1"/>
  <c r="AR429" i="1" s="1"/>
  <c r="AL433" i="1"/>
  <c r="AM433" i="1" s="1"/>
  <c r="AL429" i="1"/>
  <c r="AM429" i="1" s="1"/>
  <c r="AQ433" i="1"/>
  <c r="AR433" i="1" s="1"/>
  <c r="AL371" i="1"/>
  <c r="AM371" i="1" s="1"/>
  <c r="AQ543" i="1"/>
  <c r="AR543" i="1" s="1"/>
  <c r="AL549" i="1"/>
  <c r="AM549" i="1" s="1"/>
  <c r="AL583" i="1"/>
  <c r="AM583" i="1" s="1"/>
  <c r="AQ583" i="1"/>
  <c r="AR583" i="1" s="1"/>
  <c r="AL581" i="1"/>
  <c r="AM581" i="1" s="1"/>
  <c r="AL585" i="1"/>
  <c r="AM585" i="1" s="1"/>
  <c r="AQ579" i="1"/>
  <c r="AR579" i="1" s="1"/>
  <c r="AQ582" i="1"/>
  <c r="AR582" i="1" s="1"/>
  <c r="AQ544" i="1"/>
  <c r="AR544" i="1" s="1"/>
  <c r="AQ581" i="1"/>
  <c r="AR581" i="1" s="1"/>
  <c r="AL579" i="1"/>
  <c r="AM579" i="1" s="1"/>
  <c r="AL580" i="1"/>
  <c r="AM580" i="1" s="1"/>
  <c r="AL586" i="1"/>
  <c r="AM586" i="1" s="1"/>
  <c r="AQ585" i="1"/>
  <c r="AR585" i="1" s="1"/>
  <c r="AQ586" i="1"/>
  <c r="AR586" i="1" s="1"/>
  <c r="AQ584" i="1"/>
  <c r="AR584" i="1" s="1"/>
  <c r="AL584" i="1"/>
  <c r="AM584" i="1" s="1"/>
  <c r="AL582" i="1"/>
  <c r="AM582" i="1" s="1"/>
  <c r="AQ549" i="1"/>
  <c r="AR549" i="1" s="1"/>
  <c r="AL550" i="1"/>
  <c r="AM550" i="1" s="1"/>
  <c r="AQ547" i="1"/>
  <c r="AR547" i="1" s="1"/>
  <c r="AQ548" i="1"/>
  <c r="AR548" i="1" s="1"/>
  <c r="AQ542" i="1"/>
  <c r="AR542" i="1" s="1"/>
  <c r="AL368" i="1"/>
  <c r="AM368" i="1" s="1"/>
  <c r="AL544" i="1"/>
  <c r="AM544" i="1" s="1"/>
  <c r="AQ550" i="1"/>
  <c r="AR550" i="1" s="1"/>
  <c r="AL542" i="1"/>
  <c r="AM542" i="1" s="1"/>
  <c r="AL547" i="1"/>
  <c r="AM547" i="1" s="1"/>
  <c r="AL548" i="1"/>
  <c r="AM548" i="1" s="1"/>
  <c r="AL546" i="1"/>
  <c r="AM546" i="1" s="1"/>
  <c r="AQ546" i="1"/>
  <c r="AR546" i="1" s="1"/>
  <c r="AQ545" i="1"/>
  <c r="AR545" i="1" s="1"/>
  <c r="AQ541" i="1"/>
  <c r="AR541" i="1" s="1"/>
  <c r="AQ372" i="1"/>
  <c r="AR372" i="1" s="1"/>
  <c r="AQ371" i="1"/>
  <c r="AR371" i="1" s="1"/>
  <c r="AL372" i="1"/>
  <c r="AM372" i="1" s="1"/>
  <c r="AQ373" i="1"/>
  <c r="AR373" i="1" s="1"/>
  <c r="AL366" i="1"/>
  <c r="AM366" i="1" s="1"/>
  <c r="AL369" i="1"/>
  <c r="AM369" i="1" s="1"/>
  <c r="AQ369" i="1"/>
  <c r="AR369" i="1" s="1"/>
  <c r="AQ366" i="1"/>
  <c r="AR366" i="1" s="1"/>
  <c r="AQ368" i="1"/>
  <c r="AR368" i="1" s="1"/>
  <c r="AL373" i="1"/>
  <c r="AM373" i="1" s="1"/>
  <c r="AL412" i="1"/>
  <c r="AM412" i="1" s="1"/>
  <c r="AQ413" i="1"/>
  <c r="AR413" i="1" s="1"/>
  <c r="AQ412" i="1"/>
  <c r="AR412" i="1" s="1"/>
  <c r="AL687" i="1"/>
  <c r="AM687" i="1" s="1"/>
  <c r="AQ410" i="1"/>
  <c r="AR410" i="1" s="1"/>
  <c r="AL701" i="1"/>
  <c r="AM701" i="1" s="1"/>
  <c r="AQ703" i="1"/>
  <c r="AR703" i="1" s="1"/>
  <c r="AL703" i="1"/>
  <c r="AM703" i="1" s="1"/>
  <c r="AL707" i="1"/>
  <c r="AM707" i="1" s="1"/>
  <c r="AQ699" i="1"/>
  <c r="AR699" i="1" s="1"/>
  <c r="AQ701" i="1"/>
  <c r="AR701" i="1" s="1"/>
  <c r="AQ704" i="1"/>
  <c r="AR704" i="1" s="1"/>
  <c r="AQ702" i="1"/>
  <c r="AR702" i="1" s="1"/>
  <c r="AQ706" i="1"/>
  <c r="AR706" i="1" s="1"/>
  <c r="AL706" i="1"/>
  <c r="AM706" i="1" s="1"/>
  <c r="AL704" i="1"/>
  <c r="AM704" i="1" s="1"/>
  <c r="AQ705" i="1"/>
  <c r="AR705" i="1" s="1"/>
  <c r="AQ707" i="1"/>
  <c r="AR707" i="1" s="1"/>
  <c r="AL705" i="1"/>
  <c r="AM705" i="1" s="1"/>
  <c r="AQ708" i="1"/>
  <c r="AR708" i="1" s="1"/>
  <c r="AL702" i="1"/>
  <c r="AM702" i="1" s="1"/>
  <c r="AL413" i="1"/>
  <c r="AM413" i="1" s="1"/>
  <c r="AQ686" i="1"/>
  <c r="AR686" i="1" s="1"/>
  <c r="AQ418" i="1"/>
  <c r="AR418" i="1" s="1"/>
  <c r="AL418" i="1"/>
  <c r="AM418" i="1" s="1"/>
  <c r="AL410" i="1"/>
  <c r="AM410" i="1" s="1"/>
  <c r="AQ409" i="1"/>
  <c r="AR409" i="1" s="1"/>
  <c r="AL415" i="1"/>
  <c r="AM415" i="1" s="1"/>
  <c r="AQ417" i="1"/>
  <c r="AR417" i="1" s="1"/>
  <c r="AL411" i="1"/>
  <c r="AM411" i="1" s="1"/>
  <c r="AQ411" i="1"/>
  <c r="AR411" i="1" s="1"/>
  <c r="AL409" i="1"/>
  <c r="AM409" i="1" s="1"/>
  <c r="AL417" i="1"/>
  <c r="AM417" i="1" s="1"/>
  <c r="AL408" i="1"/>
  <c r="AM408" i="1" s="1"/>
  <c r="AQ414" i="1"/>
  <c r="AR414" i="1" s="1"/>
  <c r="AQ415" i="1"/>
  <c r="AR415" i="1" s="1"/>
  <c r="AL414" i="1"/>
  <c r="AM414" i="1" s="1"/>
  <c r="AQ408" i="1"/>
  <c r="AR408" i="1" s="1"/>
  <c r="AL526" i="1"/>
  <c r="AM526" i="1" s="1"/>
  <c r="AQ525" i="1"/>
  <c r="AR525" i="1" s="1"/>
  <c r="AL532" i="1"/>
  <c r="AM532" i="1" s="1"/>
  <c r="AQ526" i="1"/>
  <c r="AR526" i="1" s="1"/>
  <c r="AQ528" i="1"/>
  <c r="AR528" i="1" s="1"/>
  <c r="AL525" i="1"/>
  <c r="AM525" i="1" s="1"/>
  <c r="AL529" i="1"/>
  <c r="AM529" i="1" s="1"/>
  <c r="AL528" i="1"/>
  <c r="AM528" i="1" s="1"/>
  <c r="AL523" i="1"/>
  <c r="AM523" i="1" s="1"/>
  <c r="AQ529" i="1"/>
  <c r="AR529" i="1" s="1"/>
  <c r="AL530" i="1"/>
  <c r="AM530" i="1" s="1"/>
  <c r="AQ531" i="1"/>
  <c r="AR531" i="1" s="1"/>
  <c r="AL531" i="1"/>
  <c r="AM531" i="1" s="1"/>
  <c r="AQ532" i="1"/>
  <c r="AR532" i="1" s="1"/>
  <c r="AQ530" i="1"/>
  <c r="AR530" i="1" s="1"/>
  <c r="AQ523" i="1"/>
  <c r="AR523" i="1" s="1"/>
  <c r="AL524" i="1"/>
  <c r="AM524" i="1" s="1"/>
  <c r="AF631" i="1"/>
  <c r="AL684" i="1"/>
  <c r="AM684" i="1" s="1"/>
  <c r="AL685" i="1"/>
  <c r="AM685" i="1" s="1"/>
  <c r="AQ682" i="1"/>
  <c r="AR682" i="1" s="1"/>
  <c r="AQ689" i="1"/>
  <c r="AR689" i="1" s="1"/>
  <c r="AL402" i="1"/>
  <c r="AM402" i="1" s="1"/>
  <c r="AL404" i="1"/>
  <c r="AM404" i="1" s="1"/>
  <c r="AQ400" i="1"/>
  <c r="AR400" i="1" s="1"/>
  <c r="AL407" i="1"/>
  <c r="AM407" i="1" s="1"/>
  <c r="AL406" i="1"/>
  <c r="AM406" i="1" s="1"/>
  <c r="AQ402" i="1"/>
  <c r="AR402" i="1" s="1"/>
  <c r="AQ403" i="1"/>
  <c r="AR403" i="1" s="1"/>
  <c r="AL401" i="1"/>
  <c r="AM401" i="1" s="1"/>
  <c r="AQ405" i="1"/>
  <c r="AR405" i="1" s="1"/>
  <c r="AQ401" i="1"/>
  <c r="AR401" i="1" s="1"/>
  <c r="AL405" i="1"/>
  <c r="AM405" i="1" s="1"/>
  <c r="AL400" i="1"/>
  <c r="AM400" i="1" s="1"/>
  <c r="AQ404" i="1"/>
  <c r="AR404" i="1" s="1"/>
  <c r="AQ406" i="1"/>
  <c r="AR406" i="1" s="1"/>
  <c r="AQ407" i="1"/>
  <c r="AR407" i="1" s="1"/>
  <c r="AL403" i="1"/>
  <c r="AM403" i="1" s="1"/>
  <c r="AF806" i="1"/>
  <c r="AL690" i="1"/>
  <c r="AM690" i="1" s="1"/>
  <c r="AL686" i="1"/>
  <c r="AM686" i="1" s="1"/>
  <c r="AF811" i="1"/>
  <c r="AQ688" i="1"/>
  <c r="AR688" i="1" s="1"/>
  <c r="AQ690" i="1"/>
  <c r="AR690" i="1" s="1"/>
  <c r="AL689" i="1"/>
  <c r="AM689" i="1" s="1"/>
  <c r="AQ684" i="1"/>
  <c r="AR684" i="1" s="1"/>
  <c r="AQ687" i="1"/>
  <c r="AR687" i="1" s="1"/>
  <c r="AL688" i="1"/>
  <c r="AM688" i="1" s="1"/>
  <c r="AQ681" i="1"/>
  <c r="AR681" i="1" s="1"/>
  <c r="AL683" i="1"/>
  <c r="AM683" i="1" s="1"/>
  <c r="AL682" i="1"/>
  <c r="AM682" i="1" s="1"/>
  <c r="AL681" i="1"/>
  <c r="AM681" i="1" s="1"/>
  <c r="AQ683" i="1"/>
  <c r="AR683" i="1" s="1"/>
  <c r="AQ685" i="1"/>
  <c r="AR685" i="1" s="1"/>
  <c r="AF809" i="1"/>
  <c r="AF807" i="1"/>
  <c r="AQ535" i="1"/>
  <c r="AR535" i="1" s="1"/>
  <c r="AF812" i="1"/>
  <c r="AF808" i="1"/>
  <c r="AL535" i="1"/>
  <c r="AM535" i="1" s="1"/>
  <c r="AF810" i="1"/>
  <c r="AQ693" i="1"/>
  <c r="AR693" i="1" s="1"/>
  <c r="AF805" i="1"/>
  <c r="AQ692" i="1"/>
  <c r="AR692" i="1" s="1"/>
  <c r="AL692" i="1"/>
  <c r="AM692" i="1" s="1"/>
  <c r="AL533" i="1"/>
  <c r="AM533" i="1" s="1"/>
  <c r="AL538" i="1"/>
  <c r="AM538" i="1" s="1"/>
  <c r="AL677" i="1"/>
  <c r="AM677" i="1" s="1"/>
  <c r="AL691" i="1"/>
  <c r="AM691" i="1" s="1"/>
  <c r="AL540" i="1"/>
  <c r="AM540" i="1" s="1"/>
  <c r="AL539" i="1"/>
  <c r="AM539" i="1" s="1"/>
  <c r="AL536" i="1"/>
  <c r="AM536" i="1" s="1"/>
  <c r="AL534" i="1"/>
  <c r="AM534" i="1" s="1"/>
  <c r="AQ536" i="1"/>
  <c r="AR536" i="1" s="1"/>
  <c r="AQ534" i="1"/>
  <c r="AR534" i="1" s="1"/>
  <c r="AQ537" i="1"/>
  <c r="AR537" i="1" s="1"/>
  <c r="AQ533" i="1"/>
  <c r="AR533" i="1" s="1"/>
  <c r="AQ539" i="1"/>
  <c r="AR539" i="1" s="1"/>
  <c r="AQ538" i="1"/>
  <c r="AR538" i="1" s="1"/>
  <c r="AL537" i="1"/>
  <c r="AM537" i="1" s="1"/>
  <c r="AQ540" i="1"/>
  <c r="AR540" i="1" s="1"/>
  <c r="AQ455" i="1"/>
  <c r="AR455" i="1" s="1"/>
  <c r="AL455" i="1"/>
  <c r="AM455" i="1" s="1"/>
  <c r="AL671" i="1"/>
  <c r="AM671" i="1" s="1"/>
  <c r="AQ346" i="1"/>
  <c r="AR346" i="1" s="1"/>
  <c r="AQ691" i="1"/>
  <c r="AR691" i="1" s="1"/>
  <c r="AQ671" i="1"/>
  <c r="AR671" i="1" s="1"/>
  <c r="AQ694" i="1"/>
  <c r="AR694" i="1" s="1"/>
  <c r="AL672" i="1"/>
  <c r="AM672" i="1" s="1"/>
  <c r="AQ680" i="1"/>
  <c r="AR680" i="1" s="1"/>
  <c r="AL678" i="1"/>
  <c r="AM678" i="1" s="1"/>
  <c r="AQ698" i="1"/>
  <c r="AR698" i="1" s="1"/>
  <c r="AQ695" i="1"/>
  <c r="AR695" i="1" s="1"/>
  <c r="AL695" i="1"/>
  <c r="AM695" i="1" s="1"/>
  <c r="AL698" i="1"/>
  <c r="AM698" i="1" s="1"/>
  <c r="AL694" i="1"/>
  <c r="AM694" i="1" s="1"/>
  <c r="AQ696" i="1"/>
  <c r="AR696" i="1" s="1"/>
  <c r="AL697" i="1"/>
  <c r="AM697" i="1" s="1"/>
  <c r="AL693" i="1"/>
  <c r="AM693" i="1" s="1"/>
  <c r="AL696" i="1"/>
  <c r="AM696" i="1" s="1"/>
  <c r="AQ697" i="1"/>
  <c r="AR697" i="1" s="1"/>
  <c r="AL673" i="1"/>
  <c r="AM673" i="1" s="1"/>
  <c r="AL679" i="1"/>
  <c r="AM679" i="1" s="1"/>
  <c r="AQ676" i="1"/>
  <c r="AR676" i="1" s="1"/>
  <c r="AL675" i="1"/>
  <c r="AM675" i="1" s="1"/>
  <c r="AL680" i="1"/>
  <c r="AM680" i="1" s="1"/>
  <c r="AL676" i="1"/>
  <c r="AM676" i="1" s="1"/>
  <c r="AQ677" i="1"/>
  <c r="AR677" i="1" s="1"/>
  <c r="AQ672" i="1"/>
  <c r="AR672" i="1" s="1"/>
  <c r="AQ675" i="1"/>
  <c r="AR675" i="1" s="1"/>
  <c r="AQ673" i="1"/>
  <c r="AR673" i="1" s="1"/>
  <c r="AQ678" i="1"/>
  <c r="AR678" i="1" s="1"/>
  <c r="AQ674" i="1"/>
  <c r="AR674" i="1" s="1"/>
  <c r="AL674" i="1"/>
  <c r="AM674" i="1" s="1"/>
  <c r="AQ679" i="1"/>
  <c r="AR679" i="1" s="1"/>
  <c r="AQ343" i="1"/>
  <c r="AR343" i="1" s="1"/>
  <c r="AL460" i="1"/>
  <c r="AM460" i="1" s="1"/>
  <c r="AL453" i="1"/>
  <c r="AM453" i="1" s="1"/>
  <c r="AQ459" i="1"/>
  <c r="AR459" i="1" s="1"/>
  <c r="AL452" i="1"/>
  <c r="AM452" i="1" s="1"/>
  <c r="AL459" i="1"/>
  <c r="AM459" i="1" s="1"/>
  <c r="AQ457" i="1"/>
  <c r="AR457" i="1" s="1"/>
  <c r="AL457" i="1"/>
  <c r="AM457" i="1" s="1"/>
  <c r="AQ452" i="1"/>
  <c r="AR452" i="1" s="1"/>
  <c r="AL454" i="1"/>
  <c r="AM454" i="1" s="1"/>
  <c r="AL458" i="1"/>
  <c r="AM458" i="1" s="1"/>
  <c r="AQ456" i="1"/>
  <c r="AR456" i="1" s="1"/>
  <c r="AL461" i="1"/>
  <c r="AM461" i="1" s="1"/>
  <c r="AQ460" i="1"/>
  <c r="AR460" i="1" s="1"/>
  <c r="AQ461" i="1"/>
  <c r="AR461" i="1" s="1"/>
  <c r="AQ454" i="1"/>
  <c r="AR454" i="1" s="1"/>
  <c r="AQ453" i="1"/>
  <c r="AR453" i="1" s="1"/>
  <c r="AQ458" i="1"/>
  <c r="AR458" i="1" s="1"/>
  <c r="AL456" i="1"/>
  <c r="AM456" i="1" s="1"/>
  <c r="AF710" i="1"/>
  <c r="AF581" i="1"/>
  <c r="AF464" i="1"/>
  <c r="AF641" i="1"/>
  <c r="AF771" i="1"/>
  <c r="AF546" i="1"/>
  <c r="AL346" i="1"/>
  <c r="AM346" i="1" s="1"/>
  <c r="AF474" i="1"/>
  <c r="AQ354" i="1"/>
  <c r="AR354" i="1" s="1"/>
  <c r="AL354" i="1"/>
  <c r="AM354" i="1" s="1"/>
  <c r="AL344" i="1"/>
  <c r="AM344" i="1" s="1"/>
  <c r="AQ339" i="1"/>
  <c r="AR339" i="1" s="1"/>
  <c r="AL350" i="1"/>
  <c r="AM350" i="1" s="1"/>
  <c r="AL352" i="1"/>
  <c r="AM352" i="1" s="1"/>
  <c r="AL338" i="1"/>
  <c r="AM338" i="1" s="1"/>
  <c r="AL355" i="1"/>
  <c r="AM355" i="1" s="1"/>
  <c r="AQ355" i="1"/>
  <c r="AR355" i="1" s="1"/>
  <c r="AQ352" i="1"/>
  <c r="AR352" i="1" s="1"/>
  <c r="AL348" i="1"/>
  <c r="AM348" i="1" s="1"/>
  <c r="AQ353" i="1"/>
  <c r="AR353" i="1" s="1"/>
  <c r="AL351" i="1"/>
  <c r="AM351" i="1" s="1"/>
  <c r="AQ345" i="1"/>
  <c r="AR345" i="1" s="1"/>
  <c r="AQ350" i="1"/>
  <c r="AR350" i="1" s="1"/>
  <c r="AQ348" i="1"/>
  <c r="AR348" i="1" s="1"/>
  <c r="AQ349" i="1"/>
  <c r="AR349" i="1" s="1"/>
  <c r="AL353" i="1"/>
  <c r="AM353" i="1" s="1"/>
  <c r="AL349" i="1"/>
  <c r="AM349" i="1" s="1"/>
  <c r="AQ351" i="1"/>
  <c r="AR351" i="1" s="1"/>
  <c r="AQ338" i="1"/>
  <c r="AR338" i="1" s="1"/>
  <c r="AL343" i="1"/>
  <c r="AM343" i="1" s="1"/>
  <c r="AF649" i="1"/>
  <c r="AL339" i="1"/>
  <c r="AM339" i="1" s="1"/>
  <c r="AL341" i="1"/>
  <c r="AM341" i="1" s="1"/>
  <c r="AL345" i="1"/>
  <c r="AM345" i="1" s="1"/>
  <c r="AQ342" i="1"/>
  <c r="AR342" i="1" s="1"/>
  <c r="AQ347" i="1"/>
  <c r="AR347" i="1" s="1"/>
  <c r="AL347" i="1"/>
  <c r="AM347" i="1" s="1"/>
  <c r="AQ344" i="1"/>
  <c r="AR344" i="1" s="1"/>
  <c r="AL342" i="1"/>
  <c r="AM342" i="1" s="1"/>
  <c r="AQ341" i="1"/>
  <c r="AR341" i="1" s="1"/>
  <c r="AQ340" i="1"/>
  <c r="AR340" i="1" s="1"/>
  <c r="AL340" i="1"/>
  <c r="AM340" i="1" s="1"/>
  <c r="AF699" i="1"/>
  <c r="AF795" i="1"/>
  <c r="AF663" i="1"/>
  <c r="AF627" i="1"/>
  <c r="AF690" i="1"/>
  <c r="AF686" i="1"/>
  <c r="AF669" i="1"/>
  <c r="AF516" i="1"/>
  <c r="AF775" i="1"/>
  <c r="AF532" i="1"/>
  <c r="AF587" i="1"/>
  <c r="AF747" i="1"/>
  <c r="AF633" i="1"/>
  <c r="AF787" i="1"/>
  <c r="AF754" i="1"/>
  <c r="AF707" i="1"/>
  <c r="AF682" i="1"/>
  <c r="AF746" i="1"/>
  <c r="AF525" i="1"/>
  <c r="AF761" i="1"/>
  <c r="AF508" i="1"/>
  <c r="AF644" i="1"/>
  <c r="AF595" i="1"/>
  <c r="AF620" i="1"/>
  <c r="AF763" i="1"/>
  <c r="AF635" i="1"/>
  <c r="AF760" i="1"/>
  <c r="AF495" i="1"/>
  <c r="AF728" i="1"/>
  <c r="AF509" i="1"/>
  <c r="AF739" i="1"/>
  <c r="AF683" i="1"/>
  <c r="AF677" i="1"/>
  <c r="AF726" i="1"/>
  <c r="AF477" i="1"/>
  <c r="AF655" i="1"/>
  <c r="AF519" i="1"/>
  <c r="AF482" i="1"/>
  <c r="AF667" i="1"/>
  <c r="AF712" i="1"/>
  <c r="AF748" i="1"/>
  <c r="AF789" i="1"/>
  <c r="AF766" i="1"/>
  <c r="AF326" i="1"/>
  <c r="AF632" i="1"/>
  <c r="AF758" i="1"/>
  <c r="AF507" i="1"/>
  <c r="AF544" i="1"/>
  <c r="AF723" i="1"/>
  <c r="AF497" i="1"/>
  <c r="AF803" i="1"/>
  <c r="AF700" i="1"/>
  <c r="AF711" i="1"/>
  <c r="AF515" i="1"/>
  <c r="AF774" i="1"/>
  <c r="AF505" i="1"/>
  <c r="AF636" i="1"/>
  <c r="AF445" i="1"/>
  <c r="AF642" i="1"/>
  <c r="AF639" i="1"/>
  <c r="AF681" i="1"/>
  <c r="AF713" i="1"/>
  <c r="AF563" i="1"/>
  <c r="AF548" i="1"/>
  <c r="AF670" i="1"/>
  <c r="AF801" i="1"/>
  <c r="AF781" i="1"/>
  <c r="AF543" i="1"/>
  <c r="AF717" i="1"/>
  <c r="AF626" i="1"/>
  <c r="AF778" i="1"/>
  <c r="AF671" i="1"/>
  <c r="AF630" i="1"/>
  <c r="AF654" i="1"/>
  <c r="AF696" i="1"/>
  <c r="AF637" i="1"/>
  <c r="AF786" i="1"/>
  <c r="AF755" i="1"/>
  <c r="AF773" i="1"/>
  <c r="AF437" i="1"/>
  <c r="AF692" i="1"/>
  <c r="AF512" i="1"/>
  <c r="AF487" i="1"/>
  <c r="AF785" i="1"/>
  <c r="AF577" i="1"/>
  <c r="AF521" i="1"/>
  <c r="AF557" i="1"/>
  <c r="AF622" i="1"/>
  <c r="AF650" i="1"/>
  <c r="AF567" i="1"/>
  <c r="AF744" i="1"/>
  <c r="AF341" i="1"/>
  <c r="AF485" i="1"/>
  <c r="AF668" i="1"/>
  <c r="AF768" i="1"/>
  <c r="AF634" i="1"/>
  <c r="AF664" i="1"/>
  <c r="AF488" i="1"/>
  <c r="AF615" i="1"/>
  <c r="AF593" i="1"/>
  <c r="AF652" i="1"/>
  <c r="AF403" i="1"/>
  <c r="AF738" i="1"/>
  <c r="AF372" i="1"/>
  <c r="AF536" i="1"/>
  <c r="AF621" i="1"/>
  <c r="AF653" i="1"/>
  <c r="AF759" i="1"/>
  <c r="AF790" i="1"/>
  <c r="AF767" i="1"/>
  <c r="AF697" i="1"/>
  <c r="AF745" i="1"/>
  <c r="AF396" i="1"/>
  <c r="AF591" i="1"/>
  <c r="AF659" i="1"/>
  <c r="AF417" i="1"/>
  <c r="AF541" i="1"/>
  <c r="AF796" i="1"/>
  <c r="AF450" i="1"/>
  <c r="AF753" i="1"/>
  <c r="AF617" i="1"/>
  <c r="AF695" i="1"/>
  <c r="AF743" i="1"/>
  <c r="AF791" i="1"/>
  <c r="AF709" i="1"/>
  <c r="AF698" i="1"/>
  <c r="AF539" i="1"/>
  <c r="AF673" i="1"/>
  <c r="AF685" i="1"/>
  <c r="AF688" i="1"/>
  <c r="AF351" i="1"/>
  <c r="AF783" i="1"/>
  <c r="AF693" i="1"/>
  <c r="AF718" i="1"/>
  <c r="AF466" i="1"/>
  <c r="AF724" i="1"/>
  <c r="AF645" i="1"/>
  <c r="AF705" i="1"/>
  <c r="AF583" i="1"/>
  <c r="AF665" i="1"/>
  <c r="AF472" i="1"/>
  <c r="AF624" i="1"/>
  <c r="AF804" i="1"/>
  <c r="AF362" i="1"/>
  <c r="AF555" i="1"/>
  <c r="AF701" i="1"/>
  <c r="AF517" i="1"/>
  <c r="AF680" i="1"/>
  <c r="AF643" i="1"/>
  <c r="AF558" i="1"/>
  <c r="AF473" i="1"/>
  <c r="AF344" i="1"/>
  <c r="AF596" i="1"/>
  <c r="AF756" i="1"/>
  <c r="AF679" i="1"/>
  <c r="AF405" i="1"/>
  <c r="AF528" i="1"/>
  <c r="AF484" i="1"/>
  <c r="AF434" i="1"/>
  <c r="AF592" i="1"/>
  <c r="AF666" i="1"/>
  <c r="AF770" i="1"/>
  <c r="AF702" i="1"/>
  <c r="AF741" i="1"/>
  <c r="AF556" i="1"/>
  <c r="AF764" i="1"/>
  <c r="AF479" i="1"/>
  <c r="AF742" i="1"/>
  <c r="AF476" i="1"/>
  <c r="AF737" i="1"/>
  <c r="AF751" i="1"/>
  <c r="AF638" i="1"/>
  <c r="AF354" i="1"/>
  <c r="AF793" i="1"/>
  <c r="AF584" i="1"/>
  <c r="AF524" i="1"/>
  <c r="AF559" i="1"/>
  <c r="AF658" i="1"/>
  <c r="AF694" i="1"/>
  <c r="AF798" i="1"/>
  <c r="AF782" i="1"/>
  <c r="AF456" i="1"/>
  <c r="AF520" i="1"/>
  <c r="AF574" i="1"/>
  <c r="AF651" i="1"/>
  <c r="AF455" i="1"/>
  <c r="AF719" i="1"/>
  <c r="AF594" i="1"/>
  <c r="AF454" i="1"/>
  <c r="AF387" i="1"/>
  <c r="AF706" i="1"/>
  <c r="AF750" i="1"/>
  <c r="AF441" i="1"/>
  <c r="AF457" i="1"/>
  <c r="AF625" i="1"/>
  <c r="AF662" i="1"/>
  <c r="AF565" i="1"/>
  <c r="AF777" i="1"/>
  <c r="AF794" i="1"/>
  <c r="AF511" i="1"/>
  <c r="AF570" i="1"/>
  <c r="AF575" i="1"/>
  <c r="AF704" i="1"/>
  <c r="AF792" i="1"/>
  <c r="AF691" i="1"/>
  <c r="AF672" i="1"/>
  <c r="AF734" i="1"/>
  <c r="AF325" i="1"/>
  <c r="AF678" i="1"/>
  <c r="AF708" i="1"/>
  <c r="AF648" i="1"/>
  <c r="AF490" i="1"/>
  <c r="AF431" i="1"/>
  <c r="AF368" i="1"/>
  <c r="AF359" i="1"/>
  <c r="AF458" i="1"/>
  <c r="AF661" i="1"/>
  <c r="AF714" i="1"/>
  <c r="AF629" i="1"/>
  <c r="AF392" i="1"/>
  <c r="AF404" i="1"/>
  <c r="AF322" i="1"/>
  <c r="AF657" i="1"/>
  <c r="AF727" i="1"/>
  <c r="AF402" i="1"/>
  <c r="AF363" i="1"/>
  <c r="AF323" i="1"/>
  <c r="AF381" i="1"/>
  <c r="AF733" i="1"/>
  <c r="AF674" i="1"/>
  <c r="AF687" i="1"/>
  <c r="AF722" i="1"/>
  <c r="AF493" i="1"/>
  <c r="AF618" i="1"/>
  <c r="AF339" i="1"/>
  <c r="AF721" i="1"/>
  <c r="AF715" i="1"/>
  <c r="AF780" i="1"/>
  <c r="AF383" i="1"/>
  <c r="AF735" i="1"/>
  <c r="AF769" i="1"/>
  <c r="AF646" i="1"/>
  <c r="AF440" i="1"/>
  <c r="AF675" i="1"/>
  <c r="AF729" i="1"/>
  <c r="AF500" i="1"/>
  <c r="AF535" i="1"/>
  <c r="AF398" i="1"/>
  <c r="AF619" i="1"/>
  <c r="AF689" i="1"/>
  <c r="AF720" i="1"/>
  <c r="AF676" i="1"/>
  <c r="AF616" i="1"/>
  <c r="AF776" i="1"/>
  <c r="AF549" i="1"/>
  <c r="AF732" i="1"/>
  <c r="AF799" i="1"/>
  <c r="AF496" i="1"/>
  <c r="AF580" i="1"/>
  <c r="AF703" i="1"/>
  <c r="AF730" i="1"/>
  <c r="AF366" i="1"/>
  <c r="AF533" i="1"/>
  <c r="AF463" i="1"/>
  <c r="AF640" i="1"/>
  <c r="AF772" i="1"/>
  <c r="AF395" i="1"/>
  <c r="AF471" i="1"/>
  <c r="AF647" i="1"/>
  <c r="AF588" i="1"/>
  <c r="AF527" i="1"/>
  <c r="AF749" i="1"/>
  <c r="AF800" i="1"/>
  <c r="AF492" i="1"/>
  <c r="AF752" i="1"/>
  <c r="AF784" i="1"/>
  <c r="AF623" i="1"/>
  <c r="AF725" i="1"/>
  <c r="AF757" i="1"/>
  <c r="AF573" i="1"/>
  <c r="AF432" i="1"/>
  <c r="AF660" i="1"/>
  <c r="AF336" i="1"/>
  <c r="AF369" i="1"/>
  <c r="AF576" i="1"/>
  <c r="AF797" i="1"/>
  <c r="AF367" i="1"/>
  <c r="AF788" i="1"/>
  <c r="AF332" i="1"/>
  <c r="AF530" i="1"/>
  <c r="AF414" i="1"/>
  <c r="AF380" i="1"/>
  <c r="AF371" i="1"/>
  <c r="AF338" i="1"/>
  <c r="AF428" i="1"/>
  <c r="AF502" i="1"/>
  <c r="AF379" i="1"/>
  <c r="AF350" i="1"/>
  <c r="AF446" i="1"/>
  <c r="AF389" i="1"/>
  <c r="AF370" i="1"/>
  <c r="AF469" i="1"/>
  <c r="AF736" i="1"/>
  <c r="AF347" i="1"/>
  <c r="AF802" i="1"/>
  <c r="AF374" i="1"/>
  <c r="AF401" i="1"/>
  <c r="AF410" i="1"/>
  <c r="AF501" i="1"/>
  <c r="AF590" i="1"/>
  <c r="AF331" i="1"/>
  <c r="AF470" i="1"/>
  <c r="AF765" i="1"/>
  <c r="AF503" i="1"/>
  <c r="AF716" i="1"/>
  <c r="AF343" i="1"/>
  <c r="AF384" i="1"/>
  <c r="AF656" i="1"/>
  <c r="AF551" i="1"/>
  <c r="AF334" i="1"/>
  <c r="AF360" i="1"/>
  <c r="AF731" i="1"/>
  <c r="AF478" i="1"/>
  <c r="AF779" i="1"/>
  <c r="AF589" i="1"/>
  <c r="AF399" i="1"/>
  <c r="AF397" i="1"/>
  <c r="AF328" i="1"/>
  <c r="AF510" i="1"/>
  <c r="AF409" i="1"/>
  <c r="AF572" i="1"/>
  <c r="AF376" i="1"/>
  <c r="AF333" i="1"/>
  <c r="AF411" i="1"/>
  <c r="AF562" i="1"/>
  <c r="AF586" i="1"/>
  <c r="AF416" i="1"/>
  <c r="AF564" i="1"/>
  <c r="AF506" i="1"/>
  <c r="AF408" i="1"/>
  <c r="AF447" i="1"/>
  <c r="AF364" i="1"/>
  <c r="AF406" i="1"/>
  <c r="AF413" i="1"/>
  <c r="AF684" i="1"/>
  <c r="AF320" i="1"/>
  <c r="AF377" i="1"/>
  <c r="AF426" i="1"/>
  <c r="AF355" i="1"/>
  <c r="AF554" i="1"/>
  <c r="AF358" i="1"/>
  <c r="AF538" i="1"/>
  <c r="AF388" i="1"/>
  <c r="AF340" i="1"/>
  <c r="AF578" i="1"/>
  <c r="AF353" i="1"/>
  <c r="AF357" i="1"/>
  <c r="AF407" i="1"/>
  <c r="AF342" i="1"/>
  <c r="AF418" i="1"/>
  <c r="AF324" i="1"/>
  <c r="AF439" i="1"/>
  <c r="AF762" i="1"/>
  <c r="AF628" i="1"/>
  <c r="AF740" i="1"/>
  <c r="AF568" i="1"/>
  <c r="AF361" i="1"/>
  <c r="AF504" i="1"/>
  <c r="AF582" i="1"/>
  <c r="AF390" i="1"/>
  <c r="AF373" i="1"/>
  <c r="AF438" i="1"/>
  <c r="AF429" i="1"/>
  <c r="AF327" i="1"/>
  <c r="AF453" i="1"/>
  <c r="AF540" i="1"/>
  <c r="AF498" i="1"/>
  <c r="AF514" i="1"/>
  <c r="AF522" i="1"/>
  <c r="AF461" i="1"/>
  <c r="AF460" i="1"/>
  <c r="AF553" i="1"/>
  <c r="AF585" i="1"/>
  <c r="AF571" i="1"/>
  <c r="AF494" i="1"/>
  <c r="AF489" i="1"/>
  <c r="AF566" i="1"/>
  <c r="AF499" i="1"/>
  <c r="AF547" i="1"/>
  <c r="AF518" i="1"/>
  <c r="AF468" i="1"/>
  <c r="AF534" i="1"/>
  <c r="AF452" i="1"/>
  <c r="AF542" i="1"/>
  <c r="AF462" i="1"/>
  <c r="AF529" i="1"/>
  <c r="AF545" i="1"/>
  <c r="AF465" i="1"/>
  <c r="AF561" i="1"/>
  <c r="AF537" i="1"/>
  <c r="AF475" i="1"/>
  <c r="AF480" i="1"/>
  <c r="AF467" i="1"/>
  <c r="AF459" i="1"/>
  <c r="AF513" i="1"/>
  <c r="AF569" i="1"/>
  <c r="AF552" i="1"/>
  <c r="AF550" i="1"/>
  <c r="AF523" i="1"/>
  <c r="AF526" i="1"/>
  <c r="AF483" i="1"/>
  <c r="AF531" i="1"/>
  <c r="AF579" i="1"/>
  <c r="AF560" i="1"/>
  <c r="AF486" i="1"/>
  <c r="AF481" i="1"/>
  <c r="AF491" i="1"/>
  <c r="AF346" i="1"/>
  <c r="AF375" i="1"/>
  <c r="AF382" i="1"/>
  <c r="AF433" i="1"/>
  <c r="AF356" i="1"/>
  <c r="AF391" i="1"/>
  <c r="AF449" i="1"/>
  <c r="AF378" i="1"/>
  <c r="AF348" i="1"/>
  <c r="AF386" i="1"/>
  <c r="AF435" i="1"/>
  <c r="AF415" i="1"/>
  <c r="AF337" i="1"/>
  <c r="AF448" i="1"/>
  <c r="AF394" i="1"/>
  <c r="AF412" i="1"/>
  <c r="AF321" i="1"/>
  <c r="Y80" i="1"/>
  <c r="N10" i="104" s="1"/>
  <c r="Y81" i="1"/>
  <c r="O10" i="104" s="1"/>
  <c r="Y82" i="1"/>
  <c r="P10" i="104" s="1"/>
  <c r="Y83" i="1"/>
  <c r="Q10" i="104" s="1"/>
  <c r="Y84" i="1"/>
  <c r="R10" i="104" s="1"/>
  <c r="Y85" i="1"/>
  <c r="S10" i="104" s="1"/>
  <c r="Y86" i="1"/>
  <c r="T10" i="104" s="1"/>
  <c r="Y87" i="1"/>
  <c r="U10" i="104" s="1"/>
  <c r="Y88" i="1"/>
  <c r="V10" i="104" s="1"/>
  <c r="Y89" i="1"/>
  <c r="W10" i="104" s="1"/>
  <c r="Y90" i="1"/>
  <c r="N11" i="104" s="1"/>
  <c r="Y91" i="1"/>
  <c r="O11" i="104" s="1"/>
  <c r="Y92" i="1"/>
  <c r="P11" i="104" s="1"/>
  <c r="Y93" i="1"/>
  <c r="Q11" i="104" s="1"/>
  <c r="Y94" i="1"/>
  <c r="R11" i="104" s="1"/>
  <c r="Y95" i="1"/>
  <c r="S11" i="104" s="1"/>
  <c r="Y96" i="1"/>
  <c r="T11" i="104" s="1"/>
  <c r="Y97" i="1"/>
  <c r="U11" i="104" s="1"/>
  <c r="Y98" i="1"/>
  <c r="V11" i="104" s="1"/>
  <c r="Y99" i="1"/>
  <c r="W11" i="104" s="1"/>
  <c r="Y100" i="1"/>
  <c r="M9" i="107" s="1"/>
  <c r="Y101" i="1"/>
  <c r="N9" i="107" s="1"/>
  <c r="Y102" i="1"/>
  <c r="O9" i="107" s="1"/>
  <c r="Y103" i="1"/>
  <c r="P9" i="107" s="1"/>
  <c r="Y104" i="1"/>
  <c r="Q9" i="107" s="1"/>
  <c r="Y105" i="1"/>
  <c r="R9" i="107" s="1"/>
  <c r="Y106" i="1"/>
  <c r="S9" i="107" s="1"/>
  <c r="Y107" i="1"/>
  <c r="T9" i="107" s="1"/>
  <c r="Y108" i="1"/>
  <c r="M10" i="107" s="1"/>
  <c r="Y109" i="1"/>
  <c r="N10" i="107" s="1"/>
  <c r="Y110" i="1"/>
  <c r="O10" i="107" s="1"/>
  <c r="Y111" i="1"/>
  <c r="P10" i="107" s="1"/>
  <c r="Y112" i="1"/>
  <c r="Q10" i="107" s="1"/>
  <c r="Y113" i="1"/>
  <c r="R10" i="107" s="1"/>
  <c r="Y114" i="1"/>
  <c r="S10" i="107" s="1"/>
  <c r="Y115" i="1"/>
  <c r="T10" i="107" s="1"/>
  <c r="Y116" i="1"/>
  <c r="M11" i="107" s="1"/>
  <c r="Y117" i="1"/>
  <c r="N11" i="107" s="1"/>
  <c r="Y118" i="1"/>
  <c r="O11" i="107" s="1"/>
  <c r="Y119" i="1"/>
  <c r="P11" i="107" s="1"/>
  <c r="Y120" i="1"/>
  <c r="Q11" i="107" s="1"/>
  <c r="Y121" i="1"/>
  <c r="R11" i="107" s="1"/>
  <c r="Y122" i="1"/>
  <c r="S11" i="107" s="1"/>
  <c r="Y123" i="1"/>
  <c r="T11" i="107" s="1"/>
  <c r="Y124" i="1"/>
  <c r="N12" i="104" s="1"/>
  <c r="Y125" i="1"/>
  <c r="O12" i="104" s="1"/>
  <c r="Y126" i="1"/>
  <c r="P12" i="104" s="1"/>
  <c r="Y127" i="1"/>
  <c r="Q12" i="104" s="1"/>
  <c r="Y128" i="1"/>
  <c r="R12" i="104" s="1"/>
  <c r="Y129" i="1"/>
  <c r="S12" i="104" s="1"/>
  <c r="Y130" i="1"/>
  <c r="T12" i="104" s="1"/>
  <c r="Y131" i="1"/>
  <c r="U12" i="104" s="1"/>
  <c r="Y132" i="1"/>
  <c r="V12" i="104" s="1"/>
  <c r="Y133" i="1"/>
  <c r="W12" i="104" s="1"/>
  <c r="Y134" i="1"/>
  <c r="M12" i="107" s="1"/>
  <c r="Y135" i="1"/>
  <c r="N12" i="107" s="1"/>
  <c r="Y136" i="1"/>
  <c r="O12" i="107" s="1"/>
  <c r="Y137" i="1"/>
  <c r="P12" i="107" s="1"/>
  <c r="Y138" i="1"/>
  <c r="Q12" i="107" s="1"/>
  <c r="Y139" i="1"/>
  <c r="R12" i="107" s="1"/>
  <c r="Y140" i="1"/>
  <c r="N13" i="104" s="1"/>
  <c r="Y141" i="1"/>
  <c r="O13" i="104" s="1"/>
  <c r="Y142" i="1"/>
  <c r="P13" i="104" s="1"/>
  <c r="Y143" i="1"/>
  <c r="Q13" i="104" s="1"/>
  <c r="Y144" i="1"/>
  <c r="R13" i="104" s="1"/>
  <c r="Y145" i="1"/>
  <c r="S13" i="104" s="1"/>
  <c r="Y146" i="1"/>
  <c r="T13" i="104" s="1"/>
  <c r="Y147" i="1"/>
  <c r="U13" i="104" s="1"/>
  <c r="Y148" i="1"/>
  <c r="V13" i="104" s="1"/>
  <c r="Y149" i="1"/>
  <c r="W13" i="104" s="1"/>
  <c r="Y150" i="1"/>
  <c r="M13" i="107" s="1"/>
  <c r="Y151" i="1"/>
  <c r="N13" i="107" s="1"/>
  <c r="Y152" i="1"/>
  <c r="O13" i="107" s="1"/>
  <c r="Y153" i="1"/>
  <c r="P13" i="107" s="1"/>
  <c r="Y154" i="1"/>
  <c r="Q13" i="107" s="1"/>
  <c r="Y155" i="1"/>
  <c r="R13" i="107" s="1"/>
  <c r="Y156" i="1"/>
  <c r="S13" i="107" s="1"/>
  <c r="Y157" i="1"/>
  <c r="T13" i="107" s="1"/>
  <c r="Y158" i="1"/>
  <c r="N14" i="104" s="1"/>
  <c r="Y159" i="1"/>
  <c r="O14" i="104" s="1"/>
  <c r="Y160" i="1"/>
  <c r="P14" i="104" s="1"/>
  <c r="Y161" i="1"/>
  <c r="Q14" i="104" s="1"/>
  <c r="Y162" i="1"/>
  <c r="R14" i="104" s="1"/>
  <c r="Y163" i="1"/>
  <c r="S14" i="104" s="1"/>
  <c r="Y164" i="1"/>
  <c r="T14" i="104" s="1"/>
  <c r="Y165" i="1"/>
  <c r="U14" i="104" s="1"/>
  <c r="Y166" i="1"/>
  <c r="V14" i="104" s="1"/>
  <c r="Y167" i="1"/>
  <c r="W14" i="104" s="1"/>
  <c r="Y168" i="1"/>
  <c r="N15" i="104" s="1"/>
  <c r="Y169" i="1"/>
  <c r="O15" i="104" s="1"/>
  <c r="Y170" i="1"/>
  <c r="P15" i="104" s="1"/>
  <c r="Y171" i="1"/>
  <c r="Q15" i="104" s="1"/>
  <c r="Y172" i="1"/>
  <c r="R15" i="104" s="1"/>
  <c r="Y173" i="1"/>
  <c r="S15" i="104" s="1"/>
  <c r="Y174" i="1"/>
  <c r="T15" i="104" s="1"/>
  <c r="Y175" i="1"/>
  <c r="U15" i="104" s="1"/>
  <c r="Y176" i="1"/>
  <c r="V15" i="104" s="1"/>
  <c r="Y177" i="1"/>
  <c r="W15" i="104" s="1"/>
  <c r="Y178" i="1"/>
  <c r="N16" i="104" s="1"/>
  <c r="Y179" i="1"/>
  <c r="O16" i="104" s="1"/>
  <c r="Y180" i="1"/>
  <c r="P16" i="104" s="1"/>
  <c r="Y181" i="1"/>
  <c r="Q16" i="104" s="1"/>
  <c r="Y182" i="1"/>
  <c r="R16" i="104" s="1"/>
  <c r="Y183" i="1"/>
  <c r="S16" i="104" s="1"/>
  <c r="Y184" i="1"/>
  <c r="T16" i="104" s="1"/>
  <c r="Y185" i="1"/>
  <c r="U16" i="104" s="1"/>
  <c r="Y186" i="1"/>
  <c r="V16" i="104" s="1"/>
  <c r="Y187" i="1"/>
  <c r="W16" i="104" s="1"/>
  <c r="Y188" i="1"/>
  <c r="M14" i="107" s="1"/>
  <c r="Y189" i="1"/>
  <c r="N14" i="107" s="1"/>
  <c r="Y190" i="1"/>
  <c r="O14" i="107" s="1"/>
  <c r="Y191" i="1"/>
  <c r="P14" i="107" s="1"/>
  <c r="Y192" i="1"/>
  <c r="Q14" i="107" s="1"/>
  <c r="Y193" i="1"/>
  <c r="R14" i="107" s="1"/>
  <c r="Y194" i="1"/>
  <c r="S14" i="107" s="1"/>
  <c r="Y195" i="1"/>
  <c r="T14" i="107" s="1"/>
  <c r="Y196" i="1"/>
  <c r="N17" i="104" s="1"/>
  <c r="Y197" i="1"/>
  <c r="O17" i="104" s="1"/>
  <c r="Y198" i="1"/>
  <c r="P17" i="104" s="1"/>
  <c r="Y199" i="1"/>
  <c r="Q17" i="104" s="1"/>
  <c r="Y200" i="1"/>
  <c r="R17" i="104" s="1"/>
  <c r="Y201" i="1"/>
  <c r="S17" i="104" s="1"/>
  <c r="Y202" i="1"/>
  <c r="T17" i="104" s="1"/>
  <c r="Y203" i="1"/>
  <c r="U17" i="104" s="1"/>
  <c r="Y204" i="1"/>
  <c r="V17" i="104" s="1"/>
  <c r="Y205" i="1"/>
  <c r="W17" i="104" s="1"/>
  <c r="Y206" i="1"/>
  <c r="M15" i="107" s="1"/>
  <c r="Y207" i="1"/>
  <c r="N15" i="107" s="1"/>
  <c r="Y208" i="1"/>
  <c r="O15" i="107" s="1"/>
  <c r="Y209" i="1"/>
  <c r="P15" i="107" s="1"/>
  <c r="Y210" i="1"/>
  <c r="Q15" i="107" s="1"/>
  <c r="Y211" i="1"/>
  <c r="R15" i="107" s="1"/>
  <c r="Y212" i="1"/>
  <c r="S15" i="107" s="1"/>
  <c r="Y213" i="1"/>
  <c r="T15" i="107" s="1"/>
  <c r="Y214" i="1"/>
  <c r="N18" i="104" s="1"/>
  <c r="Y215" i="1"/>
  <c r="O18" i="104" s="1"/>
  <c r="Y216" i="1"/>
  <c r="P18" i="104" s="1"/>
  <c r="Y217" i="1"/>
  <c r="Q18" i="104" s="1"/>
  <c r="Y218" i="1"/>
  <c r="R18" i="104" s="1"/>
  <c r="Y219" i="1"/>
  <c r="S18" i="104" s="1"/>
  <c r="Y220" i="1"/>
  <c r="T18" i="104" s="1"/>
  <c r="Y221" i="1"/>
  <c r="U18" i="104" s="1"/>
  <c r="Y222" i="1"/>
  <c r="V18" i="104" s="1"/>
  <c r="Y223" i="1"/>
  <c r="W18" i="104" s="1"/>
  <c r="Y224" i="1"/>
  <c r="M16" i="107" s="1"/>
  <c r="Y225" i="1"/>
  <c r="N16" i="107" s="1"/>
  <c r="Y226" i="1"/>
  <c r="O16" i="107" s="1"/>
  <c r="Y227" i="1"/>
  <c r="P16" i="107" s="1"/>
  <c r="Y228" i="1"/>
  <c r="Q16" i="107" s="1"/>
  <c r="Y229" i="1"/>
  <c r="R16" i="107" s="1"/>
  <c r="Y230" i="1"/>
  <c r="S16" i="107" s="1"/>
  <c r="Y231" i="1"/>
  <c r="T16" i="107" s="1"/>
  <c r="Y232" i="1"/>
  <c r="M17" i="107" s="1"/>
  <c r="Y233" i="1"/>
  <c r="N17" i="107" s="1"/>
  <c r="Y234" i="1"/>
  <c r="O17" i="107" s="1"/>
  <c r="Y235" i="1"/>
  <c r="P17" i="107" s="1"/>
  <c r="Y236" i="1"/>
  <c r="Q17" i="107" s="1"/>
  <c r="Y237" i="1"/>
  <c r="R17" i="107" s="1"/>
  <c r="Y238" i="1"/>
  <c r="S17" i="107" s="1"/>
  <c r="Y239" i="1"/>
  <c r="T17" i="107" s="1"/>
  <c r="Y240" i="1"/>
  <c r="N19" i="104" s="1"/>
  <c r="Y241" i="1"/>
  <c r="O19" i="104" s="1"/>
  <c r="Y242" i="1"/>
  <c r="P19" i="104" s="1"/>
  <c r="Y243" i="1"/>
  <c r="Q19" i="104" s="1"/>
  <c r="Y244" i="1"/>
  <c r="R19" i="104" s="1"/>
  <c r="Y245" i="1"/>
  <c r="S19" i="104" s="1"/>
  <c r="Y250" i="1"/>
  <c r="M18" i="107" s="1"/>
  <c r="Y251" i="1"/>
  <c r="N18" i="107" s="1"/>
  <c r="Y252" i="1"/>
  <c r="O18" i="107" s="1"/>
  <c r="Y253" i="1"/>
  <c r="P18" i="107" s="1"/>
  <c r="Y254" i="1"/>
  <c r="Q18" i="107" s="1"/>
  <c r="Y255" i="1"/>
  <c r="R18" i="107" s="1"/>
  <c r="Y256" i="1"/>
  <c r="S18" i="107" s="1"/>
  <c r="Y257" i="1"/>
  <c r="T18" i="107" s="1"/>
  <c r="Y258" i="1"/>
  <c r="M19" i="107" s="1"/>
  <c r="Y259" i="1"/>
  <c r="N19" i="107" s="1"/>
  <c r="Y260" i="1"/>
  <c r="O19" i="107" s="1"/>
  <c r="Y261" i="1"/>
  <c r="P19" i="107" s="1"/>
  <c r="Y262" i="1"/>
  <c r="Q19" i="107" s="1"/>
  <c r="Y263" i="1"/>
  <c r="R19" i="107" s="1"/>
  <c r="Y264" i="1"/>
  <c r="S19" i="107" s="1"/>
  <c r="Y265" i="1"/>
  <c r="T19" i="107" s="1"/>
  <c r="Y266" i="1"/>
  <c r="N20" i="104" s="1"/>
  <c r="Y267" i="1"/>
  <c r="O20" i="104" s="1"/>
  <c r="Y268" i="1"/>
  <c r="P20" i="104" s="1"/>
  <c r="Y269" i="1"/>
  <c r="Q20" i="104" s="1"/>
  <c r="Y270" i="1"/>
  <c r="R20" i="104" s="1"/>
  <c r="Y271" i="1"/>
  <c r="S20" i="104" s="1"/>
  <c r="Y272" i="1"/>
  <c r="T20" i="104" s="1"/>
  <c r="Y273" i="1"/>
  <c r="U20" i="104" s="1"/>
  <c r="Y274" i="1"/>
  <c r="V20" i="104" s="1"/>
  <c r="Y275" i="1"/>
  <c r="W20" i="104" s="1"/>
  <c r="Y276" i="1"/>
  <c r="M20" i="107" s="1"/>
  <c r="Y277" i="1"/>
  <c r="N20" i="107" s="1"/>
  <c r="Y278" i="1"/>
  <c r="O20" i="107" s="1"/>
  <c r="Y279" i="1"/>
  <c r="P20" i="107" s="1"/>
  <c r="Y280" i="1"/>
  <c r="Q20" i="107" s="1"/>
  <c r="Y281" i="1"/>
  <c r="R20" i="107" s="1"/>
  <c r="Y282" i="1"/>
  <c r="S20" i="107" s="1"/>
  <c r="Y283" i="1"/>
  <c r="T20" i="107" s="1"/>
  <c r="Y284" i="1"/>
  <c r="N21" i="104" s="1"/>
  <c r="Y285" i="1"/>
  <c r="O21" i="104" s="1"/>
  <c r="Y286" i="1"/>
  <c r="P21" i="104" s="1"/>
  <c r="Y287" i="1"/>
  <c r="Q21" i="104" s="1"/>
  <c r="Y288" i="1"/>
  <c r="R21" i="104" s="1"/>
  <c r="Y289" i="1"/>
  <c r="S21" i="104" s="1"/>
  <c r="Y290" i="1"/>
  <c r="T21" i="104" s="1"/>
  <c r="Y291" i="1"/>
  <c r="U21" i="104" s="1"/>
  <c r="Y292" i="1"/>
  <c r="V21" i="104" s="1"/>
  <c r="Y293" i="1"/>
  <c r="W21" i="104" s="1"/>
  <c r="Y294" i="1"/>
  <c r="M21" i="107" s="1"/>
  <c r="Y295" i="1"/>
  <c r="N21" i="107" s="1"/>
  <c r="Y296" i="1"/>
  <c r="O21" i="107" s="1"/>
  <c r="Y297" i="1"/>
  <c r="P21" i="107" s="1"/>
  <c r="Y298" i="1"/>
  <c r="Q21" i="107" s="1"/>
  <c r="Y299" i="1"/>
  <c r="R21" i="107" s="1"/>
  <c r="Y300" i="1"/>
  <c r="S21" i="107" s="1"/>
  <c r="Y301" i="1"/>
  <c r="T21" i="107" s="1"/>
  <c r="Y302" i="1"/>
  <c r="N22" i="104" s="1"/>
  <c r="Y303" i="1"/>
  <c r="O22" i="104" s="1"/>
  <c r="Y304" i="1"/>
  <c r="P22" i="104" s="1"/>
  <c r="Y305" i="1"/>
  <c r="Q22" i="104" s="1"/>
  <c r="Y306" i="1"/>
  <c r="R22" i="104" s="1"/>
  <c r="Y307" i="1"/>
  <c r="S22" i="104" s="1"/>
  <c r="Y308" i="1"/>
  <c r="T22" i="104" s="1"/>
  <c r="Y309" i="1"/>
  <c r="U22" i="104" s="1"/>
  <c r="Y310" i="1"/>
  <c r="V22" i="104" s="1"/>
  <c r="Y311" i="1"/>
  <c r="W22" i="104" s="1"/>
  <c r="Y312" i="1"/>
  <c r="M22" i="107" s="1"/>
  <c r="Y313" i="1"/>
  <c r="N22" i="107" s="1"/>
  <c r="Y314" i="1"/>
  <c r="O22" i="107" s="1"/>
  <c r="Y315" i="1"/>
  <c r="P22" i="107" s="1"/>
  <c r="Y316" i="1"/>
  <c r="Q22" i="107" s="1"/>
  <c r="Y317" i="1"/>
  <c r="R22" i="107" s="1"/>
  <c r="Y318" i="1"/>
  <c r="S22" i="107" s="1"/>
  <c r="Y319" i="1"/>
  <c r="T22" i="107" s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U21" i="107" l="1"/>
  <c r="U19" i="107"/>
  <c r="U10" i="107"/>
  <c r="U18" i="107"/>
  <c r="U13" i="107"/>
  <c r="U17" i="107"/>
  <c r="U9" i="107"/>
  <c r="U15" i="107"/>
  <c r="U12" i="107"/>
  <c r="U22" i="107"/>
  <c r="U20" i="107"/>
  <c r="U16" i="107"/>
  <c r="U14" i="107"/>
  <c r="U11" i="107"/>
  <c r="AA109" i="1"/>
  <c r="AE115" i="1"/>
  <c r="AA101" i="1"/>
  <c r="AA95" i="1"/>
  <c r="AA108" i="1"/>
  <c r="AA100" i="1"/>
  <c r="AE84" i="1"/>
  <c r="AO188" i="1"/>
  <c r="AO172" i="1"/>
  <c r="AJ224" i="1"/>
  <c r="AA288" i="1"/>
  <c r="AA244" i="1"/>
  <c r="AA200" i="1"/>
  <c r="AA162" i="1"/>
  <c r="AA116" i="1"/>
  <c r="AA294" i="1"/>
  <c r="AA232" i="1"/>
  <c r="AA218" i="1"/>
  <c r="AA188" i="1"/>
  <c r="AA144" i="1"/>
  <c r="AO276" i="1"/>
  <c r="AO128" i="1"/>
  <c r="AO116" i="1"/>
  <c r="AO108" i="1"/>
  <c r="AA276" i="1"/>
  <c r="AA250" i="1"/>
  <c r="AA134" i="1"/>
  <c r="AO162" i="1"/>
  <c r="AO100" i="1"/>
  <c r="AA306" i="1"/>
  <c r="AA258" i="1"/>
  <c r="AA224" i="1"/>
  <c r="AE182" i="1"/>
  <c r="AA172" i="1"/>
  <c r="AA150" i="1"/>
  <c r="AE194" i="1"/>
  <c r="AA313" i="1"/>
  <c r="AA259" i="1"/>
  <c r="AA225" i="1"/>
  <c r="AA173" i="1"/>
  <c r="AA245" i="1"/>
  <c r="AA189" i="1"/>
  <c r="AA307" i="1"/>
  <c r="AA219" i="1"/>
  <c r="AA289" i="1"/>
  <c r="AA163" i="1"/>
  <c r="AA135" i="1"/>
  <c r="AJ127" i="1"/>
  <c r="AE301" i="1"/>
  <c r="AE239" i="1"/>
  <c r="AE199" i="1"/>
  <c r="AE143" i="1"/>
  <c r="AO257" i="1"/>
  <c r="AO239" i="1"/>
  <c r="AO199" i="1"/>
  <c r="AO195" i="1"/>
  <c r="AO107" i="1"/>
  <c r="AO83" i="1"/>
  <c r="AC241" i="1"/>
  <c r="AO308" i="1"/>
  <c r="AO174" i="1"/>
  <c r="AJ208" i="1"/>
  <c r="AC237" i="1"/>
  <c r="AC229" i="1"/>
  <c r="AC223" i="1"/>
  <c r="AC215" i="1"/>
  <c r="AC211" i="1"/>
  <c r="AC197" i="1"/>
  <c r="AC193" i="1"/>
  <c r="AC187" i="1"/>
  <c r="AC179" i="1"/>
  <c r="AC177" i="1"/>
  <c r="AC169" i="1"/>
  <c r="AC167" i="1"/>
  <c r="AC159" i="1"/>
  <c r="AC141" i="1"/>
  <c r="AC139" i="1"/>
  <c r="AC133" i="1"/>
  <c r="AC125" i="1"/>
  <c r="AC121" i="1"/>
  <c r="AC313" i="1"/>
  <c r="AC307" i="1"/>
  <c r="AC295" i="1"/>
  <c r="AC289" i="1"/>
  <c r="AC277" i="1"/>
  <c r="AC259" i="1"/>
  <c r="AC251" i="1"/>
  <c r="AC245" i="1"/>
  <c r="AC95" i="1"/>
  <c r="AC85" i="1"/>
  <c r="AC97" i="1"/>
  <c r="AC87" i="1"/>
  <c r="AP217" i="1"/>
  <c r="AP127" i="1"/>
  <c r="AO263" i="1"/>
  <c r="AP90" i="1"/>
  <c r="AJ88" i="1"/>
  <c r="AC315" i="1"/>
  <c r="AC309" i="1"/>
  <c r="AC297" i="1"/>
  <c r="AC291" i="1"/>
  <c r="AC279" i="1"/>
  <c r="AC261" i="1"/>
  <c r="AC253" i="1"/>
  <c r="AC235" i="1"/>
  <c r="AJ316" i="1"/>
  <c r="AJ284" i="1"/>
  <c r="AJ274" i="1"/>
  <c r="AJ262" i="1"/>
  <c r="AJ254" i="1"/>
  <c r="AJ168" i="1"/>
  <c r="AJ138" i="1"/>
  <c r="AJ124" i="1"/>
  <c r="AO302" i="1"/>
  <c r="AP298" i="1"/>
  <c r="AO254" i="1"/>
  <c r="AO222" i="1"/>
  <c r="AO210" i="1"/>
  <c r="AO196" i="1"/>
  <c r="AO168" i="1"/>
  <c r="AO148" i="1"/>
  <c r="AO124" i="1"/>
  <c r="AC316" i="1"/>
  <c r="AC302" i="1"/>
  <c r="AC298" i="1"/>
  <c r="AC292" i="1"/>
  <c r="AC284" i="1"/>
  <c r="AC280" i="1"/>
  <c r="AE306" i="1"/>
  <c r="AC273" i="1"/>
  <c r="AC275" i="1"/>
  <c r="AO306" i="1"/>
  <c r="AO270" i="1"/>
  <c r="AO258" i="1"/>
  <c r="AO288" i="1"/>
  <c r="AO218" i="1"/>
  <c r="AO150" i="1"/>
  <c r="AO144" i="1"/>
  <c r="AO312" i="1"/>
  <c r="AJ298" i="1"/>
  <c r="AP270" i="1"/>
  <c r="AJ182" i="1"/>
  <c r="AJ172" i="1"/>
  <c r="AP312" i="1"/>
  <c r="AP128" i="1"/>
  <c r="AP116" i="1"/>
  <c r="AO259" i="1"/>
  <c r="AP319" i="1"/>
  <c r="AP265" i="1"/>
  <c r="AP239" i="1"/>
  <c r="AP123" i="1"/>
  <c r="AO187" i="1"/>
  <c r="AO159" i="1"/>
  <c r="AK218" i="1"/>
  <c r="AC205" i="1"/>
  <c r="AK200" i="1"/>
  <c r="AP195" i="1"/>
  <c r="AP181" i="1"/>
  <c r="AC155" i="1"/>
  <c r="AC149" i="1"/>
  <c r="AP144" i="1"/>
  <c r="AK84" i="1"/>
  <c r="AK312" i="1"/>
  <c r="AE144" i="1"/>
  <c r="AD312" i="1"/>
  <c r="AD306" i="1"/>
  <c r="AD294" i="1"/>
  <c r="AD288" i="1"/>
  <c r="AD276" i="1"/>
  <c r="AD270" i="1"/>
  <c r="AD258" i="1"/>
  <c r="AD250" i="1"/>
  <c r="AD244" i="1"/>
  <c r="AD232" i="1"/>
  <c r="AD224" i="1"/>
  <c r="AD218" i="1"/>
  <c r="AD206" i="1"/>
  <c r="AD200" i="1"/>
  <c r="AD188" i="1"/>
  <c r="AD182" i="1"/>
  <c r="AD172" i="1"/>
  <c r="AD162" i="1"/>
  <c r="AD150" i="1"/>
  <c r="AD144" i="1"/>
  <c r="AD134" i="1"/>
  <c r="AD128" i="1"/>
  <c r="AD116" i="1"/>
  <c r="AD108" i="1"/>
  <c r="AD100" i="1"/>
  <c r="AD94" i="1"/>
  <c r="AD84" i="1"/>
  <c r="AP84" i="1"/>
  <c r="AE128" i="1"/>
  <c r="AK123" i="1"/>
  <c r="AK115" i="1"/>
  <c r="AP269" i="1"/>
  <c r="AP243" i="1"/>
  <c r="AP213" i="1"/>
  <c r="AP171" i="1"/>
  <c r="AP161" i="1"/>
  <c r="AP115" i="1"/>
  <c r="AP83" i="1"/>
  <c r="AP301" i="1"/>
  <c r="AP287" i="1"/>
  <c r="AP199" i="1"/>
  <c r="AD115" i="1"/>
  <c r="AP305" i="1"/>
  <c r="AP283" i="1"/>
  <c r="AP231" i="1"/>
  <c r="AP157" i="1"/>
  <c r="AP93" i="1"/>
  <c r="AC98" i="1"/>
  <c r="AC90" i="1"/>
  <c r="AC88" i="1"/>
  <c r="AC80" i="1"/>
  <c r="AC96" i="1"/>
  <c r="AC86" i="1"/>
  <c r="AJ99" i="1"/>
  <c r="AJ91" i="1"/>
  <c r="AO99" i="1"/>
  <c r="AO91" i="1"/>
  <c r="AC113" i="1"/>
  <c r="AC105" i="1"/>
  <c r="AC99" i="1"/>
  <c r="AC91" i="1"/>
  <c r="AC89" i="1"/>
  <c r="AC81" i="1"/>
  <c r="AO113" i="1"/>
  <c r="AO89" i="1"/>
  <c r="AO84" i="1"/>
  <c r="AO81" i="1"/>
  <c r="AJ100" i="1"/>
  <c r="AO271" i="1"/>
  <c r="AO138" i="1"/>
  <c r="AE288" i="1"/>
  <c r="AE224" i="1"/>
  <c r="AA312" i="1"/>
  <c r="AE312" i="1"/>
  <c r="AA206" i="1"/>
  <c r="AE206" i="1"/>
  <c r="AA94" i="1"/>
  <c r="AE94" i="1"/>
  <c r="AP276" i="1"/>
  <c r="AP257" i="1"/>
  <c r="AP306" i="1"/>
  <c r="AP244" i="1"/>
  <c r="AP206" i="1"/>
  <c r="AP200" i="1"/>
  <c r="AP182" i="1"/>
  <c r="AP150" i="1"/>
  <c r="AP134" i="1"/>
  <c r="AP94" i="1"/>
  <c r="AK116" i="1"/>
  <c r="AJ294" i="1"/>
  <c r="AK288" i="1"/>
  <c r="AK276" i="1"/>
  <c r="AJ258" i="1"/>
  <c r="AJ250" i="1"/>
  <c r="AK250" i="1"/>
  <c r="AJ200" i="1"/>
  <c r="AK182" i="1"/>
  <c r="AK172" i="1"/>
  <c r="AJ150" i="1"/>
  <c r="AK134" i="1"/>
  <c r="AK128" i="1"/>
  <c r="AJ116" i="1"/>
  <c r="AE188" i="1"/>
  <c r="AP218" i="1"/>
  <c r="AK258" i="1"/>
  <c r="AK100" i="1"/>
  <c r="AE250" i="1"/>
  <c r="AE108" i="1"/>
  <c r="AC272" i="1"/>
  <c r="AC102" i="1"/>
  <c r="AO200" i="1"/>
  <c r="AK144" i="1"/>
  <c r="AK171" i="1"/>
  <c r="AC93" i="1"/>
  <c r="AP216" i="1"/>
  <c r="AC92" i="1"/>
  <c r="AC82" i="1"/>
  <c r="AO318" i="1"/>
  <c r="AO268" i="1"/>
  <c r="AO242" i="1"/>
  <c r="AO198" i="1"/>
  <c r="AO126" i="1"/>
  <c r="AO122" i="1"/>
  <c r="AO82" i="1"/>
  <c r="AC233" i="1"/>
  <c r="AC225" i="1"/>
  <c r="AC219" i="1"/>
  <c r="AC207" i="1"/>
  <c r="AC201" i="1"/>
  <c r="AC189" i="1"/>
  <c r="AC183" i="1"/>
  <c r="AC173" i="1"/>
  <c r="AC163" i="1"/>
  <c r="AC151" i="1"/>
  <c r="AC145" i="1"/>
  <c r="AC135" i="1"/>
  <c r="AC129" i="1"/>
  <c r="AC117" i="1"/>
  <c r="AC109" i="1"/>
  <c r="AC101" i="1"/>
  <c r="AP282" i="1"/>
  <c r="AC83" i="1"/>
  <c r="AK83" i="1"/>
  <c r="AP230" i="1"/>
  <c r="AJ232" i="1"/>
  <c r="AK232" i="1"/>
  <c r="AJ206" i="1"/>
  <c r="AK206" i="1"/>
  <c r="AJ188" i="1"/>
  <c r="AK188" i="1"/>
  <c r="AK162" i="1"/>
  <c r="AJ162" i="1"/>
  <c r="AJ108" i="1"/>
  <c r="AK108" i="1"/>
  <c r="AK94" i="1"/>
  <c r="AJ94" i="1"/>
  <c r="AO294" i="1"/>
  <c r="AP294" i="1"/>
  <c r="AP250" i="1"/>
  <c r="AO250" i="1"/>
  <c r="AO232" i="1"/>
  <c r="AP232" i="1"/>
  <c r="AO224" i="1"/>
  <c r="AP224" i="1"/>
  <c r="AK294" i="1"/>
  <c r="AO143" i="1"/>
  <c r="AP143" i="1"/>
  <c r="AK150" i="1"/>
  <c r="AK283" i="1"/>
  <c r="AK269" i="1"/>
  <c r="AK265" i="1"/>
  <c r="AK257" i="1"/>
  <c r="AK243" i="1"/>
  <c r="AK231" i="1"/>
  <c r="AK199" i="1"/>
  <c r="AK161" i="1"/>
  <c r="AK157" i="1"/>
  <c r="AK143" i="1"/>
  <c r="AK107" i="1"/>
  <c r="AK93" i="1"/>
  <c r="AJ216" i="1"/>
  <c r="AJ160" i="1"/>
  <c r="AK142" i="1"/>
  <c r="AK126" i="1"/>
  <c r="AJ106" i="1"/>
  <c r="AC274" i="1"/>
  <c r="AC254" i="1"/>
  <c r="AC236" i="1"/>
  <c r="AC228" i="1"/>
  <c r="AC210" i="1"/>
  <c r="AC196" i="1"/>
  <c r="AC192" i="1"/>
  <c r="AC186" i="1"/>
  <c r="AC176" i="1"/>
  <c r="AC166" i="1"/>
  <c r="AC158" i="1"/>
  <c r="AC148" i="1"/>
  <c r="AC140" i="1"/>
  <c r="AC138" i="1"/>
  <c r="AC124" i="1"/>
  <c r="AC120" i="1"/>
  <c r="AC112" i="1"/>
  <c r="AC104" i="1"/>
  <c r="AO182" i="1"/>
  <c r="AC84" i="1"/>
  <c r="AP108" i="1"/>
  <c r="AP288" i="1"/>
  <c r="AP162" i="1"/>
  <c r="AO244" i="1"/>
  <c r="AO94" i="1"/>
  <c r="AP259" i="1"/>
  <c r="AP188" i="1"/>
  <c r="AP107" i="1"/>
  <c r="AP258" i="1"/>
  <c r="AP172" i="1"/>
  <c r="AP100" i="1"/>
  <c r="AO134" i="1"/>
  <c r="AJ318" i="1"/>
  <c r="AJ304" i="1"/>
  <c r="AJ282" i="1"/>
  <c r="AJ268" i="1"/>
  <c r="AJ256" i="1"/>
  <c r="AJ242" i="1"/>
  <c r="AJ238" i="1"/>
  <c r="AO216" i="1"/>
  <c r="AJ212" i="1"/>
  <c r="AJ198" i="1"/>
  <c r="AJ170" i="1"/>
  <c r="AO160" i="1"/>
  <c r="AJ126" i="1"/>
  <c r="AJ122" i="1"/>
  <c r="AO106" i="1"/>
  <c r="AJ82" i="1"/>
  <c r="AE244" i="1"/>
  <c r="AE100" i="1"/>
  <c r="AC94" i="1"/>
  <c r="AE294" i="1"/>
  <c r="AE218" i="1"/>
  <c r="AE172" i="1"/>
  <c r="AE134" i="1"/>
  <c r="AE116" i="1"/>
  <c r="AC100" i="1"/>
  <c r="AC265" i="1"/>
  <c r="AC243" i="1"/>
  <c r="AC217" i="1"/>
  <c r="AC213" i="1"/>
  <c r="AC195" i="1"/>
  <c r="AC181" i="1"/>
  <c r="AC171" i="1"/>
  <c r="AC161" i="1"/>
  <c r="AC157" i="1"/>
  <c r="AC143" i="1"/>
  <c r="AC123" i="1"/>
  <c r="AC107" i="1"/>
  <c r="AC156" i="1"/>
  <c r="AC106" i="1"/>
  <c r="AJ312" i="1"/>
  <c r="AJ306" i="1"/>
  <c r="AJ288" i="1"/>
  <c r="AJ276" i="1"/>
  <c r="AJ270" i="1"/>
  <c r="AJ244" i="1"/>
  <c r="AJ218" i="1"/>
  <c r="AO206" i="1"/>
  <c r="AJ144" i="1"/>
  <c r="AJ134" i="1"/>
  <c r="AJ128" i="1"/>
  <c r="AJ84" i="1"/>
  <c r="AO319" i="1"/>
  <c r="AO305" i="1"/>
  <c r="AJ301" i="1"/>
  <c r="AJ283" i="1"/>
  <c r="AJ257" i="1"/>
  <c r="AJ239" i="1"/>
  <c r="AJ213" i="1"/>
  <c r="AJ199" i="1"/>
  <c r="AJ195" i="1"/>
  <c r="AO161" i="1"/>
  <c r="AJ143" i="1"/>
  <c r="AO127" i="1"/>
  <c r="AJ107" i="1"/>
  <c r="AJ83" i="1"/>
  <c r="AJ317" i="1"/>
  <c r="AJ311" i="1"/>
  <c r="AJ299" i="1"/>
  <c r="AJ293" i="1"/>
  <c r="AJ275" i="1"/>
  <c r="AJ267" i="1"/>
  <c r="AJ263" i="1"/>
  <c r="AJ255" i="1"/>
  <c r="AO241" i="1"/>
  <c r="AO229" i="1"/>
  <c r="AJ211" i="1"/>
  <c r="AJ193" i="1"/>
  <c r="AJ187" i="1"/>
  <c r="AJ167" i="1"/>
  <c r="AJ159" i="1"/>
  <c r="AO155" i="1"/>
  <c r="AO141" i="1"/>
  <c r="AJ139" i="1"/>
  <c r="AJ113" i="1"/>
  <c r="AJ105" i="1"/>
  <c r="AJ89" i="1"/>
  <c r="AJ81" i="1"/>
  <c r="AO316" i="1"/>
  <c r="AJ310" i="1"/>
  <c r="AJ302" i="1"/>
  <c r="AO298" i="1"/>
  <c r="AJ292" i="1"/>
  <c r="AO284" i="1"/>
  <c r="AO274" i="1"/>
  <c r="AO262" i="1"/>
  <c r="AJ240" i="1"/>
  <c r="AO228" i="1"/>
  <c r="AJ222" i="1"/>
  <c r="AJ210" i="1"/>
  <c r="AO204" i="1"/>
  <c r="AJ196" i="1"/>
  <c r="AO192" i="1"/>
  <c r="AO166" i="1"/>
  <c r="AJ154" i="1"/>
  <c r="AJ148" i="1"/>
  <c r="AJ120" i="1"/>
  <c r="AJ112" i="1"/>
  <c r="AJ90" i="1"/>
  <c r="AO88" i="1"/>
  <c r="AA316" i="1"/>
  <c r="AA302" i="1"/>
  <c r="AA298" i="1"/>
  <c r="AA292" i="1"/>
  <c r="AA284" i="1"/>
  <c r="AA280" i="1"/>
  <c r="AA274" i="1"/>
  <c r="AA266" i="1"/>
  <c r="AC227" i="1"/>
  <c r="AC221" i="1"/>
  <c r="AC209" i="1"/>
  <c r="AC203" i="1"/>
  <c r="AC191" i="1"/>
  <c r="AC185" i="1"/>
  <c r="AC175" i="1"/>
  <c r="AC165" i="1"/>
  <c r="AC153" i="1"/>
  <c r="AC147" i="1"/>
  <c r="AC137" i="1"/>
  <c r="AC131" i="1"/>
  <c r="AC119" i="1"/>
  <c r="AC111" i="1"/>
  <c r="AC103" i="1"/>
  <c r="AJ314" i="1"/>
  <c r="AJ308" i="1"/>
  <c r="AJ296" i="1"/>
  <c r="AJ290" i="1"/>
  <c r="AJ272" i="1"/>
  <c r="AO260" i="1"/>
  <c r="AJ252" i="1"/>
  <c r="AJ234" i="1"/>
  <c r="AJ226" i="1"/>
  <c r="AO220" i="1"/>
  <c r="AO208" i="1"/>
  <c r="AJ184" i="1"/>
  <c r="AJ174" i="1"/>
  <c r="AJ164" i="1"/>
  <c r="AJ152" i="1"/>
  <c r="AJ146" i="1"/>
  <c r="AJ307" i="1"/>
  <c r="AJ289" i="1"/>
  <c r="AJ271" i="1"/>
  <c r="AJ259" i="1"/>
  <c r="AJ251" i="1"/>
  <c r="AJ219" i="1"/>
  <c r="AJ201" i="1"/>
  <c r="AJ189" i="1"/>
  <c r="AO173" i="1"/>
  <c r="AJ109" i="1"/>
  <c r="AJ101" i="1"/>
  <c r="AK306" i="1"/>
  <c r="AE276" i="1"/>
  <c r="AE258" i="1"/>
  <c r="AK244" i="1"/>
  <c r="AE232" i="1"/>
  <c r="AK224" i="1"/>
  <c r="AE200" i="1"/>
  <c r="AA182" i="1"/>
  <c r="AE162" i="1"/>
  <c r="AE150" i="1"/>
  <c r="AA128" i="1"/>
  <c r="AA84" i="1"/>
  <c r="AK319" i="1"/>
  <c r="AA305" i="1"/>
  <c r="AA301" i="1"/>
  <c r="AA287" i="1"/>
  <c r="AA269" i="1"/>
  <c r="AA265" i="1"/>
  <c r="AK239" i="1"/>
  <c r="AA231" i="1"/>
  <c r="AA318" i="1"/>
  <c r="AE304" i="1"/>
  <c r="AE300" i="1"/>
  <c r="AA286" i="1"/>
  <c r="AE282" i="1"/>
  <c r="AA268" i="1"/>
  <c r="AA264" i="1"/>
  <c r="AK256" i="1"/>
  <c r="AK242" i="1"/>
  <c r="AA238" i="1"/>
  <c r="AA230" i="1"/>
  <c r="AA216" i="1"/>
  <c r="AE212" i="1"/>
  <c r="AA198" i="1"/>
  <c r="AA194" i="1"/>
  <c r="AE180" i="1"/>
  <c r="AA170" i="1"/>
  <c r="AK160" i="1"/>
  <c r="AP156" i="1"/>
  <c r="AA142" i="1"/>
  <c r="AA126" i="1"/>
  <c r="AA122" i="1"/>
  <c r="AE114" i="1"/>
  <c r="AA106" i="1"/>
  <c r="AE92" i="1"/>
  <c r="AA82" i="1"/>
  <c r="AA317" i="1"/>
  <c r="AA293" i="1"/>
  <c r="AA267" i="1"/>
  <c r="AA263" i="1"/>
  <c r="AE229" i="1"/>
  <c r="AK215" i="1"/>
  <c r="AA205" i="1"/>
  <c r="AE197" i="1"/>
  <c r="AK193" i="1"/>
  <c r="AP177" i="1"/>
  <c r="AA169" i="1"/>
  <c r="AE141" i="1"/>
  <c r="AE105" i="1"/>
  <c r="AE99" i="1"/>
  <c r="AP91" i="1"/>
  <c r="AE81" i="1"/>
  <c r="AA262" i="1"/>
  <c r="AP254" i="1"/>
  <c r="AA240" i="1"/>
  <c r="AA236" i="1"/>
  <c r="AA228" i="1"/>
  <c r="AA222" i="1"/>
  <c r="AA210" i="1"/>
  <c r="AA204" i="1"/>
  <c r="AA196" i="1"/>
  <c r="AE186" i="1"/>
  <c r="AA178" i="1"/>
  <c r="AA176" i="1"/>
  <c r="AA168" i="1"/>
  <c r="AE166" i="1"/>
  <c r="AA154" i="1"/>
  <c r="AA148" i="1"/>
  <c r="AA140" i="1"/>
  <c r="AE138" i="1"/>
  <c r="AA132" i="1"/>
  <c r="AA124" i="1"/>
  <c r="AA120" i="1"/>
  <c r="AA104" i="1"/>
  <c r="AA98" i="1"/>
  <c r="AA90" i="1"/>
  <c r="AA88" i="1"/>
  <c r="AA80" i="1"/>
  <c r="AJ136" i="1"/>
  <c r="AJ130" i="1"/>
  <c r="AJ118" i="1"/>
  <c r="AJ110" i="1"/>
  <c r="AJ102" i="1"/>
  <c r="AJ96" i="1"/>
  <c r="AO86" i="1"/>
  <c r="AP308" i="1"/>
  <c r="AP296" i="1"/>
  <c r="AP272" i="1"/>
  <c r="AP260" i="1"/>
  <c r="AP252" i="1"/>
  <c r="AE226" i="1"/>
  <c r="AP220" i="1"/>
  <c r="AP208" i="1"/>
  <c r="AK184" i="1"/>
  <c r="AP152" i="1"/>
  <c r="AP130" i="1"/>
  <c r="AP102" i="1"/>
  <c r="AP86" i="1"/>
  <c r="AP313" i="1"/>
  <c r="AE295" i="1"/>
  <c r="AK289" i="1"/>
  <c r="AK277" i="1"/>
  <c r="AP271" i="1"/>
  <c r="AK259" i="1"/>
  <c r="AP233" i="1"/>
  <c r="AP183" i="1"/>
  <c r="AP151" i="1"/>
  <c r="AA199" i="1"/>
  <c r="AA195" i="1"/>
  <c r="AE181" i="1"/>
  <c r="AA143" i="1"/>
  <c r="AE127" i="1"/>
  <c r="AA115" i="1"/>
  <c r="AA93" i="1"/>
  <c r="AP198" i="1"/>
  <c r="AK318" i="1"/>
  <c r="AK216" i="1"/>
  <c r="AK198" i="1"/>
  <c r="AP264" i="1"/>
  <c r="AP242" i="1"/>
  <c r="AP180" i="1"/>
  <c r="AK286" i="1"/>
  <c r="AK238" i="1"/>
  <c r="AK156" i="1"/>
  <c r="AA242" i="1"/>
  <c r="AP304" i="1"/>
  <c r="AP212" i="1"/>
  <c r="AP170" i="1"/>
  <c r="AP122" i="1"/>
  <c r="AK304" i="1"/>
  <c r="AK212" i="1"/>
  <c r="AE286" i="1"/>
  <c r="AE216" i="1"/>
  <c r="AE82" i="1"/>
  <c r="AA180" i="1"/>
  <c r="AP256" i="1"/>
  <c r="AP194" i="1"/>
  <c r="AP160" i="1"/>
  <c r="AP114" i="1"/>
  <c r="AP92" i="1"/>
  <c r="AK82" i="1"/>
  <c r="AE318" i="1"/>
  <c r="AE126" i="1"/>
  <c r="AA304" i="1"/>
  <c r="AA114" i="1"/>
  <c r="AP318" i="1"/>
  <c r="AP286" i="1"/>
  <c r="AP238" i="1"/>
  <c r="AP142" i="1"/>
  <c r="AP106" i="1"/>
  <c r="AK300" i="1"/>
  <c r="AK282" i="1"/>
  <c r="AK122" i="1"/>
  <c r="AK92" i="1"/>
  <c r="AE268" i="1"/>
  <c r="AE242" i="1"/>
  <c r="AE122" i="1"/>
  <c r="AP300" i="1"/>
  <c r="AP268" i="1"/>
  <c r="AP126" i="1"/>
  <c r="AP82" i="1"/>
  <c r="AK180" i="1"/>
  <c r="AK114" i="1"/>
  <c r="AK106" i="1"/>
  <c r="AA282" i="1"/>
  <c r="AK264" i="1"/>
  <c r="AK170" i="1"/>
  <c r="AE238" i="1"/>
  <c r="AE198" i="1"/>
  <c r="AE142" i="1"/>
  <c r="AE106" i="1"/>
  <c r="AO314" i="1"/>
  <c r="AO290" i="1"/>
  <c r="AO130" i="1"/>
  <c r="AO226" i="1"/>
  <c r="AO164" i="1"/>
  <c r="AO146" i="1"/>
  <c r="AO252" i="1"/>
  <c r="AO118" i="1"/>
  <c r="AJ229" i="1"/>
  <c r="AO234" i="1"/>
  <c r="AO110" i="1"/>
  <c r="AO184" i="1"/>
  <c r="AO152" i="1"/>
  <c r="AO102" i="1"/>
  <c r="AO96" i="1"/>
  <c r="AJ86" i="1"/>
  <c r="AO296" i="1"/>
  <c r="AO272" i="1"/>
  <c r="AO136" i="1"/>
  <c r="AJ220" i="1"/>
  <c r="AJ278" i="1"/>
  <c r="AO278" i="1"/>
  <c r="AO202" i="1"/>
  <c r="AJ202" i="1"/>
  <c r="AJ190" i="1"/>
  <c r="AO190" i="1"/>
  <c r="AJ260" i="1"/>
  <c r="AE270" i="1"/>
  <c r="AK270" i="1"/>
  <c r="AA270" i="1"/>
  <c r="AA174" i="1"/>
  <c r="AE174" i="1"/>
  <c r="AK174" i="1"/>
  <c r="AP174" i="1"/>
  <c r="AA314" i="1"/>
  <c r="AE314" i="1"/>
  <c r="AA290" i="1"/>
  <c r="AE290" i="1"/>
  <c r="AK290" i="1"/>
  <c r="AA278" i="1"/>
  <c r="AK278" i="1"/>
  <c r="AE278" i="1"/>
  <c r="AA234" i="1"/>
  <c r="AK234" i="1"/>
  <c r="AA226" i="1"/>
  <c r="AK226" i="1"/>
  <c r="AA164" i="1"/>
  <c r="AK164" i="1"/>
  <c r="AE164" i="1"/>
  <c r="AA146" i="1"/>
  <c r="AP146" i="1"/>
  <c r="AE146" i="1"/>
  <c r="AK146" i="1"/>
  <c r="AA136" i="1"/>
  <c r="AP136" i="1"/>
  <c r="AK136" i="1"/>
  <c r="AA118" i="1"/>
  <c r="AK118" i="1"/>
  <c r="AE118" i="1"/>
  <c r="AA102" i="1"/>
  <c r="AE102" i="1"/>
  <c r="AK102" i="1"/>
  <c r="AE260" i="1"/>
  <c r="AE136" i="1"/>
  <c r="AA308" i="1"/>
  <c r="AE308" i="1"/>
  <c r="AK308" i="1"/>
  <c r="AA296" i="1"/>
  <c r="AE296" i="1"/>
  <c r="AA272" i="1"/>
  <c r="AK272" i="1"/>
  <c r="AE272" i="1"/>
  <c r="AA252" i="1"/>
  <c r="AE252" i="1"/>
  <c r="AK252" i="1"/>
  <c r="AA220" i="1"/>
  <c r="AK220" i="1"/>
  <c r="AE220" i="1"/>
  <c r="AA208" i="1"/>
  <c r="AK208" i="1"/>
  <c r="AA190" i="1"/>
  <c r="AK190" i="1"/>
  <c r="AP190" i="1"/>
  <c r="AA184" i="1"/>
  <c r="AE184" i="1"/>
  <c r="AA152" i="1"/>
  <c r="AE152" i="1"/>
  <c r="AK152" i="1"/>
  <c r="AA110" i="1"/>
  <c r="AE110" i="1"/>
  <c r="AP110" i="1"/>
  <c r="AA86" i="1"/>
  <c r="AE86" i="1"/>
  <c r="AK86" i="1"/>
  <c r="AP164" i="1"/>
  <c r="AK296" i="1"/>
  <c r="AK110" i="1"/>
  <c r="AE190" i="1"/>
  <c r="AA130" i="1"/>
  <c r="AK130" i="1"/>
  <c r="AE130" i="1"/>
  <c r="AP314" i="1"/>
  <c r="AP118" i="1"/>
  <c r="AE208" i="1"/>
  <c r="AA96" i="1"/>
  <c r="AE96" i="1"/>
  <c r="AP96" i="1"/>
  <c r="AK96" i="1"/>
  <c r="AP290" i="1"/>
  <c r="AP278" i="1"/>
  <c r="AK314" i="1"/>
  <c r="AE234" i="1"/>
  <c r="AA260" i="1"/>
  <c r="AK260" i="1"/>
  <c r="AP234" i="1"/>
  <c r="AP184" i="1"/>
  <c r="AA202" i="1"/>
  <c r="AK202" i="1"/>
  <c r="AP202" i="1"/>
  <c r="AE202" i="1"/>
  <c r="AP226" i="1"/>
  <c r="AD314" i="1"/>
  <c r="AD308" i="1"/>
  <c r="AD296" i="1"/>
  <c r="AD290" i="1"/>
  <c r="AD278" i="1"/>
  <c r="AD260" i="1"/>
  <c r="AD252" i="1"/>
  <c r="AD234" i="1"/>
  <c r="AD226" i="1"/>
  <c r="AD220" i="1"/>
  <c r="AD208" i="1"/>
  <c r="AD202" i="1"/>
  <c r="AD190" i="1"/>
  <c r="AD184" i="1"/>
  <c r="AD174" i="1"/>
  <c r="AD164" i="1"/>
  <c r="AD152" i="1"/>
  <c r="AD146" i="1"/>
  <c r="AD136" i="1"/>
  <c r="AD130" i="1"/>
  <c r="AD118" i="1"/>
  <c r="AD110" i="1"/>
  <c r="AD96" i="1"/>
  <c r="AD86" i="1"/>
  <c r="AD127" i="1"/>
  <c r="AC127" i="1"/>
  <c r="AO240" i="1"/>
  <c r="AO120" i="1"/>
  <c r="AJ228" i="1"/>
  <c r="AJ192" i="1"/>
  <c r="AO310" i="1"/>
  <c r="AO292" i="1"/>
  <c r="AJ204" i="1"/>
  <c r="AJ166" i="1"/>
  <c r="AJ300" i="1"/>
  <c r="AO300" i="1"/>
  <c r="AO286" i="1"/>
  <c r="AJ286" i="1"/>
  <c r="AJ264" i="1"/>
  <c r="AO264" i="1"/>
  <c r="AJ230" i="1"/>
  <c r="AO230" i="1"/>
  <c r="AJ194" i="1"/>
  <c r="AO194" i="1"/>
  <c r="AJ180" i="1"/>
  <c r="AO180" i="1"/>
  <c r="AJ156" i="1"/>
  <c r="AO156" i="1"/>
  <c r="AJ142" i="1"/>
  <c r="AO142" i="1"/>
  <c r="AJ114" i="1"/>
  <c r="AO114" i="1"/>
  <c r="AJ92" i="1"/>
  <c r="AO92" i="1"/>
  <c r="AO112" i="1"/>
  <c r="AO90" i="1"/>
  <c r="AD195" i="1"/>
  <c r="AJ280" i="1"/>
  <c r="AO280" i="1"/>
  <c r="AJ266" i="1"/>
  <c r="AO266" i="1"/>
  <c r="AO236" i="1"/>
  <c r="AJ236" i="1"/>
  <c r="AO214" i="1"/>
  <c r="AJ214" i="1"/>
  <c r="AJ186" i="1"/>
  <c r="AO186" i="1"/>
  <c r="AJ178" i="1"/>
  <c r="AO178" i="1"/>
  <c r="AJ176" i="1"/>
  <c r="AO176" i="1"/>
  <c r="AO158" i="1"/>
  <c r="AJ158" i="1"/>
  <c r="AJ140" i="1"/>
  <c r="AO140" i="1"/>
  <c r="AO132" i="1"/>
  <c r="AJ132" i="1"/>
  <c r="AJ104" i="1"/>
  <c r="AO104" i="1"/>
  <c r="AJ98" i="1"/>
  <c r="AO98" i="1"/>
  <c r="AJ80" i="1"/>
  <c r="AO80" i="1"/>
  <c r="AA310" i="1"/>
  <c r="AE310" i="1"/>
  <c r="AA214" i="1"/>
  <c r="AE214" i="1"/>
  <c r="AA192" i="1"/>
  <c r="AP192" i="1"/>
  <c r="AA158" i="1"/>
  <c r="AP158" i="1"/>
  <c r="AA112" i="1"/>
  <c r="AK112" i="1"/>
  <c r="AP112" i="1"/>
  <c r="AO154" i="1"/>
  <c r="AE264" i="1"/>
  <c r="AD82" i="1"/>
  <c r="AK268" i="1"/>
  <c r="AK230" i="1"/>
  <c r="AK194" i="1"/>
  <c r="AE230" i="1"/>
  <c r="AE170" i="1"/>
  <c r="AC115" i="1"/>
  <c r="AD243" i="1"/>
  <c r="AP310" i="1"/>
  <c r="AP204" i="1"/>
  <c r="AP124" i="1"/>
  <c r="AK316" i="1"/>
  <c r="AK292" i="1"/>
  <c r="AK210" i="1"/>
  <c r="AK158" i="1"/>
  <c r="AK90" i="1"/>
  <c r="AK88" i="1"/>
  <c r="AE132" i="1"/>
  <c r="AP280" i="1"/>
  <c r="AP240" i="1"/>
  <c r="AP222" i="1"/>
  <c r="AP140" i="1"/>
  <c r="AP104" i="1"/>
  <c r="AP80" i="1"/>
  <c r="AK186" i="1"/>
  <c r="AK148" i="1"/>
  <c r="AE298" i="1"/>
  <c r="AE228" i="1"/>
  <c r="AE140" i="1"/>
  <c r="AP316" i="1"/>
  <c r="AP266" i="1"/>
  <c r="AP210" i="1"/>
  <c r="AP168" i="1"/>
  <c r="AP132" i="1"/>
  <c r="AP120" i="1"/>
  <c r="AK298" i="1"/>
  <c r="AK254" i="1"/>
  <c r="AK166" i="1"/>
  <c r="AK138" i="1"/>
  <c r="AK98" i="1"/>
  <c r="AE254" i="1"/>
  <c r="AE176" i="1"/>
  <c r="AP284" i="1"/>
  <c r="AP178" i="1"/>
  <c r="AP148" i="1"/>
  <c r="AP88" i="1"/>
  <c r="AK214" i="1"/>
  <c r="AE196" i="1"/>
  <c r="AE124" i="1"/>
  <c r="AE120" i="1"/>
  <c r="AP302" i="1"/>
  <c r="AP228" i="1"/>
  <c r="AP196" i="1"/>
  <c r="AP166" i="1"/>
  <c r="AP98" i="1"/>
  <c r="AK204" i="1"/>
  <c r="AK192" i="1"/>
  <c r="AK80" i="1"/>
  <c r="AE90" i="1"/>
  <c r="AP274" i="1"/>
  <c r="AP236" i="1"/>
  <c r="AP214" i="1"/>
  <c r="AP176" i="1"/>
  <c r="AP138" i="1"/>
  <c r="AK140" i="1"/>
  <c r="AE266" i="1"/>
  <c r="AP292" i="1"/>
  <c r="AP262" i="1"/>
  <c r="AP186" i="1"/>
  <c r="AP154" i="1"/>
  <c r="AK302" i="1"/>
  <c r="AK266" i="1"/>
  <c r="AK262" i="1"/>
  <c r="AK236" i="1"/>
  <c r="AK176" i="1"/>
  <c r="AK104" i="1"/>
  <c r="AE204" i="1"/>
  <c r="AE158" i="1"/>
  <c r="AD104" i="1"/>
  <c r="AJ303" i="1"/>
  <c r="AO303" i="1"/>
  <c r="AJ285" i="1"/>
  <c r="AO285" i="1"/>
  <c r="AJ223" i="1"/>
  <c r="AO223" i="1"/>
  <c r="AJ205" i="1"/>
  <c r="AO205" i="1"/>
  <c r="AO293" i="1"/>
  <c r="AO283" i="1"/>
  <c r="AJ319" i="1"/>
  <c r="AJ305" i="1"/>
  <c r="AJ241" i="1"/>
  <c r="AJ179" i="1"/>
  <c r="AO179" i="1"/>
  <c r="AO133" i="1"/>
  <c r="AJ133" i="1"/>
  <c r="AJ121" i="1"/>
  <c r="AO121" i="1"/>
  <c r="AO301" i="1"/>
  <c r="AJ149" i="1"/>
  <c r="AO149" i="1"/>
  <c r="AJ125" i="1"/>
  <c r="AO125" i="1"/>
  <c r="AO311" i="1"/>
  <c r="AO167" i="1"/>
  <c r="AJ141" i="1"/>
  <c r="AJ281" i="1"/>
  <c r="AO281" i="1"/>
  <c r="AJ237" i="1"/>
  <c r="AO237" i="1"/>
  <c r="AJ215" i="1"/>
  <c r="AO215" i="1"/>
  <c r="AJ197" i="1"/>
  <c r="AO197" i="1"/>
  <c r="AJ177" i="1"/>
  <c r="AO177" i="1"/>
  <c r="AO299" i="1"/>
  <c r="AO213" i="1"/>
  <c r="AO193" i="1"/>
  <c r="AO139" i="1"/>
  <c r="AJ155" i="1"/>
  <c r="AJ169" i="1"/>
  <c r="AO169" i="1"/>
  <c r="AO267" i="1"/>
  <c r="AO211" i="1"/>
  <c r="AO317" i="1"/>
  <c r="AJ287" i="1"/>
  <c r="AO287" i="1"/>
  <c r="AO269" i="1"/>
  <c r="AJ269" i="1"/>
  <c r="AJ265" i="1"/>
  <c r="AO265" i="1"/>
  <c r="AJ243" i="1"/>
  <c r="AO243" i="1"/>
  <c r="AJ231" i="1"/>
  <c r="AO231" i="1"/>
  <c r="AJ217" i="1"/>
  <c r="AO217" i="1"/>
  <c r="AJ181" i="1"/>
  <c r="AO181" i="1"/>
  <c r="AO171" i="1"/>
  <c r="AJ171" i="1"/>
  <c r="AJ157" i="1"/>
  <c r="AO157" i="1"/>
  <c r="AJ123" i="1"/>
  <c r="AO123" i="1"/>
  <c r="AO115" i="1"/>
  <c r="AJ115" i="1"/>
  <c r="AJ93" i="1"/>
  <c r="AO93" i="1"/>
  <c r="AO275" i="1"/>
  <c r="AO255" i="1"/>
  <c r="AO105" i="1"/>
  <c r="AJ161" i="1"/>
  <c r="AK301" i="1"/>
  <c r="AE305" i="1"/>
  <c r="AE93" i="1"/>
  <c r="AE231" i="1"/>
  <c r="AK287" i="1"/>
  <c r="AE265" i="1"/>
  <c r="AD93" i="1"/>
  <c r="AK305" i="1"/>
  <c r="AK195" i="1"/>
  <c r="AE287" i="1"/>
  <c r="AE269" i="1"/>
  <c r="AE195" i="1"/>
  <c r="AD265" i="1"/>
  <c r="AA239" i="1"/>
  <c r="AE319" i="1"/>
  <c r="AA319" i="1"/>
  <c r="AA283" i="1"/>
  <c r="AE283" i="1"/>
  <c r="AE257" i="1"/>
  <c r="AA257" i="1"/>
  <c r="AA243" i="1"/>
  <c r="AE243" i="1"/>
  <c r="AE217" i="1"/>
  <c r="AK217" i="1"/>
  <c r="AA217" i="1"/>
  <c r="AA213" i="1"/>
  <c r="AD213" i="1"/>
  <c r="AE213" i="1"/>
  <c r="AK213" i="1"/>
  <c r="AK181" i="1"/>
  <c r="AA181" i="1"/>
  <c r="AA171" i="1"/>
  <c r="AE171" i="1"/>
  <c r="AA161" i="1"/>
  <c r="AE161" i="1"/>
  <c r="AD161" i="1"/>
  <c r="AD157" i="1"/>
  <c r="AA157" i="1"/>
  <c r="AE157" i="1"/>
  <c r="AK127" i="1"/>
  <c r="AA127" i="1"/>
  <c r="AA123" i="1"/>
  <c r="AE123" i="1"/>
  <c r="AA107" i="1"/>
  <c r="AD107" i="1"/>
  <c r="AE107" i="1"/>
  <c r="AA83" i="1"/>
  <c r="AE83" i="1"/>
  <c r="AD287" i="1"/>
  <c r="AD231" i="1"/>
  <c r="AD199" i="1"/>
  <c r="AD181" i="1"/>
  <c r="AD171" i="1"/>
  <c r="AD143" i="1"/>
  <c r="AD123" i="1"/>
  <c r="AD83" i="1"/>
  <c r="AD120" i="1"/>
  <c r="AC287" i="1"/>
  <c r="AK310" i="1"/>
  <c r="AK240" i="1"/>
  <c r="AK222" i="1"/>
  <c r="AK154" i="1"/>
  <c r="AE292" i="1"/>
  <c r="AE222" i="1"/>
  <c r="AE168" i="1"/>
  <c r="AE112" i="1"/>
  <c r="AK280" i="1"/>
  <c r="AK124" i="1"/>
  <c r="AE280" i="1"/>
  <c r="AE236" i="1"/>
  <c r="AE210" i="1"/>
  <c r="AE178" i="1"/>
  <c r="AE154" i="1"/>
  <c r="AE98" i="1"/>
  <c r="AD316" i="1"/>
  <c r="AD266" i="1"/>
  <c r="AD262" i="1"/>
  <c r="AD240" i="1"/>
  <c r="AD214" i="1"/>
  <c r="AD168" i="1"/>
  <c r="AD124" i="1"/>
  <c r="AD90" i="1"/>
  <c r="AD88" i="1"/>
  <c r="AD80" i="1"/>
  <c r="AK284" i="1"/>
  <c r="AK228" i="1"/>
  <c r="AK196" i="1"/>
  <c r="AK178" i="1"/>
  <c r="AK168" i="1"/>
  <c r="AK132" i="1"/>
  <c r="AK120" i="1"/>
  <c r="AE240" i="1"/>
  <c r="AE80" i="1"/>
  <c r="AP293" i="1"/>
  <c r="AP215" i="1"/>
  <c r="AE316" i="1"/>
  <c r="AE284" i="1"/>
  <c r="AE274" i="1"/>
  <c r="AK274" i="1"/>
  <c r="AE262" i="1"/>
  <c r="AE148" i="1"/>
  <c r="AE104" i="1"/>
  <c r="AE88" i="1"/>
  <c r="AD112" i="1"/>
  <c r="AD98" i="1"/>
  <c r="AE302" i="1"/>
  <c r="AE293" i="1"/>
  <c r="AE192" i="1"/>
  <c r="AC240" i="1"/>
  <c r="AD319" i="1"/>
  <c r="AC319" i="1"/>
  <c r="AD305" i="1"/>
  <c r="AC305" i="1"/>
  <c r="AC301" i="1"/>
  <c r="AD301" i="1"/>
  <c r="AD283" i="1"/>
  <c r="AC283" i="1"/>
  <c r="AD269" i="1"/>
  <c r="AC269" i="1"/>
  <c r="AD257" i="1"/>
  <c r="AC257" i="1"/>
  <c r="AD239" i="1"/>
  <c r="AC239" i="1"/>
  <c r="AO304" i="1"/>
  <c r="AO282" i="1"/>
  <c r="AO256" i="1"/>
  <c r="AC262" i="1"/>
  <c r="AD280" i="1"/>
  <c r="AD228" i="1"/>
  <c r="AA300" i="1"/>
  <c r="AD310" i="1"/>
  <c r="AC310" i="1"/>
  <c r="AC222" i="1"/>
  <c r="AD222" i="1"/>
  <c r="AC204" i="1"/>
  <c r="AD204" i="1"/>
  <c r="AC178" i="1"/>
  <c r="AD178" i="1"/>
  <c r="AC154" i="1"/>
  <c r="AD154" i="1"/>
  <c r="AC132" i="1"/>
  <c r="AD132" i="1"/>
  <c r="AO238" i="1"/>
  <c r="AO212" i="1"/>
  <c r="AO170" i="1"/>
  <c r="AD176" i="1"/>
  <c r="AC231" i="1"/>
  <c r="AC168" i="1"/>
  <c r="AC266" i="1"/>
  <c r="AC214" i="1"/>
  <c r="AE256" i="1"/>
  <c r="AA256" i="1"/>
  <c r="AA160" i="1"/>
  <c r="AE160" i="1"/>
  <c r="AA156" i="1"/>
  <c r="AE156" i="1"/>
  <c r="AD318" i="1"/>
  <c r="AD304" i="1"/>
  <c r="AD300" i="1"/>
  <c r="AD286" i="1"/>
  <c r="AD282" i="1"/>
  <c r="AD268" i="1"/>
  <c r="AD264" i="1"/>
  <c r="AD256" i="1"/>
  <c r="AD242" i="1"/>
  <c r="AD238" i="1"/>
  <c r="AD230" i="1"/>
  <c r="AD216" i="1"/>
  <c r="AD212" i="1"/>
  <c r="AD198" i="1"/>
  <c r="AD194" i="1"/>
  <c r="AD180" i="1"/>
  <c r="AD170" i="1"/>
  <c r="AD160" i="1"/>
  <c r="AD156" i="1"/>
  <c r="AD142" i="1"/>
  <c r="AD126" i="1"/>
  <c r="AD122" i="1"/>
  <c r="AD114" i="1"/>
  <c r="AC114" i="1"/>
  <c r="AD106" i="1"/>
  <c r="AD92" i="1"/>
  <c r="AA92" i="1"/>
  <c r="AA212" i="1"/>
  <c r="AD217" i="1"/>
  <c r="AC199" i="1"/>
  <c r="AC256" i="1"/>
  <c r="AC170" i="1"/>
  <c r="AC126" i="1"/>
  <c r="AD254" i="1"/>
  <c r="AD186" i="1"/>
  <c r="AD166" i="1"/>
  <c r="AD138" i="1"/>
  <c r="AC238" i="1"/>
  <c r="AC180" i="1"/>
  <c r="AC142" i="1"/>
  <c r="AC122" i="1"/>
  <c r="AC300" i="1"/>
  <c r="AC212" i="1"/>
  <c r="AA311" i="1"/>
  <c r="AK311" i="1"/>
  <c r="AE311" i="1"/>
  <c r="AP311" i="1"/>
  <c r="AK275" i="1"/>
  <c r="AA275" i="1"/>
  <c r="AE275" i="1"/>
  <c r="AP275" i="1"/>
  <c r="AD275" i="1"/>
  <c r="AA193" i="1"/>
  <c r="AE193" i="1"/>
  <c r="AD139" i="1"/>
  <c r="AE139" i="1"/>
  <c r="AA139" i="1"/>
  <c r="AK139" i="1"/>
  <c r="AA113" i="1"/>
  <c r="AE113" i="1"/>
  <c r="AK113" i="1"/>
  <c r="AK89" i="1"/>
  <c r="AP89" i="1"/>
  <c r="AA89" i="1"/>
  <c r="AE89" i="1"/>
  <c r="AK263" i="1"/>
  <c r="AD317" i="1"/>
  <c r="AD311" i="1"/>
  <c r="AD303" i="1"/>
  <c r="AD299" i="1"/>
  <c r="AD293" i="1"/>
  <c r="AD285" i="1"/>
  <c r="AD281" i="1"/>
  <c r="AD267" i="1"/>
  <c r="AD263" i="1"/>
  <c r="AD255" i="1"/>
  <c r="AD241" i="1"/>
  <c r="AD237" i="1"/>
  <c r="AD229" i="1"/>
  <c r="AD223" i="1"/>
  <c r="AD215" i="1"/>
  <c r="AD211" i="1"/>
  <c r="AD197" i="1"/>
  <c r="AD193" i="1"/>
  <c r="AD187" i="1"/>
  <c r="AD179" i="1"/>
  <c r="AD167" i="1"/>
  <c r="AD159" i="1"/>
  <c r="AD155" i="1"/>
  <c r="AD149" i="1"/>
  <c r="AD141" i="1"/>
  <c r="AD133" i="1"/>
  <c r="AD125" i="1"/>
  <c r="AD121" i="1"/>
  <c r="AD113" i="1"/>
  <c r="AD105" i="1"/>
  <c r="AD99" i="1"/>
  <c r="AD91" i="1"/>
  <c r="AD89" i="1"/>
  <c r="AD81" i="1"/>
  <c r="AK303" i="1"/>
  <c r="AE303" i="1"/>
  <c r="AP303" i="1"/>
  <c r="AA303" i="1"/>
  <c r="AA281" i="1"/>
  <c r="AK281" i="1"/>
  <c r="AE281" i="1"/>
  <c r="AP281" i="1"/>
  <c r="AA255" i="1"/>
  <c r="AK255" i="1"/>
  <c r="AE255" i="1"/>
  <c r="AA223" i="1"/>
  <c r="AK223" i="1"/>
  <c r="AP223" i="1"/>
  <c r="AK187" i="1"/>
  <c r="AP187" i="1"/>
  <c r="AE187" i="1"/>
  <c r="AA187" i="1"/>
  <c r="AK167" i="1"/>
  <c r="AP167" i="1"/>
  <c r="AA167" i="1"/>
  <c r="AK133" i="1"/>
  <c r="AP133" i="1"/>
  <c r="AA133" i="1"/>
  <c r="AE133" i="1"/>
  <c r="AA81" i="1"/>
  <c r="AK81" i="1"/>
  <c r="AP81" i="1"/>
  <c r="AP263" i="1"/>
  <c r="AK317" i="1"/>
  <c r="AE263" i="1"/>
  <c r="AP317" i="1"/>
  <c r="AP255" i="1"/>
  <c r="AP113" i="1"/>
  <c r="AE317" i="1"/>
  <c r="AK285" i="1"/>
  <c r="AE285" i="1"/>
  <c r="AP285" i="1"/>
  <c r="AA285" i="1"/>
  <c r="AA197" i="1"/>
  <c r="AK197" i="1"/>
  <c r="AP197" i="1"/>
  <c r="AD169" i="1"/>
  <c r="AK169" i="1"/>
  <c r="AP169" i="1"/>
  <c r="AE169" i="1"/>
  <c r="AA141" i="1"/>
  <c r="AK141" i="1"/>
  <c r="AP141" i="1"/>
  <c r="AP139" i="1"/>
  <c r="AK267" i="1"/>
  <c r="AA229" i="1"/>
  <c r="AK229" i="1"/>
  <c r="AP229" i="1"/>
  <c r="AK211" i="1"/>
  <c r="AP211" i="1"/>
  <c r="AA211" i="1"/>
  <c r="AE211" i="1"/>
  <c r="AA155" i="1"/>
  <c r="AK155" i="1"/>
  <c r="AP155" i="1"/>
  <c r="AE155" i="1"/>
  <c r="AP267" i="1"/>
  <c r="AP193" i="1"/>
  <c r="AE267" i="1"/>
  <c r="AE167" i="1"/>
  <c r="AA237" i="1"/>
  <c r="AK237" i="1"/>
  <c r="AP237" i="1"/>
  <c r="AE237" i="1"/>
  <c r="AD205" i="1"/>
  <c r="AK205" i="1"/>
  <c r="AP205" i="1"/>
  <c r="AE205" i="1"/>
  <c r="AE177" i="1"/>
  <c r="AA177" i="1"/>
  <c r="AD177" i="1"/>
  <c r="AK177" i="1"/>
  <c r="AK149" i="1"/>
  <c r="AA149" i="1"/>
  <c r="AP149" i="1"/>
  <c r="AE149" i="1"/>
  <c r="AK121" i="1"/>
  <c r="AP121" i="1"/>
  <c r="AE121" i="1"/>
  <c r="AA121" i="1"/>
  <c r="AK99" i="1"/>
  <c r="AP99" i="1"/>
  <c r="AE223" i="1"/>
  <c r="AA299" i="1"/>
  <c r="AK299" i="1"/>
  <c r="AE299" i="1"/>
  <c r="AP299" i="1"/>
  <c r="AK241" i="1"/>
  <c r="AP241" i="1"/>
  <c r="AE241" i="1"/>
  <c r="AA241" i="1"/>
  <c r="AE215" i="1"/>
  <c r="AA215" i="1"/>
  <c r="AA179" i="1"/>
  <c r="AK179" i="1"/>
  <c r="AP179" i="1"/>
  <c r="AE179" i="1"/>
  <c r="AE159" i="1"/>
  <c r="AA159" i="1"/>
  <c r="AK159" i="1"/>
  <c r="AK125" i="1"/>
  <c r="AP125" i="1"/>
  <c r="AE125" i="1"/>
  <c r="AA125" i="1"/>
  <c r="AK105" i="1"/>
  <c r="AP105" i="1"/>
  <c r="AA105" i="1"/>
  <c r="AE91" i="1"/>
  <c r="AA91" i="1"/>
  <c r="AK91" i="1"/>
  <c r="AP159" i="1"/>
  <c r="AK293" i="1"/>
  <c r="AA99" i="1"/>
  <c r="AD302" i="1"/>
  <c r="AD274" i="1"/>
  <c r="AD196" i="1"/>
  <c r="AD148" i="1"/>
  <c r="AA166" i="1"/>
  <c r="AA186" i="1"/>
  <c r="AA138" i="1"/>
  <c r="AD298" i="1"/>
  <c r="AD192" i="1"/>
  <c r="AD140" i="1"/>
  <c r="AD236" i="1"/>
  <c r="AD210" i="1"/>
  <c r="AA254" i="1"/>
  <c r="AD292" i="1"/>
  <c r="AD158" i="1"/>
  <c r="AD284" i="1"/>
  <c r="AJ95" i="1"/>
  <c r="AO95" i="1"/>
  <c r="AO219" i="1"/>
  <c r="AO189" i="1"/>
  <c r="AJ151" i="1"/>
  <c r="AO151" i="1"/>
  <c r="AJ117" i="1"/>
  <c r="AO117" i="1"/>
  <c r="AO85" i="1"/>
  <c r="AJ85" i="1"/>
  <c r="AA295" i="1"/>
  <c r="AP295" i="1"/>
  <c r="AK295" i="1"/>
  <c r="AA251" i="1"/>
  <c r="AE251" i="1"/>
  <c r="AK251" i="1"/>
  <c r="AA201" i="1"/>
  <c r="AE201" i="1"/>
  <c r="AK201" i="1"/>
  <c r="AD173" i="1"/>
  <c r="AK173" i="1"/>
  <c r="AE173" i="1"/>
  <c r="AA145" i="1"/>
  <c r="AE145" i="1"/>
  <c r="AP145" i="1"/>
  <c r="AK145" i="1"/>
  <c r="AA117" i="1"/>
  <c r="AE117" i="1"/>
  <c r="AP117" i="1"/>
  <c r="AE95" i="1"/>
  <c r="AK95" i="1"/>
  <c r="AP95" i="1"/>
  <c r="AO109" i="1"/>
  <c r="AJ173" i="1"/>
  <c r="AJ313" i="1"/>
  <c r="AO313" i="1"/>
  <c r="AD289" i="1"/>
  <c r="AE289" i="1"/>
  <c r="AD219" i="1"/>
  <c r="AE219" i="1"/>
  <c r="AP219" i="1"/>
  <c r="AD189" i="1"/>
  <c r="AE189" i="1"/>
  <c r="AP189" i="1"/>
  <c r="AK189" i="1"/>
  <c r="AA85" i="1"/>
  <c r="AE85" i="1"/>
  <c r="AP85" i="1"/>
  <c r="AD85" i="1"/>
  <c r="AK85" i="1"/>
  <c r="AP173" i="1"/>
  <c r="AO201" i="1"/>
  <c r="AJ233" i="1"/>
  <c r="AO233" i="1"/>
  <c r="AJ225" i="1"/>
  <c r="AO225" i="1"/>
  <c r="AJ183" i="1"/>
  <c r="AO183" i="1"/>
  <c r="AJ163" i="1"/>
  <c r="AO163" i="1"/>
  <c r="AE207" i="1"/>
  <c r="AD207" i="1"/>
  <c r="AA207" i="1"/>
  <c r="AP207" i="1"/>
  <c r="AK207" i="1"/>
  <c r="AA151" i="1"/>
  <c r="AK151" i="1"/>
  <c r="AE151" i="1"/>
  <c r="AD101" i="1"/>
  <c r="AE101" i="1"/>
  <c r="AK101" i="1"/>
  <c r="AP101" i="1"/>
  <c r="AO307" i="1"/>
  <c r="AO101" i="1"/>
  <c r="AO295" i="1"/>
  <c r="AJ295" i="1"/>
  <c r="AJ207" i="1"/>
  <c r="AO207" i="1"/>
  <c r="AO145" i="1"/>
  <c r="AJ145" i="1"/>
  <c r="AD307" i="1"/>
  <c r="AE307" i="1"/>
  <c r="AP307" i="1"/>
  <c r="AK307" i="1"/>
  <c r="AA271" i="1"/>
  <c r="AE271" i="1"/>
  <c r="AK271" i="1"/>
  <c r="AP289" i="1"/>
  <c r="AP201" i="1"/>
  <c r="AO251" i="1"/>
  <c r="AJ129" i="1"/>
  <c r="AO129" i="1"/>
  <c r="AD245" i="1"/>
  <c r="AE245" i="1"/>
  <c r="AP245" i="1"/>
  <c r="AK245" i="1"/>
  <c r="AA183" i="1"/>
  <c r="AE183" i="1"/>
  <c r="AK183" i="1"/>
  <c r="AK135" i="1"/>
  <c r="AD135" i="1"/>
  <c r="AE135" i="1"/>
  <c r="AD109" i="1"/>
  <c r="AE109" i="1"/>
  <c r="AK109" i="1"/>
  <c r="AP109" i="1"/>
  <c r="AP251" i="1"/>
  <c r="AP135" i="1"/>
  <c r="AK117" i="1"/>
  <c r="AJ277" i="1"/>
  <c r="AO277" i="1"/>
  <c r="AJ245" i="1"/>
  <c r="AO245" i="1"/>
  <c r="AJ135" i="1"/>
  <c r="AO135" i="1"/>
  <c r="AD313" i="1"/>
  <c r="AE313" i="1"/>
  <c r="AK313" i="1"/>
  <c r="AA277" i="1"/>
  <c r="AE277" i="1"/>
  <c r="AP277" i="1"/>
  <c r="AD259" i="1"/>
  <c r="AE259" i="1"/>
  <c r="AA233" i="1"/>
  <c r="AE233" i="1"/>
  <c r="AK233" i="1"/>
  <c r="AD225" i="1"/>
  <c r="AP225" i="1"/>
  <c r="AK225" i="1"/>
  <c r="AE225" i="1"/>
  <c r="AD163" i="1"/>
  <c r="AK163" i="1"/>
  <c r="AP163" i="1"/>
  <c r="AE163" i="1"/>
  <c r="AA129" i="1"/>
  <c r="AE129" i="1"/>
  <c r="AK129" i="1"/>
  <c r="AP129" i="1"/>
  <c r="AO289" i="1"/>
  <c r="AK219" i="1"/>
  <c r="AD95" i="1"/>
  <c r="AD271" i="1"/>
  <c r="AD151" i="1"/>
  <c r="AC242" i="1"/>
  <c r="AC216" i="1"/>
  <c r="AC194" i="1"/>
  <c r="AC160" i="1"/>
  <c r="AC264" i="1"/>
  <c r="AC230" i="1"/>
  <c r="AC198" i="1"/>
  <c r="AC234" i="1"/>
  <c r="AC226" i="1"/>
  <c r="AC220" i="1"/>
  <c r="AC208" i="1"/>
  <c r="AC202" i="1"/>
  <c r="AC190" i="1"/>
  <c r="AC184" i="1"/>
  <c r="AC174" i="1"/>
  <c r="AC164" i="1"/>
  <c r="AC152" i="1"/>
  <c r="AC146" i="1"/>
  <c r="AC136" i="1"/>
  <c r="AC130" i="1"/>
  <c r="AC118" i="1"/>
  <c r="AC110" i="1"/>
  <c r="AC282" i="1"/>
  <c r="AC271" i="1"/>
  <c r="AC244" i="1"/>
  <c r="AC232" i="1"/>
  <c r="AC224" i="1"/>
  <c r="AC218" i="1"/>
  <c r="AC206" i="1"/>
  <c r="AC200" i="1"/>
  <c r="AC188" i="1"/>
  <c r="AC182" i="1"/>
  <c r="AC172" i="1"/>
  <c r="AC162" i="1"/>
  <c r="AC150" i="1"/>
  <c r="AC144" i="1"/>
  <c r="AC134" i="1"/>
  <c r="AC128" i="1"/>
  <c r="AC116" i="1"/>
  <c r="AC108" i="1"/>
  <c r="AC318" i="1"/>
  <c r="AC268" i="1"/>
  <c r="AC286" i="1"/>
  <c r="AD272" i="1"/>
  <c r="AC304" i="1"/>
  <c r="AC314" i="1"/>
  <c r="AC308" i="1"/>
  <c r="AC296" i="1"/>
  <c r="AC290" i="1"/>
  <c r="AC278" i="1"/>
  <c r="AC260" i="1"/>
  <c r="AC252" i="1"/>
  <c r="AC312" i="1"/>
  <c r="AC306" i="1"/>
  <c r="AC294" i="1"/>
  <c r="AC288" i="1"/>
  <c r="AC276" i="1"/>
  <c r="AC270" i="1"/>
  <c r="AC258" i="1"/>
  <c r="AD102" i="1"/>
  <c r="AC317" i="1"/>
  <c r="AC311" i="1"/>
  <c r="AC303" i="1"/>
  <c r="AC299" i="1"/>
  <c r="AC293" i="1"/>
  <c r="AC285" i="1"/>
  <c r="AC281" i="1"/>
  <c r="AC267" i="1"/>
  <c r="AC263" i="1"/>
  <c r="AC255" i="1"/>
  <c r="AC250" i="1"/>
  <c r="AD277" i="1"/>
  <c r="AD233" i="1"/>
  <c r="AD145" i="1"/>
  <c r="AD129" i="1"/>
  <c r="AD117" i="1"/>
  <c r="AD251" i="1"/>
  <c r="AD183" i="1"/>
  <c r="AD295" i="1"/>
  <c r="AD201" i="1"/>
  <c r="AJ291" i="1"/>
  <c r="AO291" i="1"/>
  <c r="AJ253" i="1"/>
  <c r="AO253" i="1"/>
  <c r="AJ175" i="1"/>
  <c r="AO175" i="1"/>
  <c r="AJ147" i="1"/>
  <c r="AO147" i="1"/>
  <c r="AJ119" i="1"/>
  <c r="AO119" i="1"/>
  <c r="AJ103" i="1"/>
  <c r="AO103" i="1"/>
  <c r="AA273" i="1"/>
  <c r="AD273" i="1"/>
  <c r="AE273" i="1"/>
  <c r="AK273" i="1"/>
  <c r="AP273" i="1"/>
  <c r="AA261" i="1"/>
  <c r="AD261" i="1"/>
  <c r="AE261" i="1"/>
  <c r="AK261" i="1"/>
  <c r="AP261" i="1"/>
  <c r="AA235" i="1"/>
  <c r="AD235" i="1"/>
  <c r="AE235" i="1"/>
  <c r="AK235" i="1"/>
  <c r="AP235" i="1"/>
  <c r="AA209" i="1"/>
  <c r="AD209" i="1"/>
  <c r="AE209" i="1"/>
  <c r="AK209" i="1"/>
  <c r="AP209" i="1"/>
  <c r="AA165" i="1"/>
  <c r="AD165" i="1"/>
  <c r="AE165" i="1"/>
  <c r="AK165" i="1"/>
  <c r="AP165" i="1"/>
  <c r="AA97" i="1"/>
  <c r="AD97" i="1"/>
  <c r="AE97" i="1"/>
  <c r="AK97" i="1"/>
  <c r="AP97" i="1"/>
  <c r="AJ315" i="1"/>
  <c r="AO315" i="1"/>
  <c r="AJ279" i="1"/>
  <c r="AO279" i="1"/>
  <c r="AJ221" i="1"/>
  <c r="AO221" i="1"/>
  <c r="AJ185" i="1"/>
  <c r="AO185" i="1"/>
  <c r="AJ165" i="1"/>
  <c r="AO165" i="1"/>
  <c r="AA297" i="1"/>
  <c r="AD297" i="1"/>
  <c r="AE297" i="1"/>
  <c r="AK297" i="1"/>
  <c r="AP297" i="1"/>
  <c r="AA253" i="1"/>
  <c r="AD253" i="1"/>
  <c r="AE253" i="1"/>
  <c r="AK253" i="1"/>
  <c r="AP253" i="1"/>
  <c r="AA203" i="1"/>
  <c r="AD203" i="1"/>
  <c r="AE203" i="1"/>
  <c r="AK203" i="1"/>
  <c r="AP203" i="1"/>
  <c r="AA175" i="1"/>
  <c r="AD175" i="1"/>
  <c r="AE175" i="1"/>
  <c r="AK175" i="1"/>
  <c r="AP175" i="1"/>
  <c r="AA147" i="1"/>
  <c r="AD147" i="1"/>
  <c r="AE147" i="1"/>
  <c r="AK147" i="1"/>
  <c r="AP147" i="1"/>
  <c r="AA111" i="1"/>
  <c r="AD111" i="1"/>
  <c r="AE111" i="1"/>
  <c r="AK111" i="1"/>
  <c r="AP111" i="1"/>
  <c r="AJ273" i="1"/>
  <c r="AO273" i="1"/>
  <c r="AJ261" i="1"/>
  <c r="AO261" i="1"/>
  <c r="AJ203" i="1"/>
  <c r="AO203" i="1"/>
  <c r="AJ131" i="1"/>
  <c r="AO131" i="1"/>
  <c r="AA291" i="1"/>
  <c r="AD291" i="1"/>
  <c r="AE291" i="1"/>
  <c r="AK291" i="1"/>
  <c r="AP291" i="1"/>
  <c r="AA191" i="1"/>
  <c r="AD191" i="1"/>
  <c r="AE191" i="1"/>
  <c r="AK191" i="1"/>
  <c r="AP191" i="1"/>
  <c r="AA119" i="1"/>
  <c r="AD119" i="1"/>
  <c r="AE119" i="1"/>
  <c r="AK119" i="1"/>
  <c r="AP119" i="1"/>
  <c r="AA103" i="1"/>
  <c r="AD103" i="1"/>
  <c r="AE103" i="1"/>
  <c r="AK103" i="1"/>
  <c r="AP103" i="1"/>
  <c r="AJ297" i="1"/>
  <c r="AO297" i="1"/>
  <c r="AJ191" i="1"/>
  <c r="AO191" i="1"/>
  <c r="AJ87" i="1"/>
  <c r="AO87" i="1"/>
  <c r="AA315" i="1"/>
  <c r="AD315" i="1"/>
  <c r="AE315" i="1"/>
  <c r="AK315" i="1"/>
  <c r="AP315" i="1"/>
  <c r="AA279" i="1"/>
  <c r="AD279" i="1"/>
  <c r="AE279" i="1"/>
  <c r="AK279" i="1"/>
  <c r="AP279" i="1"/>
  <c r="AA227" i="1"/>
  <c r="AD227" i="1"/>
  <c r="AE227" i="1"/>
  <c r="AK227" i="1"/>
  <c r="AP227" i="1"/>
  <c r="AA185" i="1"/>
  <c r="AD185" i="1"/>
  <c r="AE185" i="1"/>
  <c r="AK185" i="1"/>
  <c r="AP185" i="1"/>
  <c r="AA131" i="1"/>
  <c r="AD131" i="1"/>
  <c r="AE131" i="1"/>
  <c r="AK131" i="1"/>
  <c r="AP131" i="1"/>
  <c r="AJ137" i="1"/>
  <c r="AO137" i="1"/>
  <c r="AJ111" i="1"/>
  <c r="AO111" i="1"/>
  <c r="AA221" i="1"/>
  <c r="AD221" i="1"/>
  <c r="AE221" i="1"/>
  <c r="AK221" i="1"/>
  <c r="AP221" i="1"/>
  <c r="AA153" i="1"/>
  <c r="AD153" i="1"/>
  <c r="AE153" i="1"/>
  <c r="AK153" i="1"/>
  <c r="AP153" i="1"/>
  <c r="AJ309" i="1"/>
  <c r="AO309" i="1"/>
  <c r="AJ235" i="1"/>
  <c r="AO235" i="1"/>
  <c r="AJ227" i="1"/>
  <c r="AO227" i="1"/>
  <c r="AJ209" i="1"/>
  <c r="AO209" i="1"/>
  <c r="AJ153" i="1"/>
  <c r="AO153" i="1"/>
  <c r="AJ97" i="1"/>
  <c r="AO97" i="1"/>
  <c r="AA309" i="1"/>
  <c r="AD309" i="1"/>
  <c r="AE309" i="1"/>
  <c r="AK309" i="1"/>
  <c r="AP309" i="1"/>
  <c r="AA137" i="1"/>
  <c r="AD137" i="1"/>
  <c r="AE137" i="1"/>
  <c r="AK137" i="1"/>
  <c r="AP137" i="1"/>
  <c r="AA87" i="1"/>
  <c r="AD87" i="1"/>
  <c r="AE87" i="1"/>
  <c r="AK87" i="1"/>
  <c r="AP87" i="1"/>
  <c r="AL207" i="1" l="1"/>
  <c r="AM207" i="1" s="1"/>
  <c r="AQ104" i="1"/>
  <c r="AR104" i="1" s="1"/>
  <c r="AQ102" i="1"/>
  <c r="AR102" i="1" s="1"/>
  <c r="AL102" i="1"/>
  <c r="AM102" i="1" s="1"/>
  <c r="AF115" i="1"/>
  <c r="AL104" i="1"/>
  <c r="AM104" i="1" s="1"/>
  <c r="AQ101" i="1"/>
  <c r="AR101" i="1" s="1"/>
  <c r="AQ209" i="1"/>
  <c r="AR209" i="1" s="1"/>
  <c r="AQ124" i="1"/>
  <c r="AR124" i="1" s="1"/>
  <c r="AL213" i="1"/>
  <c r="AM213" i="1" s="1"/>
  <c r="AL101" i="1"/>
  <c r="AM101" i="1" s="1"/>
  <c r="AQ105" i="1"/>
  <c r="AR105" i="1" s="1"/>
  <c r="AL105" i="1"/>
  <c r="AM105" i="1" s="1"/>
  <c r="AQ100" i="1"/>
  <c r="AR100" i="1" s="1"/>
  <c r="AL106" i="1"/>
  <c r="AM106" i="1" s="1"/>
  <c r="AQ103" i="1"/>
  <c r="AR103" i="1" s="1"/>
  <c r="AL103" i="1"/>
  <c r="AM103" i="1" s="1"/>
  <c r="AL100" i="1"/>
  <c r="AM100" i="1" s="1"/>
  <c r="AQ106" i="1"/>
  <c r="AR106" i="1" s="1"/>
  <c r="AL107" i="1"/>
  <c r="AM107" i="1" s="1"/>
  <c r="AQ107" i="1"/>
  <c r="AR107" i="1" s="1"/>
  <c r="AL139" i="1"/>
  <c r="AM139" i="1" s="1"/>
  <c r="AQ139" i="1"/>
  <c r="AR139" i="1" s="1"/>
  <c r="AQ129" i="1"/>
  <c r="AR129" i="1" s="1"/>
  <c r="AL209" i="1"/>
  <c r="AM209" i="1" s="1"/>
  <c r="AL133" i="1"/>
  <c r="AM133" i="1" s="1"/>
  <c r="AQ207" i="1"/>
  <c r="AR207" i="1" s="1"/>
  <c r="AL211" i="1"/>
  <c r="AM211" i="1" s="1"/>
  <c r="AQ211" i="1"/>
  <c r="AR211" i="1" s="1"/>
  <c r="AQ210" i="1"/>
  <c r="AR210" i="1" s="1"/>
  <c r="AL210" i="1"/>
  <c r="AM210" i="1" s="1"/>
  <c r="AQ137" i="1"/>
  <c r="AR137" i="1" s="1"/>
  <c r="AL137" i="1"/>
  <c r="AM137" i="1" s="1"/>
  <c r="AQ208" i="1"/>
  <c r="AR208" i="1" s="1"/>
  <c r="AQ212" i="1"/>
  <c r="AR212" i="1" s="1"/>
  <c r="AQ206" i="1"/>
  <c r="AR206" i="1" s="1"/>
  <c r="AL212" i="1"/>
  <c r="AM212" i="1" s="1"/>
  <c r="AL206" i="1"/>
  <c r="AM206" i="1" s="1"/>
  <c r="AQ213" i="1"/>
  <c r="AR213" i="1" s="1"/>
  <c r="AL208" i="1"/>
  <c r="AM208" i="1" s="1"/>
  <c r="AQ133" i="1"/>
  <c r="AR133" i="1" s="1"/>
  <c r="AQ138" i="1"/>
  <c r="AR138" i="1" s="1"/>
  <c r="AL135" i="1"/>
  <c r="AM135" i="1" s="1"/>
  <c r="AL138" i="1"/>
  <c r="AM138" i="1" s="1"/>
  <c r="AQ135" i="1"/>
  <c r="AR135" i="1" s="1"/>
  <c r="AQ121" i="1"/>
  <c r="AR121" i="1" s="1"/>
  <c r="AL121" i="1"/>
  <c r="AM121" i="1" s="1"/>
  <c r="AF84" i="1"/>
  <c r="AL120" i="1"/>
  <c r="AM120" i="1" s="1"/>
  <c r="AL129" i="1"/>
  <c r="AM129" i="1" s="1"/>
  <c r="AL124" i="1"/>
  <c r="AM124" i="1" s="1"/>
  <c r="AQ119" i="1"/>
  <c r="AR119" i="1" s="1"/>
  <c r="AL119" i="1"/>
  <c r="AM119" i="1" s="1"/>
  <c r="AL117" i="1"/>
  <c r="AM117" i="1" s="1"/>
  <c r="AQ122" i="1"/>
  <c r="AR122" i="1" s="1"/>
  <c r="AQ123" i="1"/>
  <c r="AR123" i="1" s="1"/>
  <c r="AL122" i="1"/>
  <c r="AM122" i="1" s="1"/>
  <c r="AQ116" i="1"/>
  <c r="AR116" i="1" s="1"/>
  <c r="AQ118" i="1"/>
  <c r="AR118" i="1" s="1"/>
  <c r="AQ117" i="1"/>
  <c r="AR117" i="1" s="1"/>
  <c r="AL123" i="1"/>
  <c r="AM123" i="1" s="1"/>
  <c r="AQ120" i="1"/>
  <c r="AR120" i="1" s="1"/>
  <c r="AL118" i="1"/>
  <c r="AM118" i="1" s="1"/>
  <c r="AL116" i="1"/>
  <c r="AM116" i="1" s="1"/>
  <c r="AL136" i="1"/>
  <c r="AM136" i="1" s="1"/>
  <c r="AQ136" i="1"/>
  <c r="AR136" i="1" s="1"/>
  <c r="AL134" i="1"/>
  <c r="AM134" i="1" s="1"/>
  <c r="AQ134" i="1"/>
  <c r="AR134" i="1" s="1"/>
  <c r="AL127" i="1"/>
  <c r="AM127" i="1" s="1"/>
  <c r="AQ125" i="1"/>
  <c r="AR125" i="1" s="1"/>
  <c r="AL125" i="1"/>
  <c r="AM125" i="1" s="1"/>
  <c r="AQ131" i="1"/>
  <c r="AR131" i="1" s="1"/>
  <c r="AL131" i="1"/>
  <c r="AM131" i="1" s="1"/>
  <c r="AL130" i="1"/>
  <c r="AM130" i="1" s="1"/>
  <c r="AQ130" i="1"/>
  <c r="AR130" i="1" s="1"/>
  <c r="AQ128" i="1"/>
  <c r="AR128" i="1" s="1"/>
  <c r="AQ127" i="1"/>
  <c r="AR127" i="1" s="1"/>
  <c r="AQ132" i="1"/>
  <c r="AR132" i="1" s="1"/>
  <c r="AQ126" i="1"/>
  <c r="AR126" i="1" s="1"/>
  <c r="AL128" i="1"/>
  <c r="AM128" i="1" s="1"/>
  <c r="AL126" i="1"/>
  <c r="AM126" i="1" s="1"/>
  <c r="AL132" i="1"/>
  <c r="AM132" i="1" s="1"/>
  <c r="AQ144" i="1"/>
  <c r="AR144" i="1" s="1"/>
  <c r="AQ159" i="1"/>
  <c r="AR159" i="1" s="1"/>
  <c r="AL173" i="1"/>
  <c r="AM173" i="1" s="1"/>
  <c r="AQ173" i="1"/>
  <c r="AR173" i="1" s="1"/>
  <c r="AF182" i="1"/>
  <c r="AQ86" i="1"/>
  <c r="AR86" i="1" s="1"/>
  <c r="AL86" i="1"/>
  <c r="AM86" i="1" s="1"/>
  <c r="AF239" i="1"/>
  <c r="AQ156" i="1"/>
  <c r="AR156" i="1" s="1"/>
  <c r="AF301" i="1"/>
  <c r="AL85" i="1"/>
  <c r="AM85" i="1" s="1"/>
  <c r="AQ223" i="1"/>
  <c r="AR223" i="1" s="1"/>
  <c r="AF143" i="1"/>
  <c r="AF194" i="1"/>
  <c r="AQ175" i="1"/>
  <c r="AR175" i="1" s="1"/>
  <c r="AL313" i="1"/>
  <c r="AM313" i="1" s="1"/>
  <c r="AL228" i="1"/>
  <c r="AM228" i="1" s="1"/>
  <c r="AQ228" i="1"/>
  <c r="AR228" i="1" s="1"/>
  <c r="AL175" i="1"/>
  <c r="AM175" i="1" s="1"/>
  <c r="AQ313" i="1"/>
  <c r="AR313" i="1" s="1"/>
  <c r="AL259" i="1"/>
  <c r="AM259" i="1" s="1"/>
  <c r="AL169" i="1"/>
  <c r="AM169" i="1" s="1"/>
  <c r="AF199" i="1"/>
  <c r="AL279" i="1"/>
  <c r="AM279" i="1" s="1"/>
  <c r="AL200" i="1"/>
  <c r="AM200" i="1" s="1"/>
  <c r="AF172" i="1"/>
  <c r="AQ279" i="1"/>
  <c r="AR279" i="1" s="1"/>
  <c r="AL298" i="1"/>
  <c r="AM298" i="1" s="1"/>
  <c r="AL147" i="1"/>
  <c r="AM147" i="1" s="1"/>
  <c r="AQ140" i="1"/>
  <c r="AR140" i="1" s="1"/>
  <c r="AL215" i="1"/>
  <c r="AM215" i="1" s="1"/>
  <c r="AL295" i="1"/>
  <c r="AM295" i="1" s="1"/>
  <c r="AL82" i="1"/>
  <c r="AM82" i="1" s="1"/>
  <c r="AQ295" i="1"/>
  <c r="AR295" i="1" s="1"/>
  <c r="AQ215" i="1"/>
  <c r="AR215" i="1" s="1"/>
  <c r="AQ169" i="1"/>
  <c r="AR169" i="1" s="1"/>
  <c r="AQ298" i="1"/>
  <c r="AR298" i="1" s="1"/>
  <c r="AL80" i="1"/>
  <c r="AM80" i="1" s="1"/>
  <c r="AL219" i="1"/>
  <c r="AM219" i="1" s="1"/>
  <c r="AQ221" i="1"/>
  <c r="AR221" i="1" s="1"/>
  <c r="AQ141" i="1"/>
  <c r="AR141" i="1" s="1"/>
  <c r="AL221" i="1"/>
  <c r="AM221" i="1" s="1"/>
  <c r="AQ219" i="1"/>
  <c r="AR219" i="1" s="1"/>
  <c r="AQ89" i="1"/>
  <c r="AR89" i="1" s="1"/>
  <c r="AL89" i="1"/>
  <c r="AM89" i="1" s="1"/>
  <c r="AF141" i="1"/>
  <c r="AF244" i="1"/>
  <c r="AF81" i="1"/>
  <c r="AF122" i="1"/>
  <c r="AF318" i="1"/>
  <c r="AQ289" i="1"/>
  <c r="AR289" i="1" s="1"/>
  <c r="AQ205" i="1"/>
  <c r="AR205" i="1" s="1"/>
  <c r="AL205" i="1"/>
  <c r="AM205" i="1" s="1"/>
  <c r="AL88" i="1"/>
  <c r="AM88" i="1" s="1"/>
  <c r="AL302" i="1"/>
  <c r="AM302" i="1" s="1"/>
  <c r="AQ302" i="1"/>
  <c r="AR302" i="1" s="1"/>
  <c r="AF188" i="1"/>
  <c r="AL176" i="1"/>
  <c r="AM176" i="1" s="1"/>
  <c r="AQ88" i="1"/>
  <c r="AR88" i="1" s="1"/>
  <c r="AQ165" i="1"/>
  <c r="AR165" i="1" s="1"/>
  <c r="AL307" i="1"/>
  <c r="AM307" i="1" s="1"/>
  <c r="AL223" i="1"/>
  <c r="AM223" i="1" s="1"/>
  <c r="AL292" i="1"/>
  <c r="AM292" i="1" s="1"/>
  <c r="AQ307" i="1"/>
  <c r="AR307" i="1" s="1"/>
  <c r="AQ85" i="1"/>
  <c r="AR85" i="1" s="1"/>
  <c r="AQ259" i="1"/>
  <c r="AR259" i="1" s="1"/>
  <c r="AL177" i="1"/>
  <c r="AM177" i="1" s="1"/>
  <c r="AQ292" i="1"/>
  <c r="AR292" i="1" s="1"/>
  <c r="AQ177" i="1"/>
  <c r="AR177" i="1" s="1"/>
  <c r="AL300" i="1"/>
  <c r="AM300" i="1" s="1"/>
  <c r="AQ299" i="1"/>
  <c r="AR299" i="1" s="1"/>
  <c r="AQ301" i="1"/>
  <c r="AR301" i="1" s="1"/>
  <c r="AL301" i="1"/>
  <c r="AM301" i="1" s="1"/>
  <c r="AQ300" i="1"/>
  <c r="AR300" i="1" s="1"/>
  <c r="AL299" i="1"/>
  <c r="AM299" i="1" s="1"/>
  <c r="AQ297" i="1"/>
  <c r="AR297" i="1" s="1"/>
  <c r="AL297" i="1"/>
  <c r="AM297" i="1" s="1"/>
  <c r="AQ296" i="1"/>
  <c r="AR296" i="1" s="1"/>
  <c r="AL296" i="1"/>
  <c r="AM296" i="1" s="1"/>
  <c r="AL294" i="1"/>
  <c r="AM294" i="1" s="1"/>
  <c r="AQ294" i="1"/>
  <c r="AR294" i="1" s="1"/>
  <c r="AQ309" i="1"/>
  <c r="AR309" i="1" s="1"/>
  <c r="AL227" i="1"/>
  <c r="AM227" i="1" s="1"/>
  <c r="AL235" i="1"/>
  <c r="AM235" i="1" s="1"/>
  <c r="AL309" i="1"/>
  <c r="AM309" i="1" s="1"/>
  <c r="AQ227" i="1"/>
  <c r="AR227" i="1" s="1"/>
  <c r="AQ235" i="1"/>
  <c r="AR235" i="1" s="1"/>
  <c r="AF250" i="1"/>
  <c r="AL165" i="1"/>
  <c r="AM165" i="1" s="1"/>
  <c r="AL251" i="1"/>
  <c r="AM251" i="1" s="1"/>
  <c r="AL159" i="1"/>
  <c r="AM159" i="1" s="1"/>
  <c r="AF128" i="1"/>
  <c r="AQ163" i="1"/>
  <c r="AR163" i="1" s="1"/>
  <c r="AQ251" i="1"/>
  <c r="AR251" i="1" s="1"/>
  <c r="AL163" i="1"/>
  <c r="AM163" i="1" s="1"/>
  <c r="AQ197" i="1"/>
  <c r="AR197" i="1" s="1"/>
  <c r="AL197" i="1"/>
  <c r="AM197" i="1" s="1"/>
  <c r="AQ277" i="1"/>
  <c r="AR277" i="1" s="1"/>
  <c r="AF276" i="1"/>
  <c r="AQ315" i="1"/>
  <c r="AR315" i="1" s="1"/>
  <c r="AL201" i="1"/>
  <c r="AM201" i="1" s="1"/>
  <c r="AL315" i="1"/>
  <c r="AM315" i="1" s="1"/>
  <c r="AQ167" i="1"/>
  <c r="AR167" i="1" s="1"/>
  <c r="AQ201" i="1"/>
  <c r="AR201" i="1" s="1"/>
  <c r="AL167" i="1"/>
  <c r="AM167" i="1" s="1"/>
  <c r="AQ203" i="1"/>
  <c r="AR203" i="1" s="1"/>
  <c r="AL203" i="1"/>
  <c r="AM203" i="1" s="1"/>
  <c r="AL217" i="1"/>
  <c r="AM217" i="1" s="1"/>
  <c r="AL272" i="1"/>
  <c r="AM272" i="1" s="1"/>
  <c r="AQ272" i="1"/>
  <c r="AR272" i="1" s="1"/>
  <c r="AL254" i="1"/>
  <c r="AM254" i="1" s="1"/>
  <c r="AQ254" i="1"/>
  <c r="AR254" i="1" s="1"/>
  <c r="AF206" i="1"/>
  <c r="AF162" i="1"/>
  <c r="AF224" i="1"/>
  <c r="AQ90" i="1"/>
  <c r="AR90" i="1" s="1"/>
  <c r="AL92" i="1"/>
  <c r="AM92" i="1" s="1"/>
  <c r="AL193" i="1"/>
  <c r="AM193" i="1" s="1"/>
  <c r="AL189" i="1"/>
  <c r="AM189" i="1" s="1"/>
  <c r="AL225" i="1"/>
  <c r="AM225" i="1" s="1"/>
  <c r="AQ189" i="1"/>
  <c r="AR189" i="1" s="1"/>
  <c r="AQ193" i="1"/>
  <c r="AR193" i="1" s="1"/>
  <c r="AL166" i="1"/>
  <c r="AM166" i="1" s="1"/>
  <c r="AQ97" i="1"/>
  <c r="AR97" i="1" s="1"/>
  <c r="AQ225" i="1"/>
  <c r="AR225" i="1" s="1"/>
  <c r="AL274" i="1"/>
  <c r="AM274" i="1" s="1"/>
  <c r="AL280" i="1"/>
  <c r="AM280" i="1" s="1"/>
  <c r="AQ166" i="1"/>
  <c r="AR166" i="1" s="1"/>
  <c r="AL97" i="1"/>
  <c r="AM97" i="1" s="1"/>
  <c r="AL236" i="1"/>
  <c r="AM236" i="1" s="1"/>
  <c r="AQ280" i="1"/>
  <c r="AR280" i="1" s="1"/>
  <c r="AL277" i="1"/>
  <c r="AM277" i="1" s="1"/>
  <c r="AL141" i="1"/>
  <c r="AM141" i="1" s="1"/>
  <c r="AQ273" i="1"/>
  <c r="AR273" i="1" s="1"/>
  <c r="AQ109" i="1"/>
  <c r="AR109" i="1" s="1"/>
  <c r="AQ99" i="1"/>
  <c r="AR99" i="1" s="1"/>
  <c r="AQ158" i="1"/>
  <c r="AR158" i="1" s="1"/>
  <c r="AL273" i="1"/>
  <c r="AM273" i="1" s="1"/>
  <c r="AL109" i="1"/>
  <c r="AM109" i="1" s="1"/>
  <c r="AL245" i="1"/>
  <c r="AM245" i="1" s="1"/>
  <c r="AL99" i="1"/>
  <c r="AM99" i="1" s="1"/>
  <c r="AQ229" i="1"/>
  <c r="AR229" i="1" s="1"/>
  <c r="AQ236" i="1"/>
  <c r="AR236" i="1" s="1"/>
  <c r="AQ245" i="1"/>
  <c r="AR245" i="1" s="1"/>
  <c r="AL229" i="1"/>
  <c r="AM229" i="1" s="1"/>
  <c r="AF198" i="1"/>
  <c r="AF270" i="1"/>
  <c r="AQ195" i="1"/>
  <c r="AR195" i="1" s="1"/>
  <c r="AQ217" i="1"/>
  <c r="AR217" i="1" s="1"/>
  <c r="AQ92" i="1"/>
  <c r="AR92" i="1" s="1"/>
  <c r="AQ181" i="1"/>
  <c r="AR181" i="1" s="1"/>
  <c r="AL275" i="1"/>
  <c r="AM275" i="1" s="1"/>
  <c r="AQ261" i="1"/>
  <c r="AR261" i="1" s="1"/>
  <c r="AL241" i="1"/>
  <c r="AM241" i="1" s="1"/>
  <c r="AL261" i="1"/>
  <c r="AM261" i="1" s="1"/>
  <c r="AF295" i="1"/>
  <c r="AQ196" i="1"/>
  <c r="AR196" i="1" s="1"/>
  <c r="AQ187" i="1"/>
  <c r="AR187" i="1" s="1"/>
  <c r="AQ241" i="1"/>
  <c r="AR241" i="1" s="1"/>
  <c r="AL187" i="1"/>
  <c r="AM187" i="1" s="1"/>
  <c r="AQ275" i="1"/>
  <c r="AR275" i="1" s="1"/>
  <c r="AF242" i="1"/>
  <c r="AL87" i="1"/>
  <c r="AM87" i="1" s="1"/>
  <c r="AQ291" i="1"/>
  <c r="AR291" i="1" s="1"/>
  <c r="AL218" i="1"/>
  <c r="AM218" i="1" s="1"/>
  <c r="AQ95" i="1"/>
  <c r="AR95" i="1" s="1"/>
  <c r="AL179" i="1"/>
  <c r="AM179" i="1" s="1"/>
  <c r="AL237" i="1"/>
  <c r="AM237" i="1" s="1"/>
  <c r="AL140" i="1"/>
  <c r="AM140" i="1" s="1"/>
  <c r="AL192" i="1"/>
  <c r="AM192" i="1" s="1"/>
  <c r="AL112" i="1"/>
  <c r="AM112" i="1" s="1"/>
  <c r="AL291" i="1"/>
  <c r="AM291" i="1" s="1"/>
  <c r="AL95" i="1"/>
  <c r="AM95" i="1" s="1"/>
  <c r="AQ149" i="1"/>
  <c r="AR149" i="1" s="1"/>
  <c r="AQ192" i="1"/>
  <c r="AR192" i="1" s="1"/>
  <c r="AL316" i="1"/>
  <c r="AM316" i="1" s="1"/>
  <c r="AL233" i="1"/>
  <c r="AM233" i="1" s="1"/>
  <c r="AQ113" i="1"/>
  <c r="AR113" i="1" s="1"/>
  <c r="AL149" i="1"/>
  <c r="AM149" i="1" s="1"/>
  <c r="AL113" i="1"/>
  <c r="AM113" i="1" s="1"/>
  <c r="AL90" i="1"/>
  <c r="AM90" i="1" s="1"/>
  <c r="AQ82" i="1"/>
  <c r="AR82" i="1" s="1"/>
  <c r="AL145" i="1"/>
  <c r="AM145" i="1" s="1"/>
  <c r="AL96" i="1"/>
  <c r="AM96" i="1" s="1"/>
  <c r="AQ87" i="1"/>
  <c r="AR87" i="1" s="1"/>
  <c r="AF106" i="1"/>
  <c r="AQ145" i="1"/>
  <c r="AR145" i="1" s="1"/>
  <c r="AQ179" i="1"/>
  <c r="AR179" i="1" s="1"/>
  <c r="AQ237" i="1"/>
  <c r="AR237" i="1" s="1"/>
  <c r="AQ316" i="1"/>
  <c r="AR316" i="1" s="1"/>
  <c r="AQ112" i="1"/>
  <c r="AR112" i="1" s="1"/>
  <c r="AQ96" i="1"/>
  <c r="AR96" i="1" s="1"/>
  <c r="AF306" i="1"/>
  <c r="AL284" i="1"/>
  <c r="AM284" i="1" s="1"/>
  <c r="AQ284" i="1"/>
  <c r="AR284" i="1" s="1"/>
  <c r="AF226" i="1"/>
  <c r="AL289" i="1"/>
  <c r="AM289" i="1" s="1"/>
  <c r="AQ80" i="1"/>
  <c r="AR80" i="1" s="1"/>
  <c r="AL278" i="1"/>
  <c r="AM278" i="1" s="1"/>
  <c r="AL151" i="1"/>
  <c r="AM151" i="1" s="1"/>
  <c r="AL195" i="1"/>
  <c r="AM195" i="1" s="1"/>
  <c r="AF99" i="1"/>
  <c r="AF181" i="1"/>
  <c r="AL83" i="1"/>
  <c r="AM83" i="1" s="1"/>
  <c r="AQ155" i="1"/>
  <c r="AR155" i="1" s="1"/>
  <c r="AL196" i="1"/>
  <c r="AM196" i="1" s="1"/>
  <c r="AL155" i="1"/>
  <c r="AM155" i="1" s="1"/>
  <c r="AF120" i="1"/>
  <c r="AQ98" i="1"/>
  <c r="AR98" i="1" s="1"/>
  <c r="AQ183" i="1"/>
  <c r="AR183" i="1" s="1"/>
  <c r="AQ253" i="1"/>
  <c r="AR253" i="1" s="1"/>
  <c r="AF138" i="1"/>
  <c r="AL98" i="1"/>
  <c r="AM98" i="1" s="1"/>
  <c r="AQ185" i="1"/>
  <c r="AR185" i="1" s="1"/>
  <c r="AL253" i="1"/>
  <c r="AM253" i="1" s="1"/>
  <c r="AF144" i="1"/>
  <c r="AL185" i="1"/>
  <c r="AM185" i="1" s="1"/>
  <c r="AL183" i="1"/>
  <c r="AM183" i="1" s="1"/>
  <c r="AL91" i="1"/>
  <c r="AM91" i="1" s="1"/>
  <c r="AF304" i="1"/>
  <c r="AQ91" i="1"/>
  <c r="AR91" i="1" s="1"/>
  <c r="AQ111" i="1"/>
  <c r="AR111" i="1" s="1"/>
  <c r="AL111" i="1"/>
  <c r="AM111" i="1" s="1"/>
  <c r="AQ115" i="1"/>
  <c r="AR115" i="1" s="1"/>
  <c r="AL115" i="1"/>
  <c r="AM115" i="1" s="1"/>
  <c r="AL114" i="1"/>
  <c r="AM114" i="1" s="1"/>
  <c r="AQ114" i="1"/>
  <c r="AR114" i="1" s="1"/>
  <c r="AL110" i="1"/>
  <c r="AM110" i="1" s="1"/>
  <c r="AQ110" i="1"/>
  <c r="AR110" i="1" s="1"/>
  <c r="AL108" i="1"/>
  <c r="AM108" i="1" s="1"/>
  <c r="AQ108" i="1"/>
  <c r="AR108" i="1" s="1"/>
  <c r="AL243" i="1"/>
  <c r="AM243" i="1" s="1"/>
  <c r="AQ243" i="1"/>
  <c r="AR243" i="1" s="1"/>
  <c r="AL244" i="1"/>
  <c r="AM244" i="1" s="1"/>
  <c r="AQ244" i="1"/>
  <c r="AR244" i="1" s="1"/>
  <c r="AQ242" i="1"/>
  <c r="AR242" i="1" s="1"/>
  <c r="AL242" i="1"/>
  <c r="AM242" i="1" s="1"/>
  <c r="AL240" i="1"/>
  <c r="AM240" i="1" s="1"/>
  <c r="AQ240" i="1"/>
  <c r="AR240" i="1" s="1"/>
  <c r="AQ283" i="1"/>
  <c r="AR283" i="1" s="1"/>
  <c r="AQ282" i="1"/>
  <c r="AR282" i="1" s="1"/>
  <c r="AL283" i="1"/>
  <c r="AM283" i="1" s="1"/>
  <c r="AQ281" i="1"/>
  <c r="AR281" i="1" s="1"/>
  <c r="AL282" i="1"/>
  <c r="AM282" i="1" s="1"/>
  <c r="AL281" i="1"/>
  <c r="AM281" i="1" s="1"/>
  <c r="AQ278" i="1"/>
  <c r="AR278" i="1" s="1"/>
  <c r="AL276" i="1"/>
  <c r="AM276" i="1" s="1"/>
  <c r="AQ276" i="1"/>
  <c r="AR276" i="1" s="1"/>
  <c r="AQ317" i="1"/>
  <c r="AR317" i="1" s="1"/>
  <c r="AQ314" i="1"/>
  <c r="AR314" i="1" s="1"/>
  <c r="AL312" i="1"/>
  <c r="AM312" i="1" s="1"/>
  <c r="AL319" i="1"/>
  <c r="AM319" i="1" s="1"/>
  <c r="AL317" i="1"/>
  <c r="AM317" i="1" s="1"/>
  <c r="AL318" i="1"/>
  <c r="AM318" i="1" s="1"/>
  <c r="AQ319" i="1"/>
  <c r="AR319" i="1" s="1"/>
  <c r="AQ318" i="1"/>
  <c r="AR318" i="1" s="1"/>
  <c r="AL314" i="1"/>
  <c r="AM314" i="1" s="1"/>
  <c r="AF312" i="1"/>
  <c r="AQ312" i="1"/>
  <c r="AR312" i="1" s="1"/>
  <c r="AL310" i="1"/>
  <c r="AM310" i="1" s="1"/>
  <c r="AQ311" i="1"/>
  <c r="AR311" i="1" s="1"/>
  <c r="AQ310" i="1"/>
  <c r="AR310" i="1" s="1"/>
  <c r="AL311" i="1"/>
  <c r="AM311" i="1" s="1"/>
  <c r="AL308" i="1"/>
  <c r="AM308" i="1" s="1"/>
  <c r="AQ308" i="1"/>
  <c r="AR308" i="1" s="1"/>
  <c r="AQ306" i="1"/>
  <c r="AR306" i="1" s="1"/>
  <c r="AL306" i="1"/>
  <c r="AM306" i="1" s="1"/>
  <c r="AL304" i="1"/>
  <c r="AM304" i="1" s="1"/>
  <c r="AQ303" i="1"/>
  <c r="AR303" i="1" s="1"/>
  <c r="AL305" i="1"/>
  <c r="AM305" i="1" s="1"/>
  <c r="AQ304" i="1"/>
  <c r="AR304" i="1" s="1"/>
  <c r="AL303" i="1"/>
  <c r="AM303" i="1" s="1"/>
  <c r="AQ305" i="1"/>
  <c r="AR305" i="1" s="1"/>
  <c r="AL293" i="1"/>
  <c r="AM293" i="1" s="1"/>
  <c r="AQ293" i="1"/>
  <c r="AR293" i="1" s="1"/>
  <c r="AL286" i="1"/>
  <c r="AM286" i="1" s="1"/>
  <c r="AQ290" i="1"/>
  <c r="AR290" i="1" s="1"/>
  <c r="AL290" i="1"/>
  <c r="AM290" i="1" s="1"/>
  <c r="AL288" i="1"/>
  <c r="AM288" i="1" s="1"/>
  <c r="AQ288" i="1"/>
  <c r="AR288" i="1" s="1"/>
  <c r="AL287" i="1"/>
  <c r="AM287" i="1" s="1"/>
  <c r="AQ285" i="1"/>
  <c r="AR285" i="1" s="1"/>
  <c r="AQ286" i="1"/>
  <c r="AR286" i="1" s="1"/>
  <c r="AQ287" i="1"/>
  <c r="AR287" i="1" s="1"/>
  <c r="AL285" i="1"/>
  <c r="AM285" i="1" s="1"/>
  <c r="AQ271" i="1"/>
  <c r="AR271" i="1" s="1"/>
  <c r="AL271" i="1"/>
  <c r="AM271" i="1" s="1"/>
  <c r="AQ274" i="1"/>
  <c r="AR274" i="1" s="1"/>
  <c r="AQ270" i="1"/>
  <c r="AR270" i="1" s="1"/>
  <c r="AL270" i="1"/>
  <c r="AM270" i="1" s="1"/>
  <c r="AL269" i="1"/>
  <c r="AM269" i="1" s="1"/>
  <c r="AQ269" i="1"/>
  <c r="AR269" i="1" s="1"/>
  <c r="AQ267" i="1"/>
  <c r="AR267" i="1" s="1"/>
  <c r="AL267" i="1"/>
  <c r="AM267" i="1" s="1"/>
  <c r="AL268" i="1"/>
  <c r="AM268" i="1" s="1"/>
  <c r="AQ268" i="1"/>
  <c r="AR268" i="1" s="1"/>
  <c r="AQ266" i="1"/>
  <c r="AR266" i="1" s="1"/>
  <c r="AL266" i="1"/>
  <c r="AM266" i="1" s="1"/>
  <c r="AQ265" i="1"/>
  <c r="AR265" i="1" s="1"/>
  <c r="AL265" i="1"/>
  <c r="AM265" i="1" s="1"/>
  <c r="AL264" i="1"/>
  <c r="AM264" i="1" s="1"/>
  <c r="AL263" i="1"/>
  <c r="AM263" i="1" s="1"/>
  <c r="AQ264" i="1"/>
  <c r="AR264" i="1" s="1"/>
  <c r="AQ263" i="1"/>
  <c r="AR263" i="1" s="1"/>
  <c r="AQ262" i="1"/>
  <c r="AR262" i="1" s="1"/>
  <c r="AL262" i="1"/>
  <c r="AM262" i="1" s="1"/>
  <c r="AL260" i="1"/>
  <c r="AM260" i="1" s="1"/>
  <c r="AQ260" i="1"/>
  <c r="AR260" i="1" s="1"/>
  <c r="AL258" i="1"/>
  <c r="AM258" i="1" s="1"/>
  <c r="AQ258" i="1"/>
  <c r="AR258" i="1" s="1"/>
  <c r="AQ257" i="1"/>
  <c r="AR257" i="1" s="1"/>
  <c r="AQ255" i="1"/>
  <c r="AR255" i="1" s="1"/>
  <c r="AL257" i="1"/>
  <c r="AM257" i="1" s="1"/>
  <c r="AL255" i="1"/>
  <c r="AM255" i="1" s="1"/>
  <c r="AL256" i="1"/>
  <c r="AM256" i="1" s="1"/>
  <c r="AQ256" i="1"/>
  <c r="AR256" i="1" s="1"/>
  <c r="AL252" i="1"/>
  <c r="AM252" i="1" s="1"/>
  <c r="AQ252" i="1"/>
  <c r="AR252" i="1" s="1"/>
  <c r="AL250" i="1"/>
  <c r="AM250" i="1" s="1"/>
  <c r="AQ250" i="1"/>
  <c r="AR250" i="1" s="1"/>
  <c r="AL239" i="1"/>
  <c r="AM239" i="1" s="1"/>
  <c r="AQ238" i="1"/>
  <c r="AR238" i="1" s="1"/>
  <c r="AQ233" i="1"/>
  <c r="AR233" i="1" s="1"/>
  <c r="AF232" i="1"/>
  <c r="AL238" i="1"/>
  <c r="AM238" i="1" s="1"/>
  <c r="AQ239" i="1"/>
  <c r="AR239" i="1" s="1"/>
  <c r="AQ234" i="1"/>
  <c r="AR234" i="1" s="1"/>
  <c r="AL234" i="1"/>
  <c r="AM234" i="1" s="1"/>
  <c r="AL232" i="1"/>
  <c r="AM232" i="1" s="1"/>
  <c r="AQ232" i="1"/>
  <c r="AR232" i="1" s="1"/>
  <c r="AQ226" i="1"/>
  <c r="AR226" i="1" s="1"/>
  <c r="AL231" i="1"/>
  <c r="AM231" i="1" s="1"/>
  <c r="AQ224" i="1"/>
  <c r="AR224" i="1" s="1"/>
  <c r="AL94" i="1"/>
  <c r="AM94" i="1" s="1"/>
  <c r="AL226" i="1"/>
  <c r="AM226" i="1" s="1"/>
  <c r="AL161" i="1"/>
  <c r="AM161" i="1" s="1"/>
  <c r="AQ231" i="1"/>
  <c r="AR231" i="1" s="1"/>
  <c r="AQ94" i="1"/>
  <c r="AR94" i="1" s="1"/>
  <c r="AL93" i="1"/>
  <c r="AM93" i="1" s="1"/>
  <c r="AL230" i="1"/>
  <c r="AM230" i="1" s="1"/>
  <c r="AL171" i="1"/>
  <c r="AM171" i="1" s="1"/>
  <c r="AQ93" i="1"/>
  <c r="AR93" i="1" s="1"/>
  <c r="AF100" i="1"/>
  <c r="AF288" i="1"/>
  <c r="AL222" i="1"/>
  <c r="AM222" i="1" s="1"/>
  <c r="AL224" i="1"/>
  <c r="AM224" i="1" s="1"/>
  <c r="AQ230" i="1"/>
  <c r="AR230" i="1" s="1"/>
  <c r="AF294" i="1"/>
  <c r="AQ222" i="1"/>
  <c r="AR222" i="1" s="1"/>
  <c r="AQ220" i="1"/>
  <c r="AR220" i="1" s="1"/>
  <c r="AL220" i="1"/>
  <c r="AM220" i="1" s="1"/>
  <c r="AF218" i="1"/>
  <c r="AQ218" i="1"/>
  <c r="AR218" i="1" s="1"/>
  <c r="AL216" i="1"/>
  <c r="AM216" i="1" s="1"/>
  <c r="AQ216" i="1"/>
  <c r="AR216" i="1" s="1"/>
  <c r="AL214" i="1"/>
  <c r="AM214" i="1" s="1"/>
  <c r="AQ214" i="1"/>
  <c r="AR214" i="1" s="1"/>
  <c r="AL204" i="1"/>
  <c r="AM204" i="1" s="1"/>
  <c r="AQ204" i="1"/>
  <c r="AR204" i="1" s="1"/>
  <c r="AQ202" i="1"/>
  <c r="AR202" i="1" s="1"/>
  <c r="AL202" i="1"/>
  <c r="AM202" i="1" s="1"/>
  <c r="AQ200" i="1"/>
  <c r="AR200" i="1" s="1"/>
  <c r="AL199" i="1"/>
  <c r="AM199" i="1" s="1"/>
  <c r="AQ199" i="1"/>
  <c r="AR199" i="1" s="1"/>
  <c r="AL198" i="1"/>
  <c r="AM198" i="1" s="1"/>
  <c r="AQ198" i="1"/>
  <c r="AR198" i="1" s="1"/>
  <c r="AL190" i="1"/>
  <c r="AM190" i="1" s="1"/>
  <c r="AQ194" i="1"/>
  <c r="AR194" i="1" s="1"/>
  <c r="AL194" i="1"/>
  <c r="AM194" i="1" s="1"/>
  <c r="AQ191" i="1"/>
  <c r="AR191" i="1" s="1"/>
  <c r="AL191" i="1"/>
  <c r="AM191" i="1" s="1"/>
  <c r="AQ190" i="1"/>
  <c r="AR190" i="1" s="1"/>
  <c r="AL188" i="1"/>
  <c r="AM188" i="1" s="1"/>
  <c r="AQ188" i="1"/>
  <c r="AR188" i="1" s="1"/>
  <c r="AQ186" i="1"/>
  <c r="AR186" i="1" s="1"/>
  <c r="AL186" i="1"/>
  <c r="AM186" i="1" s="1"/>
  <c r="AL181" i="1"/>
  <c r="AM181" i="1" s="1"/>
  <c r="AQ184" i="1"/>
  <c r="AR184" i="1" s="1"/>
  <c r="AL184" i="1"/>
  <c r="AM184" i="1" s="1"/>
  <c r="AL182" i="1"/>
  <c r="AM182" i="1" s="1"/>
  <c r="AQ182" i="1"/>
  <c r="AR182" i="1" s="1"/>
  <c r="AQ180" i="1"/>
  <c r="AR180" i="1" s="1"/>
  <c r="AL180" i="1"/>
  <c r="AM180" i="1" s="1"/>
  <c r="AQ178" i="1"/>
  <c r="AR178" i="1" s="1"/>
  <c r="AL178" i="1"/>
  <c r="AM178" i="1" s="1"/>
  <c r="AQ176" i="1"/>
  <c r="AR176" i="1" s="1"/>
  <c r="AL172" i="1"/>
  <c r="AM172" i="1" s="1"/>
  <c r="AL174" i="1"/>
  <c r="AM174" i="1" s="1"/>
  <c r="AQ174" i="1"/>
  <c r="AR174" i="1" s="1"/>
  <c r="AQ172" i="1"/>
  <c r="AR172" i="1" s="1"/>
  <c r="AQ171" i="1"/>
  <c r="AR171" i="1" s="1"/>
  <c r="AL170" i="1"/>
  <c r="AM170" i="1" s="1"/>
  <c r="AQ170" i="1"/>
  <c r="AR170" i="1" s="1"/>
  <c r="AL168" i="1"/>
  <c r="AM168" i="1" s="1"/>
  <c r="AQ168" i="1"/>
  <c r="AR168" i="1" s="1"/>
  <c r="AL162" i="1"/>
  <c r="AM162" i="1" s="1"/>
  <c r="AQ161" i="1"/>
  <c r="AR161" i="1" s="1"/>
  <c r="AF158" i="1"/>
  <c r="AL158" i="1"/>
  <c r="AM158" i="1" s="1"/>
  <c r="AQ164" i="1"/>
  <c r="AR164" i="1" s="1"/>
  <c r="AL164" i="1"/>
  <c r="AM164" i="1" s="1"/>
  <c r="AQ162" i="1"/>
  <c r="AR162" i="1" s="1"/>
  <c r="AQ160" i="1"/>
  <c r="AR160" i="1" s="1"/>
  <c r="AL160" i="1"/>
  <c r="AM160" i="1" s="1"/>
  <c r="AQ151" i="1"/>
  <c r="AR151" i="1" s="1"/>
  <c r="AL154" i="1"/>
  <c r="AM154" i="1" s="1"/>
  <c r="AQ153" i="1"/>
  <c r="AR153" i="1" s="1"/>
  <c r="AL153" i="1"/>
  <c r="AM153" i="1" s="1"/>
  <c r="AL156" i="1"/>
  <c r="AM156" i="1" s="1"/>
  <c r="AQ150" i="1"/>
  <c r="AR150" i="1" s="1"/>
  <c r="AQ157" i="1"/>
  <c r="AR157" i="1" s="1"/>
  <c r="AL157" i="1"/>
  <c r="AM157" i="1" s="1"/>
  <c r="AQ154" i="1"/>
  <c r="AR154" i="1" s="1"/>
  <c r="AQ152" i="1"/>
  <c r="AR152" i="1" s="1"/>
  <c r="AL152" i="1"/>
  <c r="AM152" i="1" s="1"/>
  <c r="AL150" i="1"/>
  <c r="AM150" i="1" s="1"/>
  <c r="AQ147" i="1"/>
  <c r="AR147" i="1" s="1"/>
  <c r="AL148" i="1"/>
  <c r="AM148" i="1" s="1"/>
  <c r="AQ148" i="1"/>
  <c r="AR148" i="1" s="1"/>
  <c r="AQ142" i="1"/>
  <c r="AR142" i="1" s="1"/>
  <c r="AL146" i="1"/>
  <c r="AM146" i="1" s="1"/>
  <c r="AQ146" i="1"/>
  <c r="AR146" i="1" s="1"/>
  <c r="AL144" i="1"/>
  <c r="AM144" i="1" s="1"/>
  <c r="AQ143" i="1"/>
  <c r="AR143" i="1" s="1"/>
  <c r="AL142" i="1"/>
  <c r="AM142" i="1" s="1"/>
  <c r="AL143" i="1"/>
  <c r="AM143" i="1" s="1"/>
  <c r="AF94" i="1"/>
  <c r="AQ84" i="1"/>
  <c r="AR84" i="1" s="1"/>
  <c r="AL84" i="1"/>
  <c r="AM84" i="1" s="1"/>
  <c r="AQ81" i="1"/>
  <c r="AR81" i="1" s="1"/>
  <c r="AQ83" i="1"/>
  <c r="AR83" i="1" s="1"/>
  <c r="AL81" i="1"/>
  <c r="AM81" i="1" s="1"/>
  <c r="AF134" i="1"/>
  <c r="AF186" i="1"/>
  <c r="AF238" i="1"/>
  <c r="AF278" i="1"/>
  <c r="AF208" i="1"/>
  <c r="AF105" i="1"/>
  <c r="AF193" i="1"/>
  <c r="AF108" i="1"/>
  <c r="AF296" i="1"/>
  <c r="AF266" i="1"/>
  <c r="AF243" i="1"/>
  <c r="AF132" i="1"/>
  <c r="AF258" i="1"/>
  <c r="AF200" i="1"/>
  <c r="AF233" i="1"/>
  <c r="AF92" i="1"/>
  <c r="AF114" i="1"/>
  <c r="AF116" i="1"/>
  <c r="AF166" i="1"/>
  <c r="AF212" i="1"/>
  <c r="AF282" i="1"/>
  <c r="AF274" i="1"/>
  <c r="AF127" i="1"/>
  <c r="AF260" i="1"/>
  <c r="AF302" i="1"/>
  <c r="AF156" i="1"/>
  <c r="AF150" i="1"/>
  <c r="AF126" i="1"/>
  <c r="AF286" i="1"/>
  <c r="AF201" i="1"/>
  <c r="AF280" i="1"/>
  <c r="AF118" i="1"/>
  <c r="AF197" i="1"/>
  <c r="AF217" i="1"/>
  <c r="AF146" i="1"/>
  <c r="AF298" i="1"/>
  <c r="AF303" i="1"/>
  <c r="AF93" i="1"/>
  <c r="AF82" i="1"/>
  <c r="AF290" i="1"/>
  <c r="AF234" i="1"/>
  <c r="AF229" i="1"/>
  <c r="AF142" i="1"/>
  <c r="AF180" i="1"/>
  <c r="AF300" i="1"/>
  <c r="AF202" i="1"/>
  <c r="AF268" i="1"/>
  <c r="AF95" i="1"/>
  <c r="AF308" i="1"/>
  <c r="AF216" i="1"/>
  <c r="AF90" i="1"/>
  <c r="AF98" i="1"/>
  <c r="AF157" i="1"/>
  <c r="AF231" i="1"/>
  <c r="AF170" i="1"/>
  <c r="AF184" i="1"/>
  <c r="AF136" i="1"/>
  <c r="AF89" i="1"/>
  <c r="AF228" i="1"/>
  <c r="AF160" i="1"/>
  <c r="AF174" i="1"/>
  <c r="AF102" i="1"/>
  <c r="AF267" i="1"/>
  <c r="AF129" i="1"/>
  <c r="AF124" i="1"/>
  <c r="AF159" i="1"/>
  <c r="AF285" i="1"/>
  <c r="AF230" i="1"/>
  <c r="AF140" i="1"/>
  <c r="AF293" i="1"/>
  <c r="AF275" i="1"/>
  <c r="AF192" i="1"/>
  <c r="AF176" i="1"/>
  <c r="AF154" i="1"/>
  <c r="AF83" i="1"/>
  <c r="AF104" i="1"/>
  <c r="AF214" i="1"/>
  <c r="AF96" i="1"/>
  <c r="AF252" i="1"/>
  <c r="AF287" i="1"/>
  <c r="AF272" i="1"/>
  <c r="AF196" i="1"/>
  <c r="AF264" i="1"/>
  <c r="AF319" i="1"/>
  <c r="AF213" i="1"/>
  <c r="AF152" i="1"/>
  <c r="AF305" i="1"/>
  <c r="AF148" i="1"/>
  <c r="AF167" i="1"/>
  <c r="AF204" i="1"/>
  <c r="AF107" i="1"/>
  <c r="AF211" i="1"/>
  <c r="AF310" i="1"/>
  <c r="AF316" i="1"/>
  <c r="AF177" i="1"/>
  <c r="AF155" i="1"/>
  <c r="AF255" i="1"/>
  <c r="AF281" i="1"/>
  <c r="AF178" i="1"/>
  <c r="AF273" i="1"/>
  <c r="AF110" i="1"/>
  <c r="AF277" i="1"/>
  <c r="AF86" i="1"/>
  <c r="AF220" i="1"/>
  <c r="AF314" i="1"/>
  <c r="AF164" i="1"/>
  <c r="AF190" i="1"/>
  <c r="AF161" i="1"/>
  <c r="AF265" i="1"/>
  <c r="AF130" i="1"/>
  <c r="AF222" i="1"/>
  <c r="AF121" i="1"/>
  <c r="AF311" i="1"/>
  <c r="AF256" i="1"/>
  <c r="AF283" i="1"/>
  <c r="AF88" i="1"/>
  <c r="AF80" i="1"/>
  <c r="AF168" i="1"/>
  <c r="AF112" i="1"/>
  <c r="AF205" i="1"/>
  <c r="AF171" i="1"/>
  <c r="AF269" i="1"/>
  <c r="AF215" i="1"/>
  <c r="AF240" i="1"/>
  <c r="AF91" i="1"/>
  <c r="AF125" i="1"/>
  <c r="AF254" i="1"/>
  <c r="AF133" i="1"/>
  <c r="AF179" i="1"/>
  <c r="AF237" i="1"/>
  <c r="AF292" i="1"/>
  <c r="AF236" i="1"/>
  <c r="AF257" i="1"/>
  <c r="AF123" i="1"/>
  <c r="AF195" i="1"/>
  <c r="AF149" i="1"/>
  <c r="AF173" i="1"/>
  <c r="AF262" i="1"/>
  <c r="AF189" i="1"/>
  <c r="AF187" i="1"/>
  <c r="AF241" i="1"/>
  <c r="AF317" i="1"/>
  <c r="AF284" i="1"/>
  <c r="AF210" i="1"/>
  <c r="AF85" i="1"/>
  <c r="AF223" i="1"/>
  <c r="AF263" i="1"/>
  <c r="AF299" i="1"/>
  <c r="AF221" i="1"/>
  <c r="AF131" i="1"/>
  <c r="AF315" i="1"/>
  <c r="AF97" i="1"/>
  <c r="AF235" i="1"/>
  <c r="AF183" i="1"/>
  <c r="AF151" i="1"/>
  <c r="AF289" i="1"/>
  <c r="AF139" i="1"/>
  <c r="AF259" i="1"/>
  <c r="AF109" i="1"/>
  <c r="AF113" i="1"/>
  <c r="AF169" i="1"/>
  <c r="AF251" i="1"/>
  <c r="AF207" i="1"/>
  <c r="AF145" i="1"/>
  <c r="AF313" i="1"/>
  <c r="AF135" i="1"/>
  <c r="AF307" i="1"/>
  <c r="AF219" i="1"/>
  <c r="AF153" i="1"/>
  <c r="AF209" i="1"/>
  <c r="AF245" i="1"/>
  <c r="AF117" i="1"/>
  <c r="AF163" i="1"/>
  <c r="AF225" i="1"/>
  <c r="AF271" i="1"/>
  <c r="AF101" i="1"/>
  <c r="AF227" i="1"/>
  <c r="AF291" i="1"/>
  <c r="AF165" i="1"/>
  <c r="AF87" i="1"/>
  <c r="AF253" i="1"/>
  <c r="AF137" i="1"/>
  <c r="AF309" i="1"/>
  <c r="AF147" i="1"/>
  <c r="AF261" i="1"/>
  <c r="AF119" i="1"/>
  <c r="AF203" i="1"/>
  <c r="AF185" i="1"/>
  <c r="AF103" i="1"/>
  <c r="AF175" i="1"/>
  <c r="AF279" i="1"/>
  <c r="AF191" i="1"/>
  <c r="AF111" i="1"/>
  <c r="AF297" i="1"/>
  <c r="Y7" i="1" l="1"/>
  <c r="O6" i="104" s="1"/>
  <c r="Y8" i="1"/>
  <c r="P6" i="104" s="1"/>
  <c r="Y9" i="1"/>
  <c r="Q6" i="104" s="1"/>
  <c r="Y10" i="1"/>
  <c r="R6" i="104" s="1"/>
  <c r="Y11" i="1"/>
  <c r="S6" i="104" s="1"/>
  <c r="Y12" i="1"/>
  <c r="T6" i="104" s="1"/>
  <c r="Y13" i="1"/>
  <c r="U6" i="104" s="1"/>
  <c r="Y14" i="1"/>
  <c r="V6" i="104" s="1"/>
  <c r="Y15" i="1"/>
  <c r="W6" i="104" s="1"/>
  <c r="Y16" i="1"/>
  <c r="M6" i="107" s="1"/>
  <c r="Y17" i="1"/>
  <c r="N6" i="107" s="1"/>
  <c r="Y18" i="1"/>
  <c r="O6" i="107" s="1"/>
  <c r="Y19" i="1"/>
  <c r="P6" i="107" s="1"/>
  <c r="Y20" i="1"/>
  <c r="Q6" i="107" s="1"/>
  <c r="Y21" i="1"/>
  <c r="R6" i="107" s="1"/>
  <c r="Y22" i="1"/>
  <c r="S6" i="107" s="1"/>
  <c r="Y23" i="1"/>
  <c r="T6" i="107" s="1"/>
  <c r="Y24" i="1"/>
  <c r="N7" i="104" s="1"/>
  <c r="Y25" i="1"/>
  <c r="O7" i="104" s="1"/>
  <c r="Y26" i="1"/>
  <c r="P7" i="104" s="1"/>
  <c r="Y27" i="1"/>
  <c r="Q7" i="104" s="1"/>
  <c r="Y28" i="1"/>
  <c r="R7" i="104" s="1"/>
  <c r="Y29" i="1"/>
  <c r="S7" i="104" s="1"/>
  <c r="Y30" i="1"/>
  <c r="T7" i="104" s="1"/>
  <c r="Y31" i="1"/>
  <c r="U7" i="104" s="1"/>
  <c r="Y32" i="1"/>
  <c r="V7" i="104" s="1"/>
  <c r="Y33" i="1"/>
  <c r="W7" i="104" s="1"/>
  <c r="Y34" i="1"/>
  <c r="M7" i="107" s="1"/>
  <c r="Y35" i="1"/>
  <c r="N7" i="107" s="1"/>
  <c r="Y36" i="1"/>
  <c r="O7" i="107" s="1"/>
  <c r="Y37" i="1"/>
  <c r="P7" i="107" s="1"/>
  <c r="Y38" i="1"/>
  <c r="Q7" i="107" s="1"/>
  <c r="Y39" i="1"/>
  <c r="R7" i="107" s="1"/>
  <c r="Y40" i="1"/>
  <c r="S7" i="107" s="1"/>
  <c r="Y41" i="1"/>
  <c r="T7" i="107" s="1"/>
  <c r="Y42" i="1"/>
  <c r="N8" i="104" s="1"/>
  <c r="Y43" i="1"/>
  <c r="O8" i="104" s="1"/>
  <c r="Y44" i="1"/>
  <c r="P8" i="104" s="1"/>
  <c r="Y45" i="1"/>
  <c r="Q8" i="104" s="1"/>
  <c r="Y46" i="1"/>
  <c r="R8" i="104" s="1"/>
  <c r="Y47" i="1"/>
  <c r="S8" i="104" s="1"/>
  <c r="Y48" i="1"/>
  <c r="T8" i="104" s="1"/>
  <c r="Y49" i="1"/>
  <c r="U8" i="104" s="1"/>
  <c r="Y50" i="1"/>
  <c r="V8" i="104" s="1"/>
  <c r="Y51" i="1"/>
  <c r="W8" i="104" s="1"/>
  <c r="Y52" i="1"/>
  <c r="M8" i="107" s="1"/>
  <c r="Y53" i="1"/>
  <c r="N8" i="107" s="1"/>
  <c r="Y54" i="1"/>
  <c r="O8" i="107" s="1"/>
  <c r="Y55" i="1"/>
  <c r="P8" i="107" s="1"/>
  <c r="Y56" i="1"/>
  <c r="Q8" i="107" s="1"/>
  <c r="Y57" i="1"/>
  <c r="R8" i="107" s="1"/>
  <c r="Y58" i="1"/>
  <c r="S8" i="107" s="1"/>
  <c r="Y59" i="1"/>
  <c r="T8" i="107" s="1"/>
  <c r="Y60" i="1"/>
  <c r="N9" i="104" s="1"/>
  <c r="Y61" i="1"/>
  <c r="O9" i="104" s="1"/>
  <c r="Y62" i="1"/>
  <c r="P9" i="104" s="1"/>
  <c r="Y63" i="1"/>
  <c r="Q9" i="104" s="1"/>
  <c r="Y64" i="1"/>
  <c r="R9" i="104" s="1"/>
  <c r="Y65" i="1"/>
  <c r="S9" i="104" s="1"/>
  <c r="Y66" i="1"/>
  <c r="T9" i="104" s="1"/>
  <c r="Y67" i="1"/>
  <c r="U9" i="104" s="1"/>
  <c r="Y68" i="1"/>
  <c r="V9" i="104" s="1"/>
  <c r="Y69" i="1"/>
  <c r="W9" i="104" s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J5" i="104" l="1"/>
  <c r="T3" i="107"/>
  <c r="J6" i="104"/>
  <c r="J7" i="104"/>
  <c r="I7" i="107"/>
  <c r="I6" i="107"/>
  <c r="S3" i="107"/>
  <c r="I5" i="107"/>
  <c r="G7" i="107"/>
  <c r="G6" i="107"/>
  <c r="G5" i="107"/>
  <c r="U6" i="107"/>
  <c r="U7" i="107"/>
  <c r="O3" i="107"/>
  <c r="N3" i="107"/>
  <c r="U8" i="107"/>
  <c r="M3" i="107"/>
  <c r="R3" i="107"/>
  <c r="Q3" i="107"/>
  <c r="H5" i="104"/>
  <c r="H6" i="104"/>
  <c r="H7" i="104"/>
  <c r="P3" i="107"/>
  <c r="G5" i="104"/>
  <c r="G6" i="104"/>
  <c r="G7" i="104"/>
  <c r="AD6" i="1"/>
  <c r="AA52" i="1"/>
  <c r="AE47" i="1"/>
  <c r="AE36" i="1"/>
  <c r="AA65" i="1"/>
  <c r="AK27" i="1"/>
  <c r="AD62" i="1"/>
  <c r="AD57" i="1"/>
  <c r="AD51" i="1"/>
  <c r="AD31" i="1"/>
  <c r="AD13" i="1"/>
  <c r="AD34" i="1"/>
  <c r="AD10" i="1"/>
  <c r="AO38" i="1"/>
  <c r="AD28" i="1"/>
  <c r="AO49" i="1"/>
  <c r="AD64" i="1"/>
  <c r="AD41" i="1"/>
  <c r="AO54" i="1"/>
  <c r="AD44" i="1"/>
  <c r="AO30" i="1"/>
  <c r="AO12" i="1"/>
  <c r="AC40" i="1"/>
  <c r="AO59" i="1"/>
  <c r="AO46" i="1"/>
  <c r="AA62" i="1"/>
  <c r="AE51" i="1"/>
  <c r="AA44" i="1"/>
  <c r="AE10" i="1"/>
  <c r="AD38" i="1"/>
  <c r="AJ59" i="1"/>
  <c r="AJ35" i="1"/>
  <c r="AJ30" i="1"/>
  <c r="AJ12" i="1"/>
  <c r="AA51" i="1"/>
  <c r="AO35" i="1"/>
  <c r="AP62" i="1"/>
  <c r="AP57" i="1"/>
  <c r="AP51" i="1"/>
  <c r="AP44" i="1"/>
  <c r="AP41" i="1"/>
  <c r="AP34" i="1"/>
  <c r="AP28" i="1"/>
  <c r="AP10" i="1"/>
  <c r="AD16" i="1"/>
  <c r="AP16" i="1"/>
  <c r="AE13" i="1"/>
  <c r="AE59" i="1"/>
  <c r="AA42" i="1"/>
  <c r="AP36" i="1"/>
  <c r="AP13" i="1"/>
  <c r="AJ14" i="1"/>
  <c r="AC65" i="1"/>
  <c r="AC46" i="1"/>
  <c r="AJ44" i="1"/>
  <c r="AJ34" i="1"/>
  <c r="AJ62" i="1"/>
  <c r="AJ51" i="1"/>
  <c r="AJ41" i="1"/>
  <c r="AJ28" i="1"/>
  <c r="AJ16" i="1"/>
  <c r="AJ10" i="1"/>
  <c r="AJ69" i="1"/>
  <c r="AJ56" i="1"/>
  <c r="AJ43" i="1"/>
  <c r="AJ40" i="1"/>
  <c r="AP47" i="1"/>
  <c r="AK53" i="1"/>
  <c r="AD32" i="1"/>
  <c r="AD39" i="1"/>
  <c r="AC19" i="1"/>
  <c r="AD23" i="1"/>
  <c r="AJ68" i="1"/>
  <c r="AJ55" i="1"/>
  <c r="AJ42" i="1"/>
  <c r="AJ39" i="1"/>
  <c r="AP19" i="1"/>
  <c r="AO68" i="1"/>
  <c r="AO60" i="1"/>
  <c r="AO55" i="1"/>
  <c r="AO42" i="1"/>
  <c r="AO39" i="1"/>
  <c r="AO22" i="1"/>
  <c r="AK66" i="1"/>
  <c r="AK14" i="1"/>
  <c r="AD27" i="1"/>
  <c r="AD9" i="1"/>
  <c r="AJ31" i="1"/>
  <c r="AJ19" i="1"/>
  <c r="AP48" i="1"/>
  <c r="AK65" i="1"/>
  <c r="AK52" i="1"/>
  <c r="AK47" i="1"/>
  <c r="AK36" i="1"/>
  <c r="AK31" i="1"/>
  <c r="AK13" i="1"/>
  <c r="AE65" i="1"/>
  <c r="AA66" i="1"/>
  <c r="AE62" i="1"/>
  <c r="AP31" i="1"/>
  <c r="AJ64" i="1"/>
  <c r="AE52" i="1"/>
  <c r="AC64" i="1"/>
  <c r="AC35" i="1"/>
  <c r="AC12" i="1"/>
  <c r="AA26" i="1"/>
  <c r="AC52" i="1"/>
  <c r="AC36" i="1"/>
  <c r="AC13" i="1"/>
  <c r="AP65" i="1"/>
  <c r="AP52" i="1"/>
  <c r="AA63" i="1"/>
  <c r="AJ50" i="1"/>
  <c r="AC31" i="1"/>
  <c r="AD60" i="1"/>
  <c r="AD26" i="1"/>
  <c r="AD22" i="1"/>
  <c r="AD8" i="1"/>
  <c r="AO63" i="1"/>
  <c r="AO58" i="1"/>
  <c r="AO45" i="1"/>
  <c r="AO29" i="1"/>
  <c r="AO17" i="1"/>
  <c r="AE26" i="1"/>
  <c r="AE69" i="1"/>
  <c r="AE61" i="1"/>
  <c r="AE56" i="1"/>
  <c r="AE50" i="1"/>
  <c r="AE43" i="1"/>
  <c r="AE40" i="1"/>
  <c r="AA68" i="1"/>
  <c r="AE60" i="1"/>
  <c r="AA55" i="1"/>
  <c r="AE42" i="1"/>
  <c r="AA39" i="1"/>
  <c r="AC22" i="1"/>
  <c r="AE8" i="1"/>
  <c r="AJ66" i="1"/>
  <c r="AJ53" i="1"/>
  <c r="AJ48" i="1"/>
  <c r="AJ37" i="1"/>
  <c r="AJ32" i="1"/>
  <c r="AJ24" i="1"/>
  <c r="AJ20" i="1"/>
  <c r="AJ6" i="1"/>
  <c r="AE64" i="1"/>
  <c r="AD59" i="1"/>
  <c r="AA46" i="1"/>
  <c r="AA35" i="1"/>
  <c r="AA30" i="1"/>
  <c r="AD18" i="1"/>
  <c r="AE12" i="1"/>
  <c r="AP8" i="1"/>
  <c r="AP46" i="1"/>
  <c r="AP35" i="1"/>
  <c r="AK35" i="1"/>
  <c r="AE55" i="1"/>
  <c r="AD12" i="1"/>
  <c r="AO26" i="1"/>
  <c r="AO66" i="1"/>
  <c r="AO37" i="1"/>
  <c r="AO32" i="1"/>
  <c r="AO24" i="1"/>
  <c r="AO20" i="1"/>
  <c r="AO14" i="1"/>
  <c r="AO6" i="1"/>
  <c r="AK50" i="1"/>
  <c r="AK59" i="1"/>
  <c r="AE22" i="1"/>
  <c r="AD30" i="1"/>
  <c r="AA60" i="1"/>
  <c r="AP30" i="1"/>
  <c r="AK48" i="1"/>
  <c r="AK30" i="1"/>
  <c r="AE68" i="1"/>
  <c r="AE39" i="1"/>
  <c r="AD46" i="1"/>
  <c r="AC68" i="1"/>
  <c r="AC55" i="1"/>
  <c r="AC42" i="1"/>
  <c r="AC39" i="1"/>
  <c r="AA22" i="1"/>
  <c r="AP68" i="1"/>
  <c r="AP22" i="1"/>
  <c r="AP18" i="1"/>
  <c r="AD42" i="1"/>
  <c r="AC57" i="1"/>
  <c r="AD67" i="1"/>
  <c r="AD54" i="1"/>
  <c r="AD49" i="1"/>
  <c r="AD33" i="1"/>
  <c r="AD25" i="1"/>
  <c r="AD21" i="1"/>
  <c r="AD15" i="1"/>
  <c r="AD7" i="1"/>
  <c r="AA64" i="1"/>
  <c r="AA59" i="1"/>
  <c r="AA18" i="1"/>
  <c r="AA12" i="1"/>
  <c r="AC58" i="1"/>
  <c r="AK64" i="1"/>
  <c r="AK12" i="1"/>
  <c r="AK60" i="1"/>
  <c r="AK26" i="1"/>
  <c r="AK22" i="1"/>
  <c r="AK8" i="1"/>
  <c r="AE46" i="1"/>
  <c r="AD35" i="1"/>
  <c r="AP64" i="1"/>
  <c r="AE35" i="1"/>
  <c r="AA8" i="1"/>
  <c r="AP59" i="1"/>
  <c r="AO69" i="1"/>
  <c r="AO61" i="1"/>
  <c r="AO56" i="1"/>
  <c r="AO50" i="1"/>
  <c r="AO43" i="1"/>
  <c r="AO40" i="1"/>
  <c r="AO27" i="1"/>
  <c r="AO23" i="1"/>
  <c r="AO9" i="1"/>
  <c r="AE30" i="1"/>
  <c r="AC27" i="1"/>
  <c r="AD65" i="1"/>
  <c r="AD52" i="1"/>
  <c r="AA47" i="1"/>
  <c r="AA13" i="1"/>
  <c r="AO16" i="1"/>
  <c r="AJ46" i="1"/>
  <c r="AK46" i="1"/>
  <c r="AJ18" i="1"/>
  <c r="AK18" i="1"/>
  <c r="AC51" i="1"/>
  <c r="AO51" i="1"/>
  <c r="AK56" i="1"/>
  <c r="AK63" i="1"/>
  <c r="AK29" i="1"/>
  <c r="AK17" i="1"/>
  <c r="AK11" i="1"/>
  <c r="AO48" i="1"/>
  <c r="AJ61" i="1"/>
  <c r="AK61" i="1"/>
  <c r="AC41" i="1"/>
  <c r="AE57" i="1"/>
  <c r="AA57" i="1"/>
  <c r="AE41" i="1"/>
  <c r="AA41" i="1"/>
  <c r="AC34" i="1"/>
  <c r="AE34" i="1"/>
  <c r="AE28" i="1"/>
  <c r="AC28" i="1"/>
  <c r="AA28" i="1"/>
  <c r="AE16" i="1"/>
  <c r="AA16" i="1"/>
  <c r="AC16" i="1"/>
  <c r="AA10" i="1"/>
  <c r="AC10" i="1"/>
  <c r="AC9" i="1"/>
  <c r="AE9" i="1"/>
  <c r="AA36" i="1"/>
  <c r="AD36" i="1"/>
  <c r="AE31" i="1"/>
  <c r="AA31" i="1"/>
  <c r="AE19" i="1"/>
  <c r="AA19" i="1"/>
  <c r="AD19" i="1"/>
  <c r="AE44" i="1"/>
  <c r="AK44" i="1"/>
  <c r="AC29" i="1"/>
  <c r="AC17" i="1"/>
  <c r="AC11" i="1"/>
  <c r="AA34" i="1"/>
  <c r="AK67" i="1"/>
  <c r="AC54" i="1"/>
  <c r="AK49" i="1"/>
  <c r="AK38" i="1"/>
  <c r="AK33" i="1"/>
  <c r="AC25" i="1"/>
  <c r="AK21" i="1"/>
  <c r="AK15" i="1"/>
  <c r="AK7" i="1"/>
  <c r="AO52" i="1"/>
  <c r="AJ47" i="1"/>
  <c r="AJ36" i="1"/>
  <c r="AO31" i="1"/>
  <c r="AO19" i="1"/>
  <c r="AJ13" i="1"/>
  <c r="AE63" i="1"/>
  <c r="AA58" i="1"/>
  <c r="AA45" i="1"/>
  <c r="AA29" i="1"/>
  <c r="AA17" i="1"/>
  <c r="AA11" i="1"/>
  <c r="AJ67" i="1"/>
  <c r="AJ54" i="1"/>
  <c r="AJ49" i="1"/>
  <c r="AJ38" i="1"/>
  <c r="AJ33" i="1"/>
  <c r="AJ25" i="1"/>
  <c r="AJ21" i="1"/>
  <c r="AJ15" i="1"/>
  <c r="AJ7" i="1"/>
  <c r="AD55" i="1"/>
  <c r="AD48" i="1"/>
  <c r="AD37" i="1"/>
  <c r="AD24" i="1"/>
  <c r="AD20" i="1"/>
  <c r="AD14" i="1"/>
  <c r="AE66" i="1"/>
  <c r="AE53" i="1"/>
  <c r="AA32" i="1"/>
  <c r="AE24" i="1"/>
  <c r="AA14" i="1"/>
  <c r="AA6" i="1"/>
  <c r="AD68" i="1"/>
  <c r="AD47" i="1"/>
  <c r="AK19" i="1"/>
  <c r="AC30" i="1"/>
  <c r="AP12" i="1"/>
  <c r="AP6" i="1"/>
  <c r="AP53" i="1"/>
  <c r="AO64" i="1"/>
  <c r="AO18" i="1"/>
  <c r="AO65" i="1"/>
  <c r="AP17" i="1"/>
  <c r="AK68" i="1"/>
  <c r="AJ65" i="1"/>
  <c r="AJ22" i="1"/>
  <c r="AE45" i="1"/>
  <c r="AE17" i="1"/>
  <c r="AP50" i="1"/>
  <c r="AP32" i="1"/>
  <c r="AK55" i="1"/>
  <c r="AK39" i="1"/>
  <c r="AJ52" i="1"/>
  <c r="AO47" i="1"/>
  <c r="AK42" i="1"/>
  <c r="AC60" i="1"/>
  <c r="AC8" i="1"/>
  <c r="AC48" i="1"/>
  <c r="AC37" i="1"/>
  <c r="AC20" i="1"/>
  <c r="AP55" i="1"/>
  <c r="AP27" i="1"/>
  <c r="AJ26" i="1"/>
  <c r="AE58" i="1"/>
  <c r="AC59" i="1"/>
  <c r="AC47" i="1"/>
  <c r="AC18" i="1"/>
  <c r="AO13" i="1"/>
  <c r="AE11" i="1"/>
  <c r="AD58" i="1"/>
  <c r="AP66" i="1"/>
  <c r="AO53" i="1"/>
  <c r="AE29" i="1"/>
  <c r="AC26" i="1"/>
  <c r="AO36" i="1"/>
  <c r="AK69" i="1"/>
  <c r="AJ8" i="1"/>
  <c r="AE18" i="1"/>
  <c r="AC69" i="1"/>
  <c r="AC61" i="1"/>
  <c r="AC56" i="1"/>
  <c r="AC50" i="1"/>
  <c r="AK25" i="1"/>
  <c r="AC21" i="1"/>
  <c r="AA48" i="1"/>
  <c r="AP58" i="1"/>
  <c r="AP49" i="1"/>
  <c r="AJ63" i="1"/>
  <c r="AA69" i="1"/>
  <c r="AA61" i="1"/>
  <c r="AA56" i="1"/>
  <c r="AA50" i="1"/>
  <c r="AP29" i="1"/>
  <c r="AO34" i="1"/>
  <c r="AP67" i="1"/>
  <c r="AP33" i="1"/>
  <c r="AP25" i="1"/>
  <c r="AP21" i="1"/>
  <c r="AP15" i="1"/>
  <c r="AP7" i="1"/>
  <c r="AK34" i="1"/>
  <c r="AK10" i="1"/>
  <c r="AE48" i="1"/>
  <c r="AC7" i="1"/>
  <c r="AA53" i="1"/>
  <c r="AA37" i="1"/>
  <c r="AP63" i="1"/>
  <c r="AO57" i="1"/>
  <c r="AO11" i="1"/>
  <c r="AJ60" i="1"/>
  <c r="AC24" i="1"/>
  <c r="AP61" i="1"/>
  <c r="AP11" i="1"/>
  <c r="AO62" i="1"/>
  <c r="AO10" i="1"/>
  <c r="AP60" i="1"/>
  <c r="AP45" i="1"/>
  <c r="AK41" i="1"/>
  <c r="AK16" i="1"/>
  <c r="AP20" i="1"/>
  <c r="AP24" i="1"/>
  <c r="AJ23" i="1"/>
  <c r="AE32" i="1"/>
  <c r="AK32" i="1"/>
  <c r="AJ9" i="1"/>
  <c r="AE6" i="1"/>
  <c r="AC32" i="1"/>
  <c r="AA20" i="1"/>
  <c r="AO41" i="1"/>
  <c r="AK20" i="1"/>
  <c r="AE37" i="1"/>
  <c r="AE14" i="1"/>
  <c r="AC14" i="1"/>
  <c r="AP37" i="1"/>
  <c r="AP14" i="1"/>
  <c r="AK37" i="1"/>
  <c r="AJ27" i="1"/>
  <c r="AA24" i="1"/>
  <c r="AK6" i="1"/>
  <c r="AE20" i="1"/>
  <c r="AP23" i="1"/>
  <c r="AK9" i="1"/>
  <c r="AK24" i="1"/>
  <c r="AP26" i="1"/>
  <c r="AP9" i="1"/>
  <c r="AO8" i="1"/>
  <c r="AK43" i="1"/>
  <c r="AP43" i="1"/>
  <c r="AE23" i="1"/>
  <c r="AP42" i="1"/>
  <c r="AP40" i="1"/>
  <c r="AO44" i="1"/>
  <c r="AK40" i="1"/>
  <c r="AE27" i="1"/>
  <c r="AC23" i="1"/>
  <c r="AA43" i="1"/>
  <c r="AA40" i="1"/>
  <c r="AA27" i="1"/>
  <c r="AA23" i="1"/>
  <c r="AA9" i="1"/>
  <c r="AP39" i="1"/>
  <c r="AJ29" i="1"/>
  <c r="AP38" i="1"/>
  <c r="AK23" i="1"/>
  <c r="AJ17" i="1"/>
  <c r="AC43" i="1"/>
  <c r="AP69" i="1"/>
  <c r="AP54" i="1"/>
  <c r="AO67" i="1"/>
  <c r="AO7" i="1"/>
  <c r="AK62" i="1"/>
  <c r="AO28" i="1"/>
  <c r="AO15" i="1"/>
  <c r="AO21" i="1"/>
  <c r="AK58" i="1"/>
  <c r="AJ58" i="1"/>
  <c r="AK45" i="1"/>
  <c r="AJ45" i="1"/>
  <c r="AO25" i="1"/>
  <c r="AJ57" i="1"/>
  <c r="AK57" i="1"/>
  <c r="AO33" i="1"/>
  <c r="AP56" i="1"/>
  <c r="AK51" i="1"/>
  <c r="AC66" i="1"/>
  <c r="AD66" i="1"/>
  <c r="AC53" i="1"/>
  <c r="AD53" i="1"/>
  <c r="AA67" i="1"/>
  <c r="AC67" i="1"/>
  <c r="AE67" i="1"/>
  <c r="AA54" i="1"/>
  <c r="AE54" i="1"/>
  <c r="AA49" i="1"/>
  <c r="AC49" i="1"/>
  <c r="AE49" i="1"/>
  <c r="AA38" i="1"/>
  <c r="AE38" i="1"/>
  <c r="AA33" i="1"/>
  <c r="AE33" i="1"/>
  <c r="AA25" i="1"/>
  <c r="AE25" i="1"/>
  <c r="AA21" i="1"/>
  <c r="AE21" i="1"/>
  <c r="AA15" i="1"/>
  <c r="AE15" i="1"/>
  <c r="AA7" i="1"/>
  <c r="AE7" i="1"/>
  <c r="AC15" i="1"/>
  <c r="AD63" i="1"/>
  <c r="AC63" i="1"/>
  <c r="AC45" i="1"/>
  <c r="AD45" i="1"/>
  <c r="AK54" i="1"/>
  <c r="AD29" i="1"/>
  <c r="AD17" i="1"/>
  <c r="AD11" i="1"/>
  <c r="AC33" i="1"/>
  <c r="AJ11" i="1"/>
  <c r="AC38" i="1"/>
  <c r="AK28" i="1"/>
  <c r="AC62" i="1"/>
  <c r="AD43" i="1"/>
  <c r="AD50" i="1"/>
  <c r="AD40" i="1"/>
  <c r="AD69" i="1"/>
  <c r="AD61" i="1"/>
  <c r="AD56" i="1"/>
  <c r="AC44" i="1"/>
  <c r="I8" i="107" l="1"/>
  <c r="J8" i="104"/>
  <c r="U2" i="107"/>
  <c r="G8" i="107"/>
  <c r="AQ62" i="1"/>
  <c r="AR62" i="1" s="1"/>
  <c r="AL27" i="1"/>
  <c r="AM27" i="1" s="1"/>
  <c r="AF47" i="1"/>
  <c r="AF38" i="1"/>
  <c r="AF36" i="1"/>
  <c r="AQ27" i="1"/>
  <c r="AR27" i="1" s="1"/>
  <c r="AF41" i="1"/>
  <c r="AF61" i="1"/>
  <c r="AF28" i="1"/>
  <c r="AF57" i="1"/>
  <c r="AL40" i="1"/>
  <c r="AM40" i="1" s="1"/>
  <c r="AQ40" i="1"/>
  <c r="AR40" i="1" s="1"/>
  <c r="AF10" i="1"/>
  <c r="AQ51" i="1"/>
  <c r="AR51" i="1" s="1"/>
  <c r="AF51" i="1"/>
  <c r="AQ34" i="1"/>
  <c r="AR34" i="1" s="1"/>
  <c r="AF13" i="1"/>
  <c r="AL53" i="1"/>
  <c r="AM53" i="1" s="1"/>
  <c r="AQ17" i="1"/>
  <c r="AR17" i="1" s="1"/>
  <c r="AL16" i="1"/>
  <c r="AM16" i="1" s="1"/>
  <c r="AF17" i="1"/>
  <c r="AL25" i="1"/>
  <c r="AM25" i="1" s="1"/>
  <c r="AQ25" i="1"/>
  <c r="AR25" i="1" s="1"/>
  <c r="AQ28" i="1"/>
  <c r="AR28" i="1" s="1"/>
  <c r="AL14" i="1"/>
  <c r="AM14" i="1" s="1"/>
  <c r="AL60" i="1"/>
  <c r="AM60" i="1" s="1"/>
  <c r="AQ10" i="1"/>
  <c r="AR10" i="1" s="1"/>
  <c r="AQ44" i="1"/>
  <c r="AR44" i="1" s="1"/>
  <c r="AF59" i="1"/>
  <c r="AQ54" i="1"/>
  <c r="AR54" i="1" s="1"/>
  <c r="AF69" i="1"/>
  <c r="AL54" i="1"/>
  <c r="AM54" i="1" s="1"/>
  <c r="AQ55" i="1"/>
  <c r="AR55" i="1" s="1"/>
  <c r="AL55" i="1"/>
  <c r="AM55" i="1" s="1"/>
  <c r="AQ18" i="1"/>
  <c r="AR18" i="1" s="1"/>
  <c r="AL48" i="1"/>
  <c r="AM48" i="1" s="1"/>
  <c r="AF40" i="1"/>
  <c r="AL46" i="1"/>
  <c r="AM46" i="1" s="1"/>
  <c r="AQ46" i="1"/>
  <c r="AR46" i="1" s="1"/>
  <c r="AQ42" i="1"/>
  <c r="AR42" i="1" s="1"/>
  <c r="AF42" i="1"/>
  <c r="AF26" i="1"/>
  <c r="AQ41" i="1"/>
  <c r="AR41" i="1" s="1"/>
  <c r="AF52" i="1"/>
  <c r="AF50" i="1"/>
  <c r="AQ57" i="1"/>
  <c r="AR57" i="1" s="1"/>
  <c r="AQ12" i="1"/>
  <c r="AR12" i="1" s="1"/>
  <c r="AL19" i="1"/>
  <c r="AM19" i="1" s="1"/>
  <c r="AF60" i="1"/>
  <c r="AL68" i="1"/>
  <c r="AM68" i="1" s="1"/>
  <c r="AF65" i="1"/>
  <c r="AF19" i="1"/>
  <c r="AF53" i="1"/>
  <c r="AF39" i="1"/>
  <c r="AL65" i="1"/>
  <c r="AM65" i="1" s="1"/>
  <c r="AQ47" i="1"/>
  <c r="AR47" i="1" s="1"/>
  <c r="AL12" i="1"/>
  <c r="AM12" i="1" s="1"/>
  <c r="AQ65" i="1"/>
  <c r="AR65" i="1" s="1"/>
  <c r="AF22" i="1"/>
  <c r="AF68" i="1"/>
  <c r="AQ16" i="1"/>
  <c r="AR16" i="1" s="1"/>
  <c r="AL13" i="1"/>
  <c r="AM13" i="1" s="1"/>
  <c r="AQ13" i="1"/>
  <c r="AR13" i="1" s="1"/>
  <c r="AF56" i="1"/>
  <c r="AF12" i="1"/>
  <c r="AQ36" i="1"/>
  <c r="AR36" i="1" s="1"/>
  <c r="AF20" i="1"/>
  <c r="AL58" i="1"/>
  <c r="AM58" i="1" s="1"/>
  <c r="AL22" i="1"/>
  <c r="AM22" i="1" s="1"/>
  <c r="AL64" i="1"/>
  <c r="AM64" i="1" s="1"/>
  <c r="AQ37" i="1"/>
  <c r="AR37" i="1" s="1"/>
  <c r="AQ64" i="1"/>
  <c r="AR64" i="1" s="1"/>
  <c r="AQ22" i="1"/>
  <c r="AR22" i="1" s="1"/>
  <c r="AF63" i="1"/>
  <c r="AF66" i="1"/>
  <c r="AL42" i="1"/>
  <c r="AM42" i="1" s="1"/>
  <c r="AF55" i="1"/>
  <c r="AQ31" i="1"/>
  <c r="AR31" i="1" s="1"/>
  <c r="AQ52" i="1"/>
  <c r="AR52" i="1" s="1"/>
  <c r="AL66" i="1"/>
  <c r="AM66" i="1" s="1"/>
  <c r="AL35" i="1"/>
  <c r="AM35" i="1" s="1"/>
  <c r="AL41" i="1"/>
  <c r="AM41" i="1" s="1"/>
  <c r="AL26" i="1"/>
  <c r="AM26" i="1" s="1"/>
  <c r="AF9" i="1"/>
  <c r="AQ35" i="1"/>
  <c r="AR35" i="1" s="1"/>
  <c r="AF44" i="1"/>
  <c r="AF8" i="1"/>
  <c r="AF43" i="1"/>
  <c r="AQ69" i="1"/>
  <c r="AR69" i="1" s="1"/>
  <c r="AF30" i="1"/>
  <c r="AL10" i="1"/>
  <c r="AM10" i="1" s="1"/>
  <c r="AQ19" i="1"/>
  <c r="AR19" i="1" s="1"/>
  <c r="AQ9" i="1"/>
  <c r="AR9" i="1" s="1"/>
  <c r="AQ20" i="1"/>
  <c r="AR20" i="1" s="1"/>
  <c r="AF35" i="1"/>
  <c r="AQ68" i="1"/>
  <c r="AR68" i="1" s="1"/>
  <c r="AF46" i="1"/>
  <c r="AL31" i="1"/>
  <c r="AM31" i="1" s="1"/>
  <c r="AL36" i="1"/>
  <c r="AM36" i="1" s="1"/>
  <c r="AL6" i="1"/>
  <c r="AM6" i="1" s="1"/>
  <c r="AF24" i="1"/>
  <c r="AL9" i="1"/>
  <c r="AM9" i="1" s="1"/>
  <c r="AL28" i="1"/>
  <c r="AM28" i="1" s="1"/>
  <c r="AL24" i="1"/>
  <c r="AM24" i="1" s="1"/>
  <c r="AL37" i="1"/>
  <c r="AM37" i="1" s="1"/>
  <c r="AF64" i="1"/>
  <c r="AL20" i="1"/>
  <c r="AM20" i="1" s="1"/>
  <c r="AF62" i="1"/>
  <c r="AL52" i="1"/>
  <c r="AM52" i="1" s="1"/>
  <c r="AQ26" i="1"/>
  <c r="AR26" i="1" s="1"/>
  <c r="AQ29" i="1"/>
  <c r="AR29" i="1" s="1"/>
  <c r="AQ8" i="1"/>
  <c r="AR8" i="1" s="1"/>
  <c r="AL34" i="1"/>
  <c r="AM34" i="1" s="1"/>
  <c r="AL45" i="1"/>
  <c r="AM45" i="1" s="1"/>
  <c r="AQ58" i="1"/>
  <c r="AR58" i="1" s="1"/>
  <c r="AQ56" i="1"/>
  <c r="AR56" i="1" s="1"/>
  <c r="AF31" i="1"/>
  <c r="AQ39" i="1"/>
  <c r="AR39" i="1" s="1"/>
  <c r="AL39" i="1"/>
  <c r="AM39" i="1" s="1"/>
  <c r="AL15" i="1"/>
  <c r="AM15" i="1" s="1"/>
  <c r="AF34" i="1"/>
  <c r="AF29" i="1"/>
  <c r="AF45" i="1"/>
  <c r="AQ61" i="1"/>
  <c r="AR61" i="1" s="1"/>
  <c r="AQ24" i="1"/>
  <c r="AR24" i="1" s="1"/>
  <c r="AQ60" i="1"/>
  <c r="AR60" i="1" s="1"/>
  <c r="AQ7" i="1"/>
  <c r="AR7" i="1" s="1"/>
  <c r="AL57" i="1"/>
  <c r="AM57" i="1" s="1"/>
  <c r="AL50" i="1"/>
  <c r="AM50" i="1" s="1"/>
  <c r="AF16" i="1"/>
  <c r="AL23" i="1"/>
  <c r="AM23" i="1" s="1"/>
  <c r="AQ15" i="1"/>
  <c r="AR15" i="1" s="1"/>
  <c r="AL21" i="1"/>
  <c r="AM21" i="1" s="1"/>
  <c r="AL11" i="1"/>
  <c r="AM11" i="1" s="1"/>
  <c r="AL18" i="1"/>
  <c r="AM18" i="1" s="1"/>
  <c r="AF11" i="1"/>
  <c r="AL62" i="1"/>
  <c r="AM62" i="1" s="1"/>
  <c r="AQ21" i="1"/>
  <c r="AR21" i="1" s="1"/>
  <c r="AQ67" i="1"/>
  <c r="AR67" i="1" s="1"/>
  <c r="AQ32" i="1"/>
  <c r="AR32" i="1" s="1"/>
  <c r="AQ6" i="1"/>
  <c r="AR6" i="1" s="1"/>
  <c r="AL17" i="1"/>
  <c r="AM17" i="1" s="1"/>
  <c r="AL51" i="1"/>
  <c r="AM51" i="1" s="1"/>
  <c r="AQ38" i="1"/>
  <c r="AR38" i="1" s="1"/>
  <c r="AQ23" i="1"/>
  <c r="AR23" i="1" s="1"/>
  <c r="AQ63" i="1"/>
  <c r="AR63" i="1" s="1"/>
  <c r="AQ49" i="1"/>
  <c r="AR49" i="1" s="1"/>
  <c r="AL33" i="1"/>
  <c r="AM33" i="1" s="1"/>
  <c r="AL49" i="1"/>
  <c r="AM49" i="1" s="1"/>
  <c r="AL47" i="1"/>
  <c r="AM47" i="1" s="1"/>
  <c r="AQ43" i="1"/>
  <c r="AR43" i="1" s="1"/>
  <c r="AL43" i="1"/>
  <c r="AM43" i="1" s="1"/>
  <c r="AQ14" i="1"/>
  <c r="AR14" i="1" s="1"/>
  <c r="AQ33" i="1"/>
  <c r="AR33" i="1" s="1"/>
  <c r="AQ50" i="1"/>
  <c r="AR50" i="1" s="1"/>
  <c r="AQ53" i="1"/>
  <c r="AR53" i="1" s="1"/>
  <c r="AL30" i="1"/>
  <c r="AM30" i="1" s="1"/>
  <c r="AQ30" i="1"/>
  <c r="AR30" i="1" s="1"/>
  <c r="AL38" i="1"/>
  <c r="AM38" i="1" s="1"/>
  <c r="AL61" i="1"/>
  <c r="AM61" i="1" s="1"/>
  <c r="AL29" i="1"/>
  <c r="AM29" i="1" s="1"/>
  <c r="AL63" i="1"/>
  <c r="AM63" i="1" s="1"/>
  <c r="AL32" i="1"/>
  <c r="AM32" i="1" s="1"/>
  <c r="AQ11" i="1"/>
  <c r="AR11" i="1" s="1"/>
  <c r="AL69" i="1"/>
  <c r="AM69" i="1" s="1"/>
  <c r="AQ66" i="1"/>
  <c r="AR66" i="1" s="1"/>
  <c r="AL67" i="1"/>
  <c r="AM67" i="1" s="1"/>
  <c r="AL44" i="1"/>
  <c r="AM44" i="1" s="1"/>
  <c r="AL56" i="1"/>
  <c r="AM56" i="1" s="1"/>
  <c r="AL8" i="1"/>
  <c r="AM8" i="1" s="1"/>
  <c r="AQ48" i="1"/>
  <c r="AR48" i="1" s="1"/>
  <c r="AQ45" i="1"/>
  <c r="AR45" i="1" s="1"/>
  <c r="AL59" i="1"/>
  <c r="AM59" i="1" s="1"/>
  <c r="AQ59" i="1"/>
  <c r="AR59" i="1" s="1"/>
  <c r="AL7" i="1"/>
  <c r="AM7" i="1" s="1"/>
  <c r="AF58" i="1"/>
  <c r="AF18" i="1"/>
  <c r="AF48" i="1"/>
  <c r="AF14" i="1"/>
  <c r="AF6" i="1"/>
  <c r="AF32" i="1"/>
  <c r="AF37" i="1"/>
  <c r="AF23" i="1"/>
  <c r="AF27" i="1"/>
  <c r="AF21" i="1"/>
  <c r="AF67" i="1"/>
  <c r="AF25" i="1"/>
  <c r="AF54" i="1"/>
  <c r="AF49" i="1"/>
  <c r="AF7" i="1"/>
  <c r="AF33" i="1"/>
  <c r="AF15" i="1"/>
  <c r="X55" i="104" l="1"/>
  <c r="X54" i="104"/>
  <c r="X53" i="104"/>
  <c r="X39" i="104"/>
  <c r="X34" i="104"/>
  <c r="X8" i="104"/>
  <c r="Q3" i="104"/>
  <c r="X17" i="104"/>
  <c r="X6" i="104"/>
  <c r="N3" i="104"/>
  <c r="X11" i="104"/>
  <c r="U3" i="104"/>
  <c r="W3" i="104"/>
  <c r="X20" i="104"/>
  <c r="X40" i="104"/>
  <c r="X44" i="104"/>
  <c r="X26" i="104"/>
  <c r="X41" i="104"/>
  <c r="X18" i="104"/>
  <c r="P3" i="104"/>
  <c r="X35" i="104"/>
  <c r="T3" i="104"/>
  <c r="X32" i="104"/>
  <c r="X42" i="104"/>
  <c r="X48" i="104"/>
  <c r="X22" i="104"/>
  <c r="X51" i="104"/>
  <c r="X31" i="104"/>
  <c r="X13" i="104"/>
  <c r="X33" i="104"/>
  <c r="X29" i="104"/>
  <c r="R3" i="104"/>
  <c r="X12" i="104"/>
  <c r="X10" i="104"/>
  <c r="X43" i="104"/>
  <c r="X19" i="104"/>
  <c r="X9" i="104"/>
  <c r="S3" i="104"/>
  <c r="X27" i="104"/>
  <c r="X15" i="104"/>
  <c r="X50" i="104"/>
  <c r="X28" i="104"/>
  <c r="X30" i="104"/>
  <c r="X25" i="104"/>
  <c r="X7" i="104"/>
  <c r="X47" i="104"/>
  <c r="X23" i="104"/>
  <c r="X38" i="104"/>
  <c r="X36" i="104"/>
  <c r="O3" i="104"/>
  <c r="X21" i="104"/>
  <c r="X14" i="104"/>
  <c r="X52" i="104"/>
  <c r="X45" i="104"/>
  <c r="X37" i="104"/>
  <c r="V3" i="104"/>
  <c r="X46" i="104"/>
  <c r="X24" i="104"/>
  <c r="X49" i="104"/>
  <c r="X16" i="104"/>
  <c r="X2" i="104" l="1"/>
  <c r="G8" i="104"/>
  <c r="H8" i="104"/>
</calcChain>
</file>

<file path=xl/sharedStrings.xml><?xml version="1.0" encoding="utf-8"?>
<sst xmlns="http://schemas.openxmlformats.org/spreadsheetml/2006/main" count="11217" uniqueCount="517">
  <si>
    <t>INSTALACIÓN</t>
  </si>
  <si>
    <t>INSPECCIÓN / DESINSTALACIÓN</t>
  </si>
  <si>
    <t>RATIOS</t>
  </si>
  <si>
    <t>RENDIMIENTO EN HORAS</t>
  </si>
  <si>
    <t>N-R</t>
  </si>
  <si>
    <t>Precio US$</t>
  </si>
  <si>
    <t>Fecha</t>
  </si>
  <si>
    <t>Hr.</t>
  </si>
  <si>
    <t>Hr. Actual</t>
  </si>
  <si>
    <t>NSK Reen</t>
  </si>
  <si>
    <t>% Des</t>
  </si>
  <si>
    <t>Rendimiento</t>
  </si>
  <si>
    <t>RENDIMIENTO EN KILÓMETROS</t>
  </si>
  <si>
    <t>Km.</t>
  </si>
  <si>
    <t>Km. Actual</t>
  </si>
  <si>
    <t>Horas Rodadas</t>
  </si>
  <si>
    <t>Pos</t>
  </si>
  <si>
    <t>Codigo</t>
  </si>
  <si>
    <t>Marca</t>
  </si>
  <si>
    <t>Medida</t>
  </si>
  <si>
    <t>Diseño</t>
  </si>
  <si>
    <t>Código:</t>
  </si>
  <si>
    <t>Tipo:</t>
  </si>
  <si>
    <t>Horómetro:</t>
  </si>
  <si>
    <t>Kilometraje:</t>
  </si>
  <si>
    <t>Fecha Inspección:</t>
  </si>
  <si>
    <t>Tapa Válvula</t>
  </si>
  <si>
    <t>Observaciones  /  Recomendaciones</t>
  </si>
  <si>
    <t>% Vida Útil</t>
  </si>
  <si>
    <t>Lista Equipos</t>
  </si>
  <si>
    <t>Seleccione Equipo</t>
  </si>
  <si>
    <t>Estado Actual</t>
  </si>
  <si>
    <t>Original</t>
  </si>
  <si>
    <t>Actual</t>
  </si>
  <si>
    <t>Recomendado</t>
  </si>
  <si>
    <t>Remanente (NSK)</t>
  </si>
  <si>
    <t>Presión (PSI)</t>
  </si>
  <si>
    <t>Diferencia</t>
  </si>
  <si>
    <t>NSK Original</t>
  </si>
  <si>
    <t>PSI Rec.</t>
  </si>
  <si>
    <t>Ext.</t>
  </si>
  <si>
    <t>Cen.</t>
  </si>
  <si>
    <t>Int.</t>
  </si>
  <si>
    <t>Situación Actual</t>
  </si>
  <si>
    <t>Hrs/mm</t>
  </si>
  <si>
    <t>Kilómetros Rodados</t>
  </si>
  <si>
    <t>US$/Km Proy.</t>
  </si>
  <si>
    <t>Kilómetros Proy.</t>
  </si>
  <si>
    <t>Horas Proy.</t>
  </si>
  <si>
    <t>US$/Hr Proy.</t>
  </si>
  <si>
    <t>US$/Hr</t>
  </si>
  <si>
    <t>Fecha2</t>
  </si>
  <si>
    <t>Des. mm</t>
  </si>
  <si>
    <t>% Max Des.</t>
  </si>
  <si>
    <t>US$/ Km</t>
  </si>
  <si>
    <t>Kms/ mm</t>
  </si>
  <si>
    <t>Eje</t>
  </si>
  <si>
    <t>A1Q-748</t>
  </si>
  <si>
    <t>A2B-678</t>
  </si>
  <si>
    <t>EN PROCESO DE CREACIÓN</t>
  </si>
  <si>
    <t>Proveedor</t>
  </si>
  <si>
    <t>Tracción</t>
  </si>
  <si>
    <t>Rodando</t>
  </si>
  <si>
    <t>NSK Form.</t>
  </si>
  <si>
    <t xml:space="preserve">Horas Rodadas  </t>
  </si>
  <si>
    <t>$/Hr</t>
  </si>
  <si>
    <t>Horas Proyectadas</t>
  </si>
  <si>
    <t>$/Hr Proyectado</t>
  </si>
  <si>
    <t xml:space="preserve">Hrs/mm  </t>
  </si>
  <si>
    <t>Cantidad</t>
  </si>
  <si>
    <t>% Desgaste</t>
  </si>
  <si>
    <t>Goodyear</t>
  </si>
  <si>
    <t>N</t>
  </si>
  <si>
    <t>tm</t>
  </si>
  <si>
    <t xml:space="preserve">Kilómetros Rodados  </t>
  </si>
  <si>
    <t>$/Km</t>
  </si>
  <si>
    <t>Kilómetros Proyectados</t>
  </si>
  <si>
    <t>Kms/mm</t>
  </si>
  <si>
    <t>$/Km Proyectado</t>
  </si>
  <si>
    <t>NSK</t>
  </si>
  <si>
    <t>Posición en el Vehículo</t>
  </si>
  <si>
    <t>Pos.</t>
  </si>
  <si>
    <t>1R</t>
  </si>
  <si>
    <t>2R</t>
  </si>
  <si>
    <t>3R</t>
  </si>
  <si>
    <t>st</t>
  </si>
  <si>
    <t>Direccional</t>
  </si>
  <si>
    <t>Libre</t>
  </si>
  <si>
    <t>Horas Acumuladas</t>
  </si>
  <si>
    <t>Kilómetros Acumulados</t>
  </si>
  <si>
    <t>Observaciones Daños</t>
  </si>
  <si>
    <t>Observaciones Desgaste Irregular</t>
  </si>
  <si>
    <t>NSK.</t>
  </si>
  <si>
    <t>HORAS</t>
  </si>
  <si>
    <t>KILÓMETROS</t>
  </si>
  <si>
    <t>Volquete</t>
  </si>
  <si>
    <t>STK</t>
  </si>
  <si>
    <t>Aeolus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</si>
  <si>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</si>
  <si>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</si>
  <si>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</si>
  <si>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</si>
  <si>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</si>
  <si>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</si>
  <si>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</si>
  <si>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</si>
  <si>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</si>
  <si>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</si>
  <si>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RT</t>
  </si>
  <si>
    <t>F8U-901</t>
  </si>
  <si>
    <t>TC-100</t>
  </si>
  <si>
    <t>SR-100</t>
  </si>
  <si>
    <t>TOU-972</t>
  </si>
  <si>
    <t>TC-102</t>
  </si>
  <si>
    <t>F8U-787</t>
  </si>
  <si>
    <t>SR-102</t>
  </si>
  <si>
    <t>TOU-986</t>
  </si>
  <si>
    <t>TC-108</t>
  </si>
  <si>
    <t>F8V-758</t>
  </si>
  <si>
    <t>SR-108</t>
  </si>
  <si>
    <t>TOT-996</t>
  </si>
  <si>
    <t>TC-110</t>
  </si>
  <si>
    <t>F8U-799</t>
  </si>
  <si>
    <t>TC-112</t>
  </si>
  <si>
    <t>F8U-871</t>
  </si>
  <si>
    <t>TC-114</t>
  </si>
  <si>
    <t>F8V-771</t>
  </si>
  <si>
    <t>SR-116</t>
  </si>
  <si>
    <t>TOU-983</t>
  </si>
  <si>
    <t>SR-118</t>
  </si>
  <si>
    <t>TOT-991</t>
  </si>
  <si>
    <t>SR-120</t>
  </si>
  <si>
    <t>TOT-990</t>
  </si>
  <si>
    <t>TC-126</t>
  </si>
  <si>
    <t>F8U-786</t>
  </si>
  <si>
    <t>SR-126</t>
  </si>
  <si>
    <t>TOU-970</t>
  </si>
  <si>
    <t>TC-128</t>
  </si>
  <si>
    <t>F8V-768</t>
  </si>
  <si>
    <t>SR-128</t>
  </si>
  <si>
    <t>TOT-989</t>
  </si>
  <si>
    <t>TC-130</t>
  </si>
  <si>
    <t>F8T-925</t>
  </si>
  <si>
    <t>TC-132</t>
  </si>
  <si>
    <t>F8T-924</t>
  </si>
  <si>
    <t>TC-134</t>
  </si>
  <si>
    <t>F8V-757</t>
  </si>
  <si>
    <t>SR-134</t>
  </si>
  <si>
    <t>TOU-981</t>
  </si>
  <si>
    <t>TC-136</t>
  </si>
  <si>
    <t>C9F-803</t>
  </si>
  <si>
    <t>SR-136</t>
  </si>
  <si>
    <t>TBY-977</t>
  </si>
  <si>
    <t>TC-138</t>
  </si>
  <si>
    <t>F8U-800</t>
  </si>
  <si>
    <t>SR-140</t>
  </si>
  <si>
    <t>TOU-980</t>
  </si>
  <si>
    <t>SR-144</t>
  </si>
  <si>
    <t>TDD-994</t>
  </si>
  <si>
    <t>TC-146</t>
  </si>
  <si>
    <t>AKG-942</t>
  </si>
  <si>
    <t>SR-146</t>
  </si>
  <si>
    <t>TDD-992</t>
  </si>
  <si>
    <t>SR-148</t>
  </si>
  <si>
    <t>TDE-993</t>
  </si>
  <si>
    <t>TC-152</t>
  </si>
  <si>
    <t>AKH-808</t>
  </si>
  <si>
    <t>SR-152</t>
  </si>
  <si>
    <t>TDE-989</t>
  </si>
  <si>
    <t>TC-154</t>
  </si>
  <si>
    <t>AKH-934</t>
  </si>
  <si>
    <t>SR-154</t>
  </si>
  <si>
    <t>TDE-988</t>
  </si>
  <si>
    <t>TC-156</t>
  </si>
  <si>
    <t>ANX-866</t>
  </si>
  <si>
    <t>SR-156</t>
  </si>
  <si>
    <t>TDE-991</t>
  </si>
  <si>
    <t>TC-160</t>
  </si>
  <si>
    <t>AKH-885</t>
  </si>
  <si>
    <t>SR-160</t>
  </si>
  <si>
    <t>TDE-979</t>
  </si>
  <si>
    <t>TC-166</t>
  </si>
  <si>
    <t>ANX-776</t>
  </si>
  <si>
    <t>SR-166</t>
  </si>
  <si>
    <t>TDE-992</t>
  </si>
  <si>
    <t>TC-168</t>
  </si>
  <si>
    <t>ANX-777</t>
  </si>
  <si>
    <t>SR-168</t>
  </si>
  <si>
    <t>TDE-971</t>
  </si>
  <si>
    <t>SR-172</t>
  </si>
  <si>
    <t>TDE-995</t>
  </si>
  <si>
    <t>TC-174</t>
  </si>
  <si>
    <t>ANX-818</t>
  </si>
  <si>
    <t>SR-174</t>
  </si>
  <si>
    <t>TDD-996</t>
  </si>
  <si>
    <t>SR-176</t>
  </si>
  <si>
    <t>TDE-980</t>
  </si>
  <si>
    <t>TC-178</t>
  </si>
  <si>
    <t>ANX-903</t>
  </si>
  <si>
    <t>SR-178</t>
  </si>
  <si>
    <t>TDE-983</t>
  </si>
  <si>
    <t>SR-180</t>
  </si>
  <si>
    <t>TDE-999</t>
  </si>
  <si>
    <t>TC-184</t>
  </si>
  <si>
    <t>ANX-939</t>
  </si>
  <si>
    <t>SR-184</t>
  </si>
  <si>
    <t>TDE-990</t>
  </si>
  <si>
    <t>TC-190</t>
  </si>
  <si>
    <t>ANY-840</t>
  </si>
  <si>
    <t>SR-190</t>
  </si>
  <si>
    <t>TDE-977</t>
  </si>
  <si>
    <t>TC-194</t>
  </si>
  <si>
    <t>ANY-765</t>
  </si>
  <si>
    <t>SR-194</t>
  </si>
  <si>
    <t>TDD-993</t>
  </si>
  <si>
    <t>TC-196</t>
  </si>
  <si>
    <t>ANY-766</t>
  </si>
  <si>
    <t>SR-196</t>
  </si>
  <si>
    <t>TEE-992</t>
  </si>
  <si>
    <t>TC-198</t>
  </si>
  <si>
    <t>ANY-904</t>
  </si>
  <si>
    <t>SR-198</t>
  </si>
  <si>
    <t>TDE-996</t>
  </si>
  <si>
    <t>TC-200</t>
  </si>
  <si>
    <t>ANY-905</t>
  </si>
  <si>
    <t>SR-200</t>
  </si>
  <si>
    <t>TDE-997</t>
  </si>
  <si>
    <t>TC-202</t>
  </si>
  <si>
    <t>ATU-731</t>
  </si>
  <si>
    <t>SR-202</t>
  </si>
  <si>
    <t>AEP-993</t>
  </si>
  <si>
    <t>TC-204</t>
  </si>
  <si>
    <t>ATU-880</t>
  </si>
  <si>
    <t>SR-204</t>
  </si>
  <si>
    <t>TC-206</t>
  </si>
  <si>
    <t>ATU-885</t>
  </si>
  <si>
    <t>AEP-995</t>
  </si>
  <si>
    <t>TC-216</t>
  </si>
  <si>
    <t>BAD-702</t>
  </si>
  <si>
    <t>ASQ-977</t>
  </si>
  <si>
    <t>TC-222</t>
  </si>
  <si>
    <t>BRK-893</t>
  </si>
  <si>
    <t>SR-222</t>
  </si>
  <si>
    <t>SR-224</t>
  </si>
  <si>
    <t>ASP-984</t>
  </si>
  <si>
    <t>TC-226</t>
  </si>
  <si>
    <t>BRL-700</t>
  </si>
  <si>
    <t>TC-230</t>
  </si>
  <si>
    <t>BSI-730</t>
  </si>
  <si>
    <t>TC-232</t>
  </si>
  <si>
    <t>BSR-761</t>
  </si>
  <si>
    <t>TC-236</t>
  </si>
  <si>
    <t>BSR-863</t>
  </si>
  <si>
    <t>BVC-852</t>
  </si>
  <si>
    <t>ASP-978</t>
  </si>
  <si>
    <t>BVC-858</t>
  </si>
  <si>
    <t>BVC-800</t>
  </si>
  <si>
    <t>BUN-892</t>
  </si>
  <si>
    <t>ASQ-995</t>
  </si>
  <si>
    <t>BUF-865</t>
  </si>
  <si>
    <t>ASR-982</t>
  </si>
  <si>
    <t>ASN-986</t>
  </si>
  <si>
    <t>ASP-983</t>
  </si>
  <si>
    <t>ASQ-985</t>
  </si>
  <si>
    <t>BUF-805</t>
  </si>
  <si>
    <t>ASQ-980</t>
  </si>
  <si>
    <t>TBX-989</t>
  </si>
  <si>
    <t>PT-08</t>
  </si>
  <si>
    <t>BAU-970</t>
  </si>
  <si>
    <t>445/65R22.5</t>
  </si>
  <si>
    <t>AGC28</t>
  </si>
  <si>
    <t>295/80R22.5</t>
  </si>
  <si>
    <t>KMAX EXTREME</t>
  </si>
  <si>
    <t>Michelin</t>
  </si>
  <si>
    <t>425/65R22.5</t>
  </si>
  <si>
    <t>LZY3</t>
  </si>
  <si>
    <t>R</t>
  </si>
  <si>
    <t>XZY3</t>
  </si>
  <si>
    <t>Continental</t>
  </si>
  <si>
    <t>HS3+</t>
  </si>
  <si>
    <t>AHC3</t>
  </si>
  <si>
    <t>OMNITRAC MST2</t>
  </si>
  <si>
    <t>MDE</t>
  </si>
  <si>
    <t>HAC3</t>
  </si>
  <si>
    <t>Bridgestone</t>
  </si>
  <si>
    <t>M844</t>
  </si>
  <si>
    <t>HD3</t>
  </si>
  <si>
    <t>KMAX S</t>
  </si>
  <si>
    <t>XDY+</t>
  </si>
  <si>
    <t>Jinyu</t>
  </si>
  <si>
    <t>JA626</t>
  </si>
  <si>
    <t>Blackhawk</t>
  </si>
  <si>
    <t>BDR81</t>
  </si>
  <si>
    <t>G296 MSA</t>
  </si>
  <si>
    <t>KMAXD</t>
  </si>
  <si>
    <t>Encapsulado</t>
  </si>
  <si>
    <t>Tracto</t>
  </si>
  <si>
    <t>XMULTI+Z</t>
  </si>
  <si>
    <t>Austone</t>
  </si>
  <si>
    <t>XMULTI2D</t>
  </si>
  <si>
    <t>1901</t>
  </si>
  <si>
    <t>1902</t>
  </si>
  <si>
    <t>23040023</t>
  </si>
  <si>
    <t>23040014</t>
  </si>
  <si>
    <t>23040013</t>
  </si>
  <si>
    <t>23040012</t>
  </si>
  <si>
    <t>2001</t>
  </si>
  <si>
    <t>2002</t>
  </si>
  <si>
    <t>2003</t>
  </si>
  <si>
    <t>2004</t>
  </si>
  <si>
    <t>2007</t>
  </si>
  <si>
    <t>2008</t>
  </si>
  <si>
    <t>2009</t>
  </si>
  <si>
    <t>20010</t>
  </si>
  <si>
    <t>2023</t>
  </si>
  <si>
    <t>2024</t>
  </si>
  <si>
    <t>2025</t>
  </si>
  <si>
    <t>2026</t>
  </si>
  <si>
    <t>213895057</t>
  </si>
  <si>
    <t>2023020002</t>
  </si>
  <si>
    <t>23040033</t>
  </si>
  <si>
    <t>1481</t>
  </si>
  <si>
    <t>1482</t>
  </si>
  <si>
    <t>1983</t>
  </si>
  <si>
    <t>1984</t>
  </si>
  <si>
    <t>1985</t>
  </si>
  <si>
    <t>1986</t>
  </si>
  <si>
    <t>1104</t>
  </si>
  <si>
    <t>ADR8</t>
  </si>
  <si>
    <t>RT306</t>
  </si>
  <si>
    <t>1963</t>
  </si>
  <si>
    <t>2023020019</t>
  </si>
  <si>
    <t>2023020006</t>
  </si>
  <si>
    <t>2023020024</t>
  </si>
  <si>
    <t>23040022</t>
  </si>
  <si>
    <t>CAM211</t>
  </si>
  <si>
    <t>TB935</t>
  </si>
  <si>
    <t>Antyre</t>
  </si>
  <si>
    <t>2023020020</t>
  </si>
  <si>
    <t>2023020018</t>
  </si>
  <si>
    <t>2023020013</t>
  </si>
  <si>
    <t>1826</t>
  </si>
  <si>
    <t>1964</t>
  </si>
  <si>
    <t>1047</t>
  </si>
  <si>
    <t>1048</t>
  </si>
  <si>
    <t>1049</t>
  </si>
  <si>
    <t>1050</t>
  </si>
  <si>
    <t>BHT-991</t>
  </si>
  <si>
    <t>BHU-995</t>
  </si>
  <si>
    <t>BHT-992</t>
  </si>
  <si>
    <t>BHU-971</t>
  </si>
  <si>
    <t>2023020034</t>
  </si>
  <si>
    <t>2023020030</t>
  </si>
  <si>
    <t>BWD-742</t>
  </si>
  <si>
    <t>23040044</t>
  </si>
  <si>
    <t>1743</t>
  </si>
  <si>
    <t>1744</t>
  </si>
  <si>
    <t>1506</t>
  </si>
  <si>
    <t>HTC1</t>
  </si>
  <si>
    <t>1085</t>
  </si>
  <si>
    <t>1086</t>
  </si>
  <si>
    <t>2023020032</t>
  </si>
  <si>
    <t>23640022</t>
  </si>
  <si>
    <t>1601</t>
  </si>
  <si>
    <t>1602</t>
  </si>
  <si>
    <t>ACS-993</t>
  </si>
  <si>
    <t>ACT-977</t>
  </si>
  <si>
    <t>BWD-740</t>
  </si>
  <si>
    <t>BWC-924</t>
  </si>
  <si>
    <t>Aufine</t>
  </si>
  <si>
    <t>23040027</t>
  </si>
  <si>
    <t>Alineamiento</t>
  </si>
  <si>
    <t>BWW-946</t>
  </si>
  <si>
    <t>XWORKSZ</t>
  </si>
  <si>
    <t>XWORKSD</t>
  </si>
  <si>
    <t>222</t>
  </si>
  <si>
    <t>2023020062</t>
  </si>
  <si>
    <t>202362001</t>
  </si>
  <si>
    <t>2023020027</t>
  </si>
  <si>
    <t>2023000021</t>
  </si>
  <si>
    <t>23040055</t>
  </si>
  <si>
    <t>Desgaste punta talón</t>
  </si>
  <si>
    <t>0320092</t>
  </si>
  <si>
    <t>116</t>
  </si>
  <si>
    <t>RC</t>
  </si>
  <si>
    <t>tp</t>
  </si>
  <si>
    <t>Delaminación de caucho en banda</t>
  </si>
  <si>
    <t>2023020009</t>
  </si>
  <si>
    <t>110 1</t>
  </si>
  <si>
    <t>110 2</t>
  </si>
  <si>
    <t>206 3</t>
  </si>
  <si>
    <t>206 4</t>
  </si>
  <si>
    <t>206 5</t>
  </si>
  <si>
    <t>206 6</t>
  </si>
  <si>
    <t>206 7</t>
  </si>
  <si>
    <t>206 8</t>
  </si>
  <si>
    <t>206 9</t>
  </si>
  <si>
    <t>206 10</t>
  </si>
  <si>
    <t>206 1</t>
  </si>
  <si>
    <t>206 2</t>
  </si>
  <si>
    <t>SR-246</t>
  </si>
  <si>
    <t>BWD-772</t>
  </si>
  <si>
    <t>TC-266</t>
  </si>
  <si>
    <t>SR-240</t>
  </si>
  <si>
    <t>TC-254</t>
  </si>
  <si>
    <t>TC-262</t>
  </si>
  <si>
    <t>SR-248</t>
  </si>
  <si>
    <t>TC-256</t>
  </si>
  <si>
    <t>TC-264</t>
  </si>
  <si>
    <t>SR-250</t>
  </si>
  <si>
    <t>TC-268</t>
  </si>
  <si>
    <t>TC-272</t>
  </si>
  <si>
    <t>BWX-796</t>
  </si>
  <si>
    <t>Suretrac</t>
  </si>
  <si>
    <t>100 6</t>
  </si>
  <si>
    <t>130 6</t>
  </si>
  <si>
    <t>100 3</t>
  </si>
  <si>
    <t>100 4</t>
  </si>
  <si>
    <t>100</t>
  </si>
  <si>
    <t>TC-248</t>
  </si>
  <si>
    <t>TC-258</t>
  </si>
  <si>
    <t>TC-242</t>
  </si>
  <si>
    <t>134 1</t>
  </si>
  <si>
    <t>134 2</t>
  </si>
  <si>
    <t>134 3</t>
  </si>
  <si>
    <t>134 4</t>
  </si>
  <si>
    <t>134 6</t>
  </si>
  <si>
    <t>108</t>
  </si>
  <si>
    <t>032008200042</t>
  </si>
  <si>
    <t>Dispersión de cordones costado</t>
  </si>
  <si>
    <t>102 1</t>
  </si>
  <si>
    <t>102 2</t>
  </si>
  <si>
    <t>102 3</t>
  </si>
  <si>
    <t>102 4</t>
  </si>
  <si>
    <t>102 5</t>
  </si>
  <si>
    <t>102 6</t>
  </si>
  <si>
    <t>Desgarro en banda de rodado</t>
  </si>
  <si>
    <t>PT-18</t>
  </si>
  <si>
    <t>PT-03</t>
  </si>
  <si>
    <t>Chengshan</t>
  </si>
  <si>
    <t>PT-19</t>
  </si>
  <si>
    <t>BHE-993</t>
  </si>
  <si>
    <t>PT-15</t>
  </si>
  <si>
    <t>BHQ-974</t>
  </si>
  <si>
    <t>PT-17</t>
  </si>
  <si>
    <t>BHJ-984</t>
  </si>
  <si>
    <t>PT-16</t>
  </si>
  <si>
    <t>BFV-996</t>
  </si>
  <si>
    <t>PT-14</t>
  </si>
  <si>
    <t>BFV-971</t>
  </si>
  <si>
    <t>PT-13</t>
  </si>
  <si>
    <t>194 5</t>
  </si>
  <si>
    <t>194 6</t>
  </si>
  <si>
    <t>194 3</t>
  </si>
  <si>
    <t>204 6</t>
  </si>
  <si>
    <t>160 06</t>
  </si>
  <si>
    <t>TC-260</t>
  </si>
  <si>
    <t>SR-252</t>
  </si>
  <si>
    <t>SR-244</t>
  </si>
  <si>
    <t>SR-234</t>
  </si>
  <si>
    <t>Plataforma</t>
  </si>
  <si>
    <t>SR-238</t>
  </si>
  <si>
    <t>SR-228</t>
  </si>
  <si>
    <t>TC-246</t>
  </si>
  <si>
    <t>SR-232</t>
  </si>
  <si>
    <t>23040018</t>
  </si>
  <si>
    <t>23040030</t>
  </si>
  <si>
    <t>AUS-911</t>
  </si>
  <si>
    <t>TC-214</t>
  </si>
  <si>
    <t>Aplus</t>
  </si>
  <si>
    <t>S205</t>
  </si>
  <si>
    <t>BTM26</t>
  </si>
  <si>
    <t>AEP-991</t>
  </si>
  <si>
    <t>SR-214</t>
  </si>
  <si>
    <t>a</t>
  </si>
  <si>
    <t>SR-226</t>
  </si>
  <si>
    <t>174 1</t>
  </si>
  <si>
    <t>174 2</t>
  </si>
  <si>
    <t>12.00-24</t>
  </si>
  <si>
    <t>325/95R24</t>
  </si>
  <si>
    <t>OMNITRAC S</t>
  </si>
  <si>
    <t>XFORCE</t>
  </si>
  <si>
    <t>OMNITRAC D</t>
  </si>
  <si>
    <t>12.00R24</t>
  </si>
  <si>
    <t>G677 OTR</t>
  </si>
  <si>
    <t>Techking</t>
  </si>
  <si>
    <t>ETOT II</t>
  </si>
  <si>
    <t>ATW-862</t>
  </si>
  <si>
    <t>VQ-32</t>
  </si>
  <si>
    <t>ATW-873</t>
  </si>
  <si>
    <t>VQ-33</t>
  </si>
  <si>
    <t>ATW-948</t>
  </si>
  <si>
    <t>VQ-36</t>
  </si>
  <si>
    <t>Remanente (mm)</t>
  </si>
  <si>
    <t>Mayor</t>
  </si>
  <si>
    <t>1N</t>
  </si>
  <si>
    <t>DATOS DE LA UNIDAD</t>
  </si>
  <si>
    <t>DATOS DEL NEUMÁTICO</t>
  </si>
  <si>
    <t>Código_N</t>
  </si>
  <si>
    <t>Marca_N</t>
  </si>
  <si>
    <t>Medida_N</t>
  </si>
  <si>
    <t>Diseño_N</t>
  </si>
  <si>
    <t>Código_U</t>
  </si>
  <si>
    <t>Placa_U</t>
  </si>
  <si>
    <t>Tipo_U</t>
  </si>
  <si>
    <t>Reporte NSK</t>
  </si>
  <si>
    <t>NSK a CONSIDERAR</t>
  </si>
  <si>
    <t>Total Neumáticos</t>
  </si>
  <si>
    <t>Repuesto</t>
  </si>
  <si>
    <t>RE</t>
  </si>
  <si>
    <t>RE = Repuesto Encapsulado</t>
  </si>
  <si>
    <t>RT = Repuesto Tracto</t>
  </si>
  <si>
    <t>Daños</t>
  </si>
  <si>
    <t>Desgaste Irregular</t>
  </si>
  <si>
    <t>Rotación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</si>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</sst>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[$$-540A]#,##0.00_ ;\-[$$-540A]#,##0.00\ "/>
    <numFmt numFmtId="165" formatCode="_(* #,##0.00_);_(* \(#,##0.00\);_(* &quot;-&quot;??_);_(@_)"/>
    <numFmt numFmtId="166" formatCode="_(&quot;C$&quot;* #,##0.00_);_(&quot;C$&quot;* \(#,##0.00\);_(&quot;C$&quot;* &quot;-&quot;??_);_(@_)"/>
    <numFmt numFmtId="167" formatCode="[$$-2C0A]\ #,##0.00"/>
    <numFmt numFmtId="168" formatCode="#,##0_ ;\-#,##0\ "/>
    <numFmt numFmtId="169" formatCode="0_ ;\-0\ "/>
    <numFmt numFmtId="170" formatCode="dd\-mmmm"/>
    <numFmt numFmtId="171" formatCode="[$$-540A]#,##0.000_ ;\-[$$-540A]#,##0.000\ "/>
    <numFmt numFmtId="172" formatCode="0.0"/>
    <numFmt numFmtId="173" formatCode="dd\-mmm\-yy"/>
  </numFmts>
  <fonts count="6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theme="0"/>
      <name val="Calibri"/>
      <family val="2"/>
      <scheme val="minor"/>
    </font>
    <font>
      <i/>
      <sz val="9"/>
      <color indexed="62"/>
      <name val="Calibri"/>
      <family val="2"/>
      <scheme val="minor"/>
    </font>
    <font>
      <b/>
      <i/>
      <sz val="9"/>
      <color rgb="FF0070C0"/>
      <name val="Calibri"/>
      <family val="2"/>
      <scheme val="minor"/>
    </font>
    <font>
      <b/>
      <i/>
      <u/>
      <sz val="16"/>
      <name val="Calibri"/>
      <family val="2"/>
      <scheme val="minor"/>
    </font>
    <font>
      <sz val="8"/>
      <color theme="1"/>
      <name val="Arial"/>
      <family val="2"/>
    </font>
    <font>
      <sz val="8"/>
      <color theme="3"/>
      <name val="Arial"/>
      <family val="2"/>
    </font>
    <font>
      <b/>
      <sz val="8"/>
      <color theme="0"/>
      <name val="Arial"/>
      <family val="2"/>
    </font>
    <font>
      <sz val="7"/>
      <color theme="1"/>
      <name val="Arial"/>
      <family val="2"/>
    </font>
    <font>
      <b/>
      <sz val="9"/>
      <color rgb="FF0070C0"/>
      <name val="Arial"/>
      <family val="2"/>
    </font>
    <font>
      <sz val="17"/>
      <color theme="1"/>
      <name val="Arial"/>
      <family val="2"/>
    </font>
    <font>
      <i/>
      <sz val="8"/>
      <color theme="1"/>
      <name val="Arial"/>
      <family val="2"/>
    </font>
    <font>
      <b/>
      <i/>
      <sz val="10"/>
      <color theme="0"/>
      <name val="Arial"/>
      <family val="2"/>
    </font>
    <font>
      <sz val="7"/>
      <color theme="0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color theme="3"/>
      <name val="Arial"/>
      <family val="2"/>
    </font>
    <font>
      <sz val="7"/>
      <color theme="3"/>
      <name val="Arial"/>
      <family val="2"/>
    </font>
    <font>
      <b/>
      <i/>
      <u/>
      <sz val="11"/>
      <color rgb="FF0070C0"/>
      <name val="Arial"/>
      <family val="2"/>
    </font>
    <font>
      <b/>
      <i/>
      <u/>
      <sz val="12"/>
      <color rgb="FF0070C0"/>
      <name val="Arial"/>
      <family val="2"/>
    </font>
    <font>
      <sz val="8"/>
      <color theme="0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8"/>
      <color rgb="FFFF0000"/>
      <name val="Arial"/>
      <family val="2"/>
    </font>
    <font>
      <b/>
      <sz val="8"/>
      <color rgb="FF00B050"/>
      <name val="Arial"/>
      <family val="2"/>
    </font>
    <font>
      <b/>
      <sz val="8"/>
      <color rgb="FFFF0000"/>
      <name val="Arial"/>
      <family val="2"/>
    </font>
    <font>
      <b/>
      <sz val="8"/>
      <color theme="3" tint="0.39997558519241921"/>
      <name val="Arial"/>
      <family val="2"/>
    </font>
    <font>
      <b/>
      <i/>
      <sz val="9"/>
      <color theme="0"/>
      <name val="Calibri"/>
      <family val="2"/>
      <scheme val="minor"/>
    </font>
    <font>
      <i/>
      <sz val="9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Arial"/>
      <family val="2"/>
    </font>
    <font>
      <b/>
      <sz val="8"/>
      <name val="Arial"/>
      <family val="2"/>
    </font>
    <font>
      <i/>
      <sz val="9"/>
      <name val="Calibri"/>
      <scheme val="minor"/>
    </font>
    <font>
      <i/>
      <sz val="8"/>
      <name val="Arial"/>
      <family val="2"/>
    </font>
    <font>
      <i/>
      <sz val="9"/>
      <color rgb="FFFF0000"/>
      <name val="Calibri"/>
      <family val="2"/>
      <scheme val="minor"/>
    </font>
    <font>
      <b/>
      <i/>
      <sz val="9"/>
      <color theme="3"/>
      <name val="Calibri"/>
      <family val="2"/>
      <scheme val="minor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sz val="9"/>
      <color rgb="FF00B050"/>
      <name val="Arial"/>
      <family val="2"/>
    </font>
    <font>
      <sz val="9"/>
      <color theme="3" tint="0.39997558519241921"/>
      <name val="Arial"/>
      <family val="2"/>
    </font>
    <font>
      <sz val="8"/>
      <color rgb="FF040C28"/>
      <name val="Arial"/>
      <family val="2"/>
    </font>
    <font>
      <sz val="8"/>
      <color rgb="FF1F1F1F"/>
      <name val="Arial"/>
      <family val="2"/>
    </font>
    <font>
      <sz val="8"/>
      <color rgb="FF00B050"/>
      <name val="Arial"/>
      <family val="2"/>
    </font>
    <font>
      <sz val="8"/>
      <color theme="3" tint="0.39997558519241921"/>
      <name val="Arial"/>
      <family val="2"/>
    </font>
    <font>
      <b/>
      <sz val="8"/>
      <color theme="3"/>
      <name val="Arial"/>
      <family val="2"/>
    </font>
    <font>
      <u/>
      <sz val="8"/>
      <color theme="3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0"/>
      <color theme="3" tint="0.3999755851924192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/>
        <bgColor indexed="64"/>
      </patternFill>
    </fill>
  </fills>
  <borders count="110">
    <border>
      <left/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3" tint="0.39994506668294322"/>
      </left>
      <right/>
      <top style="thin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8" tint="0.79998168889431442"/>
      </top>
      <bottom style="thin">
        <color theme="4" tint="0.79998168889431442"/>
      </bottom>
      <diagonal/>
    </border>
    <border>
      <left/>
      <right/>
      <top/>
      <bottom style="thin">
        <color theme="3" tint="0.39988402966399123"/>
      </bottom>
      <diagonal/>
    </border>
    <border>
      <left style="thin">
        <color theme="3" tint="0.39982299264503923"/>
      </left>
      <right style="thin">
        <color indexed="64"/>
      </right>
      <top style="thin">
        <color theme="3" tint="0.39982299264503923"/>
      </top>
      <bottom style="thin">
        <color theme="3" tint="0.39982299264503923"/>
      </bottom>
      <diagonal/>
    </border>
    <border>
      <left style="thin">
        <color indexed="64"/>
      </left>
      <right style="thin">
        <color indexed="64"/>
      </right>
      <top style="thin">
        <color theme="3" tint="0.39982299264503923"/>
      </top>
      <bottom style="thin">
        <color theme="3" tint="0.39982299264503923"/>
      </bottom>
      <diagonal/>
    </border>
    <border>
      <left/>
      <right/>
      <top/>
      <bottom style="thin">
        <color theme="3" tint="0.39994506668294322"/>
      </bottom>
      <diagonal/>
    </border>
    <border>
      <left/>
      <right/>
      <top style="thin">
        <color theme="3" tint="0.39994506668294322"/>
      </top>
      <bottom/>
      <diagonal/>
    </border>
    <border>
      <left/>
      <right/>
      <top style="thin">
        <color theme="3" tint="0.39994506668294322"/>
      </top>
      <bottom style="thin">
        <color theme="3" tint="0.39994506668294322"/>
      </bottom>
      <diagonal/>
    </border>
    <border>
      <left/>
      <right/>
      <top style="thin">
        <color theme="3" tint="0.39982299264503923"/>
      </top>
      <bottom/>
      <diagonal/>
    </border>
    <border>
      <left/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indexed="64"/>
      </bottom>
      <diagonal/>
    </border>
    <border>
      <left/>
      <right/>
      <top style="thin">
        <color rgb="FFABABAB"/>
      </top>
      <bottom style="thin">
        <color indexed="64"/>
      </bottom>
      <diagonal/>
    </border>
    <border>
      <left/>
      <right style="thin">
        <color rgb="FFABABAB"/>
      </right>
      <top style="thin">
        <color rgb="FFABABAB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theme="3" tint="0.39994506668294322"/>
      </left>
      <right/>
      <top style="thin">
        <color theme="3" tint="0.39994506668294322"/>
      </top>
      <bottom style="hair">
        <color theme="3" tint="0.39994506668294322"/>
      </bottom>
      <diagonal/>
    </border>
    <border>
      <left style="thin">
        <color theme="3" tint="0.39994506668294322"/>
      </left>
      <right/>
      <top style="hair">
        <color theme="3" tint="0.39994506668294322"/>
      </top>
      <bottom style="hair">
        <color theme="3" tint="0.39994506668294322"/>
      </bottom>
      <diagonal/>
    </border>
    <border>
      <left style="thin">
        <color theme="3" tint="0.39994506668294322"/>
      </left>
      <right/>
      <top style="hair">
        <color theme="3" tint="0.39994506668294322"/>
      </top>
      <bottom style="thin">
        <color theme="3" tint="0.39994506668294322"/>
      </bottom>
      <diagonal/>
    </border>
    <border>
      <left style="hair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hair">
        <color theme="3" tint="0.39994506668294322"/>
      </bottom>
      <diagonal/>
    </border>
    <border>
      <left style="hair">
        <color theme="3" tint="0.39994506668294322"/>
      </left>
      <right style="thin">
        <color theme="3" tint="0.39994506668294322"/>
      </right>
      <top style="hair">
        <color theme="3" tint="0.39994506668294322"/>
      </top>
      <bottom style="hair">
        <color theme="3" tint="0.39994506668294322"/>
      </bottom>
      <diagonal/>
    </border>
    <border>
      <left style="hair">
        <color theme="3" tint="0.39994506668294322"/>
      </left>
      <right style="thin">
        <color theme="3" tint="0.39994506668294322"/>
      </right>
      <top style="hair">
        <color theme="3" tint="0.39994506668294322"/>
      </top>
      <bottom style="thin">
        <color theme="3" tint="0.39994506668294322"/>
      </bottom>
      <diagonal/>
    </border>
    <border>
      <left/>
      <right style="thin">
        <color theme="3" tint="0.39988402966399123"/>
      </right>
      <top style="hair">
        <color theme="3" tint="0.39991454817346722"/>
      </top>
      <bottom style="hair">
        <color theme="3" tint="0.39991454817346722"/>
      </bottom>
      <diagonal/>
    </border>
    <border>
      <left/>
      <right style="thin">
        <color theme="3" tint="0.39988402966399123"/>
      </right>
      <top style="thin">
        <color theme="3" tint="0.39988402966399123"/>
      </top>
      <bottom style="thin">
        <color theme="3" tint="0.39988402966399123"/>
      </bottom>
      <diagonal/>
    </border>
    <border>
      <left style="thin">
        <color theme="3" tint="0.39988402966399123"/>
      </left>
      <right/>
      <top style="hair">
        <color theme="3" tint="0.39988402966399123"/>
      </top>
      <bottom style="hair">
        <color theme="3" tint="0.39988402966399123"/>
      </bottom>
      <diagonal/>
    </border>
    <border>
      <left/>
      <right/>
      <top style="hair">
        <color theme="3" tint="0.39988402966399123"/>
      </top>
      <bottom style="hair">
        <color theme="3" tint="0.39988402966399123"/>
      </bottom>
      <diagonal/>
    </border>
    <border>
      <left style="thin">
        <color theme="3" tint="0.39988402966399123"/>
      </left>
      <right/>
      <top/>
      <bottom style="hair">
        <color theme="3" tint="0.39988402966399123"/>
      </bottom>
      <diagonal/>
    </border>
    <border>
      <left/>
      <right/>
      <top/>
      <bottom style="hair">
        <color theme="3" tint="0.39988402966399123"/>
      </bottom>
      <diagonal/>
    </border>
    <border>
      <left style="thin">
        <color theme="3" tint="0.39994506668294322"/>
      </left>
      <right/>
      <top style="thin">
        <color theme="3" tint="0.39991454817346722"/>
      </top>
      <bottom style="hair">
        <color theme="3" tint="0.39991454817346722"/>
      </bottom>
      <diagonal/>
    </border>
    <border>
      <left/>
      <right/>
      <top style="thin">
        <color theme="3" tint="0.39991454817346722"/>
      </top>
      <bottom style="hair">
        <color theme="3" tint="0.39991454817346722"/>
      </bottom>
      <diagonal/>
    </border>
    <border>
      <left/>
      <right style="thin">
        <color theme="3" tint="0.39988402966399123"/>
      </right>
      <top style="thin">
        <color theme="3" tint="0.39988402966399123"/>
      </top>
      <bottom style="hair">
        <color theme="3" tint="0.39991454817346722"/>
      </bottom>
      <diagonal/>
    </border>
    <border>
      <left style="thin">
        <color indexed="64"/>
      </left>
      <right style="thin">
        <color theme="3" tint="0.39979247413556324"/>
      </right>
      <top style="thin">
        <color theme="3" tint="0.39982299264503923"/>
      </top>
      <bottom style="thin">
        <color theme="3" tint="0.39982299264503923"/>
      </bottom>
      <diagonal/>
    </border>
    <border>
      <left/>
      <right style="thin">
        <color theme="3" tint="0.39979247413556324"/>
      </right>
      <top/>
      <bottom/>
      <diagonal/>
    </border>
    <border>
      <left/>
      <right style="thin">
        <color theme="3" tint="0.39979247413556324"/>
      </right>
      <top style="thin">
        <color theme="3" tint="0.39991454817346722"/>
      </top>
      <bottom style="hair">
        <color theme="3" tint="0.39991454817346722"/>
      </bottom>
      <diagonal/>
    </border>
    <border>
      <left/>
      <right style="thin">
        <color theme="3" tint="0.39979247413556324"/>
      </right>
      <top/>
      <bottom style="hair">
        <color theme="3" tint="0.39988402966399123"/>
      </bottom>
      <diagonal/>
    </border>
    <border>
      <left/>
      <right style="thin">
        <color theme="3" tint="0.39979247413556324"/>
      </right>
      <top style="hair">
        <color theme="3" tint="0.39988402966399123"/>
      </top>
      <bottom style="hair">
        <color theme="3" tint="0.39988402966399123"/>
      </bottom>
      <diagonal/>
    </border>
    <border>
      <left style="dotted">
        <color theme="3" tint="0.39979247413556324"/>
      </left>
      <right/>
      <top style="thin">
        <color theme="3" tint="0.39982299264503923"/>
      </top>
      <bottom/>
      <diagonal/>
    </border>
    <border>
      <left style="dotted">
        <color theme="3" tint="0.39979247413556324"/>
      </left>
      <right/>
      <top style="thin">
        <color theme="3" tint="0.39991454817346722"/>
      </top>
      <bottom style="hair">
        <color theme="3" tint="0.39991454817346722"/>
      </bottom>
      <diagonal/>
    </border>
    <border>
      <left style="dotted">
        <color theme="3" tint="0.39979247413556324"/>
      </left>
      <right/>
      <top/>
      <bottom style="hair">
        <color theme="3" tint="0.39988402966399123"/>
      </bottom>
      <diagonal/>
    </border>
    <border>
      <left style="dotted">
        <color theme="3" tint="0.39979247413556324"/>
      </left>
      <right/>
      <top style="hair">
        <color theme="3" tint="0.39988402966399123"/>
      </top>
      <bottom style="hair">
        <color theme="3" tint="0.39988402966399123"/>
      </bottom>
      <diagonal/>
    </border>
    <border>
      <left style="dotted">
        <color theme="3" tint="0.39979247413556324"/>
      </left>
      <right style="dotted">
        <color theme="3" tint="0.39979247413556324"/>
      </right>
      <top style="thin">
        <color theme="3" tint="0.39982299264503923"/>
      </top>
      <bottom/>
      <diagonal/>
    </border>
    <border>
      <left style="dotted">
        <color theme="3" tint="0.39979247413556324"/>
      </left>
      <right style="thin">
        <color theme="3" tint="0.39979247413556324"/>
      </right>
      <top style="thin">
        <color theme="3" tint="0.39982299264503923"/>
      </top>
      <bottom/>
      <diagonal/>
    </border>
    <border>
      <left style="dotted">
        <color theme="3" tint="0.39979247413556324"/>
      </left>
      <right style="dotted">
        <color theme="3" tint="0.39979247413556324"/>
      </right>
      <top style="thin">
        <color theme="3" tint="0.39991454817346722"/>
      </top>
      <bottom style="hair">
        <color theme="3" tint="0.39991454817346722"/>
      </bottom>
      <diagonal/>
    </border>
    <border>
      <left style="dotted">
        <color theme="3" tint="0.39979247413556324"/>
      </left>
      <right style="thin">
        <color theme="3" tint="0.39979247413556324"/>
      </right>
      <top style="thin">
        <color theme="3" tint="0.39991454817346722"/>
      </top>
      <bottom style="hair">
        <color theme="3" tint="0.39991454817346722"/>
      </bottom>
      <diagonal/>
    </border>
    <border>
      <left style="dotted">
        <color theme="3" tint="0.39979247413556324"/>
      </left>
      <right style="dotted">
        <color theme="3" tint="0.39979247413556324"/>
      </right>
      <top/>
      <bottom style="hair">
        <color theme="3" tint="0.39988402966399123"/>
      </bottom>
      <diagonal/>
    </border>
    <border>
      <left style="dotted">
        <color theme="3" tint="0.39979247413556324"/>
      </left>
      <right style="thin">
        <color theme="3" tint="0.39979247413556324"/>
      </right>
      <top/>
      <bottom style="hair">
        <color theme="3" tint="0.39988402966399123"/>
      </bottom>
      <diagonal/>
    </border>
    <border>
      <left style="dotted">
        <color theme="3" tint="0.39979247413556324"/>
      </left>
      <right style="dotted">
        <color theme="3" tint="0.39979247413556324"/>
      </right>
      <top style="hair">
        <color theme="3" tint="0.39988402966399123"/>
      </top>
      <bottom style="hair">
        <color theme="3" tint="0.39988402966399123"/>
      </bottom>
      <diagonal/>
    </border>
    <border>
      <left style="dotted">
        <color theme="3" tint="0.39979247413556324"/>
      </left>
      <right style="thin">
        <color theme="3" tint="0.39979247413556324"/>
      </right>
      <top style="hair">
        <color theme="3" tint="0.39988402966399123"/>
      </top>
      <bottom style="hair">
        <color theme="3" tint="0.39988402966399123"/>
      </bottom>
      <diagonal/>
    </border>
  </borders>
  <cellStyleXfs count="30">
    <xf numFmtId="164" fontId="0" fillId="0" borderId="0"/>
    <xf numFmtId="164" fontId="1" fillId="0" borderId="0"/>
    <xf numFmtId="9" fontId="1" fillId="0" borderId="0" applyFont="0" applyFill="0" applyBorder="0" applyAlignment="0" applyProtection="0"/>
    <xf numFmtId="164" fontId="2" fillId="0" borderId="0"/>
    <xf numFmtId="9" fontId="2" fillId="0" borderId="0" applyFont="0" applyFill="0" applyBorder="0" applyAlignment="0" applyProtection="0"/>
    <xf numFmtId="164" fontId="1" fillId="0" borderId="0"/>
    <xf numFmtId="9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4" fillId="0" borderId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1" fillId="0" borderId="0"/>
    <xf numFmtId="9" fontId="4" fillId="0" borderId="0" applyFont="0" applyFill="0" applyBorder="0" applyAlignment="0" applyProtection="0"/>
    <xf numFmtId="164" fontId="3" fillId="0" borderId="0"/>
    <xf numFmtId="164" fontId="1" fillId="0" borderId="0"/>
    <xf numFmtId="164" fontId="1" fillId="0" borderId="0"/>
    <xf numFmtId="9" fontId="1" fillId="0" borderId="0" applyFont="0" applyFill="0" applyBorder="0" applyAlignment="0" applyProtection="0"/>
    <xf numFmtId="164" fontId="1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</cellStyleXfs>
  <cellXfs count="526">
    <xf numFmtId="164" fontId="0" fillId="0" borderId="0" xfId="0"/>
    <xf numFmtId="3" fontId="11" fillId="0" borderId="0" xfId="0" applyNumberFormat="1" applyFont="1" applyAlignment="1" applyProtection="1">
      <alignment horizontal="center" vertical="center"/>
      <protection hidden="1"/>
    </xf>
    <xf numFmtId="164" fontId="11" fillId="0" borderId="0" xfId="0" applyFont="1" applyAlignment="1" applyProtection="1">
      <alignment horizontal="center" vertical="center"/>
      <protection hidden="1"/>
    </xf>
    <xf numFmtId="168" fontId="11" fillId="0" borderId="0" xfId="0" applyNumberFormat="1" applyFont="1" applyAlignment="1" applyProtection="1">
      <alignment horizontal="center" vertical="center"/>
      <protection hidden="1"/>
    </xf>
    <xf numFmtId="9" fontId="11" fillId="0" borderId="0" xfId="0" applyNumberFormat="1" applyFont="1" applyAlignment="1" applyProtection="1">
      <alignment horizontal="center" vertical="center"/>
      <protection hidden="1"/>
    </xf>
    <xf numFmtId="4" fontId="11" fillId="0" borderId="0" xfId="0" applyNumberFormat="1" applyFont="1" applyAlignment="1" applyProtection="1">
      <alignment horizontal="center" vertical="center"/>
      <protection hidden="1"/>
    </xf>
    <xf numFmtId="49" fontId="11" fillId="0" borderId="0" xfId="0" applyNumberFormat="1" applyFont="1" applyAlignment="1" applyProtection="1">
      <alignment horizontal="center" vertical="center"/>
      <protection hidden="1"/>
    </xf>
    <xf numFmtId="49" fontId="11" fillId="0" borderId="23" xfId="0" applyNumberFormat="1" applyFont="1" applyBorder="1" applyAlignment="1" applyProtection="1">
      <alignment horizontal="center" vertical="center"/>
      <protection hidden="1"/>
    </xf>
    <xf numFmtId="164" fontId="11" fillId="0" borderId="40" xfId="0" applyFont="1" applyBorder="1" applyAlignment="1" applyProtection="1">
      <alignment horizontal="center" vertical="center"/>
      <protection hidden="1"/>
    </xf>
    <xf numFmtId="168" fontId="11" fillId="0" borderId="40" xfId="0" applyNumberFormat="1" applyFont="1" applyBorder="1" applyAlignment="1" applyProtection="1">
      <alignment horizontal="center" vertical="center"/>
      <protection hidden="1"/>
    </xf>
    <xf numFmtId="168" fontId="16" fillId="0" borderId="0" xfId="0" applyNumberFormat="1" applyFont="1" applyAlignment="1" applyProtection="1">
      <alignment horizontal="center" vertical="center"/>
      <protection hidden="1"/>
    </xf>
    <xf numFmtId="0" fontId="17" fillId="0" borderId="0" xfId="0" applyNumberFormat="1" applyFont="1" applyAlignment="1">
      <alignment horizontal="center" vertical="center"/>
    </xf>
    <xf numFmtId="0" fontId="17" fillId="0" borderId="24" xfId="0" applyNumberFormat="1" applyFont="1" applyBorder="1" applyAlignment="1">
      <alignment horizontal="center" vertical="center"/>
    </xf>
    <xf numFmtId="0" fontId="17" fillId="0" borderId="46" xfId="0" applyNumberFormat="1" applyFont="1" applyBorder="1" applyAlignment="1">
      <alignment horizontal="center" vertical="center"/>
    </xf>
    <xf numFmtId="0" fontId="17" fillId="0" borderId="44" xfId="0" applyNumberFormat="1" applyFont="1" applyBorder="1" applyAlignment="1">
      <alignment horizontal="center" vertical="center"/>
    </xf>
    <xf numFmtId="164" fontId="12" fillId="0" borderId="25" xfId="0" applyFont="1" applyBorder="1" applyAlignment="1" applyProtection="1">
      <alignment horizontal="center" vertical="center"/>
      <protection hidden="1"/>
    </xf>
    <xf numFmtId="168" fontId="15" fillId="0" borderId="0" xfId="0" applyNumberFormat="1" applyFont="1" applyAlignment="1" applyProtection="1">
      <alignment horizontal="left" vertical="center"/>
      <protection hidden="1"/>
    </xf>
    <xf numFmtId="164" fontId="12" fillId="0" borderId="0" xfId="0" applyFont="1" applyAlignment="1" applyProtection="1">
      <alignment vertical="center" wrapText="1"/>
      <protection hidden="1"/>
    </xf>
    <xf numFmtId="164" fontId="12" fillId="0" borderId="0" xfId="0" applyFont="1" applyAlignment="1" applyProtection="1">
      <alignment horizontal="left" vertical="center"/>
      <protection hidden="1"/>
    </xf>
    <xf numFmtId="3" fontId="12" fillId="0" borderId="0" xfId="0" applyNumberFormat="1" applyFont="1" applyAlignment="1" applyProtection="1">
      <alignment horizontal="left" vertical="center"/>
      <protection hidden="1"/>
    </xf>
    <xf numFmtId="164" fontId="20" fillId="0" borderId="0" xfId="0" applyFont="1" applyAlignment="1" applyProtection="1">
      <alignment vertical="center"/>
      <protection hidden="1"/>
    </xf>
    <xf numFmtId="0" fontId="21" fillId="5" borderId="22" xfId="0" applyNumberFormat="1" applyFont="1" applyFill="1" applyBorder="1" applyAlignment="1" applyProtection="1">
      <alignment horizontal="center" vertical="center"/>
      <protection locked="0" hidden="1"/>
    </xf>
    <xf numFmtId="164" fontId="20" fillId="0" borderId="23" xfId="0" applyFont="1" applyBorder="1" applyAlignment="1" applyProtection="1">
      <alignment vertical="center"/>
      <protection hidden="1"/>
    </xf>
    <xf numFmtId="164" fontId="20" fillId="0" borderId="40" xfId="0" applyFont="1" applyBorder="1" applyAlignment="1" applyProtection="1">
      <alignment vertical="center"/>
      <protection hidden="1"/>
    </xf>
    <xf numFmtId="170" fontId="15" fillId="0" borderId="0" xfId="0" applyNumberFormat="1" applyFont="1" applyAlignment="1" applyProtection="1">
      <alignment vertical="center"/>
      <protection hidden="1"/>
    </xf>
    <xf numFmtId="168" fontId="15" fillId="0" borderId="0" xfId="0" applyNumberFormat="1" applyFont="1" applyAlignment="1" applyProtection="1">
      <alignment vertical="center"/>
      <protection hidden="1"/>
    </xf>
    <xf numFmtId="0" fontId="15" fillId="0" borderId="0" xfId="0" applyNumberFormat="1" applyFont="1" applyAlignment="1" applyProtection="1">
      <alignment vertical="center"/>
      <protection hidden="1"/>
    </xf>
    <xf numFmtId="168" fontId="15" fillId="0" borderId="0" xfId="0" applyNumberFormat="1" applyFont="1" applyAlignment="1" applyProtection="1">
      <alignment horizontal="center" vertical="center"/>
      <protection hidden="1"/>
    </xf>
    <xf numFmtId="3" fontId="22" fillId="0" borderId="0" xfId="0" applyNumberFormat="1" applyFont="1" applyAlignment="1" applyProtection="1">
      <alignment horizontal="left" vertical="center"/>
      <protection hidden="1"/>
    </xf>
    <xf numFmtId="164" fontId="22" fillId="0" borderId="0" xfId="0" applyFont="1" applyAlignment="1" applyProtection="1">
      <alignment vertical="center"/>
      <protection hidden="1"/>
    </xf>
    <xf numFmtId="168" fontId="23" fillId="14" borderId="15" xfId="0" applyNumberFormat="1" applyFont="1" applyFill="1" applyBorder="1" applyAlignment="1" applyProtection="1">
      <alignment horizontal="center" vertical="center" wrapText="1"/>
      <protection hidden="1"/>
    </xf>
    <xf numFmtId="164" fontId="23" fillId="14" borderId="17" xfId="0" applyFont="1" applyFill="1" applyBorder="1" applyAlignment="1" applyProtection="1">
      <alignment horizontal="center" vertical="center" wrapText="1"/>
      <protection hidden="1"/>
    </xf>
    <xf numFmtId="168" fontId="23" fillId="7" borderId="2" xfId="0" applyNumberFormat="1" applyFont="1" applyFill="1" applyBorder="1" applyAlignment="1" applyProtection="1">
      <alignment horizontal="center" vertical="center" wrapText="1"/>
      <protection hidden="1"/>
    </xf>
    <xf numFmtId="164" fontId="23" fillId="0" borderId="0" xfId="0" applyFont="1" applyAlignment="1" applyProtection="1">
      <alignment horizontal="center" vertical="center"/>
      <protection hidden="1"/>
    </xf>
    <xf numFmtId="3" fontId="23" fillId="9" borderId="39" xfId="0" applyNumberFormat="1" applyFont="1" applyFill="1" applyBorder="1" applyAlignment="1" applyProtection="1">
      <alignment horizontal="center" vertical="center" wrapText="1"/>
      <protection hidden="1"/>
    </xf>
    <xf numFmtId="9" fontId="23" fillId="9" borderId="26" xfId="0" applyNumberFormat="1" applyFont="1" applyFill="1" applyBorder="1" applyAlignment="1" applyProtection="1">
      <alignment horizontal="center" vertical="center" wrapText="1"/>
      <protection hidden="1"/>
    </xf>
    <xf numFmtId="4" fontId="23" fillId="9" borderId="2" xfId="0" applyNumberFormat="1" applyFont="1" applyFill="1" applyBorder="1" applyAlignment="1" applyProtection="1">
      <alignment horizontal="center" vertical="center" wrapText="1"/>
      <protection hidden="1"/>
    </xf>
    <xf numFmtId="164" fontId="18" fillId="12" borderId="22" xfId="0" applyFont="1" applyFill="1" applyBorder="1" applyAlignment="1" applyProtection="1">
      <alignment horizontal="center" vertical="center" wrapText="1"/>
      <protection hidden="1"/>
    </xf>
    <xf numFmtId="168" fontId="14" fillId="0" borderId="0" xfId="0" applyNumberFormat="1" applyFont="1" applyAlignment="1" applyProtection="1">
      <alignment horizontal="center" vertical="center"/>
      <protection hidden="1"/>
    </xf>
    <xf numFmtId="4" fontId="19" fillId="11" borderId="38" xfId="0" applyNumberFormat="1" applyFont="1" applyFill="1" applyBorder="1" applyAlignment="1" applyProtection="1">
      <alignment horizontal="center" vertical="center" wrapText="1"/>
      <protection hidden="1"/>
    </xf>
    <xf numFmtId="3" fontId="12" fillId="13" borderId="39" xfId="0" applyNumberFormat="1" applyFont="1" applyFill="1" applyBorder="1" applyAlignment="1" applyProtection="1">
      <alignment horizontal="center" vertical="center" wrapText="1"/>
      <protection hidden="1"/>
    </xf>
    <xf numFmtId="49" fontId="12" fillId="13" borderId="26" xfId="0" applyNumberFormat="1" applyFont="1" applyFill="1" applyBorder="1" applyAlignment="1" applyProtection="1">
      <alignment horizontal="center" vertical="center" wrapText="1"/>
      <protection hidden="1"/>
    </xf>
    <xf numFmtId="164" fontId="12" fillId="13" borderId="26" xfId="0" applyFont="1" applyFill="1" applyBorder="1" applyAlignment="1" applyProtection="1">
      <alignment horizontal="center" vertical="center" wrapText="1"/>
      <protection hidden="1"/>
    </xf>
    <xf numFmtId="164" fontId="12" fillId="13" borderId="2" xfId="0" applyFont="1" applyFill="1" applyBorder="1" applyAlignment="1" applyProtection="1">
      <alignment horizontal="center" vertical="center" wrapText="1"/>
      <protection hidden="1"/>
    </xf>
    <xf numFmtId="168" fontId="23" fillId="10" borderId="17" xfId="0" applyNumberFormat="1" applyFont="1" applyFill="1" applyBorder="1" applyAlignment="1" applyProtection="1">
      <alignment horizontal="center" vertical="center" wrapText="1"/>
      <protection hidden="1"/>
    </xf>
    <xf numFmtId="164" fontId="23" fillId="8" borderId="16" xfId="0" applyFont="1" applyFill="1" applyBorder="1" applyAlignment="1" applyProtection="1">
      <alignment horizontal="center" vertical="center" wrapText="1"/>
      <protection hidden="1"/>
    </xf>
    <xf numFmtId="168" fontId="23" fillId="8" borderId="15" xfId="0" applyNumberFormat="1" applyFont="1" applyFill="1" applyBorder="1" applyAlignment="1" applyProtection="1">
      <alignment horizontal="center" vertical="center" wrapText="1"/>
      <protection hidden="1"/>
    </xf>
    <xf numFmtId="164" fontId="20" fillId="0" borderId="0" xfId="0" applyFont="1" applyProtection="1">
      <protection hidden="1"/>
    </xf>
    <xf numFmtId="164" fontId="17" fillId="0" borderId="0" xfId="0" applyFont="1" applyAlignment="1" applyProtection="1">
      <alignment horizontal="center"/>
      <protection hidden="1"/>
    </xf>
    <xf numFmtId="164" fontId="14" fillId="0" borderId="0" xfId="0" applyFont="1" applyProtection="1">
      <protection hidden="1"/>
    </xf>
    <xf numFmtId="164" fontId="20" fillId="0" borderId="4" xfId="0" applyFont="1" applyBorder="1" applyProtection="1">
      <protection hidden="1"/>
    </xf>
    <xf numFmtId="164" fontId="20" fillId="0" borderId="5" xfId="0" applyFont="1" applyBorder="1" applyProtection="1">
      <protection hidden="1"/>
    </xf>
    <xf numFmtId="164" fontId="20" fillId="0" borderId="6" xfId="0" applyFont="1" applyBorder="1" applyProtection="1">
      <protection hidden="1"/>
    </xf>
    <xf numFmtId="164" fontId="20" fillId="0" borderId="23" xfId="0" applyFont="1" applyBorder="1" applyProtection="1">
      <protection hidden="1"/>
    </xf>
    <xf numFmtId="164" fontId="20" fillId="0" borderId="40" xfId="0" applyFont="1" applyBorder="1" applyProtection="1">
      <protection hidden="1"/>
    </xf>
    <xf numFmtId="164" fontId="12" fillId="0" borderId="0" xfId="0" applyFont="1" applyAlignment="1" applyProtection="1">
      <alignment horizontal="left" vertical="center" wrapText="1"/>
      <protection hidden="1"/>
    </xf>
    <xf numFmtId="170" fontId="15" fillId="0" borderId="0" xfId="0" applyNumberFormat="1" applyFont="1" applyAlignment="1" applyProtection="1">
      <alignment horizontal="center" vertical="center"/>
      <protection hidden="1"/>
    </xf>
    <xf numFmtId="164" fontId="27" fillId="0" borderId="25" xfId="0" applyFont="1" applyBorder="1" applyAlignment="1" applyProtection="1">
      <alignment horizontal="center" vertical="center"/>
      <protection hidden="1"/>
    </xf>
    <xf numFmtId="164" fontId="28" fillId="0" borderId="0" xfId="0" applyFont="1" applyAlignment="1" applyProtection="1">
      <alignment horizontal="center" vertical="center"/>
      <protection hidden="1"/>
    </xf>
    <xf numFmtId="3" fontId="29" fillId="0" borderId="33" xfId="0" applyNumberFormat="1" applyFont="1" applyBorder="1" applyAlignment="1" applyProtection="1">
      <alignment horizontal="center" vertical="center"/>
      <protection hidden="1"/>
    </xf>
    <xf numFmtId="164" fontId="29" fillId="0" borderId="34" xfId="0" applyFont="1" applyBorder="1" applyAlignment="1" applyProtection="1">
      <alignment horizontal="center" vertical="center"/>
      <protection hidden="1"/>
    </xf>
    <xf numFmtId="164" fontId="29" fillId="0" borderId="35" xfId="0" applyFont="1" applyBorder="1" applyAlignment="1" applyProtection="1">
      <alignment horizontal="center" vertical="center"/>
      <protection hidden="1"/>
    </xf>
    <xf numFmtId="164" fontId="30" fillId="0" borderId="0" xfId="0" applyFont="1" applyProtection="1">
      <protection hidden="1"/>
    </xf>
    <xf numFmtId="168" fontId="29" fillId="0" borderId="47" xfId="0" applyNumberFormat="1" applyFont="1" applyBorder="1" applyAlignment="1" applyProtection="1">
      <alignment horizontal="center" vertical="center"/>
      <protection hidden="1"/>
    </xf>
    <xf numFmtId="168" fontId="28" fillId="0" borderId="48" xfId="0" applyNumberFormat="1" applyFont="1" applyBorder="1" applyAlignment="1" applyProtection="1">
      <alignment horizontal="center" vertical="center"/>
      <protection hidden="1"/>
    </xf>
    <xf numFmtId="168" fontId="29" fillId="0" borderId="49" xfId="0" applyNumberFormat="1" applyFont="1" applyBorder="1" applyAlignment="1" applyProtection="1">
      <alignment horizontal="center" vertical="center"/>
      <protection hidden="1"/>
    </xf>
    <xf numFmtId="168" fontId="29" fillId="0" borderId="48" xfId="0" applyNumberFormat="1" applyFont="1" applyBorder="1" applyAlignment="1" applyProtection="1">
      <alignment horizontal="center" vertical="center"/>
      <protection hidden="1"/>
    </xf>
    <xf numFmtId="168" fontId="29" fillId="0" borderId="35" xfId="0" applyNumberFormat="1" applyFont="1" applyBorder="1" applyAlignment="1" applyProtection="1">
      <alignment horizontal="center" vertical="center"/>
      <protection hidden="1"/>
    </xf>
    <xf numFmtId="164" fontId="29" fillId="0" borderId="0" xfId="0" applyFont="1" applyAlignment="1" applyProtection="1">
      <alignment horizontal="center" vertical="center"/>
      <protection hidden="1"/>
    </xf>
    <xf numFmtId="9" fontId="29" fillId="0" borderId="34" xfId="0" applyNumberFormat="1" applyFont="1" applyBorder="1" applyAlignment="1" applyProtection="1">
      <alignment horizontal="center" vertical="center"/>
      <protection hidden="1"/>
    </xf>
    <xf numFmtId="4" fontId="29" fillId="0" borderId="35" xfId="0" applyNumberFormat="1" applyFont="1" applyBorder="1" applyAlignment="1" applyProtection="1">
      <alignment horizontal="center" vertical="center"/>
      <protection hidden="1"/>
    </xf>
    <xf numFmtId="168" fontId="31" fillId="0" borderId="18" xfId="0" applyNumberFormat="1" applyFont="1" applyBorder="1" applyAlignment="1" applyProtection="1">
      <alignment horizontal="center" vertical="center"/>
      <protection hidden="1"/>
    </xf>
    <xf numFmtId="164" fontId="32" fillId="0" borderId="0" xfId="0" applyFont="1"/>
    <xf numFmtId="164" fontId="27" fillId="0" borderId="12" xfId="0" applyFont="1" applyBorder="1" applyAlignment="1" applyProtection="1">
      <alignment horizontal="center" vertical="center"/>
      <protection hidden="1"/>
    </xf>
    <xf numFmtId="3" fontId="29" fillId="0" borderId="36" xfId="0" applyNumberFormat="1" applyFont="1" applyBorder="1" applyAlignment="1" applyProtection="1">
      <alignment horizontal="center" vertical="center"/>
      <protection hidden="1"/>
    </xf>
    <xf numFmtId="164" fontId="29" fillId="0" borderId="29" xfId="0" applyFont="1" applyBorder="1" applyAlignment="1" applyProtection="1">
      <alignment horizontal="center" vertical="center"/>
      <protection hidden="1"/>
    </xf>
    <xf numFmtId="164" fontId="29" fillId="0" borderId="14" xfId="0" applyFont="1" applyBorder="1" applyAlignment="1" applyProtection="1">
      <alignment horizontal="center" vertical="center"/>
      <protection hidden="1"/>
    </xf>
    <xf numFmtId="168" fontId="29" fillId="0" borderId="13" xfId="0" applyNumberFormat="1" applyFont="1" applyBorder="1" applyAlignment="1" applyProtection="1">
      <alignment horizontal="center" vertical="center"/>
      <protection hidden="1"/>
    </xf>
    <xf numFmtId="168" fontId="28" fillId="0" borderId="11" xfId="0" applyNumberFormat="1" applyFont="1" applyBorder="1" applyAlignment="1" applyProtection="1">
      <alignment horizontal="center" vertical="center"/>
      <protection hidden="1"/>
    </xf>
    <xf numFmtId="168" fontId="29" fillId="0" borderId="10" xfId="0" applyNumberFormat="1" applyFont="1" applyBorder="1" applyAlignment="1" applyProtection="1">
      <alignment horizontal="center" vertical="center"/>
      <protection hidden="1"/>
    </xf>
    <xf numFmtId="168" fontId="29" fillId="0" borderId="11" xfId="0" applyNumberFormat="1" applyFont="1" applyBorder="1" applyAlignment="1" applyProtection="1">
      <alignment horizontal="center" vertical="center"/>
      <protection hidden="1"/>
    </xf>
    <xf numFmtId="168" fontId="29" fillId="0" borderId="14" xfId="0" applyNumberFormat="1" applyFont="1" applyBorder="1" applyAlignment="1" applyProtection="1">
      <alignment horizontal="center" vertical="center"/>
      <protection hidden="1"/>
    </xf>
    <xf numFmtId="9" fontId="29" fillId="0" borderId="29" xfId="0" applyNumberFormat="1" applyFont="1" applyBorder="1" applyAlignment="1" applyProtection="1">
      <alignment horizontal="center" vertical="center"/>
      <protection hidden="1"/>
    </xf>
    <xf numFmtId="4" fontId="29" fillId="0" borderId="14" xfId="0" applyNumberFormat="1" applyFont="1" applyBorder="1" applyAlignment="1" applyProtection="1">
      <alignment horizontal="center" vertical="center"/>
      <protection hidden="1"/>
    </xf>
    <xf numFmtId="168" fontId="31" fillId="0" borderId="43" xfId="0" applyNumberFormat="1" applyFont="1" applyBorder="1" applyAlignment="1" applyProtection="1">
      <alignment horizontal="center" vertical="center"/>
      <protection hidden="1"/>
    </xf>
    <xf numFmtId="168" fontId="31" fillId="0" borderId="25" xfId="0" applyNumberFormat="1" applyFont="1" applyBorder="1" applyAlignment="1" applyProtection="1">
      <alignment horizontal="center" vertical="center"/>
      <protection hidden="1"/>
    </xf>
    <xf numFmtId="168" fontId="31" fillId="0" borderId="12" xfId="0" applyNumberFormat="1" applyFont="1" applyBorder="1" applyAlignment="1" applyProtection="1">
      <alignment horizontal="center" vertical="center"/>
      <protection hidden="1"/>
    </xf>
    <xf numFmtId="168" fontId="31" fillId="0" borderId="45" xfId="0" applyNumberFormat="1" applyFont="1" applyBorder="1" applyAlignment="1" applyProtection="1">
      <alignment horizontal="center" vertical="center"/>
      <protection hidden="1"/>
    </xf>
    <xf numFmtId="164" fontId="27" fillId="0" borderId="3" xfId="0" applyFont="1" applyBorder="1" applyAlignment="1" applyProtection="1">
      <alignment horizontal="center" vertical="center"/>
      <protection hidden="1"/>
    </xf>
    <xf numFmtId="3" fontId="29" fillId="0" borderId="37" xfId="0" applyNumberFormat="1" applyFont="1" applyBorder="1" applyAlignment="1" applyProtection="1">
      <alignment horizontal="center" vertical="center"/>
      <protection hidden="1"/>
    </xf>
    <xf numFmtId="164" fontId="29" fillId="0" borderId="28" xfId="0" applyFont="1" applyBorder="1" applyAlignment="1" applyProtection="1">
      <alignment horizontal="center" vertical="center"/>
      <protection hidden="1"/>
    </xf>
    <xf numFmtId="164" fontId="29" fillId="0" borderId="1" xfId="0" applyFont="1" applyBorder="1" applyAlignment="1" applyProtection="1">
      <alignment horizontal="center" vertical="center"/>
      <protection hidden="1"/>
    </xf>
    <xf numFmtId="168" fontId="29" fillId="0" borderId="7" xfId="0" applyNumberFormat="1" applyFont="1" applyBorder="1" applyAlignment="1" applyProtection="1">
      <alignment horizontal="center" vertical="center"/>
      <protection hidden="1"/>
    </xf>
    <xf numFmtId="168" fontId="28" fillId="0" borderId="9" xfId="0" applyNumberFormat="1" applyFont="1" applyBorder="1" applyAlignment="1" applyProtection="1">
      <alignment horizontal="center" vertical="center"/>
      <protection hidden="1"/>
    </xf>
    <xf numFmtId="168" fontId="29" fillId="0" borderId="8" xfId="0" applyNumberFormat="1" applyFont="1" applyBorder="1" applyAlignment="1" applyProtection="1">
      <alignment horizontal="center" vertical="center"/>
      <protection hidden="1"/>
    </xf>
    <xf numFmtId="168" fontId="29" fillId="0" borderId="9" xfId="0" applyNumberFormat="1" applyFont="1" applyBorder="1" applyAlignment="1" applyProtection="1">
      <alignment horizontal="center" vertical="center"/>
      <protection hidden="1"/>
    </xf>
    <xf numFmtId="168" fontId="29" fillId="0" borderId="1" xfId="0" applyNumberFormat="1" applyFont="1" applyBorder="1" applyAlignment="1" applyProtection="1">
      <alignment horizontal="center" vertical="center"/>
      <protection hidden="1"/>
    </xf>
    <xf numFmtId="9" fontId="29" fillId="0" borderId="28" xfId="0" applyNumberFormat="1" applyFont="1" applyBorder="1" applyAlignment="1" applyProtection="1">
      <alignment horizontal="center" vertical="center"/>
      <protection hidden="1"/>
    </xf>
    <xf numFmtId="4" fontId="29" fillId="0" borderId="1" xfId="0" applyNumberFormat="1" applyFont="1" applyBorder="1" applyAlignment="1" applyProtection="1">
      <alignment horizontal="center" vertical="center"/>
      <protection hidden="1"/>
    </xf>
    <xf numFmtId="168" fontId="31" fillId="0" borderId="3" xfId="0" applyNumberFormat="1" applyFont="1" applyBorder="1" applyAlignment="1" applyProtection="1">
      <alignment horizontal="center" vertical="center"/>
      <protection hidden="1"/>
    </xf>
    <xf numFmtId="164" fontId="20" fillId="0" borderId="30" xfId="0" applyFont="1" applyBorder="1" applyProtection="1">
      <protection hidden="1"/>
    </xf>
    <xf numFmtId="164" fontId="20" fillId="0" borderId="31" xfId="0" applyFont="1" applyBorder="1" applyProtection="1">
      <protection hidden="1"/>
    </xf>
    <xf numFmtId="164" fontId="20" fillId="0" borderId="32" xfId="0" applyFont="1" applyBorder="1" applyProtection="1">
      <protection hidden="1"/>
    </xf>
    <xf numFmtId="168" fontId="16" fillId="0" borderId="31" xfId="0" applyNumberFormat="1" applyFont="1" applyBorder="1" applyAlignment="1" applyProtection="1">
      <alignment horizontal="center" vertical="center"/>
      <protection hidden="1"/>
    </xf>
    <xf numFmtId="168" fontId="11" fillId="0" borderId="31" xfId="0" applyNumberFormat="1" applyFont="1" applyBorder="1" applyAlignment="1" applyProtection="1">
      <alignment horizontal="center" vertical="center"/>
      <protection hidden="1"/>
    </xf>
    <xf numFmtId="168" fontId="11" fillId="0" borderId="32" xfId="0" applyNumberFormat="1" applyFont="1" applyBorder="1" applyAlignment="1" applyProtection="1">
      <alignment horizontal="center" vertical="center"/>
      <protection hidden="1"/>
    </xf>
    <xf numFmtId="164" fontId="33" fillId="0" borderId="0" xfId="0" applyFont="1" applyAlignment="1" applyProtection="1">
      <alignment vertical="center"/>
      <protection hidden="1"/>
    </xf>
    <xf numFmtId="164" fontId="11" fillId="0" borderId="0" xfId="0" applyFont="1" applyAlignment="1">
      <alignment horizontal="center" vertical="center" wrapText="1"/>
    </xf>
    <xf numFmtId="164" fontId="11" fillId="0" borderId="0" xfId="0" applyFont="1" applyAlignment="1">
      <alignment horizontal="center" vertical="center"/>
    </xf>
    <xf numFmtId="164" fontId="0" fillId="0" borderId="0" xfId="0" applyAlignment="1">
      <alignment vertical="center"/>
    </xf>
    <xf numFmtId="168" fontId="35" fillId="0" borderId="50" xfId="0" applyNumberFormat="1" applyFont="1" applyBorder="1" applyAlignment="1">
      <alignment horizontal="center" vertical="center"/>
    </xf>
    <xf numFmtId="168" fontId="34" fillId="0" borderId="50" xfId="0" applyNumberFormat="1" applyFont="1" applyBorder="1" applyAlignment="1">
      <alignment horizontal="center" vertical="center"/>
    </xf>
    <xf numFmtId="168" fontId="36" fillId="0" borderId="50" xfId="0" applyNumberFormat="1" applyFont="1" applyBorder="1" applyAlignment="1">
      <alignment horizontal="center" vertical="center"/>
    </xf>
    <xf numFmtId="168" fontId="34" fillId="0" borderId="52" xfId="0" applyNumberFormat="1" applyFont="1" applyBorder="1" applyAlignment="1">
      <alignment horizontal="center" vertical="center"/>
    </xf>
    <xf numFmtId="169" fontId="7" fillId="0" borderId="0" xfId="0" applyNumberFormat="1" applyFont="1" applyAlignment="1" applyProtection="1">
      <alignment horizontal="center" vertical="center"/>
      <protection locked="0"/>
    </xf>
    <xf numFmtId="169" fontId="10" fillId="0" borderId="0" xfId="1" applyNumberFormat="1" applyFont="1" applyAlignment="1" applyProtection="1">
      <alignment horizontal="left" vertical="center"/>
      <protection locked="0"/>
    </xf>
    <xf numFmtId="164" fontId="6" fillId="0" borderId="0" xfId="1" applyFont="1" applyAlignment="1" applyProtection="1">
      <alignment horizontal="center"/>
      <protection locked="0"/>
    </xf>
    <xf numFmtId="0" fontId="6" fillId="0" borderId="0" xfId="1" applyNumberFormat="1" applyFont="1" applyAlignment="1" applyProtection="1">
      <alignment horizontal="center"/>
      <protection locked="0"/>
    </xf>
    <xf numFmtId="164" fontId="0" fillId="0" borderId="0" xfId="0" applyProtection="1">
      <protection locked="0"/>
    </xf>
    <xf numFmtId="9" fontId="6" fillId="0" borderId="0" xfId="29" applyFont="1" applyAlignment="1" applyProtection="1">
      <alignment horizontal="center"/>
      <protection locked="0"/>
    </xf>
    <xf numFmtId="171" fontId="6" fillId="0" borderId="0" xfId="1" applyNumberFormat="1" applyFont="1" applyAlignment="1" applyProtection="1">
      <alignment horizontal="center"/>
      <protection locked="0"/>
    </xf>
    <xf numFmtId="164" fontId="5" fillId="0" borderId="0" xfId="0" applyFont="1" applyAlignment="1" applyProtection="1">
      <alignment horizontal="center"/>
      <protection locked="0"/>
    </xf>
    <xf numFmtId="169" fontId="6" fillId="0" borderId="0" xfId="0" applyNumberFormat="1" applyFont="1" applyAlignment="1" applyProtection="1">
      <alignment horizontal="right" vertical="center"/>
      <protection locked="0"/>
    </xf>
    <xf numFmtId="164" fontId="7" fillId="0" borderId="0" xfId="0" applyFont="1" applyAlignment="1" applyProtection="1">
      <alignment horizontal="center" vertical="center"/>
      <protection locked="0"/>
    </xf>
    <xf numFmtId="0" fontId="5" fillId="0" borderId="0" xfId="0" applyNumberFormat="1" applyFont="1" applyAlignment="1" applyProtection="1">
      <alignment horizontal="center"/>
      <protection locked="0"/>
    </xf>
    <xf numFmtId="171" fontId="5" fillId="0" borderId="0" xfId="0" applyNumberFormat="1" applyFont="1" applyAlignment="1" applyProtection="1">
      <alignment horizontal="center"/>
      <protection locked="0"/>
    </xf>
    <xf numFmtId="0" fontId="6" fillId="0" borderId="0" xfId="1" applyNumberFormat="1" applyFont="1" applyAlignment="1" applyProtection="1">
      <alignment horizontal="center"/>
      <protection hidden="1"/>
    </xf>
    <xf numFmtId="164" fontId="6" fillId="0" borderId="0" xfId="1" applyFont="1" applyAlignment="1" applyProtection="1">
      <alignment horizontal="center"/>
      <protection hidden="1"/>
    </xf>
    <xf numFmtId="164" fontId="0" fillId="0" borderId="0" xfId="0" applyProtection="1">
      <protection hidden="1"/>
    </xf>
    <xf numFmtId="0" fontId="0" fillId="0" borderId="0" xfId="0" applyNumberFormat="1" applyProtection="1">
      <protection hidden="1"/>
    </xf>
    <xf numFmtId="0" fontId="7" fillId="0" borderId="0" xfId="0" applyNumberFormat="1" applyFont="1" applyAlignment="1" applyProtection="1">
      <alignment horizontal="center" vertical="center"/>
      <protection hidden="1"/>
    </xf>
    <xf numFmtId="164" fontId="7" fillId="0" borderId="0" xfId="0" applyFont="1" applyAlignment="1" applyProtection="1">
      <alignment horizontal="center" vertical="center"/>
      <protection hidden="1"/>
    </xf>
    <xf numFmtId="0" fontId="5" fillId="0" borderId="0" xfId="0" applyNumberFormat="1" applyFont="1" applyAlignment="1" applyProtection="1">
      <alignment horizontal="center"/>
      <protection hidden="1"/>
    </xf>
    <xf numFmtId="164" fontId="5" fillId="0" borderId="0" xfId="0" applyFont="1" applyAlignment="1" applyProtection="1">
      <alignment horizontal="center"/>
      <protection hidden="1"/>
    </xf>
    <xf numFmtId="164" fontId="5" fillId="0" borderId="0" xfId="0" applyFont="1" applyAlignment="1" applyProtection="1">
      <alignment horizontal="center" vertical="center"/>
      <protection locked="0"/>
    </xf>
    <xf numFmtId="164" fontId="6" fillId="0" borderId="0" xfId="0" applyFont="1" applyAlignment="1" applyProtection="1">
      <alignment horizontal="center"/>
      <protection locked="0"/>
    </xf>
    <xf numFmtId="3" fontId="6" fillId="0" borderId="0" xfId="29" applyNumberFormat="1" applyFont="1" applyAlignment="1" applyProtection="1">
      <alignment horizontal="center"/>
      <protection locked="0"/>
    </xf>
    <xf numFmtId="3" fontId="7" fillId="0" borderId="0" xfId="0" applyNumberFormat="1" applyFont="1" applyAlignment="1" applyProtection="1">
      <alignment horizontal="center" vertical="center"/>
      <protection locked="0"/>
    </xf>
    <xf numFmtId="3" fontId="5" fillId="0" borderId="0" xfId="0" applyNumberFormat="1" applyFont="1" applyAlignment="1" applyProtection="1">
      <alignment horizontal="center"/>
      <protection locked="0"/>
    </xf>
    <xf numFmtId="49" fontId="6" fillId="0" borderId="0" xfId="1" applyNumberFormat="1" applyFont="1" applyAlignment="1" applyProtection="1">
      <alignment horizontal="center"/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49" fontId="5" fillId="0" borderId="0" xfId="0" applyNumberFormat="1" applyFont="1" applyAlignment="1" applyProtection="1">
      <alignment horizontal="center"/>
      <protection locked="0"/>
    </xf>
    <xf numFmtId="164" fontId="11" fillId="0" borderId="0" xfId="0" applyFont="1" applyAlignment="1">
      <alignment horizontal="left" vertical="center"/>
    </xf>
    <xf numFmtId="168" fontId="35" fillId="0" borderId="0" xfId="0" applyNumberFormat="1" applyFont="1" applyAlignment="1">
      <alignment horizontal="center" vertical="center"/>
    </xf>
    <xf numFmtId="164" fontId="9" fillId="0" borderId="22" xfId="1" applyFont="1" applyBorder="1" applyAlignment="1" applyProtection="1">
      <alignment horizontal="left" vertical="top" wrapText="1"/>
      <protection locked="0"/>
    </xf>
    <xf numFmtId="3" fontId="9" fillId="0" borderId="22" xfId="1" applyNumberFormat="1" applyFont="1" applyBorder="1" applyAlignment="1" applyProtection="1">
      <alignment horizontal="left" vertical="top" wrapText="1"/>
      <protection locked="0"/>
    </xf>
    <xf numFmtId="3" fontId="37" fillId="19" borderId="22" xfId="1" applyNumberFormat="1" applyFont="1" applyFill="1" applyBorder="1" applyAlignment="1" applyProtection="1">
      <alignment horizontal="left" vertical="top" wrapText="1"/>
      <protection locked="0"/>
    </xf>
    <xf numFmtId="0" fontId="37" fillId="19" borderId="22" xfId="1" applyNumberFormat="1" applyFont="1" applyFill="1" applyBorder="1" applyAlignment="1" applyProtection="1">
      <alignment horizontal="left" vertical="top" wrapText="1"/>
      <protection locked="0"/>
    </xf>
    <xf numFmtId="9" fontId="37" fillId="19" borderId="22" xfId="2" applyFont="1" applyFill="1" applyBorder="1" applyAlignment="1" applyProtection="1">
      <alignment horizontal="left" vertical="top" wrapText="1"/>
      <protection locked="0"/>
    </xf>
    <xf numFmtId="164" fontId="9" fillId="0" borderId="22" xfId="1" applyFont="1" applyBorder="1" applyAlignment="1" applyProtection="1">
      <alignment horizontal="center" vertical="top" wrapText="1"/>
      <protection locked="0"/>
    </xf>
    <xf numFmtId="164" fontId="9" fillId="0" borderId="0" xfId="0" applyFont="1" applyAlignment="1" applyProtection="1">
      <alignment horizontal="left" vertical="top"/>
      <protection locked="0"/>
    </xf>
    <xf numFmtId="164" fontId="5" fillId="22" borderId="0" xfId="0" applyFont="1" applyFill="1" applyAlignment="1" applyProtection="1">
      <alignment horizontal="center"/>
      <protection locked="0"/>
    </xf>
    <xf numFmtId="168" fontId="28" fillId="0" borderId="0" xfId="0" applyNumberFormat="1" applyFont="1" applyAlignment="1">
      <alignment horizontal="center" vertical="center"/>
    </xf>
    <xf numFmtId="164" fontId="17" fillId="9" borderId="64" xfId="0" applyFont="1" applyFill="1" applyBorder="1" applyAlignment="1">
      <alignment horizontal="center" vertical="center" wrapText="1"/>
    </xf>
    <xf numFmtId="164" fontId="17" fillId="9" borderId="65" xfId="0" applyFont="1" applyFill="1" applyBorder="1" applyAlignment="1">
      <alignment horizontal="center" vertical="center" wrapText="1"/>
    </xf>
    <xf numFmtId="164" fontId="43" fillId="9" borderId="65" xfId="0" applyFont="1" applyFill="1" applyBorder="1" applyAlignment="1">
      <alignment horizontal="center" vertical="center" wrapText="1"/>
    </xf>
    <xf numFmtId="164" fontId="17" fillId="9" borderId="70" xfId="0" applyFont="1" applyFill="1" applyBorder="1" applyAlignment="1">
      <alignment horizontal="center" vertical="center" wrapText="1"/>
    </xf>
    <xf numFmtId="164" fontId="17" fillId="9" borderId="71" xfId="0" applyFont="1" applyFill="1" applyBorder="1" applyAlignment="1">
      <alignment horizontal="center" vertical="center" wrapText="1"/>
    </xf>
    <xf numFmtId="164" fontId="43" fillId="9" borderId="71" xfId="0" applyFont="1" applyFill="1" applyBorder="1" applyAlignment="1">
      <alignment horizontal="center" vertical="center" wrapText="1"/>
    </xf>
    <xf numFmtId="168" fontId="43" fillId="9" borderId="66" xfId="0" applyNumberFormat="1" applyFont="1" applyFill="1" applyBorder="1" applyAlignment="1">
      <alignment horizontal="center" vertical="center" wrapText="1"/>
    </xf>
    <xf numFmtId="168" fontId="43" fillId="9" borderId="72" xfId="0" applyNumberFormat="1" applyFont="1" applyFill="1" applyBorder="1" applyAlignment="1">
      <alignment horizontal="center" vertical="center" wrapText="1"/>
    </xf>
    <xf numFmtId="0" fontId="6" fillId="0" borderId="22" xfId="0" applyNumberFormat="1" applyFont="1" applyBorder="1" applyAlignment="1" applyProtection="1">
      <alignment horizontal="center" vertical="center"/>
      <protection locked="0"/>
    </xf>
    <xf numFmtId="3" fontId="38" fillId="0" borderId="22" xfId="0" applyNumberFormat="1" applyFont="1" applyBorder="1" applyAlignment="1" applyProtection="1">
      <alignment horizontal="center" vertical="center"/>
      <protection locked="0"/>
    </xf>
    <xf numFmtId="0" fontId="38" fillId="0" borderId="22" xfId="0" applyNumberFormat="1" applyFont="1" applyBorder="1" applyAlignment="1" applyProtection="1">
      <alignment horizontal="center" vertical="center"/>
      <protection locked="0"/>
    </xf>
    <xf numFmtId="3" fontId="6" fillId="0" borderId="22" xfId="0" applyNumberFormat="1" applyFont="1" applyBorder="1" applyAlignment="1" applyProtection="1">
      <alignment horizontal="center" vertical="center"/>
      <protection locked="0"/>
    </xf>
    <xf numFmtId="3" fontId="38" fillId="0" borderId="22" xfId="2" applyNumberFormat="1" applyFont="1" applyFill="1" applyBorder="1" applyAlignment="1" applyProtection="1">
      <alignment horizontal="center" vertical="center"/>
      <protection locked="0"/>
    </xf>
    <xf numFmtId="171" fontId="38" fillId="0" borderId="22" xfId="2" applyNumberFormat="1" applyFont="1" applyFill="1" applyBorder="1" applyAlignment="1" applyProtection="1">
      <alignment horizontal="center" vertical="center"/>
      <protection locked="0"/>
    </xf>
    <xf numFmtId="164" fontId="6" fillId="0" borderId="22" xfId="1" applyFont="1" applyBorder="1" applyAlignment="1" applyProtection="1">
      <alignment horizontal="center" vertical="center"/>
      <protection locked="0"/>
    </xf>
    <xf numFmtId="164" fontId="38" fillId="0" borderId="22" xfId="0" applyFont="1" applyBorder="1" applyAlignment="1" applyProtection="1">
      <alignment horizontal="center" vertical="center"/>
      <protection locked="0"/>
    </xf>
    <xf numFmtId="164" fontId="6" fillId="0" borderId="22" xfId="0" applyFont="1" applyBorder="1" applyAlignment="1" applyProtection="1">
      <alignment horizontal="center" vertical="center"/>
      <protection locked="0"/>
    </xf>
    <xf numFmtId="164" fontId="6" fillId="0" borderId="24" xfId="1" applyFont="1" applyBorder="1" applyAlignment="1" applyProtection="1">
      <alignment horizontal="center" vertical="center"/>
      <protection locked="0"/>
    </xf>
    <xf numFmtId="3" fontId="42" fillId="0" borderId="24" xfId="2" applyNumberFormat="1" applyFont="1" applyFill="1" applyBorder="1" applyAlignment="1" applyProtection="1">
      <alignment horizontal="center" vertical="center"/>
      <protection locked="0"/>
    </xf>
    <xf numFmtId="171" fontId="42" fillId="0" borderId="24" xfId="2" applyNumberFormat="1" applyFont="1" applyFill="1" applyBorder="1" applyAlignment="1" applyProtection="1">
      <alignment horizontal="center" vertical="center"/>
      <protection locked="0"/>
    </xf>
    <xf numFmtId="164" fontId="42" fillId="0" borderId="24" xfId="1" applyFont="1" applyBorder="1" applyAlignment="1" applyProtection="1">
      <alignment horizontal="center" vertical="center"/>
      <protection locked="0"/>
    </xf>
    <xf numFmtId="164" fontId="42" fillId="0" borderId="24" xfId="0" applyFont="1" applyBorder="1" applyAlignment="1" applyProtection="1">
      <alignment horizontal="center" vertical="center"/>
      <protection locked="0"/>
    </xf>
    <xf numFmtId="0" fontId="42" fillId="0" borderId="22" xfId="0" applyNumberFormat="1" applyFont="1" applyBorder="1" applyAlignment="1" applyProtection="1">
      <alignment horizontal="center" vertical="center"/>
      <protection locked="0"/>
    </xf>
    <xf numFmtId="3" fontId="42" fillId="0" borderId="22" xfId="2" applyNumberFormat="1" applyFont="1" applyFill="1" applyBorder="1" applyAlignment="1" applyProtection="1">
      <alignment horizontal="center" vertical="center"/>
      <protection locked="0"/>
    </xf>
    <xf numFmtId="171" fontId="42" fillId="0" borderId="22" xfId="2" applyNumberFormat="1" applyFont="1" applyFill="1" applyBorder="1" applyAlignment="1" applyProtection="1">
      <alignment horizontal="center" vertical="center"/>
      <protection locked="0"/>
    </xf>
    <xf numFmtId="164" fontId="42" fillId="0" borderId="22" xfId="1" applyFont="1" applyBorder="1" applyAlignment="1" applyProtection="1">
      <alignment horizontal="center" vertical="center"/>
      <protection locked="0"/>
    </xf>
    <xf numFmtId="164" fontId="42" fillId="0" borderId="22" xfId="0" applyFont="1" applyBorder="1" applyAlignment="1" applyProtection="1">
      <alignment horizontal="center" vertical="center"/>
      <protection locked="0"/>
    </xf>
    <xf numFmtId="164" fontId="6" fillId="0" borderId="24" xfId="0" applyFont="1" applyBorder="1" applyAlignment="1" applyProtection="1">
      <alignment horizontal="center" vertical="center"/>
      <protection locked="0"/>
    </xf>
    <xf numFmtId="3" fontId="6" fillId="0" borderId="22" xfId="2" applyNumberFormat="1" applyFont="1" applyFill="1" applyBorder="1" applyAlignment="1" applyProtection="1">
      <alignment horizontal="center" vertical="center"/>
      <protection locked="0"/>
    </xf>
    <xf numFmtId="171" fontId="6" fillId="0" borderId="22" xfId="2" applyNumberFormat="1" applyFont="1" applyFill="1" applyBorder="1" applyAlignment="1" applyProtection="1">
      <alignment horizontal="center" vertical="center"/>
      <protection locked="0"/>
    </xf>
    <xf numFmtId="3" fontId="6" fillId="0" borderId="24" xfId="2" applyNumberFormat="1" applyFont="1" applyFill="1" applyBorder="1" applyAlignment="1" applyProtection="1">
      <alignment horizontal="center" vertical="center"/>
      <protection locked="0"/>
    </xf>
    <xf numFmtId="171" fontId="6" fillId="0" borderId="24" xfId="2" applyNumberFormat="1" applyFont="1" applyFill="1" applyBorder="1" applyAlignment="1" applyProtection="1">
      <alignment horizontal="center" vertical="center"/>
      <protection locked="0"/>
    </xf>
    <xf numFmtId="0" fontId="6" fillId="8" borderId="22" xfId="0" applyNumberFormat="1" applyFont="1" applyFill="1" applyBorder="1" applyAlignment="1" applyProtection="1">
      <alignment horizontal="center" vertical="center"/>
      <protection locked="0"/>
    </xf>
    <xf numFmtId="3" fontId="38" fillId="8" borderId="22" xfId="0" applyNumberFormat="1" applyFont="1" applyFill="1" applyBorder="1" applyAlignment="1" applyProtection="1">
      <alignment horizontal="center" vertical="center"/>
      <protection locked="0"/>
    </xf>
    <xf numFmtId="0" fontId="38" fillId="8" borderId="22" xfId="0" applyNumberFormat="1" applyFont="1" applyFill="1" applyBorder="1" applyAlignment="1" applyProtection="1">
      <alignment horizontal="center" vertical="center"/>
      <protection locked="0"/>
    </xf>
    <xf numFmtId="3" fontId="6" fillId="8" borderId="22" xfId="0" applyNumberFormat="1" applyFont="1" applyFill="1" applyBorder="1" applyAlignment="1" applyProtection="1">
      <alignment horizontal="center" vertical="center"/>
      <protection locked="0"/>
    </xf>
    <xf numFmtId="3" fontId="38" fillId="8" borderId="22" xfId="2" applyNumberFormat="1" applyFont="1" applyFill="1" applyBorder="1" applyAlignment="1" applyProtection="1">
      <alignment horizontal="center" vertical="center"/>
      <protection locked="0"/>
    </xf>
    <xf numFmtId="171" fontId="38" fillId="8" borderId="22" xfId="2" applyNumberFormat="1" applyFont="1" applyFill="1" applyBorder="1" applyAlignment="1" applyProtection="1">
      <alignment horizontal="center" vertical="center"/>
      <protection locked="0"/>
    </xf>
    <xf numFmtId="164" fontId="6" fillId="8" borderId="22" xfId="1" applyFont="1" applyFill="1" applyBorder="1" applyAlignment="1" applyProtection="1">
      <alignment horizontal="center" vertical="center"/>
      <protection locked="0"/>
    </xf>
    <xf numFmtId="164" fontId="6" fillId="8" borderId="22" xfId="0" applyFont="1" applyFill="1" applyBorder="1" applyAlignment="1" applyProtection="1">
      <alignment horizontal="center" vertical="center"/>
      <protection locked="0"/>
    </xf>
    <xf numFmtId="164" fontId="38" fillId="8" borderId="22" xfId="0" applyFont="1" applyFill="1" applyBorder="1" applyAlignment="1" applyProtection="1">
      <alignment horizontal="center" vertical="center"/>
      <protection locked="0"/>
    </xf>
    <xf numFmtId="0" fontId="42" fillId="8" borderId="22" xfId="0" applyNumberFormat="1" applyFont="1" applyFill="1" applyBorder="1" applyAlignment="1" applyProtection="1">
      <alignment horizontal="center" vertical="center"/>
      <protection locked="0"/>
    </xf>
    <xf numFmtId="3" fontId="42" fillId="8" borderId="22" xfId="2" applyNumberFormat="1" applyFont="1" applyFill="1" applyBorder="1" applyAlignment="1" applyProtection="1">
      <alignment horizontal="center" vertical="center"/>
      <protection locked="0"/>
    </xf>
    <xf numFmtId="171" fontId="42" fillId="8" borderId="22" xfId="2" applyNumberFormat="1" applyFont="1" applyFill="1" applyBorder="1" applyAlignment="1" applyProtection="1">
      <alignment horizontal="center" vertical="center"/>
      <protection locked="0"/>
    </xf>
    <xf numFmtId="164" fontId="42" fillId="8" borderId="22" xfId="1" applyFont="1" applyFill="1" applyBorder="1" applyAlignment="1" applyProtection="1">
      <alignment horizontal="center" vertical="center"/>
      <protection locked="0"/>
    </xf>
    <xf numFmtId="164" fontId="42" fillId="8" borderId="22" xfId="0" applyFont="1" applyFill="1" applyBorder="1" applyAlignment="1" applyProtection="1">
      <alignment horizontal="center" vertical="center"/>
      <protection locked="0"/>
    </xf>
    <xf numFmtId="3" fontId="42" fillId="8" borderId="24" xfId="2" applyNumberFormat="1" applyFont="1" applyFill="1" applyBorder="1" applyAlignment="1" applyProtection="1">
      <alignment horizontal="center" vertical="center"/>
      <protection locked="0"/>
    </xf>
    <xf numFmtId="171" fontId="42" fillId="8" borderId="24" xfId="2" applyNumberFormat="1" applyFont="1" applyFill="1" applyBorder="1" applyAlignment="1" applyProtection="1">
      <alignment horizontal="center" vertical="center"/>
      <protection locked="0"/>
    </xf>
    <xf numFmtId="164" fontId="6" fillId="8" borderId="24" xfId="1" applyFont="1" applyFill="1" applyBorder="1" applyAlignment="1" applyProtection="1">
      <alignment horizontal="center" vertical="center"/>
      <protection locked="0"/>
    </xf>
    <xf numFmtId="164" fontId="42" fillId="8" borderId="24" xfId="1" applyFont="1" applyFill="1" applyBorder="1" applyAlignment="1" applyProtection="1">
      <alignment horizontal="center" vertical="center"/>
      <protection locked="0"/>
    </xf>
    <xf numFmtId="164" fontId="42" fillId="8" borderId="24" xfId="0" applyFont="1" applyFill="1" applyBorder="1" applyAlignment="1" applyProtection="1">
      <alignment horizontal="center" vertical="center"/>
      <protection locked="0"/>
    </xf>
    <xf numFmtId="164" fontId="6" fillId="8" borderId="24" xfId="0" applyFont="1" applyFill="1" applyBorder="1" applyAlignment="1" applyProtection="1">
      <alignment horizontal="center" vertical="center"/>
      <protection locked="0"/>
    </xf>
    <xf numFmtId="3" fontId="6" fillId="8" borderId="24" xfId="2" applyNumberFormat="1" applyFont="1" applyFill="1" applyBorder="1" applyAlignment="1" applyProtection="1">
      <alignment horizontal="center" vertical="center"/>
      <protection locked="0"/>
    </xf>
    <xf numFmtId="171" fontId="6" fillId="8" borderId="24" xfId="2" applyNumberFormat="1" applyFont="1" applyFill="1" applyBorder="1" applyAlignment="1" applyProtection="1">
      <alignment horizontal="center" vertical="center"/>
      <protection locked="0"/>
    </xf>
    <xf numFmtId="3" fontId="6" fillId="8" borderId="22" xfId="2" applyNumberFormat="1" applyFont="1" applyFill="1" applyBorder="1" applyAlignment="1" applyProtection="1">
      <alignment horizontal="center" vertical="center"/>
      <protection locked="0"/>
    </xf>
    <xf numFmtId="171" fontId="6" fillId="8" borderId="22" xfId="2" applyNumberFormat="1" applyFont="1" applyFill="1" applyBorder="1" applyAlignment="1" applyProtection="1">
      <alignment horizontal="center" vertical="center"/>
      <protection locked="0"/>
    </xf>
    <xf numFmtId="164" fontId="9" fillId="0" borderId="73" xfId="1" applyFont="1" applyBorder="1" applyAlignment="1" applyProtection="1">
      <alignment horizontal="left" vertical="top" wrapText="1"/>
      <protection locked="0"/>
    </xf>
    <xf numFmtId="164" fontId="9" fillId="0" borderId="74" xfId="1" applyFont="1" applyBorder="1" applyAlignment="1" applyProtection="1">
      <alignment horizontal="left" vertical="top" wrapText="1"/>
      <protection locked="0"/>
    </xf>
    <xf numFmtId="164" fontId="9" fillId="0" borderId="75" xfId="1" applyFont="1" applyBorder="1" applyAlignment="1" applyProtection="1">
      <alignment horizontal="left" vertical="top" wrapText="1"/>
      <protection locked="0"/>
    </xf>
    <xf numFmtId="0" fontId="38" fillId="8" borderId="73" xfId="0" applyNumberFormat="1" applyFont="1" applyFill="1" applyBorder="1" applyAlignment="1" applyProtection="1">
      <alignment horizontal="center" vertical="center"/>
      <protection locked="0"/>
    </xf>
    <xf numFmtId="0" fontId="6" fillId="8" borderId="74" xfId="0" applyNumberFormat="1" applyFont="1" applyFill="1" applyBorder="1" applyAlignment="1" applyProtection="1">
      <alignment horizontal="center" vertical="center"/>
      <protection locked="0"/>
    </xf>
    <xf numFmtId="0" fontId="38" fillId="8" borderId="74" xfId="1" applyNumberFormat="1" applyFont="1" applyFill="1" applyBorder="1" applyAlignment="1" applyProtection="1">
      <alignment horizontal="center" vertical="center"/>
      <protection hidden="1"/>
    </xf>
    <xf numFmtId="0" fontId="6" fillId="8" borderId="75" xfId="1" applyNumberFormat="1" applyFont="1" applyFill="1" applyBorder="1" applyAlignment="1" applyProtection="1">
      <alignment horizontal="center" vertical="center"/>
      <protection locked="0"/>
    </xf>
    <xf numFmtId="0" fontId="38" fillId="0" borderId="73" xfId="0" applyNumberFormat="1" applyFont="1" applyBorder="1" applyAlignment="1" applyProtection="1">
      <alignment horizontal="center" vertical="center"/>
      <protection locked="0"/>
    </xf>
    <xf numFmtId="0" fontId="6" fillId="0" borderId="74" xfId="0" applyNumberFormat="1" applyFont="1" applyBorder="1" applyAlignment="1" applyProtection="1">
      <alignment horizontal="center" vertical="center"/>
      <protection locked="0"/>
    </xf>
    <xf numFmtId="0" fontId="38" fillId="0" borderId="74" xfId="1" applyNumberFormat="1" applyFont="1" applyBorder="1" applyAlignment="1" applyProtection="1">
      <alignment horizontal="center" vertical="center"/>
      <protection hidden="1"/>
    </xf>
    <xf numFmtId="0" fontId="6" fillId="0" borderId="75" xfId="1" applyNumberFormat="1" applyFont="1" applyBorder="1" applyAlignment="1" applyProtection="1">
      <alignment horizontal="center" vertical="center"/>
      <protection locked="0"/>
    </xf>
    <xf numFmtId="0" fontId="38" fillId="8" borderId="75" xfId="1" applyNumberFormat="1" applyFont="1" applyFill="1" applyBorder="1" applyAlignment="1" applyProtection="1">
      <alignment horizontal="center" vertical="center"/>
      <protection locked="0"/>
    </xf>
    <xf numFmtId="0" fontId="38" fillId="0" borderId="75" xfId="1" applyNumberFormat="1" applyFont="1" applyBorder="1" applyAlignment="1" applyProtection="1">
      <alignment horizontal="center" vertical="center"/>
      <protection locked="0"/>
    </xf>
    <xf numFmtId="0" fontId="6" fillId="8" borderId="73" xfId="0" applyNumberFormat="1" applyFont="1" applyFill="1" applyBorder="1" applyAlignment="1" applyProtection="1">
      <alignment horizontal="center" vertical="center"/>
      <protection locked="0"/>
    </xf>
    <xf numFmtId="0" fontId="6" fillId="0" borderId="73" xfId="0" applyNumberFormat="1" applyFont="1" applyBorder="1" applyAlignment="1" applyProtection="1">
      <alignment horizontal="center" vertical="center"/>
      <protection locked="0"/>
    </xf>
    <xf numFmtId="0" fontId="42" fillId="8" borderId="73" xfId="0" applyNumberFormat="1" applyFont="1" applyFill="1" applyBorder="1" applyAlignment="1" applyProtection="1">
      <alignment horizontal="center" vertical="center"/>
      <protection locked="0"/>
    </xf>
    <xf numFmtId="0" fontId="42" fillId="8" borderId="74" xfId="1" applyNumberFormat="1" applyFont="1" applyFill="1" applyBorder="1" applyAlignment="1" applyProtection="1">
      <alignment horizontal="center" vertical="center"/>
      <protection hidden="1"/>
    </xf>
    <xf numFmtId="0" fontId="42" fillId="8" borderId="75" xfId="1" applyNumberFormat="1" applyFont="1" applyFill="1" applyBorder="1" applyAlignment="1" applyProtection="1">
      <alignment horizontal="center" vertical="center"/>
      <protection locked="0"/>
    </xf>
    <xf numFmtId="0" fontId="42" fillId="0" borderId="73" xfId="0" applyNumberFormat="1" applyFont="1" applyBorder="1" applyAlignment="1" applyProtection="1">
      <alignment horizontal="center" vertical="center"/>
      <protection locked="0"/>
    </xf>
    <xf numFmtId="0" fontId="42" fillId="0" borderId="74" xfId="1" applyNumberFormat="1" applyFont="1" applyBorder="1" applyAlignment="1" applyProtection="1">
      <alignment horizontal="center" vertical="center"/>
      <protection hidden="1"/>
    </xf>
    <xf numFmtId="0" fontId="42" fillId="0" borderId="75" xfId="1" applyNumberFormat="1" applyFont="1" applyBorder="1" applyAlignment="1" applyProtection="1">
      <alignment horizontal="center" vertical="center"/>
      <protection locked="0"/>
    </xf>
    <xf numFmtId="0" fontId="6" fillId="0" borderId="74" xfId="1" applyNumberFormat="1" applyFont="1" applyBorder="1" applyAlignment="1" applyProtection="1">
      <alignment horizontal="center" vertical="center"/>
      <protection hidden="1"/>
    </xf>
    <xf numFmtId="0" fontId="6" fillId="8" borderId="74" xfId="1" applyNumberFormat="1" applyFont="1" applyFill="1" applyBorder="1" applyAlignment="1" applyProtection="1">
      <alignment horizontal="center" vertical="center"/>
      <protection hidden="1"/>
    </xf>
    <xf numFmtId="49" fontId="6" fillId="8" borderId="73" xfId="0" applyNumberFormat="1" applyFont="1" applyFill="1" applyBorder="1" applyAlignment="1" applyProtection="1">
      <alignment horizontal="center" vertical="center"/>
      <protection locked="0"/>
    </xf>
    <xf numFmtId="0" fontId="38" fillId="8" borderId="74" xfId="0" applyNumberFormat="1" applyFont="1" applyFill="1" applyBorder="1" applyAlignment="1" applyProtection="1">
      <alignment horizontal="center" vertical="center"/>
      <protection hidden="1"/>
    </xf>
    <xf numFmtId="164" fontId="38" fillId="8" borderId="74" xfId="0" applyFont="1" applyFill="1" applyBorder="1" applyAlignment="1" applyProtection="1">
      <alignment horizontal="center" vertical="center"/>
      <protection hidden="1"/>
    </xf>
    <xf numFmtId="0" fontId="6" fillId="8" borderId="74" xfId="0" applyNumberFormat="1" applyFont="1" applyFill="1" applyBorder="1" applyAlignment="1" applyProtection="1">
      <alignment horizontal="center" vertical="center"/>
      <protection hidden="1"/>
    </xf>
    <xf numFmtId="172" fontId="38" fillId="8" borderId="74" xfId="0" applyNumberFormat="1" applyFont="1" applyFill="1" applyBorder="1" applyAlignment="1" applyProtection="1">
      <alignment horizontal="center" vertical="center"/>
      <protection hidden="1"/>
    </xf>
    <xf numFmtId="167" fontId="38" fillId="8" borderId="74" xfId="0" applyNumberFormat="1" applyFont="1" applyFill="1" applyBorder="1" applyAlignment="1" applyProtection="1">
      <alignment horizontal="center" vertical="center"/>
      <protection hidden="1"/>
    </xf>
    <xf numFmtId="167" fontId="6" fillId="8" borderId="74" xfId="0" applyNumberFormat="1" applyFont="1" applyFill="1" applyBorder="1" applyAlignment="1" applyProtection="1">
      <alignment horizontal="center" vertical="center"/>
      <protection hidden="1"/>
    </xf>
    <xf numFmtId="0" fontId="38" fillId="8" borderId="75" xfId="0" applyNumberFormat="1" applyFont="1" applyFill="1" applyBorder="1" applyAlignment="1" applyProtection="1">
      <alignment horizontal="center" vertical="center"/>
      <protection hidden="1"/>
    </xf>
    <xf numFmtId="49" fontId="38" fillId="0" borderId="73" xfId="0" applyNumberFormat="1" applyFont="1" applyBorder="1" applyAlignment="1" applyProtection="1">
      <alignment horizontal="center" vertical="center"/>
      <protection locked="0"/>
    </xf>
    <xf numFmtId="0" fontId="38" fillId="0" borderId="74" xfId="0" applyNumberFormat="1" applyFont="1" applyBorder="1" applyAlignment="1" applyProtection="1">
      <alignment horizontal="center" vertical="center"/>
      <protection hidden="1"/>
    </xf>
    <xf numFmtId="164" fontId="38" fillId="0" borderId="74" xfId="0" applyFont="1" applyBorder="1" applyAlignment="1" applyProtection="1">
      <alignment horizontal="center" vertical="center"/>
      <protection hidden="1"/>
    </xf>
    <xf numFmtId="0" fontId="6" fillId="0" borderId="74" xfId="0" applyNumberFormat="1" applyFont="1" applyBorder="1" applyAlignment="1" applyProtection="1">
      <alignment horizontal="center" vertical="center"/>
      <protection hidden="1"/>
    </xf>
    <xf numFmtId="172" fontId="38" fillId="0" borderId="74" xfId="0" applyNumberFormat="1" applyFont="1" applyBorder="1" applyAlignment="1" applyProtection="1">
      <alignment horizontal="center" vertical="center"/>
      <protection hidden="1"/>
    </xf>
    <xf numFmtId="167" fontId="38" fillId="0" borderId="74" xfId="0" applyNumberFormat="1" applyFont="1" applyBorder="1" applyAlignment="1" applyProtection="1">
      <alignment horizontal="center" vertical="center"/>
      <protection hidden="1"/>
    </xf>
    <xf numFmtId="167" fontId="6" fillId="0" borderId="74" xfId="0" applyNumberFormat="1" applyFont="1" applyBorder="1" applyAlignment="1" applyProtection="1">
      <alignment horizontal="center" vertical="center"/>
      <protection hidden="1"/>
    </xf>
    <xf numFmtId="0" fontId="38" fillId="0" borderId="75" xfId="0" applyNumberFormat="1" applyFont="1" applyBorder="1" applyAlignment="1" applyProtection="1">
      <alignment horizontal="center" vertical="center"/>
      <protection hidden="1"/>
    </xf>
    <xf numFmtId="49" fontId="6" fillId="0" borderId="73" xfId="0" applyNumberFormat="1" applyFont="1" applyBorder="1" applyAlignment="1" applyProtection="1">
      <alignment horizontal="center" vertical="center"/>
      <protection locked="0"/>
    </xf>
    <xf numFmtId="49" fontId="42" fillId="8" borderId="73" xfId="0" applyNumberFormat="1" applyFont="1" applyFill="1" applyBorder="1" applyAlignment="1" applyProtection="1">
      <alignment horizontal="center" vertical="center"/>
      <protection locked="0"/>
    </xf>
    <xf numFmtId="0" fontId="42" fillId="8" borderId="74" xfId="0" applyNumberFormat="1" applyFont="1" applyFill="1" applyBorder="1" applyAlignment="1" applyProtection="1">
      <alignment horizontal="center" vertical="center"/>
      <protection hidden="1"/>
    </xf>
    <xf numFmtId="164" fontId="42" fillId="8" borderId="74" xfId="0" applyFont="1" applyFill="1" applyBorder="1" applyAlignment="1" applyProtection="1">
      <alignment horizontal="center" vertical="center"/>
      <protection hidden="1"/>
    </xf>
    <xf numFmtId="172" fontId="42" fillId="8" borderId="74" xfId="0" applyNumberFormat="1" applyFont="1" applyFill="1" applyBorder="1" applyAlignment="1" applyProtection="1">
      <alignment horizontal="center" vertical="center"/>
      <protection hidden="1"/>
    </xf>
    <xf numFmtId="167" fontId="42" fillId="8" borderId="74" xfId="0" applyNumberFormat="1" applyFont="1" applyFill="1" applyBorder="1" applyAlignment="1" applyProtection="1">
      <alignment horizontal="center" vertical="center"/>
      <protection hidden="1"/>
    </xf>
    <xf numFmtId="0" fontId="42" fillId="8" borderId="75" xfId="0" applyNumberFormat="1" applyFont="1" applyFill="1" applyBorder="1" applyAlignment="1" applyProtection="1">
      <alignment horizontal="center" vertical="center"/>
      <protection hidden="1"/>
    </xf>
    <xf numFmtId="49" fontId="42" fillId="0" borderId="73" xfId="0" applyNumberFormat="1" applyFont="1" applyBorder="1" applyAlignment="1" applyProtection="1">
      <alignment horizontal="center" vertical="center"/>
      <protection locked="0"/>
    </xf>
    <xf numFmtId="0" fontId="42" fillId="0" borderId="74" xfId="0" applyNumberFormat="1" applyFont="1" applyBorder="1" applyAlignment="1" applyProtection="1">
      <alignment horizontal="center" vertical="center"/>
      <protection hidden="1"/>
    </xf>
    <xf numFmtId="164" fontId="42" fillId="0" borderId="74" xfId="0" applyFont="1" applyBorder="1" applyAlignment="1" applyProtection="1">
      <alignment horizontal="center" vertical="center"/>
      <protection hidden="1"/>
    </xf>
    <xf numFmtId="172" fontId="42" fillId="0" borderId="74" xfId="0" applyNumberFormat="1" applyFont="1" applyBorder="1" applyAlignment="1" applyProtection="1">
      <alignment horizontal="center" vertical="center"/>
      <protection hidden="1"/>
    </xf>
    <xf numFmtId="167" fontId="42" fillId="0" borderId="74" xfId="0" applyNumberFormat="1" applyFont="1" applyBorder="1" applyAlignment="1" applyProtection="1">
      <alignment horizontal="center" vertical="center"/>
      <protection hidden="1"/>
    </xf>
    <xf numFmtId="0" fontId="42" fillId="0" borderId="75" xfId="0" applyNumberFormat="1" applyFont="1" applyBorder="1" applyAlignment="1" applyProtection="1">
      <alignment horizontal="center" vertical="center"/>
      <protection hidden="1"/>
    </xf>
    <xf numFmtId="164" fontId="6" fillId="8" borderId="74" xfId="0" applyFont="1" applyFill="1" applyBorder="1" applyAlignment="1" applyProtection="1">
      <alignment horizontal="center" vertical="center"/>
      <protection hidden="1"/>
    </xf>
    <xf numFmtId="172" fontId="6" fillId="8" borderId="74" xfId="0" applyNumberFormat="1" applyFont="1" applyFill="1" applyBorder="1" applyAlignment="1" applyProtection="1">
      <alignment horizontal="center" vertical="center"/>
      <protection hidden="1"/>
    </xf>
    <xf numFmtId="0" fontId="6" fillId="8" borderId="75" xfId="0" applyNumberFormat="1" applyFont="1" applyFill="1" applyBorder="1" applyAlignment="1" applyProtection="1">
      <alignment horizontal="center" vertical="center"/>
      <protection hidden="1"/>
    </xf>
    <xf numFmtId="164" fontId="6" fillId="0" borderId="74" xfId="0" applyFont="1" applyBorder="1" applyAlignment="1" applyProtection="1">
      <alignment horizontal="center" vertical="center"/>
      <protection hidden="1"/>
    </xf>
    <xf numFmtId="172" fontId="6" fillId="0" borderId="74" xfId="0" applyNumberFormat="1" applyFont="1" applyBorder="1" applyAlignment="1" applyProtection="1">
      <alignment horizontal="center" vertical="center"/>
      <protection hidden="1"/>
    </xf>
    <xf numFmtId="0" fontId="6" fillId="0" borderId="75" xfId="0" applyNumberFormat="1" applyFont="1" applyBorder="1" applyAlignment="1" applyProtection="1">
      <alignment horizontal="center" vertical="center"/>
      <protection hidden="1"/>
    </xf>
    <xf numFmtId="15" fontId="38" fillId="8" borderId="73" xfId="0" applyNumberFormat="1" applyFont="1" applyFill="1" applyBorder="1" applyAlignment="1" applyProtection="1">
      <alignment horizontal="center" vertical="center"/>
      <protection locked="0"/>
    </xf>
    <xf numFmtId="3" fontId="38" fillId="8" borderId="74" xfId="0" applyNumberFormat="1" applyFont="1" applyFill="1" applyBorder="1" applyAlignment="1" applyProtection="1">
      <alignment horizontal="center" vertical="center"/>
      <protection locked="0"/>
    </xf>
    <xf numFmtId="3" fontId="38" fillId="8" borderId="75" xfId="0" applyNumberFormat="1" applyFont="1" applyFill="1" applyBorder="1" applyAlignment="1" applyProtection="1">
      <alignment horizontal="center" vertical="center"/>
      <protection locked="0"/>
    </xf>
    <xf numFmtId="15" fontId="38" fillId="0" borderId="73" xfId="0" applyNumberFormat="1" applyFont="1" applyBorder="1" applyAlignment="1" applyProtection="1">
      <alignment horizontal="center" vertical="center"/>
      <protection locked="0"/>
    </xf>
    <xf numFmtId="3" fontId="38" fillId="0" borderId="74" xfId="0" applyNumberFormat="1" applyFont="1" applyBorder="1" applyAlignment="1" applyProtection="1">
      <alignment horizontal="center" vertical="center"/>
      <protection locked="0"/>
    </xf>
    <xf numFmtId="3" fontId="38" fillId="0" borderId="75" xfId="0" applyNumberFormat="1" applyFont="1" applyBorder="1" applyAlignment="1" applyProtection="1">
      <alignment horizontal="center" vertical="center"/>
      <protection locked="0"/>
    </xf>
    <xf numFmtId="3" fontId="6" fillId="0" borderId="75" xfId="0" applyNumberFormat="1" applyFont="1" applyBorder="1" applyAlignment="1" applyProtection="1">
      <alignment horizontal="center" vertical="center"/>
      <protection locked="0"/>
    </xf>
    <xf numFmtId="15" fontId="42" fillId="8" borderId="73" xfId="0" applyNumberFormat="1" applyFont="1" applyFill="1" applyBorder="1" applyAlignment="1" applyProtection="1">
      <alignment horizontal="center" vertical="center"/>
      <protection locked="0"/>
    </xf>
    <xf numFmtId="3" fontId="42" fillId="8" borderId="74" xfId="0" applyNumberFormat="1" applyFont="1" applyFill="1" applyBorder="1" applyAlignment="1" applyProtection="1">
      <alignment horizontal="center" vertical="center"/>
      <protection locked="0"/>
    </xf>
    <xf numFmtId="3" fontId="42" fillId="8" borderId="75" xfId="1" applyNumberFormat="1" applyFont="1" applyFill="1" applyBorder="1" applyAlignment="1" applyProtection="1">
      <alignment horizontal="center" vertical="center"/>
      <protection locked="0"/>
    </xf>
    <xf numFmtId="15" fontId="42" fillId="0" borderId="73" xfId="0" applyNumberFormat="1" applyFont="1" applyBorder="1" applyAlignment="1" applyProtection="1">
      <alignment horizontal="center" vertical="center"/>
      <protection locked="0"/>
    </xf>
    <xf numFmtId="3" fontId="42" fillId="0" borderId="74" xfId="0" applyNumberFormat="1" applyFont="1" applyBorder="1" applyAlignment="1" applyProtection="1">
      <alignment horizontal="center" vertical="center"/>
      <protection locked="0"/>
    </xf>
    <xf numFmtId="3" fontId="42" fillId="0" borderId="75" xfId="1" applyNumberFormat="1" applyFont="1" applyBorder="1" applyAlignment="1" applyProtection="1">
      <alignment horizontal="center" vertical="center"/>
      <protection locked="0"/>
    </xf>
    <xf numFmtId="3" fontId="42" fillId="0" borderId="75" xfId="0" applyNumberFormat="1" applyFont="1" applyBorder="1" applyAlignment="1" applyProtection="1">
      <alignment horizontal="center" vertical="center"/>
      <protection locked="0"/>
    </xf>
    <xf numFmtId="0" fontId="42" fillId="0" borderId="74" xfId="0" applyNumberFormat="1" applyFont="1" applyBorder="1" applyAlignment="1" applyProtection="1">
      <alignment horizontal="center" vertical="center"/>
      <protection locked="0"/>
    </xf>
    <xf numFmtId="0" fontId="42" fillId="0" borderId="75" xfId="0" applyNumberFormat="1" applyFont="1" applyBorder="1" applyAlignment="1" applyProtection="1">
      <alignment horizontal="center" vertical="center"/>
      <protection locked="0"/>
    </xf>
    <xf numFmtId="173" fontId="6" fillId="8" borderId="73" xfId="0" applyNumberFormat="1" applyFont="1" applyFill="1" applyBorder="1" applyAlignment="1" applyProtection="1">
      <alignment horizontal="center" vertical="center"/>
      <protection locked="0"/>
    </xf>
    <xf numFmtId="3" fontId="6" fillId="8" borderId="74" xfId="0" applyNumberFormat="1" applyFont="1" applyFill="1" applyBorder="1" applyAlignment="1" applyProtection="1">
      <alignment horizontal="center" vertical="center"/>
      <protection locked="0"/>
    </xf>
    <xf numFmtId="3" fontId="6" fillId="8" borderId="75" xfId="1" applyNumberFormat="1" applyFont="1" applyFill="1" applyBorder="1" applyAlignment="1" applyProtection="1">
      <alignment horizontal="center" vertical="center"/>
      <protection locked="0"/>
    </xf>
    <xf numFmtId="173" fontId="6" fillId="0" borderId="73" xfId="0" applyNumberFormat="1" applyFont="1" applyBorder="1" applyAlignment="1" applyProtection="1">
      <alignment horizontal="center" vertical="center"/>
      <protection locked="0"/>
    </xf>
    <xf numFmtId="3" fontId="6" fillId="0" borderId="74" xfId="0" applyNumberFormat="1" applyFont="1" applyBorder="1" applyAlignment="1" applyProtection="1">
      <alignment horizontal="center" vertical="center"/>
      <protection locked="0"/>
    </xf>
    <xf numFmtId="3" fontId="6" fillId="0" borderId="75" xfId="1" applyNumberFormat="1" applyFont="1" applyBorder="1" applyAlignment="1" applyProtection="1">
      <alignment horizontal="center" vertical="center"/>
      <protection locked="0"/>
    </xf>
    <xf numFmtId="15" fontId="9" fillId="0" borderId="73" xfId="1" applyNumberFormat="1" applyFont="1" applyBorder="1" applyAlignment="1" applyProtection="1">
      <alignment horizontal="left" vertical="top" wrapText="1"/>
      <protection locked="0"/>
    </xf>
    <xf numFmtId="3" fontId="9" fillId="0" borderId="74" xfId="1" applyNumberFormat="1" applyFont="1" applyBorder="1" applyAlignment="1" applyProtection="1">
      <alignment horizontal="left" vertical="top" wrapText="1"/>
      <protection locked="0"/>
    </xf>
    <xf numFmtId="3" fontId="9" fillId="0" borderId="75" xfId="1" applyNumberFormat="1" applyFont="1" applyBorder="1" applyAlignment="1" applyProtection="1">
      <alignment horizontal="left" vertical="top" wrapText="1"/>
      <protection locked="0"/>
    </xf>
    <xf numFmtId="3" fontId="42" fillId="8" borderId="22" xfId="0" applyNumberFormat="1" applyFont="1" applyFill="1" applyBorder="1" applyAlignment="1" applyProtection="1">
      <alignment horizontal="center" vertical="center"/>
      <protection locked="0"/>
    </xf>
    <xf numFmtId="3" fontId="42" fillId="0" borderId="22" xfId="0" applyNumberFormat="1" applyFont="1" applyBorder="1" applyAlignment="1" applyProtection="1">
      <alignment horizontal="center" vertical="center"/>
      <protection locked="0"/>
    </xf>
    <xf numFmtId="3" fontId="38" fillId="8" borderId="73" xfId="0" applyNumberFormat="1" applyFont="1" applyFill="1" applyBorder="1" applyAlignment="1" applyProtection="1">
      <alignment horizontal="center" vertical="center"/>
      <protection locked="0"/>
    </xf>
    <xf numFmtId="15" fontId="6" fillId="8" borderId="74" xfId="0" applyNumberFormat="1" applyFont="1" applyFill="1" applyBorder="1" applyAlignment="1" applyProtection="1">
      <alignment horizontal="center" vertical="center"/>
      <protection locked="0"/>
    </xf>
    <xf numFmtId="3" fontId="38" fillId="8" borderId="74" xfId="1" applyNumberFormat="1" applyFont="1" applyFill="1" applyBorder="1" applyAlignment="1" applyProtection="1">
      <alignment horizontal="center" vertical="center"/>
      <protection locked="0"/>
    </xf>
    <xf numFmtId="3" fontId="38" fillId="8" borderId="75" xfId="1" applyNumberFormat="1" applyFont="1" applyFill="1" applyBorder="1" applyAlignment="1" applyProtection="1">
      <alignment horizontal="center" vertical="center"/>
      <protection locked="0"/>
    </xf>
    <xf numFmtId="3" fontId="38" fillId="0" borderId="73" xfId="0" applyNumberFormat="1" applyFont="1" applyBorder="1" applyAlignment="1" applyProtection="1">
      <alignment horizontal="center" vertical="center"/>
      <protection locked="0"/>
    </xf>
    <xf numFmtId="15" fontId="38" fillId="0" borderId="74" xfId="0" applyNumberFormat="1" applyFont="1" applyBorder="1" applyAlignment="1" applyProtection="1">
      <alignment horizontal="center" vertical="center"/>
      <protection locked="0"/>
    </xf>
    <xf numFmtId="3" fontId="38" fillId="0" borderId="74" xfId="1" applyNumberFormat="1" applyFont="1" applyBorder="1" applyAlignment="1" applyProtection="1">
      <alignment horizontal="center" vertical="center"/>
      <protection locked="0"/>
    </xf>
    <xf numFmtId="3" fontId="38" fillId="0" borderId="75" xfId="1" applyNumberFormat="1" applyFont="1" applyBorder="1" applyAlignment="1" applyProtection="1">
      <alignment horizontal="center" vertical="center"/>
      <protection locked="0"/>
    </xf>
    <xf numFmtId="3" fontId="6" fillId="8" borderId="73" xfId="0" applyNumberFormat="1" applyFont="1" applyFill="1" applyBorder="1" applyAlignment="1" applyProtection="1">
      <alignment horizontal="center" vertical="center"/>
      <protection locked="0"/>
    </xf>
    <xf numFmtId="15" fontId="38" fillId="8" borderId="74" xfId="0" applyNumberFormat="1" applyFont="1" applyFill="1" applyBorder="1" applyAlignment="1" applyProtection="1">
      <alignment horizontal="center" vertical="center"/>
      <protection locked="0"/>
    </xf>
    <xf numFmtId="3" fontId="6" fillId="0" borderId="73" xfId="0" applyNumberFormat="1" applyFont="1" applyBorder="1" applyAlignment="1" applyProtection="1">
      <alignment horizontal="center" vertical="center"/>
      <protection locked="0"/>
    </xf>
    <xf numFmtId="3" fontId="42" fillId="8" borderId="73" xfId="0" applyNumberFormat="1" applyFont="1" applyFill="1" applyBorder="1" applyAlignment="1" applyProtection="1">
      <alignment horizontal="center" vertical="center"/>
      <protection locked="0"/>
    </xf>
    <xf numFmtId="15" fontId="42" fillId="8" borderId="74" xfId="0" applyNumberFormat="1" applyFont="1" applyFill="1" applyBorder="1" applyAlignment="1" applyProtection="1">
      <alignment horizontal="center" vertical="center"/>
      <protection locked="0"/>
    </xf>
    <xf numFmtId="3" fontId="44" fillId="8" borderId="74" xfId="1" applyNumberFormat="1" applyFont="1" applyFill="1" applyBorder="1" applyAlignment="1" applyProtection="1">
      <alignment horizontal="center" vertical="center"/>
      <protection locked="0"/>
    </xf>
    <xf numFmtId="3" fontId="44" fillId="8" borderId="75" xfId="1" applyNumberFormat="1" applyFont="1" applyFill="1" applyBorder="1" applyAlignment="1" applyProtection="1">
      <alignment horizontal="center" vertical="center"/>
      <protection locked="0"/>
    </xf>
    <xf numFmtId="3" fontId="42" fillId="0" borderId="73" xfId="0" applyNumberFormat="1" applyFont="1" applyBorder="1" applyAlignment="1" applyProtection="1">
      <alignment horizontal="center" vertical="center"/>
      <protection locked="0"/>
    </xf>
    <xf numFmtId="15" fontId="42" fillId="0" borderId="74" xfId="0" applyNumberFormat="1" applyFont="1" applyBorder="1" applyAlignment="1" applyProtection="1">
      <alignment horizontal="center" vertical="center"/>
      <protection locked="0"/>
    </xf>
    <xf numFmtId="3" fontId="44" fillId="0" borderId="74" xfId="1" applyNumberFormat="1" applyFont="1" applyBorder="1" applyAlignment="1" applyProtection="1">
      <alignment horizontal="center" vertical="center"/>
      <protection locked="0"/>
    </xf>
    <xf numFmtId="3" fontId="44" fillId="0" borderId="75" xfId="1" applyNumberFormat="1" applyFont="1" applyBorder="1" applyAlignment="1" applyProtection="1">
      <alignment horizontal="center" vertical="center"/>
      <protection locked="0"/>
    </xf>
    <xf numFmtId="3" fontId="42" fillId="0" borderId="74" xfId="1" applyNumberFormat="1" applyFont="1" applyBorder="1" applyAlignment="1" applyProtection="1">
      <alignment horizontal="center" vertical="center"/>
      <protection locked="0"/>
    </xf>
    <xf numFmtId="3" fontId="42" fillId="8" borderId="74" xfId="1" applyNumberFormat="1" applyFont="1" applyFill="1" applyBorder="1" applyAlignment="1" applyProtection="1">
      <alignment horizontal="center" vertical="center"/>
      <protection locked="0"/>
    </xf>
    <xf numFmtId="0" fontId="44" fillId="0" borderId="75" xfId="0" applyNumberFormat="1" applyFont="1" applyBorder="1" applyAlignment="1" applyProtection="1">
      <alignment horizontal="center" vertical="center"/>
      <protection locked="0"/>
    </xf>
    <xf numFmtId="173" fontId="6" fillId="8" borderId="74" xfId="0" applyNumberFormat="1" applyFont="1" applyFill="1" applyBorder="1" applyAlignment="1" applyProtection="1">
      <alignment horizontal="center" vertical="center"/>
      <protection locked="0"/>
    </xf>
    <xf numFmtId="3" fontId="6" fillId="8" borderId="74" xfId="1" applyNumberFormat="1" applyFont="1" applyFill="1" applyBorder="1" applyAlignment="1" applyProtection="1">
      <alignment horizontal="center" vertical="center"/>
      <protection locked="0"/>
    </xf>
    <xf numFmtId="173" fontId="6" fillId="0" borderId="74" xfId="0" applyNumberFormat="1" applyFont="1" applyBorder="1" applyAlignment="1" applyProtection="1">
      <alignment horizontal="center" vertical="center"/>
      <protection locked="0"/>
    </xf>
    <xf numFmtId="3" fontId="6" fillId="0" borderId="74" xfId="1" applyNumberFormat="1" applyFont="1" applyBorder="1" applyAlignment="1" applyProtection="1">
      <alignment horizontal="center" vertical="center"/>
      <protection locked="0"/>
    </xf>
    <xf numFmtId="15" fontId="9" fillId="0" borderId="74" xfId="1" applyNumberFormat="1" applyFont="1" applyBorder="1" applyAlignment="1" applyProtection="1">
      <alignment horizontal="left" vertical="top" wrapText="1"/>
      <protection locked="0"/>
    </xf>
    <xf numFmtId="0" fontId="38" fillId="8" borderId="74" xfId="0" applyNumberFormat="1" applyFont="1" applyFill="1" applyBorder="1" applyAlignment="1" applyProtection="1">
      <alignment horizontal="center" vertical="center"/>
      <protection locked="0"/>
    </xf>
    <xf numFmtId="0" fontId="38" fillId="8" borderId="75" xfId="0" applyNumberFormat="1" applyFont="1" applyFill="1" applyBorder="1" applyAlignment="1" applyProtection="1">
      <alignment horizontal="center" vertical="center"/>
      <protection locked="0"/>
    </xf>
    <xf numFmtId="0" fontId="38" fillId="0" borderId="74" xfId="0" applyNumberFormat="1" applyFont="1" applyBorder="1" applyAlignment="1" applyProtection="1">
      <alignment horizontal="center" vertical="center"/>
      <protection locked="0"/>
    </xf>
    <xf numFmtId="0" fontId="38" fillId="0" borderId="75" xfId="0" applyNumberFormat="1" applyFont="1" applyBorder="1" applyAlignment="1" applyProtection="1">
      <alignment horizontal="center" vertical="center"/>
      <protection locked="0"/>
    </xf>
    <xf numFmtId="0" fontId="42" fillId="8" borderId="74" xfId="0" applyNumberFormat="1" applyFont="1" applyFill="1" applyBorder="1" applyAlignment="1" applyProtection="1">
      <alignment horizontal="center" vertical="center"/>
      <protection locked="0"/>
    </xf>
    <xf numFmtId="0" fontId="42" fillId="8" borderId="75" xfId="0" applyNumberFormat="1" applyFont="1" applyFill="1" applyBorder="1" applyAlignment="1" applyProtection="1">
      <alignment horizontal="center" vertical="center"/>
      <protection locked="0"/>
    </xf>
    <xf numFmtId="0" fontId="6" fillId="8" borderId="75" xfId="0" applyNumberFormat="1" applyFont="1" applyFill="1" applyBorder="1" applyAlignment="1" applyProtection="1">
      <alignment horizontal="center" vertical="center"/>
      <protection locked="0"/>
    </xf>
    <xf numFmtId="0" fontId="6" fillId="0" borderId="75" xfId="0" applyNumberFormat="1" applyFont="1" applyBorder="1" applyAlignment="1" applyProtection="1">
      <alignment horizontal="center" vertical="center"/>
      <protection locked="0"/>
    </xf>
    <xf numFmtId="164" fontId="8" fillId="3" borderId="19" xfId="1" applyFont="1" applyFill="1" applyBorder="1" applyAlignment="1" applyProtection="1">
      <alignment vertical="center"/>
      <protection locked="0"/>
    </xf>
    <xf numFmtId="164" fontId="8" fillId="3" borderId="20" xfId="1" applyFont="1" applyFill="1" applyBorder="1" applyAlignment="1" applyProtection="1">
      <alignment vertical="center"/>
      <protection locked="0"/>
    </xf>
    <xf numFmtId="1" fontId="45" fillId="21" borderId="22" xfId="1" applyNumberFormat="1" applyFont="1" applyFill="1" applyBorder="1" applyAlignment="1" applyProtection="1">
      <alignment horizontal="left" vertical="top" wrapText="1"/>
      <protection locked="0"/>
    </xf>
    <xf numFmtId="3" fontId="38" fillId="8" borderId="73" xfId="1" applyNumberFormat="1" applyFont="1" applyFill="1" applyBorder="1" applyAlignment="1" applyProtection="1">
      <alignment horizontal="center" vertical="center"/>
      <protection locked="0"/>
    </xf>
    <xf numFmtId="0" fontId="38" fillId="8" borderId="74" xfId="1" applyNumberFormat="1" applyFont="1" applyFill="1" applyBorder="1" applyAlignment="1" applyProtection="1">
      <alignment horizontal="center" vertical="center"/>
      <protection locked="0"/>
    </xf>
    <xf numFmtId="9" fontId="38" fillId="8" borderId="74" xfId="2" applyFont="1" applyFill="1" applyBorder="1" applyAlignment="1" applyProtection="1">
      <alignment horizontal="center" vertical="center"/>
      <protection locked="0"/>
    </xf>
    <xf numFmtId="3" fontId="6" fillId="8" borderId="75" xfId="0" applyNumberFormat="1" applyFont="1" applyFill="1" applyBorder="1" applyAlignment="1" applyProtection="1">
      <alignment horizontal="center" vertical="center"/>
      <protection locked="0"/>
    </xf>
    <xf numFmtId="3" fontId="38" fillId="0" borderId="73" xfId="1" applyNumberFormat="1" applyFont="1" applyBorder="1" applyAlignment="1" applyProtection="1">
      <alignment horizontal="center" vertical="center"/>
      <protection locked="0"/>
    </xf>
    <xf numFmtId="0" fontId="38" fillId="0" borderId="74" xfId="1" applyNumberFormat="1" applyFont="1" applyBorder="1" applyAlignment="1" applyProtection="1">
      <alignment horizontal="center" vertical="center"/>
      <protection locked="0"/>
    </xf>
    <xf numFmtId="9" fontId="38" fillId="0" borderId="74" xfId="2" applyFont="1" applyFill="1" applyBorder="1" applyAlignment="1" applyProtection="1">
      <alignment horizontal="center" vertical="center"/>
      <protection locked="0"/>
    </xf>
    <xf numFmtId="3" fontId="42" fillId="8" borderId="73" xfId="1" applyNumberFormat="1" applyFont="1" applyFill="1" applyBorder="1" applyAlignment="1" applyProtection="1">
      <alignment horizontal="center" vertical="center"/>
      <protection locked="0"/>
    </xf>
    <xf numFmtId="0" fontId="42" fillId="8" borderId="74" xfId="1" applyNumberFormat="1" applyFont="1" applyFill="1" applyBorder="1" applyAlignment="1" applyProtection="1">
      <alignment horizontal="center" vertical="center"/>
      <protection locked="0"/>
    </xf>
    <xf numFmtId="9" fontId="42" fillId="8" borderId="74" xfId="2" applyFont="1" applyFill="1" applyBorder="1" applyAlignment="1" applyProtection="1">
      <alignment horizontal="center" vertical="center"/>
      <protection locked="0"/>
    </xf>
    <xf numFmtId="3" fontId="42" fillId="0" borderId="73" xfId="1" applyNumberFormat="1" applyFont="1" applyBorder="1" applyAlignment="1" applyProtection="1">
      <alignment horizontal="center" vertical="center"/>
      <protection locked="0"/>
    </xf>
    <xf numFmtId="0" fontId="42" fillId="0" borderId="74" xfId="1" applyNumberFormat="1" applyFont="1" applyBorder="1" applyAlignment="1" applyProtection="1">
      <alignment horizontal="center" vertical="center"/>
      <protection locked="0"/>
    </xf>
    <xf numFmtId="9" fontId="42" fillId="0" borderId="74" xfId="2" applyFont="1" applyFill="1" applyBorder="1" applyAlignment="1" applyProtection="1">
      <alignment horizontal="center" vertical="center"/>
      <protection locked="0"/>
    </xf>
    <xf numFmtId="3" fontId="6" fillId="8" borderId="73" xfId="1" applyNumberFormat="1" applyFont="1" applyFill="1" applyBorder="1" applyAlignment="1" applyProtection="1">
      <alignment horizontal="center" vertical="center"/>
      <protection locked="0"/>
    </xf>
    <xf numFmtId="0" fontId="6" fillId="8" borderId="74" xfId="1" applyNumberFormat="1" applyFont="1" applyFill="1" applyBorder="1" applyAlignment="1" applyProtection="1">
      <alignment horizontal="center" vertical="center"/>
      <protection locked="0"/>
    </xf>
    <xf numFmtId="9" fontId="6" fillId="8" borderId="74" xfId="2" applyFont="1" applyFill="1" applyBorder="1" applyAlignment="1" applyProtection="1">
      <alignment horizontal="center" vertical="center"/>
      <protection locked="0"/>
    </xf>
    <xf numFmtId="3" fontId="6" fillId="0" borderId="73" xfId="1" applyNumberFormat="1" applyFont="1" applyBorder="1" applyAlignment="1" applyProtection="1">
      <alignment horizontal="center" vertical="center"/>
      <protection locked="0"/>
    </xf>
    <xf numFmtId="0" fontId="6" fillId="0" borderId="74" xfId="1" applyNumberFormat="1" applyFont="1" applyBorder="1" applyAlignment="1" applyProtection="1">
      <alignment horizontal="center" vertical="center"/>
      <protection locked="0"/>
    </xf>
    <xf numFmtId="9" fontId="6" fillId="0" borderId="74" xfId="2" applyFont="1" applyFill="1" applyBorder="1" applyAlignment="1" applyProtection="1">
      <alignment horizontal="center" vertical="center"/>
      <protection locked="0"/>
    </xf>
    <xf numFmtId="3" fontId="38" fillId="8" borderId="73" xfId="2" applyNumberFormat="1" applyFont="1" applyFill="1" applyBorder="1" applyAlignment="1" applyProtection="1">
      <alignment horizontal="center" vertical="center"/>
      <protection locked="0"/>
    </xf>
    <xf numFmtId="4" fontId="38" fillId="8" borderId="74" xfId="2" applyNumberFormat="1" applyFont="1" applyFill="1" applyBorder="1" applyAlignment="1" applyProtection="1">
      <alignment horizontal="center" vertical="center"/>
      <protection locked="0"/>
    </xf>
    <xf numFmtId="3" fontId="38" fillId="8" borderId="74" xfId="2" applyNumberFormat="1" applyFont="1" applyFill="1" applyBorder="1" applyAlignment="1" applyProtection="1">
      <alignment horizontal="center" vertical="center"/>
      <protection locked="0"/>
    </xf>
    <xf numFmtId="4" fontId="38" fillId="8" borderId="75" xfId="1" applyNumberFormat="1" applyFont="1" applyFill="1" applyBorder="1" applyAlignment="1" applyProtection="1">
      <alignment horizontal="center" vertical="center"/>
      <protection locked="0"/>
    </xf>
    <xf numFmtId="3" fontId="38" fillId="0" borderId="73" xfId="2" applyNumberFormat="1" applyFont="1" applyFill="1" applyBorder="1" applyAlignment="1" applyProtection="1">
      <alignment horizontal="center" vertical="center"/>
      <protection locked="0"/>
    </xf>
    <xf numFmtId="4" fontId="38" fillId="0" borderId="74" xfId="2" applyNumberFormat="1" applyFont="1" applyFill="1" applyBorder="1" applyAlignment="1" applyProtection="1">
      <alignment horizontal="center" vertical="center"/>
      <protection locked="0"/>
    </xf>
    <xf numFmtId="3" fontId="38" fillId="0" borderId="74" xfId="2" applyNumberFormat="1" applyFont="1" applyFill="1" applyBorder="1" applyAlignment="1" applyProtection="1">
      <alignment horizontal="center" vertical="center"/>
      <protection locked="0"/>
    </xf>
    <xf numFmtId="4" fontId="38" fillId="0" borderId="75" xfId="1" applyNumberFormat="1" applyFont="1" applyBorder="1" applyAlignment="1" applyProtection="1">
      <alignment horizontal="center" vertical="center"/>
      <protection locked="0"/>
    </xf>
    <xf numFmtId="3" fontId="42" fillId="8" borderId="73" xfId="2" applyNumberFormat="1" applyFont="1" applyFill="1" applyBorder="1" applyAlignment="1" applyProtection="1">
      <alignment horizontal="center" vertical="center"/>
      <protection locked="0"/>
    </xf>
    <xf numFmtId="4" fontId="42" fillId="8" borderId="74" xfId="2" applyNumberFormat="1" applyFont="1" applyFill="1" applyBorder="1" applyAlignment="1" applyProtection="1">
      <alignment horizontal="center" vertical="center"/>
      <protection locked="0"/>
    </xf>
    <xf numFmtId="3" fontId="42" fillId="8" borderId="74" xfId="2" applyNumberFormat="1" applyFont="1" applyFill="1" applyBorder="1" applyAlignment="1" applyProtection="1">
      <alignment horizontal="center" vertical="center"/>
      <protection locked="0"/>
    </xf>
    <xf numFmtId="4" fontId="42" fillId="8" borderId="75" xfId="1" applyNumberFormat="1" applyFont="1" applyFill="1" applyBorder="1" applyAlignment="1" applyProtection="1">
      <alignment horizontal="center" vertical="center"/>
      <protection locked="0"/>
    </xf>
    <xf numFmtId="3" fontId="42" fillId="0" borderId="73" xfId="2" applyNumberFormat="1" applyFont="1" applyFill="1" applyBorder="1" applyAlignment="1" applyProtection="1">
      <alignment horizontal="center" vertical="center"/>
      <protection locked="0"/>
    </xf>
    <xf numFmtId="4" fontId="42" fillId="0" borderId="74" xfId="2" applyNumberFormat="1" applyFont="1" applyFill="1" applyBorder="1" applyAlignment="1" applyProtection="1">
      <alignment horizontal="center" vertical="center"/>
      <protection locked="0"/>
    </xf>
    <xf numFmtId="3" fontId="42" fillId="0" borderId="74" xfId="2" applyNumberFormat="1" applyFont="1" applyFill="1" applyBorder="1" applyAlignment="1" applyProtection="1">
      <alignment horizontal="center" vertical="center"/>
      <protection locked="0"/>
    </xf>
    <xf numFmtId="4" fontId="42" fillId="0" borderId="75" xfId="1" applyNumberFormat="1" applyFont="1" applyBorder="1" applyAlignment="1" applyProtection="1">
      <alignment horizontal="center" vertical="center"/>
      <protection locked="0"/>
    </xf>
    <xf numFmtId="3" fontId="6" fillId="8" borderId="73" xfId="2" applyNumberFormat="1" applyFont="1" applyFill="1" applyBorder="1" applyAlignment="1" applyProtection="1">
      <alignment horizontal="center" vertical="center"/>
      <protection locked="0"/>
    </xf>
    <xf numFmtId="4" fontId="6" fillId="8" borderId="74" xfId="2" applyNumberFormat="1" applyFont="1" applyFill="1" applyBorder="1" applyAlignment="1" applyProtection="1">
      <alignment horizontal="center" vertical="center"/>
      <protection locked="0"/>
    </xf>
    <xf numFmtId="3" fontId="6" fillId="8" borderId="74" xfId="2" applyNumberFormat="1" applyFont="1" applyFill="1" applyBorder="1" applyAlignment="1" applyProtection="1">
      <alignment horizontal="center" vertical="center"/>
      <protection locked="0"/>
    </xf>
    <xf numFmtId="4" fontId="6" fillId="8" borderId="75" xfId="1" applyNumberFormat="1" applyFont="1" applyFill="1" applyBorder="1" applyAlignment="1" applyProtection="1">
      <alignment horizontal="center" vertical="center"/>
      <protection locked="0"/>
    </xf>
    <xf numFmtId="3" fontId="6" fillId="0" borderId="73" xfId="2" applyNumberFormat="1" applyFont="1" applyFill="1" applyBorder="1" applyAlignment="1" applyProtection="1">
      <alignment horizontal="center" vertical="center"/>
      <protection locked="0"/>
    </xf>
    <xf numFmtId="4" fontId="6" fillId="0" borderId="74" xfId="2" applyNumberFormat="1" applyFont="1" applyFill="1" applyBorder="1" applyAlignment="1" applyProtection="1">
      <alignment horizontal="center" vertical="center"/>
      <protection locked="0"/>
    </xf>
    <xf numFmtId="3" fontId="6" fillId="0" borderId="74" xfId="2" applyNumberFormat="1" applyFont="1" applyFill="1" applyBorder="1" applyAlignment="1" applyProtection="1">
      <alignment horizontal="center" vertical="center"/>
      <protection locked="0"/>
    </xf>
    <xf numFmtId="4" fontId="6" fillId="0" borderId="75" xfId="1" applyNumberFormat="1" applyFont="1" applyBorder="1" applyAlignment="1" applyProtection="1">
      <alignment horizontal="center" vertical="center"/>
      <protection locked="0"/>
    </xf>
    <xf numFmtId="3" fontId="45" fillId="20" borderId="22" xfId="2" applyNumberFormat="1" applyFont="1" applyFill="1" applyBorder="1" applyAlignment="1" applyProtection="1">
      <alignment horizontal="left" vertical="top" wrapText="1"/>
      <protection locked="0"/>
    </xf>
    <xf numFmtId="4" fontId="45" fillId="20" borderId="22" xfId="2" applyNumberFormat="1" applyFont="1" applyFill="1" applyBorder="1" applyAlignment="1" applyProtection="1">
      <alignment horizontal="left" vertical="top" wrapText="1"/>
      <protection locked="0"/>
    </xf>
    <xf numFmtId="171" fontId="45" fillId="20" borderId="22" xfId="2" applyNumberFormat="1" applyFont="1" applyFill="1" applyBorder="1" applyAlignment="1" applyProtection="1">
      <alignment horizontal="left" vertical="top" wrapText="1"/>
      <protection locked="0"/>
    </xf>
    <xf numFmtId="3" fontId="45" fillId="9" borderId="22" xfId="2" applyNumberFormat="1" applyFont="1" applyFill="1" applyBorder="1" applyAlignment="1" applyProtection="1">
      <alignment horizontal="left" vertical="top" wrapText="1"/>
      <protection locked="0"/>
    </xf>
    <xf numFmtId="171" fontId="45" fillId="9" borderId="22" xfId="2" applyNumberFormat="1" applyFont="1" applyFill="1" applyBorder="1" applyAlignment="1" applyProtection="1">
      <alignment horizontal="left" vertical="top" wrapText="1"/>
      <protection locked="0"/>
    </xf>
    <xf numFmtId="168" fontId="11" fillId="0" borderId="67" xfId="0" applyNumberFormat="1" applyFont="1" applyBorder="1" applyAlignment="1">
      <alignment horizontal="center" vertical="center"/>
    </xf>
    <xf numFmtId="168" fontId="11" fillId="0" borderId="68" xfId="0" applyNumberFormat="1" applyFont="1" applyBorder="1" applyAlignment="1">
      <alignment horizontal="center" vertical="center"/>
    </xf>
    <xf numFmtId="168" fontId="28" fillId="0" borderId="68" xfId="0" applyNumberFormat="1" applyFont="1" applyBorder="1" applyAlignment="1">
      <alignment horizontal="center" vertical="center"/>
    </xf>
    <xf numFmtId="9" fontId="11" fillId="0" borderId="68" xfId="0" applyNumberFormat="1" applyFont="1" applyBorder="1" applyAlignment="1">
      <alignment horizontal="center" vertical="center"/>
    </xf>
    <xf numFmtId="164" fontId="11" fillId="0" borderId="68" xfId="0" applyFont="1" applyBorder="1" applyAlignment="1">
      <alignment horizontal="center" vertical="center"/>
    </xf>
    <xf numFmtId="164" fontId="28" fillId="0" borderId="68" xfId="0" applyFont="1" applyBorder="1" applyAlignment="1">
      <alignment horizontal="center" vertical="center"/>
    </xf>
    <xf numFmtId="168" fontId="11" fillId="0" borderId="69" xfId="0" applyNumberFormat="1" applyFont="1" applyBorder="1" applyAlignment="1">
      <alignment horizontal="center" vertical="center"/>
    </xf>
    <xf numFmtId="171" fontId="11" fillId="0" borderId="68" xfId="0" applyNumberFormat="1" applyFont="1" applyBorder="1" applyAlignment="1">
      <alignment horizontal="center" vertical="center"/>
    </xf>
    <xf numFmtId="2" fontId="11" fillId="0" borderId="69" xfId="0" applyNumberFormat="1" applyFont="1" applyBorder="1" applyAlignment="1">
      <alignment vertical="center"/>
    </xf>
    <xf numFmtId="164" fontId="11" fillId="0" borderId="0" xfId="0" applyFont="1"/>
    <xf numFmtId="168" fontId="47" fillId="0" borderId="58" xfId="0" applyNumberFormat="1" applyFont="1" applyBorder="1" applyAlignment="1">
      <alignment horizontal="center" vertical="center"/>
    </xf>
    <xf numFmtId="168" fontId="48" fillId="0" borderId="58" xfId="0" applyNumberFormat="1" applyFont="1" applyBorder="1" applyAlignment="1">
      <alignment horizontal="center" vertical="center"/>
    </xf>
    <xf numFmtId="168" fontId="49" fillId="0" borderId="58" xfId="0" applyNumberFormat="1" applyFont="1" applyBorder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  <xf numFmtId="3" fontId="28" fillId="0" borderId="0" xfId="0" applyNumberFormat="1" applyFont="1" applyAlignment="1">
      <alignment horizontal="center" vertical="center"/>
    </xf>
    <xf numFmtId="164" fontId="50" fillId="0" borderId="0" xfId="0" applyFont="1"/>
    <xf numFmtId="164" fontId="51" fillId="0" borderId="0" xfId="0" applyFont="1"/>
    <xf numFmtId="168" fontId="40" fillId="0" borderId="58" xfId="0" applyNumberFormat="1" applyFont="1" applyBorder="1" applyAlignment="1">
      <alignment horizontal="center" vertical="center"/>
    </xf>
    <xf numFmtId="168" fontId="40" fillId="0" borderId="60" xfId="0" applyNumberFormat="1" applyFont="1" applyBorder="1" applyAlignment="1">
      <alignment horizontal="center" vertical="center"/>
    </xf>
    <xf numFmtId="168" fontId="52" fillId="0" borderId="58" xfId="0" applyNumberFormat="1" applyFont="1" applyBorder="1" applyAlignment="1">
      <alignment horizontal="center" vertical="center"/>
    </xf>
    <xf numFmtId="168" fontId="52" fillId="0" borderId="60" xfId="0" applyNumberFormat="1" applyFont="1" applyBorder="1" applyAlignment="1">
      <alignment horizontal="center" vertical="center"/>
    </xf>
    <xf numFmtId="168" fontId="53" fillId="0" borderId="58" xfId="0" applyNumberFormat="1" applyFont="1" applyBorder="1" applyAlignment="1">
      <alignment horizontal="center" vertical="center"/>
    </xf>
    <xf numFmtId="168" fontId="53" fillId="0" borderId="60" xfId="0" applyNumberFormat="1" applyFont="1" applyBorder="1" applyAlignment="1">
      <alignment horizontal="center" vertical="center"/>
    </xf>
    <xf numFmtId="164" fontId="11" fillId="0" borderId="77" xfId="0" pivotButton="1" applyFont="1" applyBorder="1"/>
    <xf numFmtId="164" fontId="11" fillId="0" borderId="77" xfId="0" applyFont="1" applyBorder="1"/>
    <xf numFmtId="168" fontId="34" fillId="0" borderId="57" xfId="0" applyNumberFormat="1" applyFont="1" applyBorder="1" applyAlignment="1">
      <alignment vertical="center"/>
    </xf>
    <xf numFmtId="168" fontId="28" fillId="0" borderId="57" xfId="0" applyNumberFormat="1" applyFont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 wrapText="1"/>
    </xf>
    <xf numFmtId="168" fontId="36" fillId="0" borderId="0" xfId="0" applyNumberFormat="1" applyFont="1" applyAlignment="1">
      <alignment vertical="center"/>
    </xf>
    <xf numFmtId="168" fontId="36" fillId="0" borderId="0" xfId="0" applyNumberFormat="1" applyFont="1" applyAlignment="1">
      <alignment horizontal="center" vertical="center"/>
    </xf>
    <xf numFmtId="164" fontId="9" fillId="9" borderId="44" xfId="1" applyFont="1" applyFill="1" applyBorder="1" applyAlignment="1" applyProtection="1">
      <alignment horizontal="left" vertical="top" wrapText="1"/>
      <protection locked="0"/>
    </xf>
    <xf numFmtId="164" fontId="11" fillId="0" borderId="78" xfId="0" applyFont="1" applyBorder="1" applyAlignment="1">
      <alignment horizontal="center" vertical="center"/>
    </xf>
    <xf numFmtId="164" fontId="11" fillId="0" borderId="79" xfId="0" applyFont="1" applyBorder="1" applyAlignment="1">
      <alignment horizontal="center"/>
    </xf>
    <xf numFmtId="164" fontId="11" fillId="0" borderId="80" xfId="0" applyFont="1" applyBorder="1" applyAlignment="1">
      <alignment horizontal="center"/>
    </xf>
    <xf numFmtId="164" fontId="11" fillId="0" borderId="81" xfId="0" applyFont="1" applyBorder="1" applyAlignment="1">
      <alignment horizontal="center"/>
    </xf>
    <xf numFmtId="164" fontId="11" fillId="0" borderId="82" xfId="0" applyFont="1" applyBorder="1" applyAlignment="1">
      <alignment horizontal="center"/>
    </xf>
    <xf numFmtId="164" fontId="11" fillId="0" borderId="83" xfId="0" applyFont="1" applyBorder="1" applyAlignment="1">
      <alignment horizontal="center"/>
    </xf>
    <xf numFmtId="164" fontId="55" fillId="0" borderId="0" xfId="0" applyFont="1" applyAlignment="1">
      <alignment horizontal="left" vertical="center"/>
    </xf>
    <xf numFmtId="3" fontId="28" fillId="0" borderId="84" xfId="0" applyNumberFormat="1" applyFont="1" applyBorder="1" applyAlignment="1">
      <alignment horizontal="center" vertical="center"/>
    </xf>
    <xf numFmtId="168" fontId="28" fillId="23" borderId="86" xfId="0" applyNumberFormat="1" applyFont="1" applyFill="1" applyBorder="1" applyAlignment="1">
      <alignment horizontal="center" vertical="center"/>
    </xf>
    <xf numFmtId="168" fontId="28" fillId="23" borderId="87" xfId="0" applyNumberFormat="1" applyFont="1" applyFill="1" applyBorder="1" applyAlignment="1">
      <alignment horizontal="center" vertical="center"/>
    </xf>
    <xf numFmtId="168" fontId="28" fillId="0" borderId="86" xfId="0" applyNumberFormat="1" applyFont="1" applyBorder="1" applyAlignment="1">
      <alignment horizontal="center" vertical="center"/>
    </xf>
    <xf numFmtId="168" fontId="28" fillId="0" borderId="87" xfId="0" applyNumberFormat="1" applyFont="1" applyBorder="1" applyAlignment="1">
      <alignment horizontal="center" vertical="center"/>
    </xf>
    <xf numFmtId="168" fontId="28" fillId="23" borderId="88" xfId="0" applyNumberFormat="1" applyFont="1" applyFill="1" applyBorder="1" applyAlignment="1">
      <alignment horizontal="center" vertical="center"/>
    </xf>
    <xf numFmtId="168" fontId="28" fillId="23" borderId="89" xfId="0" applyNumberFormat="1" applyFont="1" applyFill="1" applyBorder="1" applyAlignment="1">
      <alignment horizontal="center" vertical="center"/>
    </xf>
    <xf numFmtId="168" fontId="28" fillId="0" borderId="90" xfId="0" applyNumberFormat="1" applyFont="1" applyBorder="1" applyAlignment="1">
      <alignment horizontal="center" vertical="center"/>
    </xf>
    <xf numFmtId="168" fontId="28" fillId="0" borderId="91" xfId="0" applyNumberFormat="1" applyFont="1" applyBorder="1" applyAlignment="1">
      <alignment horizontal="center" vertical="center"/>
    </xf>
    <xf numFmtId="168" fontId="28" fillId="23" borderId="91" xfId="0" applyNumberFormat="1" applyFont="1" applyFill="1" applyBorder="1" applyAlignment="1">
      <alignment horizontal="center" vertical="center"/>
    </xf>
    <xf numFmtId="168" fontId="34" fillId="0" borderId="0" xfId="0" applyNumberFormat="1" applyFont="1" applyAlignment="1">
      <alignment horizontal="center" vertical="center"/>
    </xf>
    <xf numFmtId="164" fontId="11" fillId="18" borderId="51" xfId="0" applyFont="1" applyFill="1" applyBorder="1" applyAlignment="1">
      <alignment horizontal="center" vertical="center" wrapText="1"/>
    </xf>
    <xf numFmtId="3" fontId="28" fillId="0" borderId="53" xfId="0" applyNumberFormat="1" applyFont="1" applyBorder="1" applyAlignment="1">
      <alignment horizontal="center" vertical="center"/>
    </xf>
    <xf numFmtId="3" fontId="11" fillId="9" borderId="85" xfId="0" applyNumberFormat="1" applyFont="1" applyFill="1" applyBorder="1" applyAlignment="1">
      <alignment horizontal="center" vertical="center" wrapText="1"/>
    </xf>
    <xf numFmtId="3" fontId="28" fillId="0" borderId="92" xfId="0" applyNumberFormat="1" applyFont="1" applyBorder="1" applyAlignment="1">
      <alignment horizontal="center" vertical="center"/>
    </xf>
    <xf numFmtId="168" fontId="28" fillId="23" borderId="95" xfId="0" applyNumberFormat="1" applyFont="1" applyFill="1" applyBorder="1" applyAlignment="1">
      <alignment horizontal="center" vertical="center"/>
    </xf>
    <xf numFmtId="168" fontId="28" fillId="23" borderId="96" xfId="0" applyNumberFormat="1" applyFont="1" applyFill="1" applyBorder="1" applyAlignment="1">
      <alignment horizontal="center" vertical="center"/>
    </xf>
    <xf numFmtId="168" fontId="28" fillId="23" borderId="97" xfId="0" applyNumberFormat="1" applyFont="1" applyFill="1" applyBorder="1" applyAlignment="1">
      <alignment horizontal="center" vertical="center"/>
    </xf>
    <xf numFmtId="168" fontId="28" fillId="0" borderId="97" xfId="0" applyNumberFormat="1" applyFont="1" applyBorder="1" applyAlignment="1">
      <alignment horizontal="center" vertical="center"/>
    </xf>
    <xf numFmtId="49" fontId="54" fillId="9" borderId="64" xfId="0" applyNumberFormat="1" applyFont="1" applyFill="1" applyBorder="1" applyAlignment="1">
      <alignment horizontal="left" vertical="center" wrapText="1"/>
    </xf>
    <xf numFmtId="164" fontId="54" fillId="9" borderId="76" xfId="0" applyFont="1" applyFill="1" applyBorder="1" applyAlignment="1">
      <alignment horizontal="left"/>
    </xf>
    <xf numFmtId="168" fontId="54" fillId="17" borderId="0" xfId="0" applyNumberFormat="1" applyFont="1" applyFill="1" applyAlignment="1">
      <alignment horizontal="center" vertical="center" wrapText="1"/>
    </xf>
    <xf numFmtId="168" fontId="54" fillId="17" borderId="94" xfId="0" applyNumberFormat="1" applyFont="1" applyFill="1" applyBorder="1" applyAlignment="1">
      <alignment horizontal="center" vertical="center" wrapText="1"/>
    </xf>
    <xf numFmtId="168" fontId="54" fillId="17" borderId="98" xfId="0" applyNumberFormat="1" applyFont="1" applyFill="1" applyBorder="1" applyAlignment="1">
      <alignment horizontal="center" vertical="center" wrapText="1"/>
    </xf>
    <xf numFmtId="168" fontId="28" fillId="0" borderId="99" xfId="0" applyNumberFormat="1" applyFont="1" applyBorder="1" applyAlignment="1">
      <alignment horizontal="center" vertical="center"/>
    </xf>
    <xf numFmtId="168" fontId="28" fillId="23" borderId="100" xfId="0" applyNumberFormat="1" applyFont="1" applyFill="1" applyBorder="1" applyAlignment="1">
      <alignment horizontal="center" vertical="center"/>
    </xf>
    <xf numFmtId="168" fontId="28" fillId="23" borderId="101" xfId="0" applyNumberFormat="1" applyFont="1" applyFill="1" applyBorder="1" applyAlignment="1">
      <alignment horizontal="center" vertical="center"/>
    </xf>
    <xf numFmtId="168" fontId="28" fillId="0" borderId="101" xfId="0" applyNumberFormat="1" applyFont="1" applyBorder="1" applyAlignment="1">
      <alignment horizontal="center" vertical="center"/>
    </xf>
    <xf numFmtId="168" fontId="41" fillId="0" borderId="0" xfId="0" applyNumberFormat="1" applyFont="1" applyAlignment="1">
      <alignment horizontal="right" vertical="center"/>
    </xf>
    <xf numFmtId="168" fontId="46" fillId="24" borderId="0" xfId="0" applyNumberFormat="1" applyFont="1" applyFill="1" applyAlignment="1">
      <alignment horizontal="center" vertical="center"/>
    </xf>
    <xf numFmtId="164" fontId="11" fillId="18" borderId="58" xfId="0" applyFont="1" applyFill="1" applyBorder="1" applyAlignment="1">
      <alignment horizontal="center" vertical="center" wrapText="1"/>
    </xf>
    <xf numFmtId="168" fontId="34" fillId="0" borderId="58" xfId="0" applyNumberFormat="1" applyFont="1" applyBorder="1" applyAlignment="1">
      <alignment horizontal="center" vertical="center"/>
    </xf>
    <xf numFmtId="168" fontId="36" fillId="0" borderId="58" xfId="0" applyNumberFormat="1" applyFont="1" applyBorder="1" applyAlignment="1">
      <alignment horizontal="center" vertical="center"/>
    </xf>
    <xf numFmtId="164" fontId="56" fillId="0" borderId="0" xfId="0" applyFont="1" applyAlignment="1">
      <alignment horizontal="center" vertical="center"/>
    </xf>
    <xf numFmtId="168" fontId="57" fillId="0" borderId="51" xfId="0" applyNumberFormat="1" applyFont="1" applyBorder="1" applyAlignment="1">
      <alignment horizontal="center" vertical="center"/>
    </xf>
    <xf numFmtId="168" fontId="58" fillId="0" borderId="51" xfId="0" applyNumberFormat="1" applyFont="1" applyBorder="1" applyAlignment="1">
      <alignment horizontal="center" vertical="center"/>
    </xf>
    <xf numFmtId="168" fontId="59" fillId="0" borderId="51" xfId="0" applyNumberFormat="1" applyFont="1" applyBorder="1" applyAlignment="1">
      <alignment horizontal="center" vertical="center"/>
    </xf>
    <xf numFmtId="164" fontId="11" fillId="0" borderId="78" xfId="0" applyFont="1" applyBorder="1" applyAlignment="1">
      <alignment horizontal="center"/>
    </xf>
    <xf numFmtId="168" fontId="54" fillId="17" borderId="59" xfId="0" applyNumberFormat="1" applyFont="1" applyFill="1" applyBorder="1" applyAlignment="1">
      <alignment horizontal="center" vertical="center" wrapText="1"/>
    </xf>
    <xf numFmtId="168" fontId="54" fillId="17" borderId="102" xfId="0" applyNumberFormat="1" applyFont="1" applyFill="1" applyBorder="1" applyAlignment="1">
      <alignment horizontal="center" vertical="center" wrapText="1"/>
    </xf>
    <xf numFmtId="168" fontId="54" fillId="17" borderId="103" xfId="0" applyNumberFormat="1" applyFont="1" applyFill="1" applyBorder="1" applyAlignment="1">
      <alignment horizontal="center" vertical="center" wrapText="1"/>
    </xf>
    <xf numFmtId="168" fontId="28" fillId="23" borderId="104" xfId="0" applyNumberFormat="1" applyFont="1" applyFill="1" applyBorder="1" applyAlignment="1">
      <alignment horizontal="center" vertical="center"/>
    </xf>
    <xf numFmtId="168" fontId="28" fillId="23" borderId="105" xfId="0" applyNumberFormat="1" applyFont="1" applyFill="1" applyBorder="1" applyAlignment="1">
      <alignment horizontal="center" vertical="center"/>
    </xf>
    <xf numFmtId="168" fontId="28" fillId="23" borderId="106" xfId="0" applyNumberFormat="1" applyFont="1" applyFill="1" applyBorder="1" applyAlignment="1">
      <alignment horizontal="center" vertical="center"/>
    </xf>
    <xf numFmtId="168" fontId="28" fillId="23" borderId="107" xfId="0" applyNumberFormat="1" applyFont="1" applyFill="1" applyBorder="1" applyAlignment="1">
      <alignment horizontal="center" vertical="center"/>
    </xf>
    <xf numFmtId="168" fontId="28" fillId="23" borderId="108" xfId="0" applyNumberFormat="1" applyFont="1" applyFill="1" applyBorder="1" applyAlignment="1">
      <alignment horizontal="center" vertical="center"/>
    </xf>
    <xf numFmtId="168" fontId="28" fillId="23" borderId="109" xfId="0" applyNumberFormat="1" applyFont="1" applyFill="1" applyBorder="1" applyAlignment="1">
      <alignment horizontal="center" vertical="center"/>
    </xf>
    <xf numFmtId="168" fontId="28" fillId="0" borderId="108" xfId="0" applyNumberFormat="1" applyFont="1" applyBorder="1" applyAlignment="1">
      <alignment horizontal="center" vertical="center"/>
    </xf>
    <xf numFmtId="168" fontId="28" fillId="0" borderId="109" xfId="0" applyNumberFormat="1" applyFont="1" applyBorder="1" applyAlignment="1">
      <alignment horizontal="center" vertical="center"/>
    </xf>
    <xf numFmtId="168" fontId="57" fillId="0" borderId="58" xfId="0" applyNumberFormat="1" applyFont="1" applyBorder="1" applyAlignment="1">
      <alignment horizontal="center" vertical="center"/>
    </xf>
    <xf numFmtId="168" fontId="47" fillId="0" borderId="61" xfId="0" applyNumberFormat="1" applyFont="1" applyBorder="1" applyAlignment="1">
      <alignment horizontal="center" vertical="center"/>
    </xf>
    <xf numFmtId="168" fontId="47" fillId="0" borderId="51" xfId="0" applyNumberFormat="1" applyFont="1" applyBorder="1" applyAlignment="1">
      <alignment horizontal="center" vertical="center"/>
    </xf>
    <xf numFmtId="168" fontId="48" fillId="0" borderId="61" xfId="0" applyNumberFormat="1" applyFont="1" applyBorder="1" applyAlignment="1">
      <alignment horizontal="center" vertical="center"/>
    </xf>
    <xf numFmtId="168" fontId="48" fillId="0" borderId="51" xfId="0" applyNumberFormat="1" applyFont="1" applyBorder="1" applyAlignment="1">
      <alignment horizontal="center" vertical="center"/>
    </xf>
    <xf numFmtId="168" fontId="49" fillId="0" borderId="61" xfId="0" applyNumberFormat="1" applyFont="1" applyBorder="1" applyAlignment="1">
      <alignment horizontal="center" vertical="center"/>
    </xf>
    <xf numFmtId="168" fontId="49" fillId="0" borderId="51" xfId="0" applyNumberFormat="1" applyFont="1" applyBorder="1" applyAlignment="1">
      <alignment horizontal="center" vertical="center"/>
    </xf>
    <xf numFmtId="15" fontId="6" fillId="0" borderId="74" xfId="0" applyNumberFormat="1" applyFont="1" applyBorder="1" applyAlignment="1" applyProtection="1">
      <alignment horizontal="center" vertical="center"/>
      <protection locked="0"/>
    </xf>
    <xf numFmtId="168" fontId="25" fillId="0" borderId="0" xfId="0" applyNumberFormat="1" applyFont="1" applyAlignment="1" applyProtection="1">
      <alignment horizontal="center" vertic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164" fontId="12" fillId="0" borderId="0" xfId="0" applyFont="1" applyAlignment="1" applyProtection="1">
      <alignment horizontal="left" vertical="center" wrapText="1"/>
      <protection hidden="1"/>
    </xf>
    <xf numFmtId="164" fontId="12" fillId="0" borderId="31" xfId="0" applyFont="1" applyBorder="1" applyAlignment="1" applyProtection="1">
      <alignment horizontal="left" vertical="center" wrapText="1"/>
      <protection hidden="1"/>
    </xf>
    <xf numFmtId="170" fontId="15" fillId="0" borderId="0" xfId="0" applyNumberFormat="1" applyFont="1" applyAlignment="1" applyProtection="1">
      <alignment horizontal="center" vertical="center"/>
      <protection hidden="1"/>
    </xf>
    <xf numFmtId="170" fontId="15" fillId="0" borderId="31" xfId="0" applyNumberFormat="1" applyFont="1" applyBorder="1" applyAlignment="1" applyProtection="1">
      <alignment horizontal="center" vertical="center"/>
      <protection hidden="1"/>
    </xf>
    <xf numFmtId="164" fontId="26" fillId="15" borderId="19" xfId="0" applyFont="1" applyFill="1" applyBorder="1" applyAlignment="1" applyProtection="1">
      <alignment horizontal="center" vertical="center" wrapText="1"/>
      <protection hidden="1"/>
    </xf>
    <xf numFmtId="164" fontId="26" fillId="15" borderId="21" xfId="0" applyFont="1" applyFill="1" applyBorder="1" applyAlignment="1" applyProtection="1">
      <alignment horizontal="center" vertical="center" wrapText="1"/>
      <protection hidden="1"/>
    </xf>
    <xf numFmtId="164" fontId="26" fillId="16" borderId="19" xfId="0" applyFont="1" applyFill="1" applyBorder="1" applyAlignment="1" applyProtection="1">
      <alignment horizontal="center" vertical="center"/>
      <protection hidden="1"/>
    </xf>
    <xf numFmtId="164" fontId="26" fillId="16" borderId="20" xfId="0" applyFont="1" applyFill="1" applyBorder="1" applyAlignment="1" applyProtection="1">
      <alignment horizontal="center" vertical="center"/>
      <protection hidden="1"/>
    </xf>
    <xf numFmtId="164" fontId="26" fillId="16" borderId="21" xfId="0" applyFont="1" applyFill="1" applyBorder="1" applyAlignment="1" applyProtection="1">
      <alignment horizontal="center" vertical="center"/>
      <protection hidden="1"/>
    </xf>
    <xf numFmtId="0" fontId="29" fillId="0" borderId="36" xfId="0" applyNumberFormat="1" applyFont="1" applyBorder="1" applyAlignment="1" applyProtection="1">
      <alignment horizontal="center" vertical="center"/>
      <protection hidden="1"/>
    </xf>
    <xf numFmtId="0" fontId="29" fillId="0" borderId="29" xfId="0" applyNumberFormat="1" applyFont="1" applyBorder="1" applyAlignment="1" applyProtection="1">
      <alignment horizontal="center" vertical="center"/>
      <protection hidden="1"/>
    </xf>
    <xf numFmtId="0" fontId="29" fillId="0" borderId="14" xfId="0" applyNumberFormat="1" applyFont="1" applyBorder="1" applyAlignment="1" applyProtection="1">
      <alignment horizontal="center" vertical="center"/>
      <protection hidden="1"/>
    </xf>
    <xf numFmtId="0" fontId="29" fillId="0" borderId="33" xfId="0" applyNumberFormat="1" applyFont="1" applyBorder="1" applyAlignment="1" applyProtection="1">
      <alignment horizontal="center" vertical="center"/>
      <protection hidden="1"/>
    </xf>
    <xf numFmtId="0" fontId="29" fillId="0" borderId="34" xfId="0" applyNumberFormat="1" applyFont="1" applyBorder="1" applyAlignment="1" applyProtection="1">
      <alignment horizontal="center" vertical="center"/>
      <protection hidden="1"/>
    </xf>
    <xf numFmtId="0" fontId="29" fillId="0" borderId="35" xfId="0" applyNumberFormat="1" applyFont="1" applyBorder="1" applyAlignment="1" applyProtection="1">
      <alignment horizontal="center" vertical="center"/>
      <protection hidden="1"/>
    </xf>
    <xf numFmtId="0" fontId="29" fillId="0" borderId="37" xfId="0" applyNumberFormat="1" applyFont="1" applyBorder="1" applyAlignment="1" applyProtection="1">
      <alignment horizontal="center" vertical="center"/>
      <protection hidden="1"/>
    </xf>
    <xf numFmtId="0" fontId="29" fillId="0" borderId="28" xfId="0" applyNumberFormat="1" applyFont="1" applyBorder="1" applyAlignment="1" applyProtection="1">
      <alignment horizontal="center" vertical="center"/>
      <protection hidden="1"/>
    </xf>
    <xf numFmtId="0" fontId="29" fillId="0" borderId="1" xfId="0" applyNumberFormat="1" applyFont="1" applyBorder="1" applyAlignment="1" applyProtection="1">
      <alignment horizontal="center" vertical="center"/>
      <protection hidden="1"/>
    </xf>
    <xf numFmtId="164" fontId="13" fillId="6" borderId="22" xfId="0" applyFont="1" applyFill="1" applyBorder="1" applyAlignment="1" applyProtection="1">
      <alignment horizontal="center" vertical="center" wrapText="1"/>
      <protection hidden="1"/>
    </xf>
    <xf numFmtId="49" fontId="11" fillId="0" borderId="31" xfId="0" applyNumberFormat="1" applyFont="1" applyBorder="1" applyAlignment="1" applyProtection="1">
      <alignment horizontal="center" vertical="center"/>
      <protection hidden="1"/>
    </xf>
    <xf numFmtId="49" fontId="12" fillId="10" borderId="39" xfId="0" applyNumberFormat="1" applyFont="1" applyFill="1" applyBorder="1" applyAlignment="1" applyProtection="1">
      <alignment horizontal="center" vertical="center" wrapText="1"/>
      <protection hidden="1"/>
    </xf>
    <xf numFmtId="49" fontId="12" fillId="10" borderId="26" xfId="0" applyNumberFormat="1" applyFont="1" applyFill="1" applyBorder="1" applyAlignment="1" applyProtection="1">
      <alignment horizontal="center" vertical="center" wrapText="1"/>
      <protection hidden="1"/>
    </xf>
    <xf numFmtId="49" fontId="12" fillId="10" borderId="2" xfId="0" applyNumberFormat="1" applyFont="1" applyFill="1" applyBorder="1" applyAlignment="1" applyProtection="1">
      <alignment horizontal="center" vertical="center" wrapText="1"/>
      <protection hidden="1"/>
    </xf>
    <xf numFmtId="0" fontId="29" fillId="0" borderId="41" xfId="0" applyNumberFormat="1" applyFont="1" applyBorder="1" applyAlignment="1" applyProtection="1">
      <alignment horizontal="center" vertical="center"/>
      <protection hidden="1"/>
    </xf>
    <xf numFmtId="0" fontId="29" fillId="0" borderId="27" xfId="0" applyNumberFormat="1" applyFont="1" applyBorder="1" applyAlignment="1" applyProtection="1">
      <alignment horizontal="center" vertical="center"/>
      <protection hidden="1"/>
    </xf>
    <xf numFmtId="0" fontId="29" fillId="0" borderId="42" xfId="0" applyNumberFormat="1" applyFont="1" applyBorder="1" applyAlignment="1" applyProtection="1">
      <alignment horizontal="center" vertical="center"/>
      <protection hidden="1"/>
    </xf>
    <xf numFmtId="169" fontId="6" fillId="0" borderId="73" xfId="0" applyNumberFormat="1" applyFont="1" applyBorder="1" applyAlignment="1" applyProtection="1">
      <alignment horizontal="center" vertical="center"/>
      <protection locked="0"/>
    </xf>
    <xf numFmtId="169" fontId="6" fillId="0" borderId="74" xfId="0" applyNumberFormat="1" applyFont="1" applyBorder="1" applyAlignment="1" applyProtection="1">
      <alignment horizontal="center" vertical="center"/>
      <protection locked="0"/>
    </xf>
    <xf numFmtId="169" fontId="6" fillId="0" borderId="75" xfId="0" applyNumberFormat="1" applyFont="1" applyBorder="1" applyAlignment="1" applyProtection="1">
      <alignment horizontal="center" vertical="center"/>
      <protection locked="0"/>
    </xf>
    <xf numFmtId="49" fontId="6" fillId="9" borderId="22" xfId="0" applyNumberFormat="1" applyFont="1" applyFill="1" applyBorder="1" applyAlignment="1" applyProtection="1">
      <alignment horizontal="center" vertical="center"/>
      <protection locked="0"/>
    </xf>
    <xf numFmtId="164" fontId="8" fillId="2" borderId="22" xfId="1" applyFont="1" applyFill="1" applyBorder="1" applyAlignment="1" applyProtection="1">
      <alignment horizontal="center" vertical="center"/>
      <protection locked="0"/>
    </xf>
    <xf numFmtId="164" fontId="8" fillId="4" borderId="4" xfId="1" applyFont="1" applyFill="1" applyBorder="1" applyAlignment="1" applyProtection="1">
      <alignment horizontal="center" vertical="center"/>
      <protection locked="0"/>
    </xf>
    <xf numFmtId="164" fontId="8" fillId="4" borderId="5" xfId="1" applyFont="1" applyFill="1" applyBorder="1" applyAlignment="1" applyProtection="1">
      <alignment horizontal="center" vertical="center"/>
      <protection locked="0"/>
    </xf>
    <xf numFmtId="164" fontId="7" fillId="25" borderId="4" xfId="1" applyFont="1" applyFill="1" applyBorder="1" applyAlignment="1" applyProtection="1">
      <alignment horizontal="center" vertical="center"/>
      <protection locked="0"/>
    </xf>
    <xf numFmtId="164" fontId="7" fillId="25" borderId="5" xfId="1" applyFont="1" applyFill="1" applyBorder="1" applyAlignment="1" applyProtection="1">
      <alignment horizontal="center" vertical="center"/>
      <protection locked="0"/>
    </xf>
    <xf numFmtId="164" fontId="7" fillId="6" borderId="4" xfId="1" applyFont="1" applyFill="1" applyBorder="1" applyAlignment="1" applyProtection="1">
      <alignment horizontal="center" vertical="center"/>
      <protection locked="0"/>
    </xf>
    <xf numFmtId="164" fontId="7" fillId="6" borderId="5" xfId="1" applyFont="1" applyFill="1" applyBorder="1" applyAlignment="1" applyProtection="1">
      <alignment horizontal="center" vertical="center"/>
      <protection locked="0"/>
    </xf>
    <xf numFmtId="164" fontId="7" fillId="6" borderId="6" xfId="1" applyFont="1" applyFill="1" applyBorder="1" applyAlignment="1" applyProtection="1">
      <alignment horizontal="center" vertical="center"/>
      <protection locked="0"/>
    </xf>
    <xf numFmtId="164" fontId="11" fillId="18" borderId="57" xfId="0" applyFont="1" applyFill="1" applyBorder="1" applyAlignment="1">
      <alignment horizontal="center" vertical="center" wrapText="1"/>
    </xf>
    <xf numFmtId="164" fontId="11" fillId="18" borderId="62" xfId="0" applyFont="1" applyFill="1" applyBorder="1" applyAlignment="1">
      <alignment horizontal="center" vertical="center" wrapText="1"/>
    </xf>
    <xf numFmtId="164" fontId="11" fillId="18" borderId="56" xfId="0" applyFont="1" applyFill="1" applyBorder="1" applyAlignment="1">
      <alignment horizontal="center" vertical="center" wrapText="1"/>
    </xf>
    <xf numFmtId="164" fontId="11" fillId="18" borderId="63" xfId="0" applyFont="1" applyFill="1" applyBorder="1" applyAlignment="1">
      <alignment horizontal="center" vertical="center" wrapText="1"/>
    </xf>
    <xf numFmtId="164" fontId="11" fillId="18" borderId="51" xfId="0" applyFont="1" applyFill="1" applyBorder="1" applyAlignment="1">
      <alignment horizontal="center" vertical="center" wrapText="1"/>
    </xf>
    <xf numFmtId="164" fontId="11" fillId="18" borderId="58" xfId="0" applyFont="1" applyFill="1" applyBorder="1" applyAlignment="1">
      <alignment horizontal="center" vertical="center" wrapText="1"/>
    </xf>
    <xf numFmtId="0" fontId="54" fillId="9" borderId="54" xfId="0" applyNumberFormat="1" applyFont="1" applyFill="1" applyBorder="1" applyAlignment="1">
      <alignment horizontal="center" vertical="center" wrapText="1"/>
    </xf>
    <xf numFmtId="0" fontId="54" fillId="9" borderId="55" xfId="0" applyNumberFormat="1" applyFont="1" applyFill="1" applyBorder="1" applyAlignment="1">
      <alignment horizontal="center" vertical="center" wrapText="1"/>
    </xf>
    <xf numFmtId="0" fontId="54" fillId="9" borderId="93" xfId="0" applyNumberFormat="1" applyFont="1" applyFill="1" applyBorder="1" applyAlignment="1">
      <alignment horizontal="center" vertical="center" wrapText="1"/>
    </xf>
    <xf numFmtId="164" fontId="56" fillId="0" borderId="56" xfId="0" applyFont="1" applyBorder="1" applyAlignment="1">
      <alignment horizontal="center" vertical="center"/>
    </xf>
    <xf numFmtId="164" fontId="9" fillId="0" borderId="22" xfId="1" applyFont="1" applyBorder="1" applyAlignment="1" applyProtection="1">
      <alignment horizontal="left" vertical="top" textRotation="90" wrapText="1"/>
      <protection locked="0"/>
    </xf>
  </cellXfs>
  <cellStyles count="30">
    <cellStyle name="Millares 2" xfId="7" xr:uid="{00000000-0005-0000-0000-000000000000}"/>
    <cellStyle name="Millares 2 2" xfId="13" xr:uid="{00000000-0005-0000-0000-000001000000}"/>
    <cellStyle name="Millares 3" xfId="8" xr:uid="{00000000-0005-0000-0000-000002000000}"/>
    <cellStyle name="Millares 4" xfId="17" xr:uid="{00000000-0005-0000-0000-000003000000}"/>
    <cellStyle name="Moneda 2" xfId="9" xr:uid="{00000000-0005-0000-0000-000004000000}"/>
    <cellStyle name="Moneda 2 2" xfId="14" xr:uid="{00000000-0005-0000-0000-000005000000}"/>
    <cellStyle name="Moneda 3" xfId="10" xr:uid="{00000000-0005-0000-0000-000006000000}"/>
    <cellStyle name="Moneda 4" xfId="18" xr:uid="{00000000-0005-0000-0000-000007000000}"/>
    <cellStyle name="Normal" xfId="0" builtinId="0"/>
    <cellStyle name="Normal 2" xfId="1" xr:uid="{00000000-0005-0000-0000-000009000000}"/>
    <cellStyle name="Normal 2 2" xfId="5" xr:uid="{00000000-0005-0000-0000-00000A000000}"/>
    <cellStyle name="Normal 2 2 2" xfId="25" xr:uid="{00000000-0005-0000-0000-00000B000000}"/>
    <cellStyle name="Normal 2 3" xfId="3" xr:uid="{00000000-0005-0000-0000-00000C000000}"/>
    <cellStyle name="Normal 2 3 2" xfId="23" xr:uid="{00000000-0005-0000-0000-00000D000000}"/>
    <cellStyle name="Normal 2 3 3" xfId="19" xr:uid="{00000000-0005-0000-0000-00000E000000}"/>
    <cellStyle name="Normal 2 4" xfId="22" xr:uid="{00000000-0005-0000-0000-00000F000000}"/>
    <cellStyle name="Normal 3" xfId="21" xr:uid="{00000000-0005-0000-0000-000010000000}"/>
    <cellStyle name="Normal 4" xfId="16" xr:uid="{00000000-0005-0000-0000-000011000000}"/>
    <cellStyle name="Normal 5" xfId="28" xr:uid="{00000000-0005-0000-0000-000012000000}"/>
    <cellStyle name="Porcentaje" xfId="29" builtinId="5"/>
    <cellStyle name="Porcentaje 2" xfId="2" xr:uid="{00000000-0005-0000-0000-000014000000}"/>
    <cellStyle name="Porcentaje 2 2" xfId="6" xr:uid="{00000000-0005-0000-0000-000015000000}"/>
    <cellStyle name="Porcentaje 2 3" xfId="4" xr:uid="{00000000-0005-0000-0000-000016000000}"/>
    <cellStyle name="Porcentaje 2 3 2" xfId="24" xr:uid="{00000000-0005-0000-0000-000017000000}"/>
    <cellStyle name="Porcentual 2" xfId="11" xr:uid="{00000000-0005-0000-0000-000018000000}"/>
    <cellStyle name="Porcentual 2 2" xfId="15" xr:uid="{00000000-0005-0000-0000-000019000000}"/>
    <cellStyle name="Porcentual 2 3" xfId="26" xr:uid="{00000000-0005-0000-0000-00001A000000}"/>
    <cellStyle name="Porcentual 3" xfId="12" xr:uid="{00000000-0005-0000-0000-00001B000000}"/>
    <cellStyle name="Porcentual 4" xfId="27" xr:uid="{00000000-0005-0000-0000-00001C000000}"/>
    <cellStyle name="Porcentual 5" xfId="20" xr:uid="{00000000-0005-0000-0000-00001D000000}"/>
  </cellStyles>
  <dxfs count="652"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70C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70C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theme="3" tint="0.39994506668294322"/>
      </font>
    </dxf>
    <dxf>
      <font>
        <color rgb="FFFF0000"/>
      </font>
    </dxf>
    <dxf>
      <font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theme="0" tint="-0.499984740745262"/>
      </font>
    </dxf>
    <dxf>
      <font>
        <b/>
        <i val="0"/>
        <color theme="3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color rgb="FF00B050"/>
      </font>
    </dxf>
    <dxf>
      <font>
        <color theme="9"/>
      </font>
    </dxf>
    <dxf>
      <font>
        <color rgb="FFFF0000"/>
      </font>
    </dxf>
    <dxf>
      <font>
        <strike/>
        <color theme="0"/>
      </font>
    </dxf>
    <dxf>
      <font>
        <b/>
        <i val="0"/>
        <color rgb="FFFF0000"/>
      </font>
    </dxf>
    <dxf>
      <font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border>
        <bottom style="thin">
          <color auto="1"/>
        </bottom>
      </border>
    </dxf>
    <dxf>
      <alignment horizontal="center"/>
    </dxf>
    <dxf>
      <numFmt numFmtId="168" formatCode="#,##0_ ;\-#,##0\ "/>
    </dxf>
    <dxf>
      <font>
        <i/>
        <color auto="1"/>
      </font>
      <fill>
        <patternFill patternType="solid">
          <fgColor indexed="64"/>
          <bgColor theme="6" tint="0.79998168889431442"/>
        </patternFill>
      </fill>
      <alignment horizontal="center" wrapText="1"/>
    </dxf>
    <dxf>
      <alignment vertical="center" readingOrder="0"/>
    </dxf>
    <dxf>
      <border>
        <bottom style="thin">
          <color indexed="64"/>
        </bottom>
      </border>
    </dxf>
    <dxf>
      <alignment vertical="center" readingOrder="0"/>
    </dxf>
    <dxf>
      <numFmt numFmtId="164" formatCode="[$$-540A]#,##0.00_ ;\-[$$-540A]#,##0.00\ "/>
    </dxf>
    <dxf>
      <numFmt numFmtId="164" formatCode="[$$-540A]#,##0.00_ ;\-[$$-540A]#,##0.00\ "/>
    </dxf>
    <dxf>
      <alignment horizontal="center" readingOrder="0"/>
    </dxf>
    <dxf>
      <font>
        <color auto="1"/>
      </font>
    </dxf>
    <dxf>
      <fill>
        <patternFill>
          <bgColor theme="6" tint="0.79998168889431442"/>
        </patternFill>
      </fill>
    </dxf>
    <dxf>
      <alignment wrapText="1" readingOrder="0"/>
    </dxf>
    <dxf>
      <alignment horizontal="center" readingOrder="0"/>
    </dxf>
    <dxf>
      <alignment vertical="center" readingOrder="0"/>
    </dxf>
    <dxf>
      <font>
        <i/>
      </font>
    </dxf>
    <dxf>
      <font>
        <b val="0"/>
      </font>
    </dxf>
    <dxf>
      <fill>
        <patternFill patternType="solid">
          <bgColor theme="4" tint="0.59999389629810485"/>
        </patternFill>
      </fill>
    </dxf>
    <dxf>
      <alignment wrapText="1" readingOrder="0"/>
    </dxf>
    <dxf>
      <alignment horizontal="center" readingOrder="0"/>
    </dxf>
    <dxf>
      <alignment vertical="center" readingOrder="0"/>
    </dxf>
    <dxf>
      <numFmt numFmtId="168" formatCode="#,##0_ ;\-#,##0\ "/>
    </dxf>
    <dxf>
      <numFmt numFmtId="168" formatCode="#,##0_ ;\-#,##0\ "/>
    </dxf>
    <dxf>
      <numFmt numFmtId="168" formatCode="#,##0_ ;\-#,##0\ "/>
    </dxf>
    <dxf>
      <numFmt numFmtId="168" formatCode="#,##0_ ;\-#,##0\ "/>
    </dxf>
    <dxf>
      <numFmt numFmtId="13" formatCode="0%"/>
    </dxf>
    <dxf>
      <alignment horizontal="left" readingOrder="0"/>
    </dxf>
    <dxf>
      <alignment wrapText="1" readingOrder="0"/>
    </dxf>
    <dxf>
      <font>
        <sz val="8"/>
      </font>
    </dxf>
    <dxf>
      <font>
        <name val="Arial"/>
        <scheme val="none"/>
      </font>
    </dxf>
    <dxf>
      <numFmt numFmtId="2" formatCode="0.00"/>
    </dxf>
    <dxf>
      <font>
        <i/>
        <color auto="1"/>
      </font>
      <numFmt numFmtId="168" formatCode="#,##0_ ;\-#,##0\ "/>
      <fill>
        <patternFill patternType="solid">
          <fgColor indexed="64"/>
          <bgColor theme="6" tint="0.79998168889431442"/>
        </patternFill>
      </fill>
      <alignment horizontal="center" wrapText="1"/>
    </dxf>
    <dxf>
      <alignment vertical="center" readingOrder="0"/>
    </dxf>
    <dxf>
      <numFmt numFmtId="168" formatCode="#,##0_ ;\-#,##0\ "/>
    </dxf>
    <dxf>
      <alignment horizontal="center" readingOrder="0"/>
    </dxf>
    <dxf>
      <font>
        <i/>
      </font>
      <fill>
        <patternFill patternType="solid">
          <fgColor indexed="64"/>
          <bgColor theme="6" tint="0.79998168889431442"/>
        </patternFill>
      </fill>
      <alignment horizontal="center" vertical="center" wrapText="1" readingOrder="0"/>
    </dxf>
    <dxf>
      <numFmt numFmtId="171" formatCode="[$$-540A]#,##0.000_ ;\-[$$-540A]#,##0.000\ "/>
    </dxf>
    <dxf>
      <alignment horizontal="center" readingOrder="0"/>
    </dxf>
    <dxf>
      <font>
        <color auto="1"/>
      </font>
    </dxf>
    <dxf>
      <font>
        <i/>
      </font>
      <fill>
        <patternFill patternType="solid">
          <fgColor indexed="64"/>
          <bgColor theme="6" tint="0.79998168889431442"/>
        </patternFill>
      </fill>
      <alignment horizontal="center" vertical="center" wrapText="1" readingOrder="0"/>
    </dxf>
    <dxf>
      <alignment horizontal="center" readingOrder="0"/>
    </dxf>
    <dxf>
      <font>
        <i/>
        <color auto="1"/>
      </font>
      <fill>
        <patternFill patternType="solid">
          <fgColor indexed="64"/>
          <bgColor theme="6" tint="0.79998168889431442"/>
        </patternFill>
      </fill>
      <alignment horizontal="center" vertical="center" wrapText="1" readingOrder="0"/>
    </dxf>
    <dxf>
      <numFmt numFmtId="168" formatCode="#,##0_ ;\-#,##0\ "/>
    </dxf>
    <dxf>
      <numFmt numFmtId="171" formatCode="[$$-540A]#,##0.000_ ;\-[$$-540A]#,##0.000\ "/>
    </dxf>
    <dxf>
      <alignment horizontal="center" readingOrder="0"/>
    </dxf>
    <dxf>
      <font>
        <i/>
        <color auto="1"/>
      </font>
      <fill>
        <patternFill patternType="solid">
          <fgColor indexed="64"/>
          <bgColor theme="6" tint="0.79998168889431442"/>
        </patternFill>
      </fill>
      <alignment horizontal="center" vertical="center" wrapText="1" readingOrder="0"/>
    </dxf>
    <dxf>
      <alignment horizontal="center" readingOrder="0"/>
    </dxf>
    <dxf>
      <font>
        <i/>
        <color auto="1"/>
      </font>
      <fill>
        <patternFill patternType="solid">
          <fgColor indexed="64"/>
          <bgColor theme="6" tint="0.79998168889431442"/>
        </patternFill>
      </fill>
      <alignment horizontal="center" vertical="center" wrapText="1" readingOrder="0"/>
    </dxf>
    <dxf>
      <numFmt numFmtId="168" formatCode="#,##0_ ;\-#,##0\ "/>
    </dxf>
    <dxf>
      <alignment horizontal="center" readingOrder="0"/>
    </dxf>
    <dxf>
      <fill>
        <patternFill>
          <bgColor theme="6" tint="0.79998168889431442"/>
        </patternFill>
      </fill>
    </dxf>
    <dxf>
      <alignment wrapText="1" readingOrder="0"/>
    </dxf>
    <dxf>
      <alignment horizontal="center" readingOrder="0"/>
    </dxf>
    <dxf>
      <alignment vertical="center" readingOrder="0"/>
    </dxf>
    <dxf>
      <font>
        <i/>
      </font>
    </dxf>
    <dxf>
      <font>
        <b val="0"/>
      </font>
    </dxf>
    <dxf>
      <fill>
        <patternFill patternType="solid">
          <bgColor theme="4" tint="0.59999389629810485"/>
        </patternFill>
      </fill>
    </dxf>
    <dxf>
      <alignment wrapText="1" readingOrder="0"/>
    </dxf>
    <dxf>
      <alignment horizontal="center" readingOrder="0"/>
    </dxf>
    <dxf>
      <alignment vertical="center" readingOrder="0"/>
    </dxf>
    <dxf>
      <numFmt numFmtId="168" formatCode="#,##0_ ;\-#,##0\ "/>
    </dxf>
    <dxf>
      <numFmt numFmtId="13" formatCode="0%"/>
    </dxf>
    <dxf>
      <alignment horizontal="left" readingOrder="0"/>
    </dxf>
    <dxf>
      <alignment wrapText="1" readingOrder="0"/>
    </dxf>
    <dxf>
      <font>
        <sz val="8"/>
      </font>
    </dxf>
    <dxf>
      <font>
        <name val="Arial"/>
        <scheme val="none"/>
      </font>
    </dxf>
    <dxf>
      <font>
        <b/>
      </font>
    </dxf>
    <dxf>
      <font>
        <b/>
      </font>
    </dxf>
    <dxf>
      <font>
        <color theme="3"/>
      </font>
    </dxf>
    <dxf>
      <font>
        <color theme="3"/>
      </font>
    </dxf>
    <dxf>
      <alignment horizontal="left"/>
    </dxf>
    <dxf>
      <alignment horizontal="left"/>
    </dxf>
    <dxf>
      <fill>
        <patternFill patternType="solid">
          <bgColor theme="6" tint="0.79998168889431442"/>
        </patternFill>
      </fill>
    </dxf>
    <dxf>
      <border>
        <left style="hair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  <horizontal style="hair">
          <color theme="3" tint="0.39994506668294322"/>
        </horizontal>
      </border>
    </dxf>
    <dxf>
      <alignment horizontal="center"/>
    </dxf>
    <dxf>
      <alignment horizontal="center"/>
    </dxf>
    <dxf>
      <border>
        <left style="thin">
          <color theme="3" tint="0.39994506668294322"/>
        </left>
        <top style="thin">
          <color theme="3" tint="0.39994506668294322"/>
        </top>
        <bottom style="thin">
          <color theme="3" tint="0.39994506668294322"/>
        </bottom>
        <horizontal style="hair">
          <color theme="3" tint="0.39994506668294322"/>
        </horizontal>
      </border>
    </dxf>
    <dxf>
      <alignment horizontal="center" vertical="center"/>
    </dxf>
    <dxf>
      <numFmt numFmtId="30" formatCode="@"/>
      <fill>
        <patternFill patternType="solid">
          <fgColor indexed="64"/>
          <bgColor theme="6" tint="0.79998168889431442"/>
        </patternFill>
      </fill>
      <alignment horizontal="center" vertical="center" wrapText="1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/>
      </font>
    </dxf>
    <dxf>
      <font>
        <b/>
      </font>
    </dxf>
    <dxf>
      <font>
        <color theme="3"/>
      </font>
    </dxf>
    <dxf>
      <font>
        <color theme="3"/>
      </font>
    </dxf>
    <dxf>
      <alignment horizontal="left"/>
    </dxf>
    <dxf>
      <alignment horizontal="left"/>
    </dxf>
    <dxf>
      <fill>
        <patternFill patternType="solid">
          <bgColor theme="6" tint="0.79998168889431442"/>
        </patternFill>
      </fill>
    </dxf>
    <dxf>
      <border>
        <left style="hair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  <horizontal style="hair">
          <color theme="3" tint="0.39994506668294322"/>
        </horizontal>
      </border>
    </dxf>
    <dxf>
      <alignment horizontal="center"/>
    </dxf>
    <dxf>
      <alignment horizontal="center"/>
    </dxf>
    <dxf>
      <border>
        <left style="thin">
          <color theme="3" tint="0.39994506668294322"/>
        </left>
        <top style="thin">
          <color theme="3" tint="0.39994506668294322"/>
        </top>
        <bottom style="thin">
          <color theme="3" tint="0.39994506668294322"/>
        </bottom>
        <horizontal style="hair">
          <color theme="3" tint="0.39994506668294322"/>
        </horizontal>
      </border>
    </dxf>
    <dxf>
      <alignment horizontal="center" vertical="center"/>
    </dxf>
    <dxf>
      <numFmt numFmtId="30" formatCode="@"/>
      <fill>
        <patternFill patternType="solid">
          <fgColor indexed="64"/>
          <bgColor theme="6" tint="0.79998168889431442"/>
        </patternFill>
      </fill>
      <alignment horizontal="center" vertical="center" wrapText="1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64" formatCode="[$$-540A]#,##0.00_ ;\-[$$-540A]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71" formatCode="[$$-540A]#,##0.000_ ;\-[$$-540A]#,##0.000\ 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71" formatCode="[$$-540A]#,##0.000_ ;\-[$$-540A]#,##0.000\ 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3" formatCode="0%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3" formatCode="0%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3" formatCode="0%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73" formatCode="dd\-mmm\-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73" formatCode="dd\-mmm\-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67" formatCode="[$$-2C0A]\ 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72" formatCode="0.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164" formatCode="[$$-540A]#,##0.00_ ;\-[$$-540A]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  <vertical style="hair">
          <color indexed="64"/>
        </vertical>
        <horizontal style="thin">
          <color indexed="64"/>
        </horizontal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9"/>
        <color rgb="FF0070C0"/>
        <name val="Calibri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color theme="1"/>
        <name val="Arial"/>
        <family val="2"/>
        <scheme val="none"/>
      </font>
      <border>
        <bottom style="thin">
          <color theme="4"/>
        </bottom>
        <vertical/>
        <horizontal/>
      </border>
    </dxf>
    <dxf>
      <font>
        <b val="0"/>
        <i/>
        <sz val="8"/>
        <color theme="1"/>
        <name val="Arial"/>
        <family val="2"/>
        <scheme val="none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9" defaultPivotStyle="PivotStyleLight16">
    <tableStyle name="SlicerStyleLight1 2" pivot="0" table="0" count="10" xr9:uid="{FFD382E1-9438-4AC5-B903-E632B4876BA8}">
      <tableStyleElement type="wholeTable" dxfId="651"/>
      <tableStyleElement type="headerRow" dxfId="650"/>
    </tableStyle>
  </tableStyles>
  <colors>
    <mruColors>
      <color rgb="FFFFFF66"/>
      <color rgb="FFFFFFCC"/>
      <color rgb="FF15DB0B"/>
      <color rgb="FFFFFF00"/>
      <color rgb="FF008000"/>
      <color rgb="FF339966"/>
      <color rgb="FFD8E3F0"/>
      <color rgb="FF33CCCC"/>
      <color rgb="FF3DE8F5"/>
      <color rgb="FF38F45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0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6549651118154927"/>
          <c:y val="8.0672282369580225E-2"/>
          <c:w val="0.73450348881845073"/>
          <c:h val="0.72177382673555945"/>
        </c:manualLayout>
      </c:layout>
      <c:bar3D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rgbClr val="92D050"/>
                </a:gs>
                <a:gs pos="50000">
                  <a:schemeClr val="accent3">
                    <a:lumMod val="20000"/>
                    <a:lumOff val="80000"/>
                  </a:schemeClr>
                </a:gs>
                <a:gs pos="100000">
                  <a:srgbClr val="92D050"/>
                </a:gs>
              </a:gsLst>
              <a:lin ang="5400000" scaled="0"/>
            </a:gradFill>
          </c:spPr>
          <c:invertIfNegative val="0"/>
          <c:val>
            <c:numRef>
              <c:f>ITN!$Q$7:$Q$12</c:f>
              <c:numCache>
                <c:formatCode>#,##0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0-403A-9181-2B19A899C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shape val="cylinder"/>
        <c:axId val="45789952"/>
        <c:axId val="45791488"/>
        <c:axId val="0"/>
      </c:bar3DChart>
      <c:catAx>
        <c:axId val="45789952"/>
        <c:scaling>
          <c:orientation val="minMax"/>
        </c:scaling>
        <c:delete val="0"/>
        <c:axPos val="b"/>
        <c:majorTickMark val="out"/>
        <c:minorTickMark val="none"/>
        <c:tickLblPos val="nextTo"/>
        <c:crossAx val="45791488"/>
        <c:crosses val="autoZero"/>
        <c:auto val="1"/>
        <c:lblAlgn val="ctr"/>
        <c:lblOffset val="100"/>
        <c:noMultiLvlLbl val="0"/>
      </c:catAx>
      <c:valAx>
        <c:axId val="45791488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s-PE"/>
          </a:p>
        </c:txPr>
        <c:crossAx val="45789952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700"/>
            </a:pPr>
            <a:endParaRPr lang="es-PE"/>
          </a:p>
        </c:txPr>
      </c:dTable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0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137442944791082"/>
          <c:y val="8.0672282369580225E-2"/>
          <c:w val="0.78862557055208915"/>
          <c:h val="0.72177382673555945"/>
        </c:manualLayout>
      </c:layout>
      <c:bar3D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tx2">
                    <a:lumMod val="60000"/>
                    <a:lumOff val="40000"/>
                  </a:schemeClr>
                </a:gs>
                <a:gs pos="50000">
                  <a:schemeClr val="accent1">
                    <a:lumMod val="20000"/>
                    <a:lumOff val="80000"/>
                  </a:schemeClr>
                </a:gs>
                <a:gs pos="100000">
                  <a:schemeClr val="tx2">
                    <a:lumMod val="60000"/>
                    <a:lumOff val="40000"/>
                  </a:schemeClr>
                </a:gs>
              </a:gsLst>
              <a:lin ang="5400000" scaled="0"/>
            </a:gradFill>
          </c:spPr>
          <c:invertIfNegative val="0"/>
          <c:val>
            <c:numRef>
              <c:f>ITN!$R$7:$R$12</c:f>
              <c:numCache>
                <c:formatCode>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6-472B-868E-488DB2232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shape val="cylinder"/>
        <c:axId val="96599424"/>
        <c:axId val="96982144"/>
        <c:axId val="0"/>
      </c:bar3DChart>
      <c:catAx>
        <c:axId val="96599424"/>
        <c:scaling>
          <c:orientation val="minMax"/>
        </c:scaling>
        <c:delete val="0"/>
        <c:axPos val="b"/>
        <c:majorTickMark val="out"/>
        <c:minorTickMark val="none"/>
        <c:tickLblPos val="nextTo"/>
        <c:crossAx val="96982144"/>
        <c:crosses val="autoZero"/>
        <c:auto val="1"/>
        <c:lblAlgn val="ctr"/>
        <c:lblOffset val="100"/>
        <c:noMultiLvlLbl val="0"/>
      </c:catAx>
      <c:valAx>
        <c:axId val="96982144"/>
        <c:scaling>
          <c:orientation val="minMax"/>
          <c:max val="0.82000000000000006"/>
        </c:scaling>
        <c:delete val="0"/>
        <c:axPos val="l"/>
        <c:numFmt formatCode="0%" sourceLinked="1"/>
        <c:majorTickMark val="out"/>
        <c:minorTickMark val="none"/>
        <c:tickLblPos val="nextTo"/>
        <c:crossAx val="96599424"/>
        <c:crosses val="autoZero"/>
        <c:crossBetween val="between"/>
        <c:majorUnit val="0.41000000000000003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700"/>
            </a:pPr>
            <a:endParaRPr lang="es-PE"/>
          </a:p>
        </c:txPr>
      </c:dTable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9527</xdr:colOff>
      <xdr:row>12</xdr:row>
      <xdr:rowOff>28575</xdr:rowOff>
    </xdr:from>
    <xdr:to>
      <xdr:col>7</xdr:col>
      <xdr:colOff>266700</xdr:colOff>
      <xdr:row>20</xdr:row>
      <xdr:rowOff>209551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85727</xdr:colOff>
      <xdr:row>12</xdr:row>
      <xdr:rowOff>38100</xdr:rowOff>
    </xdr:from>
    <xdr:to>
      <xdr:col>18</xdr:col>
      <xdr:colOff>409575</xdr:colOff>
      <xdr:row>20</xdr:row>
      <xdr:rowOff>190500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24765</xdr:colOff>
      <xdr:row>0</xdr:row>
      <xdr:rowOff>24766</xdr:rowOff>
    </xdr:from>
    <xdr:to>
      <xdr:col>2</xdr:col>
      <xdr:colOff>512478</xdr:colOff>
      <xdr:row>1</xdr:row>
      <xdr:rowOff>253366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" y="24766"/>
          <a:ext cx="2011713" cy="57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137160</xdr:colOff>
      <xdr:row>0</xdr:row>
      <xdr:rowOff>114300</xdr:rowOff>
    </xdr:from>
    <xdr:to>
      <xdr:col>2</xdr:col>
      <xdr:colOff>112800</xdr:colOff>
      <xdr:row>5</xdr:row>
      <xdr:rowOff>159300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Situación Actual">
              <a:extLst>
                <a:ext uri="{FF2B5EF4-FFF2-40B4-BE49-F238E27FC236}">
                  <a16:creationId xmlns:a16="http://schemas.microsoft.com/office/drawing/2014/main" id="{313D26D3-64EF-75F3-8BE0-F108AC493969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uación Actu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160" y="114300"/>
              <a:ext cx="1332000" cy="118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76200</xdr:colOff>
      <xdr:row>4</xdr:row>
      <xdr:rowOff>15241</xdr:rowOff>
    </xdr:from>
    <xdr:to>
      <xdr:col>6</xdr:col>
      <xdr:colOff>133020</xdr:colOff>
      <xdr:row>8</xdr:row>
      <xdr:rowOff>72841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je">
              <a:extLst>
                <a:ext uri="{FF2B5EF4-FFF2-40B4-BE49-F238E27FC236}">
                  <a16:creationId xmlns:a16="http://schemas.microsoft.com/office/drawing/2014/main" id="{EDF4B050-01C3-012A-DFAE-47938015BCE9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j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3220" y="929641"/>
              <a:ext cx="1116000" cy="97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373380</xdr:colOff>
      <xdr:row>0</xdr:row>
      <xdr:rowOff>114301</xdr:rowOff>
    </xdr:from>
    <xdr:to>
      <xdr:col>14</xdr:col>
      <xdr:colOff>602820</xdr:colOff>
      <xdr:row>3</xdr:row>
      <xdr:rowOff>184501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N-R">
              <a:extLst>
                <a:ext uri="{FF2B5EF4-FFF2-40B4-BE49-F238E27FC236}">
                  <a16:creationId xmlns:a16="http://schemas.microsoft.com/office/drawing/2014/main" id="{CD353295-D121-43A3-2FEF-BD51AAABB1D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-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71460" y="114301"/>
              <a:ext cx="900000" cy="75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Martinez" refreshedDate="45386.725014814816" createdVersion="4" refreshedVersion="8" minRefreshableVersion="3" recordCount="964" xr:uid="{00000000-000A-0000-FFFF-FFFF00000000}">
  <cacheSource type="worksheet">
    <worksheetSource name="BASE_DATOS"/>
  </cacheSource>
  <cacheFields count="48">
    <cacheField name="Código_U" numFmtId="0">
      <sharedItems count="109">
        <s v="TC-100"/>
        <s v="SR-100"/>
        <s v="TC-102"/>
        <s v="SR-102"/>
        <s v="TC-108"/>
        <s v="SR-108"/>
        <s v="TC-110"/>
        <s v="TC-266"/>
        <s v="TC-112"/>
        <s v="TC-114"/>
        <s v="SR-116"/>
        <s v="SR-118"/>
        <s v="SR-120"/>
        <s v="TC-126"/>
        <s v="SR-126"/>
        <s v="TC-128"/>
        <s v="SR-128"/>
        <s v="TC-130"/>
        <s v="TC-132"/>
        <s v="TC-134"/>
        <s v="SR-134"/>
        <s v="TC-136"/>
        <s v="SR-136"/>
        <s v="TC-138"/>
        <s v="SR-140"/>
        <s v="SR-144"/>
        <s v="TC-146"/>
        <s v="SR-146"/>
        <s v="SR-148"/>
        <s v="TC-152"/>
        <s v="SR-152"/>
        <s v="TC-154"/>
        <s v="SR-154"/>
        <s v="TC-156"/>
        <s v="SR-156"/>
        <s v="TC-160"/>
        <s v="SR-160"/>
        <s v="TC-166"/>
        <s v="SR-166"/>
        <s v="TC-168"/>
        <s v="SR-168"/>
        <s v="SR-172"/>
        <s v="TC-174"/>
        <s v="SR-174"/>
        <s v="SR-176"/>
        <s v="TC-178"/>
        <s v="SR-178"/>
        <s v="SR-180"/>
        <s v="TC-184"/>
        <s v="SR-184"/>
        <s v="TC-190"/>
        <s v="SR-190"/>
        <s v="TC-194"/>
        <s v="SR-194"/>
        <s v="TC-196"/>
        <s v="SR-196"/>
        <s v="TC-198"/>
        <s v="SR-198"/>
        <s v="TC-200"/>
        <s v="SR-200"/>
        <s v="TC-202"/>
        <s v="SR-204"/>
        <s v="TC-204"/>
        <s v="TC-206"/>
        <s v="SR-202"/>
        <s v="TC-216"/>
        <s v="TC-214"/>
        <s v="SR-214"/>
        <s v="SR-222"/>
        <s v="TC-222"/>
        <s v="SR-224"/>
        <s v="TC-226"/>
        <s v="TC-230"/>
        <s v="TC-232"/>
        <s v="TC-236"/>
        <s v="TC-256"/>
        <s v="SR-228"/>
        <s v="TC-258"/>
        <s v="TC-254"/>
        <s v="TC-248"/>
        <s v="SR-240"/>
        <s v="TC-246"/>
        <s v="SR-244"/>
        <s v="SR-226"/>
        <s v="SR-232"/>
        <s v="SR-238"/>
        <s v="TC-242"/>
        <s v="SR-234"/>
        <s v="PT-08"/>
        <s v="SR-246"/>
        <s v="SR-252"/>
        <s v="SR-248"/>
        <s v="SR-250"/>
        <s v="TC-264"/>
        <s v="PT-15"/>
        <s v="PT-13"/>
        <s v="PT-17"/>
        <s v="PT-16"/>
        <s v="PT-14"/>
        <s v="PT-03"/>
        <s v="PT-19"/>
        <s v="PT-18"/>
        <s v="TC-262"/>
        <s v="TC-260"/>
        <s v="TC-268"/>
        <s v="TC-272"/>
        <s v="VQ-32"/>
        <s v="VQ-33"/>
        <s v="VQ-36"/>
      </sharedItems>
    </cacheField>
    <cacheField name="Placa_U" numFmtId="0">
      <sharedItems count="109">
        <s v="F8U-901"/>
        <s v="TOU-972"/>
        <s v="F8U-787"/>
        <s v="TOU-986"/>
        <s v="F8V-758"/>
        <s v="TOT-996"/>
        <s v="F8U-799"/>
        <s v="BWD-772"/>
        <s v="F8U-871"/>
        <s v="F8V-771"/>
        <s v="TOU-983"/>
        <s v="TOT-991"/>
        <s v="TOT-990"/>
        <s v="F8U-786"/>
        <s v="TOU-970"/>
        <s v="F8V-768"/>
        <s v="TOT-989"/>
        <s v="F8T-925"/>
        <s v="F8T-924"/>
        <s v="F8V-757"/>
        <s v="TOU-981"/>
        <s v="C9F-803"/>
        <s v="TBY-977"/>
        <s v="F8U-800"/>
        <s v="TOU-980"/>
        <s v="TDD-994"/>
        <s v="AKG-942"/>
        <s v="TDD-992"/>
        <s v="TDE-993"/>
        <s v="AKH-808"/>
        <s v="TDE-989"/>
        <s v="AKH-934"/>
        <s v="TDE-988"/>
        <s v="ANX-866"/>
        <s v="TDE-991"/>
        <s v="AKH-885"/>
        <s v="TDE-979"/>
        <s v="ANX-776"/>
        <s v="TDE-992"/>
        <s v="ANX-777"/>
        <s v="TDE-971"/>
        <s v="TDE-995"/>
        <s v="ANX-818"/>
        <s v="TDD-996"/>
        <s v="TDE-980"/>
        <s v="ANX-903"/>
        <s v="TDE-983"/>
        <s v="TDE-999"/>
        <s v="ANX-939"/>
        <s v="TDE-990"/>
        <s v="ANY-840"/>
        <s v="TDE-977"/>
        <s v="ANY-765"/>
        <s v="TDD-993"/>
        <s v="ANY-766"/>
        <s v="TEE-992"/>
        <s v="ANY-904"/>
        <s v="TDE-996"/>
        <s v="ANY-905"/>
        <s v="TDE-997"/>
        <s v="ATU-731"/>
        <s v="AEP-993"/>
        <s v="ATU-880"/>
        <s v="ATU-885"/>
        <s v="AEP-995"/>
        <s v="BAD-702"/>
        <s v="AUS-911"/>
        <s v="AEP-991"/>
        <s v="ASQ-977"/>
        <s v="BRK-893"/>
        <s v="ASP-984"/>
        <s v="BRL-700"/>
        <s v="BSI-730"/>
        <s v="BSR-761"/>
        <s v="BSR-863"/>
        <s v="BVC-852"/>
        <s v="ASP-978"/>
        <s v="BVC-858"/>
        <s v="BVC-800"/>
        <s v="BUN-892"/>
        <s v="ASQ-995"/>
        <s v="BUF-865"/>
        <s v="ASR-982"/>
        <s v="ASN-986"/>
        <s v="ASP-983"/>
        <s v="ASQ-985"/>
        <s v="BUF-805"/>
        <s v="ASQ-980"/>
        <s v="BAU-970"/>
        <s v="BHT-991"/>
        <s v="BHU-995"/>
        <s v="BHT-992"/>
        <s v="BHU-971"/>
        <s v="BWD-742"/>
        <s v="BHE-993"/>
        <s v="BFV-971"/>
        <s v="BHQ-974"/>
        <s v="BHJ-984"/>
        <s v="BFV-996"/>
        <s v="TBX-989"/>
        <s v="ACS-993"/>
        <s v="ACT-977"/>
        <s v="BWD-740"/>
        <s v="BWC-924"/>
        <s v="BWW-946"/>
        <s v="BWX-796"/>
        <s v="ATW-862"/>
        <s v="ATW-873"/>
        <s v="ATW-948"/>
      </sharedItems>
    </cacheField>
    <cacheField name="Tipo_U" numFmtId="0">
      <sharedItems count="4">
        <s v="Tracto"/>
        <s v="Encapsulado"/>
        <s v="Plataforma"/>
        <s v="Volquete"/>
      </sharedItems>
    </cacheField>
    <cacheField name="Eje" numFmtId="0">
      <sharedItems containsBlank="1" count="12">
        <s v="Direccional"/>
        <s v="Tracción"/>
        <s v="Libre"/>
        <s v="RC"/>
        <s v="RT"/>
        <s v="Repuesto L" u="1"/>
        <s v="Repuesto T" u="1"/>
        <m u="1"/>
        <s v="Eje libre" u="1"/>
        <s v="Traccion" u="1"/>
        <s v="Compacta" u="1"/>
        <s v="Repuesto" u="1"/>
      </sharedItems>
    </cacheField>
    <cacheField name="Código_N" numFmtId="49">
      <sharedItems containsBlank="1"/>
    </cacheField>
    <cacheField name="Marca_N" numFmtId="0">
      <sharedItems/>
    </cacheField>
    <cacheField name="Medida_N" numFmtId="0">
      <sharedItems/>
    </cacheField>
    <cacheField name="Diseño_N" numFmtId="164">
      <sharedItems/>
    </cacheField>
    <cacheField name="Diseño" numFmtId="0">
      <sharedItems/>
    </cacheField>
    <cacheField name="N-R" numFmtId="0">
      <sharedItems containsBlank="1" count="9">
        <s v="N"/>
        <s v="1R"/>
        <s v="2R"/>
        <s v="3R"/>
        <s v="R"/>
        <s v="1N"/>
        <s v="***" u="1"/>
        <m u="1"/>
        <s v="O" u="1"/>
      </sharedItems>
    </cacheField>
    <cacheField name="NSK Original" numFmtId="172">
      <sharedItems containsSemiMixedTypes="0" containsString="0" containsNumber="1" minValue="0" maxValue="22.2"/>
    </cacheField>
    <cacheField name="PSI Rec." numFmtId="0">
      <sharedItems containsSemiMixedTypes="0" containsString="0" containsNumber="1" containsInteger="1" minValue="100" maxValue="110"/>
    </cacheField>
    <cacheField name="Precio US$" numFmtId="167">
      <sharedItems containsNonDate="0" containsString="0" containsBlank="1"/>
    </cacheField>
    <cacheField name="Proveedor" numFmtId="0">
      <sharedItems containsNonDate="0" containsString="0" containsBlank="1"/>
    </cacheField>
    <cacheField name="Fecha" numFmtId="0">
      <sharedItems containsNonDate="0" containsString="0" containsBlank="1"/>
    </cacheField>
    <cacheField name="Hr." numFmtId="0">
      <sharedItems containsNonDate="0" containsString="0" containsBlank="1"/>
    </cacheField>
    <cacheField name="Km." numFmtId="0">
      <sharedItems containsNonDate="0" containsString="0" containsBlank="1"/>
    </cacheField>
    <cacheField name="Pos." numFmtId="3">
      <sharedItems containsMixedTypes="1" containsNumber="1" containsInteger="1" minValue="1" maxValue="10"/>
    </cacheField>
    <cacheField name="Fecha2" numFmtId="0">
      <sharedItems containsSemiMixedTypes="0" containsNonDate="0" containsDate="1" containsString="0" minDate="2024-04-02T00:00:00" maxDate="2024-04-05T00:00:00"/>
    </cacheField>
    <cacheField name="Hr. Actual" numFmtId="3">
      <sharedItems containsNonDate="0" containsString="0" containsBlank="1"/>
    </cacheField>
    <cacheField name="Km. Actual" numFmtId="0">
      <sharedItems containsNonDate="0" containsString="0" containsBlank="1"/>
    </cacheField>
    <cacheField name="Ext." numFmtId="0">
      <sharedItems containsSemiMixedTypes="0" containsString="0" containsNumber="1" containsInteger="1" minValue="3" maxValue="26"/>
    </cacheField>
    <cacheField name="Cen." numFmtId="0">
      <sharedItems containsString="0" containsBlank="1" containsNumber="1" containsInteger="1" minValue="0" maxValue="20"/>
    </cacheField>
    <cacheField name="Int." numFmtId="0">
      <sharedItems containsSemiMixedTypes="0" containsString="0" containsNumber="1" containsInteger="1" minValue="2" maxValue="26"/>
    </cacheField>
    <cacheField name="NSK" numFmtId="3">
      <sharedItems containsSemiMixedTypes="0" containsString="0" containsNumber="1" containsInteger="1" minValue="0" maxValue="26"/>
    </cacheField>
    <cacheField name="Tapa Válvula" numFmtId="0">
      <sharedItems/>
    </cacheField>
    <cacheField name="Des. mm" numFmtId="3">
      <sharedItems containsSemiMixedTypes="0" containsString="0" containsNumber="1" minValue="-26" maxValue="19"/>
    </cacheField>
    <cacheField name="NSK Reen" numFmtId="0">
      <sharedItems containsSemiMixedTypes="0" containsString="0" containsNumber="1" containsInteger="1" minValue="6" maxValue="6"/>
    </cacheField>
    <cacheField name="NSK Form." numFmtId="0">
      <sharedItems containsSemiMixedTypes="0" containsString="0" containsNumber="1" containsInteger="1" minValue="0" maxValue="6"/>
    </cacheField>
    <cacheField name="% Max Des." numFmtId="9">
      <sharedItems containsMixedTypes="1" containsNumber="1" minValue="0.61538461538461542" maxValue="0.72972972972972971"/>
    </cacheField>
    <cacheField name="% Des" numFmtId="9">
      <sharedItems containsMixedTypes="1" containsNumber="1" minValue="-9.0909090909090828E-2" maxValue="1"/>
    </cacheField>
    <cacheField name="% Vida Útil" numFmtId="9">
      <sharedItems containsMixedTypes="1" containsNumber="1" minValue="-0.31578947368421051" maxValue="0.72727272727272718"/>
    </cacheField>
    <cacheField name="Horas Acumuladas" numFmtId="3">
      <sharedItems containsNonDate="0" containsString="0" containsBlank="1"/>
    </cacheField>
    <cacheField name="Kilómetros Acumulados" numFmtId="3">
      <sharedItems containsNonDate="0" containsString="0" containsBlank="1"/>
    </cacheField>
    <cacheField name="Horas Rodadas" numFmtId="3">
      <sharedItems/>
    </cacheField>
    <cacheField name="US$/Hr" numFmtId="4">
      <sharedItems/>
    </cacheField>
    <cacheField name="Hrs/mm" numFmtId="3">
      <sharedItems/>
    </cacheField>
    <cacheField name="Horas Proy." numFmtId="3">
      <sharedItems/>
    </cacheField>
    <cacheField name="US$/Hr Proy." numFmtId="4">
      <sharedItems/>
    </cacheField>
    <cacheField name="Kilómetros Rodados" numFmtId="3">
      <sharedItems/>
    </cacheField>
    <cacheField name="US$/ Km" numFmtId="171">
      <sharedItems/>
    </cacheField>
    <cacheField name="Kms/ mm" numFmtId="3">
      <sharedItems/>
    </cacheField>
    <cacheField name="Kilómetros Proy." numFmtId="3">
      <sharedItems/>
    </cacheField>
    <cacheField name="US$/Km Proy." numFmtId="171">
      <sharedItems/>
    </cacheField>
    <cacheField name="Situación Actual" numFmtId="164">
      <sharedItems containsBlank="1" count="14">
        <s v="Rodando"/>
        <s v="No Insp" u="1"/>
        <s v="Ver" u="1"/>
        <s v="Retirado" u="1"/>
        <m u="1"/>
        <s v="Retén" u="1"/>
        <s v="SUELTAS" u="1"/>
        <s v="h" u="1"/>
        <s v="a" u="1"/>
        <s v="t" u="1"/>
        <s v="Repuesto" u="1"/>
        <s v="AREQUIPA" u="1"/>
        <s v="Lima" u="1"/>
        <s v="UBICACIÓN" u="1"/>
      </sharedItems>
    </cacheField>
    <cacheField name="Observaciones Daños" numFmtId="164">
      <sharedItems containsBlank="1"/>
    </cacheField>
    <cacheField name="Observaciones Desgaste Irregular" numFmtId="164">
      <sharedItems containsBlank="1"/>
    </cacheField>
    <cacheField name="Reporte NSK" numFmtId="164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">
  <r>
    <x v="0"/>
    <x v="0"/>
    <x v="0"/>
    <x v="0"/>
    <m/>
    <s v="Goodyear"/>
    <s v="295/80R22.5"/>
    <s v="KMAX S"/>
    <s v="KMAX S"/>
    <x v="0"/>
    <n v="15.8"/>
    <n v="100"/>
    <m/>
    <m/>
    <m/>
    <m/>
    <m/>
    <s v="1"/>
    <d v="2024-04-03T00:00:00"/>
    <m/>
    <m/>
    <n v="12"/>
    <n v="13"/>
    <n v="12"/>
    <n v="12"/>
    <s v="st"/>
    <n v="3.8000000000000007"/>
    <n v="6"/>
    <n v="6"/>
    <n v="0.620253164556962"/>
    <n v="0.24050632911392411"/>
    <n v="0.37974683544303789"/>
    <m/>
    <m/>
    <s v=""/>
    <s v=""/>
    <s v=""/>
    <s v=""/>
    <s v=""/>
    <s v=""/>
    <s v=""/>
    <s v=""/>
    <s v=""/>
    <s v=""/>
    <x v="0"/>
    <m/>
    <m/>
    <s v="TC-1001Rodando"/>
  </r>
  <r>
    <x v="0"/>
    <x v="0"/>
    <x v="0"/>
    <x v="0"/>
    <m/>
    <s v="Goodyear"/>
    <s v="295/80R22.5"/>
    <s v="KMAX S"/>
    <s v="KMAX S"/>
    <x v="0"/>
    <n v="15.8"/>
    <n v="100"/>
    <m/>
    <m/>
    <m/>
    <m/>
    <m/>
    <s v="2"/>
    <d v="2024-04-03T00:00:00"/>
    <m/>
    <m/>
    <n v="13"/>
    <n v="14"/>
    <n v="13"/>
    <n v="13"/>
    <s v="st"/>
    <n v="2.8000000000000007"/>
    <n v="6"/>
    <n v="6"/>
    <n v="0.620253164556962"/>
    <n v="0.17721518987341778"/>
    <n v="0.44303797468354422"/>
    <m/>
    <m/>
    <s v=""/>
    <s v=""/>
    <s v=""/>
    <s v=""/>
    <s v=""/>
    <s v=""/>
    <s v=""/>
    <s v=""/>
    <s v=""/>
    <s v=""/>
    <x v="0"/>
    <m/>
    <m/>
    <s v="TC-1002Rodando"/>
  </r>
  <r>
    <x v="0"/>
    <x v="0"/>
    <x v="0"/>
    <x v="1"/>
    <m/>
    <s v="Continental"/>
    <s v="295/80R22.5"/>
    <s v="Reencauche"/>
    <s v="MDE"/>
    <x v="1"/>
    <n v="22"/>
    <n v="110"/>
    <m/>
    <m/>
    <m/>
    <m/>
    <m/>
    <s v="3"/>
    <d v="2024-04-03T00:00:00"/>
    <m/>
    <m/>
    <n v="20"/>
    <m/>
    <n v="20"/>
    <n v="20"/>
    <s v="st"/>
    <n v="2"/>
    <n v="6"/>
    <n v="6"/>
    <n v="0.72727272727272729"/>
    <n v="9.0909090909090939E-2"/>
    <n v="0.63636363636363635"/>
    <m/>
    <m/>
    <s v=""/>
    <s v=""/>
    <s v=""/>
    <s v=""/>
    <s v=""/>
    <s v=""/>
    <s v=""/>
    <s v=""/>
    <s v=""/>
    <s v=""/>
    <x v="0"/>
    <m/>
    <m/>
    <s v="TC-1003Rodando"/>
  </r>
  <r>
    <x v="0"/>
    <x v="0"/>
    <x v="0"/>
    <x v="1"/>
    <m/>
    <s v="Continental"/>
    <s v="295/80R22.5"/>
    <s v="Reencauche"/>
    <s v="MDE"/>
    <x v="1"/>
    <n v="22"/>
    <n v="110"/>
    <m/>
    <m/>
    <m/>
    <m/>
    <m/>
    <s v="4"/>
    <d v="2024-04-03T00:00:00"/>
    <m/>
    <m/>
    <n v="20"/>
    <m/>
    <n v="20"/>
    <n v="20"/>
    <s v="tm"/>
    <n v="2"/>
    <n v="6"/>
    <n v="6"/>
    <n v="0.72727272727272729"/>
    <n v="9.0909090909090939E-2"/>
    <n v="0.63636363636363635"/>
    <m/>
    <m/>
    <s v=""/>
    <s v=""/>
    <s v=""/>
    <s v=""/>
    <s v=""/>
    <s v=""/>
    <s v=""/>
    <s v=""/>
    <s v=""/>
    <s v=""/>
    <x v="0"/>
    <m/>
    <m/>
    <s v="TC-1004Rodando"/>
  </r>
  <r>
    <x v="0"/>
    <x v="0"/>
    <x v="0"/>
    <x v="1"/>
    <m/>
    <s v="Continental"/>
    <s v="295/80R22.5"/>
    <s v="Reencauche"/>
    <s v="MDE"/>
    <x v="1"/>
    <n v="22"/>
    <n v="110"/>
    <m/>
    <m/>
    <m/>
    <m/>
    <m/>
    <s v="5"/>
    <d v="2024-04-03T00:00:00"/>
    <m/>
    <m/>
    <n v="20"/>
    <m/>
    <n v="20"/>
    <n v="20"/>
    <s v="st"/>
    <n v="2"/>
    <n v="6"/>
    <n v="6"/>
    <n v="0.72727272727272729"/>
    <n v="9.0909090909090939E-2"/>
    <n v="0.63636363636363635"/>
    <m/>
    <m/>
    <s v=""/>
    <s v=""/>
    <s v=""/>
    <s v=""/>
    <s v=""/>
    <s v=""/>
    <s v=""/>
    <s v=""/>
    <s v=""/>
    <s v=""/>
    <x v="0"/>
    <m/>
    <m/>
    <s v="TC-1005Rodando"/>
  </r>
  <r>
    <x v="0"/>
    <x v="0"/>
    <x v="0"/>
    <x v="1"/>
    <m/>
    <s v="Continental"/>
    <s v="295/80R22.5"/>
    <s v="Reencauche"/>
    <s v="MDE"/>
    <x v="1"/>
    <n v="22"/>
    <n v="110"/>
    <m/>
    <m/>
    <m/>
    <m/>
    <m/>
    <s v="6"/>
    <d v="2024-04-03T00:00:00"/>
    <m/>
    <m/>
    <n v="20"/>
    <m/>
    <n v="20"/>
    <n v="20"/>
    <s v="st"/>
    <n v="2"/>
    <n v="6"/>
    <n v="6"/>
    <n v="0.72727272727272729"/>
    <n v="9.0909090909090939E-2"/>
    <n v="0.63636363636363635"/>
    <m/>
    <m/>
    <s v=""/>
    <s v=""/>
    <s v=""/>
    <s v=""/>
    <s v=""/>
    <s v=""/>
    <s v=""/>
    <s v=""/>
    <s v=""/>
    <s v=""/>
    <x v="0"/>
    <m/>
    <m/>
    <s v="TC-1006Rodando"/>
  </r>
  <r>
    <x v="0"/>
    <x v="0"/>
    <x v="0"/>
    <x v="1"/>
    <m/>
    <s v="Goodyear"/>
    <s v="295/80R22.5"/>
    <s v="KMAXD"/>
    <s v="KMAXD"/>
    <x v="0"/>
    <n v="22.2"/>
    <n v="110"/>
    <m/>
    <m/>
    <m/>
    <m/>
    <m/>
    <s v="7"/>
    <d v="2024-04-03T00:00:00"/>
    <m/>
    <m/>
    <n v="21"/>
    <m/>
    <n v="21"/>
    <n v="21"/>
    <s v="st"/>
    <n v="1.1999999999999993"/>
    <n v="6"/>
    <n v="6"/>
    <n v="0.72972972972972971"/>
    <n v="5.4054054054054057E-2"/>
    <n v="0.67567567567567566"/>
    <m/>
    <m/>
    <s v=""/>
    <s v=""/>
    <s v=""/>
    <s v=""/>
    <s v=""/>
    <s v=""/>
    <s v=""/>
    <s v=""/>
    <s v=""/>
    <s v=""/>
    <x v="0"/>
    <m/>
    <m/>
    <s v="TC-1007Rodando"/>
  </r>
  <r>
    <x v="0"/>
    <x v="0"/>
    <x v="0"/>
    <x v="1"/>
    <m/>
    <s v="Goodyear"/>
    <s v="295/80R22.5"/>
    <s v="KMAXD"/>
    <s v="KMAXD"/>
    <x v="0"/>
    <n v="22.2"/>
    <n v="110"/>
    <m/>
    <m/>
    <m/>
    <m/>
    <m/>
    <s v="8"/>
    <d v="2024-04-03T00:00:00"/>
    <m/>
    <m/>
    <n v="21"/>
    <m/>
    <n v="21"/>
    <n v="21"/>
    <s v="tm"/>
    <n v="1.1999999999999993"/>
    <n v="6"/>
    <n v="6"/>
    <n v="0.72972972972972971"/>
    <n v="5.4054054054054057E-2"/>
    <n v="0.67567567567567566"/>
    <m/>
    <m/>
    <s v=""/>
    <s v=""/>
    <s v=""/>
    <s v=""/>
    <s v=""/>
    <s v=""/>
    <s v=""/>
    <s v=""/>
    <s v=""/>
    <s v=""/>
    <x v="0"/>
    <m/>
    <m/>
    <s v="TC-1008Rodando"/>
  </r>
  <r>
    <x v="0"/>
    <x v="0"/>
    <x v="0"/>
    <x v="1"/>
    <m/>
    <s v="Goodyear"/>
    <s v="295/80R22.5"/>
    <s v="KMAXD"/>
    <s v="KMAXD"/>
    <x v="0"/>
    <n v="22.2"/>
    <n v="110"/>
    <m/>
    <m/>
    <m/>
    <m/>
    <m/>
    <s v="9"/>
    <d v="2024-04-03T00:00:00"/>
    <m/>
    <m/>
    <n v="21"/>
    <m/>
    <n v="21"/>
    <n v="21"/>
    <s v="st"/>
    <n v="1.1999999999999993"/>
    <n v="6"/>
    <n v="6"/>
    <n v="0.72972972972972971"/>
    <n v="5.4054054054054057E-2"/>
    <n v="0.67567567567567566"/>
    <m/>
    <m/>
    <s v=""/>
    <s v=""/>
    <s v=""/>
    <s v=""/>
    <s v=""/>
    <s v=""/>
    <s v=""/>
    <s v=""/>
    <s v=""/>
    <s v=""/>
    <x v="0"/>
    <m/>
    <m/>
    <s v="TC-1009Rodando"/>
  </r>
  <r>
    <x v="0"/>
    <x v="0"/>
    <x v="0"/>
    <x v="1"/>
    <m/>
    <s v="Goodyear"/>
    <s v="295/80R22.5"/>
    <s v="KMAXD"/>
    <s v="KMAXD"/>
    <x v="0"/>
    <n v="22.2"/>
    <n v="110"/>
    <m/>
    <m/>
    <m/>
    <m/>
    <m/>
    <s v="10"/>
    <d v="2024-04-03T00:00:00"/>
    <m/>
    <m/>
    <n v="21"/>
    <m/>
    <n v="21"/>
    <n v="21"/>
    <s v="st"/>
    <n v="1.1999999999999993"/>
    <n v="6"/>
    <n v="6"/>
    <n v="0.72972972972972971"/>
    <n v="5.4054054054054057E-2"/>
    <n v="0.67567567567567566"/>
    <m/>
    <m/>
    <s v=""/>
    <s v=""/>
    <s v=""/>
    <s v=""/>
    <s v=""/>
    <s v=""/>
    <s v=""/>
    <s v=""/>
    <s v=""/>
    <s v=""/>
    <x v="0"/>
    <m/>
    <m/>
    <s v="TC-10010Rodando"/>
  </r>
  <r>
    <x v="1"/>
    <x v="1"/>
    <x v="1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8"/>
    <n v="7"/>
    <n v="8"/>
    <n v="7"/>
    <s v="st"/>
    <n v="9.5"/>
    <n v="6"/>
    <n v="6"/>
    <n v="0.63636363636363635"/>
    <n v="0.57575757575757569"/>
    <n v="6.0606060606060663E-2"/>
    <m/>
    <m/>
    <s v=""/>
    <s v=""/>
    <s v=""/>
    <s v=""/>
    <s v=""/>
    <s v=""/>
    <s v=""/>
    <s v=""/>
    <s v=""/>
    <s v=""/>
    <x v="0"/>
    <m/>
    <m/>
    <s v="SR-1001Rodando"/>
  </r>
  <r>
    <x v="1"/>
    <x v="1"/>
    <x v="1"/>
    <x v="2"/>
    <s v="100 6"/>
    <s v="Aeolus"/>
    <s v="445/65R22.5"/>
    <s v="AGC28"/>
    <s v="AGC28"/>
    <x v="0"/>
    <n v="16.5"/>
    <n v="110"/>
    <m/>
    <m/>
    <m/>
    <m/>
    <m/>
    <s v="2"/>
    <d v="2024-04-03T00:00:00"/>
    <m/>
    <m/>
    <n v="8"/>
    <n v="7"/>
    <n v="8"/>
    <n v="7"/>
    <s v="tm"/>
    <n v="9.5"/>
    <n v="6"/>
    <n v="6"/>
    <n v="0.63636363636363635"/>
    <n v="0.57575757575757569"/>
    <n v="6.0606060606060663E-2"/>
    <m/>
    <m/>
    <s v=""/>
    <s v=""/>
    <s v=""/>
    <s v=""/>
    <s v=""/>
    <s v=""/>
    <s v=""/>
    <s v=""/>
    <s v=""/>
    <s v=""/>
    <x v="0"/>
    <m/>
    <m/>
    <s v="SR-1002Rodando"/>
  </r>
  <r>
    <x v="1"/>
    <x v="1"/>
    <x v="1"/>
    <x v="2"/>
    <s v="100 3"/>
    <s v="Aeolus"/>
    <s v="445/65R22.5"/>
    <s v="AGC28"/>
    <s v="AGC28"/>
    <x v="0"/>
    <n v="16.5"/>
    <n v="110"/>
    <m/>
    <m/>
    <m/>
    <m/>
    <m/>
    <s v="3"/>
    <d v="2024-04-03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003Rodando"/>
  </r>
  <r>
    <x v="1"/>
    <x v="1"/>
    <x v="1"/>
    <x v="2"/>
    <s v="100 4"/>
    <s v="Aeolus"/>
    <s v="445/65R22.5"/>
    <s v="AGC28"/>
    <s v="AGC28"/>
    <x v="0"/>
    <n v="16.5"/>
    <n v="110"/>
    <m/>
    <m/>
    <m/>
    <m/>
    <m/>
    <s v="4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004Rodando"/>
  </r>
  <r>
    <x v="1"/>
    <x v="1"/>
    <x v="1"/>
    <x v="2"/>
    <s v="100"/>
    <s v="Aeolus"/>
    <s v="445/65R22.5"/>
    <s v="AGC28"/>
    <s v="AGC28"/>
    <x v="0"/>
    <n v="16.5"/>
    <n v="110"/>
    <m/>
    <m/>
    <m/>
    <m/>
    <m/>
    <s v="5"/>
    <d v="2024-04-03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005Rodando"/>
  </r>
  <r>
    <x v="1"/>
    <x v="1"/>
    <x v="1"/>
    <x v="2"/>
    <s v="100"/>
    <s v="Aeolus"/>
    <s v="445/65R22.5"/>
    <s v="AGC28"/>
    <s v="AGC28"/>
    <x v="0"/>
    <n v="16.5"/>
    <n v="110"/>
    <m/>
    <m/>
    <m/>
    <m/>
    <m/>
    <s v="6"/>
    <d v="2024-04-03T00:00:00"/>
    <m/>
    <m/>
    <n v="10"/>
    <n v="10"/>
    <n v="11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1006Rodando"/>
  </r>
  <r>
    <x v="1"/>
    <x v="1"/>
    <x v="1"/>
    <x v="3"/>
    <m/>
    <s v="Michelin"/>
    <s v="425/65R22.5"/>
    <s v="Reencauche"/>
    <s v="LZY3"/>
    <x v="1"/>
    <n v="19"/>
    <n v="110"/>
    <m/>
    <m/>
    <m/>
    <m/>
    <m/>
    <s v="RE"/>
    <d v="2024-04-03T00:00:00"/>
    <m/>
    <m/>
    <n v="8"/>
    <n v="7"/>
    <n v="8"/>
    <n v="7"/>
    <s v="st"/>
    <n v="12"/>
    <n v="6"/>
    <n v="6"/>
    <n v="0.68421052631578949"/>
    <n v="0.63157894736842102"/>
    <n v="5.2631578947368474E-2"/>
    <m/>
    <m/>
    <s v=""/>
    <s v=""/>
    <s v=""/>
    <s v=""/>
    <s v=""/>
    <s v=""/>
    <s v=""/>
    <s v=""/>
    <s v=""/>
    <s v=""/>
    <x v="0"/>
    <m/>
    <m/>
    <s v="SR-100RERodando"/>
  </r>
  <r>
    <x v="1"/>
    <x v="1"/>
    <x v="1"/>
    <x v="4"/>
    <m/>
    <s v="Continental"/>
    <s v="295/80R22.5"/>
    <s v="HD3"/>
    <s v="HD3"/>
    <x v="0"/>
    <n v="0"/>
    <n v="110"/>
    <m/>
    <m/>
    <m/>
    <m/>
    <m/>
    <s v="RT"/>
    <d v="2024-04-03T00:00:00"/>
    <m/>
    <m/>
    <n v="10"/>
    <n v="7"/>
    <n v="10"/>
    <n v="7"/>
    <s v="st"/>
    <n v="-7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100RTRodando"/>
  </r>
  <r>
    <x v="2"/>
    <x v="2"/>
    <x v="0"/>
    <x v="0"/>
    <s v="102 1"/>
    <s v="Michelin"/>
    <s v="295/80R22.5"/>
    <s v="XMULTI+Z"/>
    <s v="XMULTI+Z"/>
    <x v="0"/>
    <n v="16"/>
    <n v="100"/>
    <m/>
    <m/>
    <m/>
    <m/>
    <m/>
    <s v="1"/>
    <d v="2024-04-03T00:00:00"/>
    <m/>
    <m/>
    <n v="14"/>
    <n v="14"/>
    <n v="14"/>
    <n v="14"/>
    <s v="st"/>
    <n v="2"/>
    <n v="6"/>
    <n v="6"/>
    <n v="0.625"/>
    <n v="0.125"/>
    <n v="0.5"/>
    <m/>
    <m/>
    <s v=""/>
    <s v=""/>
    <s v=""/>
    <s v=""/>
    <s v=""/>
    <s v=""/>
    <s v=""/>
    <s v=""/>
    <s v=""/>
    <s v=""/>
    <x v="0"/>
    <m/>
    <m/>
    <s v="TC-1021Rodando"/>
  </r>
  <r>
    <x v="2"/>
    <x v="2"/>
    <x v="0"/>
    <x v="0"/>
    <s v="102 2"/>
    <s v="Michelin"/>
    <s v="295/80R22.5"/>
    <s v="XMULTI+Z"/>
    <s v="XMULTI+Z"/>
    <x v="0"/>
    <n v="16"/>
    <n v="100"/>
    <m/>
    <m/>
    <m/>
    <m/>
    <m/>
    <s v="2"/>
    <d v="2024-04-03T00:00:00"/>
    <m/>
    <m/>
    <n v="13"/>
    <n v="13"/>
    <n v="13"/>
    <n v="13"/>
    <s v="st"/>
    <n v="3"/>
    <n v="6"/>
    <n v="6"/>
    <n v="0.625"/>
    <n v="0.1875"/>
    <n v="0.4375"/>
    <m/>
    <m/>
    <s v=""/>
    <s v=""/>
    <s v=""/>
    <s v=""/>
    <s v=""/>
    <s v=""/>
    <s v=""/>
    <s v=""/>
    <s v=""/>
    <s v=""/>
    <x v="0"/>
    <m/>
    <m/>
    <s v="TC-1022Rodando"/>
  </r>
  <r>
    <x v="2"/>
    <x v="2"/>
    <x v="0"/>
    <x v="1"/>
    <s v="102 3"/>
    <s v="Continental"/>
    <s v="295/80R22.5"/>
    <s v="HS3+"/>
    <s v="HS3+"/>
    <x v="0"/>
    <n v="16"/>
    <n v="110"/>
    <m/>
    <m/>
    <m/>
    <m/>
    <m/>
    <s v="3"/>
    <d v="2024-04-03T00:00:00"/>
    <m/>
    <m/>
    <n v="8"/>
    <n v="8"/>
    <n v="8"/>
    <n v="8"/>
    <s v="st"/>
    <n v="8"/>
    <n v="6"/>
    <n v="6"/>
    <n v="0.625"/>
    <n v="0.5"/>
    <n v="0.125"/>
    <m/>
    <m/>
    <s v=""/>
    <s v=""/>
    <s v=""/>
    <s v=""/>
    <s v=""/>
    <s v=""/>
    <s v=""/>
    <s v=""/>
    <s v=""/>
    <s v=""/>
    <x v="0"/>
    <m/>
    <m/>
    <s v="TC-1023Rodando"/>
  </r>
  <r>
    <x v="2"/>
    <x v="2"/>
    <x v="0"/>
    <x v="1"/>
    <s v="102 4"/>
    <s v="Continental"/>
    <s v="295/80R22.5"/>
    <s v="HS3+"/>
    <s v="HS3+"/>
    <x v="0"/>
    <n v="16"/>
    <n v="110"/>
    <m/>
    <m/>
    <m/>
    <m/>
    <m/>
    <s v="4"/>
    <d v="2024-04-03T00:00:00"/>
    <m/>
    <m/>
    <n v="8"/>
    <n v="8"/>
    <n v="7"/>
    <n v="7"/>
    <s v="st"/>
    <n v="9"/>
    <n v="6"/>
    <n v="6"/>
    <n v="0.625"/>
    <n v="0.5625"/>
    <n v="6.25E-2"/>
    <m/>
    <m/>
    <s v=""/>
    <s v=""/>
    <s v=""/>
    <s v=""/>
    <s v=""/>
    <s v=""/>
    <s v=""/>
    <s v=""/>
    <s v=""/>
    <s v=""/>
    <x v="0"/>
    <m/>
    <s v="Alineamiento"/>
    <s v="TC-1024Rodando"/>
  </r>
  <r>
    <x v="2"/>
    <x v="2"/>
    <x v="0"/>
    <x v="1"/>
    <s v="102 5"/>
    <s v="Continental"/>
    <s v="295/80R22.5"/>
    <s v="HS3+"/>
    <s v="HS3+"/>
    <x v="0"/>
    <n v="16"/>
    <n v="110"/>
    <m/>
    <m/>
    <m/>
    <m/>
    <m/>
    <s v="5"/>
    <d v="2024-04-03T00:00:00"/>
    <m/>
    <m/>
    <n v="9"/>
    <n v="8"/>
    <n v="9"/>
    <n v="8"/>
    <s v="st"/>
    <n v="8"/>
    <n v="6"/>
    <n v="6"/>
    <n v="0.625"/>
    <n v="0.5"/>
    <n v="0.125"/>
    <m/>
    <m/>
    <s v=""/>
    <s v=""/>
    <s v=""/>
    <s v=""/>
    <s v=""/>
    <s v=""/>
    <s v=""/>
    <s v=""/>
    <s v=""/>
    <s v=""/>
    <x v="0"/>
    <s v="Desgarro en banda de rodado"/>
    <m/>
    <s v="TC-1025Rodando"/>
  </r>
  <r>
    <x v="2"/>
    <x v="2"/>
    <x v="0"/>
    <x v="1"/>
    <s v="102 6"/>
    <s v="Continental"/>
    <s v="295/80R22.5"/>
    <s v="HS3+"/>
    <s v="HS3+"/>
    <x v="0"/>
    <n v="16"/>
    <n v="110"/>
    <m/>
    <m/>
    <m/>
    <m/>
    <m/>
    <s v="6"/>
    <d v="2024-04-03T00:00:00"/>
    <m/>
    <m/>
    <n v="9"/>
    <n v="8"/>
    <n v="8"/>
    <n v="8"/>
    <s v="st"/>
    <n v="8"/>
    <n v="6"/>
    <n v="6"/>
    <n v="0.625"/>
    <n v="0.5"/>
    <n v="0.125"/>
    <m/>
    <m/>
    <s v=""/>
    <s v=""/>
    <s v=""/>
    <s v=""/>
    <s v=""/>
    <s v=""/>
    <s v=""/>
    <s v=""/>
    <s v=""/>
    <s v=""/>
    <x v="0"/>
    <m/>
    <m/>
    <s v="TC-1026Rodando"/>
  </r>
  <r>
    <x v="2"/>
    <x v="2"/>
    <x v="0"/>
    <x v="1"/>
    <m/>
    <s v="Michelin"/>
    <s v="295/80R22.5"/>
    <s v="Reencauche"/>
    <s v="MDE"/>
    <x v="2"/>
    <n v="22"/>
    <n v="110"/>
    <m/>
    <m/>
    <m/>
    <m/>
    <m/>
    <s v="7"/>
    <d v="2024-04-03T00:00:00"/>
    <m/>
    <m/>
    <n v="10"/>
    <m/>
    <n v="11"/>
    <n v="10"/>
    <s v="st"/>
    <n v="12"/>
    <n v="6"/>
    <n v="6"/>
    <n v="0.72727272727272729"/>
    <n v="0.54545454545454541"/>
    <n v="0.18181818181818188"/>
    <m/>
    <m/>
    <s v=""/>
    <s v=""/>
    <s v=""/>
    <s v=""/>
    <s v=""/>
    <s v=""/>
    <s v=""/>
    <s v=""/>
    <s v=""/>
    <s v=""/>
    <x v="0"/>
    <m/>
    <m/>
    <s v="TC-1027Rodando"/>
  </r>
  <r>
    <x v="2"/>
    <x v="2"/>
    <x v="0"/>
    <x v="1"/>
    <m/>
    <s v="Michelin"/>
    <s v="295/80R22.5"/>
    <s v="Reencauche"/>
    <s v="MDE"/>
    <x v="2"/>
    <n v="22"/>
    <n v="110"/>
    <m/>
    <m/>
    <m/>
    <m/>
    <m/>
    <s v="8"/>
    <d v="2024-04-03T00:00:00"/>
    <m/>
    <m/>
    <n v="6"/>
    <m/>
    <n v="6"/>
    <n v="6"/>
    <s v="st"/>
    <n v="16"/>
    <n v="6"/>
    <n v="6"/>
    <n v="0.72727272727272729"/>
    <n v="0.72727272727272729"/>
    <n v="0"/>
    <m/>
    <m/>
    <s v=""/>
    <s v=""/>
    <s v=""/>
    <s v=""/>
    <s v=""/>
    <s v=""/>
    <s v=""/>
    <s v=""/>
    <s v=""/>
    <s v=""/>
    <x v="0"/>
    <m/>
    <m/>
    <s v="TC-1028Rodando"/>
  </r>
  <r>
    <x v="2"/>
    <x v="2"/>
    <x v="0"/>
    <x v="1"/>
    <m/>
    <s v="Austone"/>
    <s v="295/80R22.5"/>
    <s v="Reencauche"/>
    <s v="MDE"/>
    <x v="1"/>
    <n v="22"/>
    <n v="110"/>
    <m/>
    <m/>
    <m/>
    <m/>
    <m/>
    <s v="9"/>
    <d v="2024-04-03T00:00:00"/>
    <m/>
    <m/>
    <n v="9"/>
    <m/>
    <n v="9"/>
    <n v="9"/>
    <s v="st"/>
    <n v="13"/>
    <n v="6"/>
    <n v="6"/>
    <n v="0.72727272727272729"/>
    <n v="0.59090909090909083"/>
    <n v="0.13636363636363646"/>
    <m/>
    <m/>
    <s v=""/>
    <s v=""/>
    <s v=""/>
    <s v=""/>
    <s v=""/>
    <s v=""/>
    <s v=""/>
    <s v=""/>
    <s v=""/>
    <s v=""/>
    <x v="0"/>
    <m/>
    <m/>
    <s v="TC-1029Rodando"/>
  </r>
  <r>
    <x v="2"/>
    <x v="2"/>
    <x v="0"/>
    <x v="1"/>
    <m/>
    <s v="Austone"/>
    <s v="295/80R22.5"/>
    <s v="Reencauche"/>
    <s v="MDE"/>
    <x v="1"/>
    <n v="22"/>
    <n v="110"/>
    <m/>
    <m/>
    <m/>
    <m/>
    <m/>
    <s v="10"/>
    <d v="2024-04-03T00:00:00"/>
    <m/>
    <m/>
    <n v="10"/>
    <m/>
    <n v="10"/>
    <n v="10"/>
    <s v="st"/>
    <n v="12"/>
    <n v="6"/>
    <n v="6"/>
    <n v="0.72727272727272729"/>
    <n v="0.54545454545454541"/>
    <n v="0.18181818181818188"/>
    <m/>
    <m/>
    <s v=""/>
    <s v=""/>
    <s v=""/>
    <s v=""/>
    <s v=""/>
    <s v=""/>
    <s v=""/>
    <s v=""/>
    <s v=""/>
    <s v=""/>
    <x v="0"/>
    <m/>
    <m/>
    <s v="TC-10210Rodando"/>
  </r>
  <r>
    <x v="3"/>
    <x v="3"/>
    <x v="1"/>
    <x v="2"/>
    <s v="102 5"/>
    <s v="Aeolus"/>
    <s v="445/65R22.5"/>
    <s v="AGC28"/>
    <s v="AGC28"/>
    <x v="0"/>
    <n v="16.5"/>
    <n v="110"/>
    <m/>
    <m/>
    <m/>
    <m/>
    <m/>
    <s v="1"/>
    <d v="2024-04-03T00:00:00"/>
    <m/>
    <m/>
    <n v="11"/>
    <n v="11"/>
    <n v="11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1021Rodando"/>
  </r>
  <r>
    <x v="3"/>
    <x v="3"/>
    <x v="1"/>
    <x v="2"/>
    <s v="102 5"/>
    <s v="Aeolus"/>
    <s v="445/65R22.5"/>
    <s v="AGC28"/>
    <s v="AGC28"/>
    <x v="0"/>
    <n v="16.5"/>
    <n v="110"/>
    <m/>
    <m/>
    <m/>
    <m/>
    <m/>
    <s v="2"/>
    <d v="2024-04-03T00:00:00"/>
    <m/>
    <m/>
    <n v="11"/>
    <n v="11"/>
    <n v="11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1022Rodando"/>
  </r>
  <r>
    <x v="3"/>
    <x v="3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0"/>
    <n v="10"/>
    <n v="10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1023Rodando"/>
  </r>
  <r>
    <x v="3"/>
    <x v="3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2"/>
    <n v="12"/>
    <n v="12"/>
    <n v="12"/>
    <s v="st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1024Rodando"/>
  </r>
  <r>
    <x v="3"/>
    <x v="3"/>
    <x v="1"/>
    <x v="2"/>
    <m/>
    <s v="Aeolus"/>
    <s v="445/65R22.5"/>
    <s v="Reencauche"/>
    <s v="LZY3"/>
    <x v="1"/>
    <n v="21"/>
    <n v="110"/>
    <m/>
    <m/>
    <m/>
    <m/>
    <m/>
    <s v="5"/>
    <d v="2024-04-03T00:00:00"/>
    <m/>
    <m/>
    <n v="19"/>
    <n v="19"/>
    <n v="19"/>
    <n v="19"/>
    <s v="st"/>
    <n v="2"/>
    <n v="6"/>
    <n v="6"/>
    <n v="0.7142857142857143"/>
    <n v="9.5238095238095233E-2"/>
    <n v="0.61904761904761907"/>
    <m/>
    <m/>
    <s v=""/>
    <s v=""/>
    <s v=""/>
    <s v=""/>
    <s v=""/>
    <s v=""/>
    <s v=""/>
    <s v=""/>
    <s v=""/>
    <s v=""/>
    <x v="0"/>
    <m/>
    <m/>
    <s v="SR-1025Rodando"/>
  </r>
  <r>
    <x v="3"/>
    <x v="3"/>
    <x v="1"/>
    <x v="2"/>
    <s v="102 2"/>
    <s v="Aeolus"/>
    <s v="445/65R22.5"/>
    <s v="Reencauche"/>
    <s v="LZY3"/>
    <x v="1"/>
    <n v="21"/>
    <n v="110"/>
    <m/>
    <m/>
    <m/>
    <m/>
    <m/>
    <s v="6"/>
    <d v="2024-04-03T00:00:00"/>
    <m/>
    <m/>
    <n v="19"/>
    <n v="19"/>
    <n v="19"/>
    <n v="19"/>
    <s v="st"/>
    <n v="2"/>
    <n v="6"/>
    <n v="6"/>
    <n v="0.7142857142857143"/>
    <n v="9.5238095238095233E-2"/>
    <n v="0.61904761904761907"/>
    <m/>
    <m/>
    <s v=""/>
    <s v=""/>
    <s v=""/>
    <s v=""/>
    <s v=""/>
    <s v=""/>
    <s v=""/>
    <s v=""/>
    <s v=""/>
    <s v=""/>
    <x v="0"/>
    <m/>
    <m/>
    <s v="SR-1026Rodando"/>
  </r>
  <r>
    <x v="3"/>
    <x v="3"/>
    <x v="1"/>
    <x v="3"/>
    <m/>
    <s v="Michelin"/>
    <s v="425/65R22.5"/>
    <s v="XZY3"/>
    <s v="XZY3"/>
    <x v="0"/>
    <n v="0"/>
    <n v="110"/>
    <m/>
    <m/>
    <m/>
    <m/>
    <m/>
    <s v="RE"/>
    <d v="2024-04-03T00:00:00"/>
    <m/>
    <m/>
    <n v="8"/>
    <n v="8"/>
    <n v="8"/>
    <n v="8"/>
    <s v="st"/>
    <n v="-8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102RERodando"/>
  </r>
  <r>
    <x v="3"/>
    <x v="3"/>
    <x v="1"/>
    <x v="4"/>
    <m/>
    <s v="Michelin"/>
    <s v="295/80R22.5"/>
    <s v="Reencauche"/>
    <s v="MDE"/>
    <x v="3"/>
    <n v="22"/>
    <n v="110"/>
    <m/>
    <m/>
    <m/>
    <m/>
    <m/>
    <s v="RT"/>
    <d v="2024-04-03T00:00:00"/>
    <m/>
    <m/>
    <n v="13"/>
    <m/>
    <n v="13"/>
    <n v="13"/>
    <s v="st"/>
    <n v="9"/>
    <n v="6"/>
    <n v="6"/>
    <n v="0.72727272727272729"/>
    <n v="0.40909090909090906"/>
    <n v="0.31818181818181823"/>
    <m/>
    <m/>
    <s v=""/>
    <s v=""/>
    <s v=""/>
    <s v=""/>
    <s v=""/>
    <s v=""/>
    <s v=""/>
    <s v=""/>
    <s v=""/>
    <s v=""/>
    <x v="0"/>
    <s v="Dispersión de cordones costado"/>
    <m/>
    <s v="SR-102RTRodando"/>
  </r>
  <r>
    <x v="4"/>
    <x v="4"/>
    <x v="0"/>
    <x v="0"/>
    <m/>
    <s v="Goodyear"/>
    <s v="295/80R22.5"/>
    <s v="KMAX S"/>
    <s v="KMAX S"/>
    <x v="0"/>
    <n v="15.8"/>
    <n v="100"/>
    <m/>
    <m/>
    <m/>
    <m/>
    <m/>
    <s v="1"/>
    <d v="2024-04-03T00:00:00"/>
    <m/>
    <m/>
    <n v="10"/>
    <n v="13"/>
    <n v="13"/>
    <n v="10"/>
    <s v="st"/>
    <n v="5.8000000000000007"/>
    <n v="6"/>
    <n v="6"/>
    <n v="0.620253164556962"/>
    <n v="0.36708860759493678"/>
    <n v="0.25316455696202522"/>
    <m/>
    <m/>
    <s v=""/>
    <s v=""/>
    <s v=""/>
    <s v=""/>
    <s v=""/>
    <s v=""/>
    <s v=""/>
    <s v=""/>
    <s v=""/>
    <s v=""/>
    <x v="0"/>
    <m/>
    <s v="Alineamiento"/>
    <s v="TC-1081Rodando"/>
  </r>
  <r>
    <x v="4"/>
    <x v="4"/>
    <x v="0"/>
    <x v="0"/>
    <m/>
    <s v="Goodyear"/>
    <s v="295/80R22.5"/>
    <s v="KMAX S"/>
    <s v="KMAX S"/>
    <x v="0"/>
    <n v="15.8"/>
    <n v="100"/>
    <m/>
    <m/>
    <m/>
    <m/>
    <m/>
    <s v="2"/>
    <d v="2024-04-03T00:00:00"/>
    <m/>
    <m/>
    <n v="12"/>
    <n v="13"/>
    <n v="12"/>
    <n v="12"/>
    <s v="st"/>
    <n v="3.8000000000000007"/>
    <n v="6"/>
    <n v="6"/>
    <n v="0.620253164556962"/>
    <n v="0.24050632911392411"/>
    <n v="0.37974683544303789"/>
    <m/>
    <m/>
    <s v=""/>
    <s v=""/>
    <s v=""/>
    <s v=""/>
    <s v=""/>
    <s v=""/>
    <s v=""/>
    <s v=""/>
    <s v=""/>
    <s v=""/>
    <x v="0"/>
    <m/>
    <s v="Alineamiento"/>
    <s v="TC-1082Rodando"/>
  </r>
  <r>
    <x v="4"/>
    <x v="4"/>
    <x v="0"/>
    <x v="1"/>
    <m/>
    <s v="Michelin"/>
    <s v="295/80R22.5"/>
    <s v="Reencauche"/>
    <s v="MDE"/>
    <x v="2"/>
    <n v="22"/>
    <n v="110"/>
    <m/>
    <m/>
    <m/>
    <m/>
    <m/>
    <s v="3"/>
    <d v="2024-04-03T00:00:00"/>
    <m/>
    <m/>
    <n v="10"/>
    <m/>
    <n v="7"/>
    <n v="7"/>
    <s v="st"/>
    <n v="15"/>
    <n v="6"/>
    <n v="6"/>
    <n v="0.72727272727272729"/>
    <n v="0.68181818181818188"/>
    <n v="4.5454545454545414E-2"/>
    <m/>
    <m/>
    <s v=""/>
    <s v=""/>
    <s v=""/>
    <s v=""/>
    <s v=""/>
    <s v=""/>
    <s v=""/>
    <s v=""/>
    <s v=""/>
    <s v=""/>
    <x v="0"/>
    <m/>
    <m/>
    <s v="TC-1083Rodando"/>
  </r>
  <r>
    <x v="4"/>
    <x v="4"/>
    <x v="0"/>
    <x v="1"/>
    <m/>
    <s v="Michelin"/>
    <s v="295/80R22.5"/>
    <s v="Reencauche"/>
    <s v="MDE"/>
    <x v="1"/>
    <n v="22"/>
    <n v="110"/>
    <m/>
    <m/>
    <m/>
    <m/>
    <m/>
    <s v="4"/>
    <d v="2024-04-03T00:00:00"/>
    <m/>
    <m/>
    <n v="7"/>
    <m/>
    <n v="8"/>
    <n v="7"/>
    <s v="st"/>
    <n v="15"/>
    <n v="6"/>
    <n v="6"/>
    <n v="0.72727272727272729"/>
    <n v="0.68181818181818188"/>
    <n v="4.5454545454545414E-2"/>
    <m/>
    <m/>
    <s v=""/>
    <s v=""/>
    <s v=""/>
    <s v=""/>
    <s v=""/>
    <s v=""/>
    <s v=""/>
    <s v=""/>
    <s v=""/>
    <s v=""/>
    <x v="0"/>
    <m/>
    <m/>
    <s v="TC-1084Rodando"/>
  </r>
  <r>
    <x v="4"/>
    <x v="4"/>
    <x v="0"/>
    <x v="1"/>
    <m/>
    <s v="Goodyear"/>
    <s v="295/80R22.5"/>
    <s v="Reencauche"/>
    <s v="MDE"/>
    <x v="1"/>
    <n v="22"/>
    <n v="110"/>
    <m/>
    <m/>
    <m/>
    <m/>
    <m/>
    <s v="5"/>
    <d v="2024-04-03T00:00:00"/>
    <m/>
    <m/>
    <n v="8"/>
    <m/>
    <n v="10"/>
    <n v="8"/>
    <s v="st"/>
    <n v="14"/>
    <n v="6"/>
    <n v="6"/>
    <n v="0.72727272727272729"/>
    <n v="0.63636363636363635"/>
    <n v="9.0909090909090939E-2"/>
    <m/>
    <m/>
    <s v=""/>
    <s v=""/>
    <s v=""/>
    <s v=""/>
    <s v=""/>
    <s v=""/>
    <s v=""/>
    <s v=""/>
    <s v=""/>
    <s v=""/>
    <x v="0"/>
    <m/>
    <m/>
    <s v="TC-1085Rodando"/>
  </r>
  <r>
    <x v="4"/>
    <x v="4"/>
    <x v="0"/>
    <x v="1"/>
    <m/>
    <s v="Goodyear"/>
    <s v="295/80R22.5"/>
    <s v="Reencauche"/>
    <s v="MDE"/>
    <x v="1"/>
    <n v="22"/>
    <n v="110"/>
    <m/>
    <m/>
    <m/>
    <m/>
    <m/>
    <s v="6"/>
    <d v="2024-04-03T00:00:00"/>
    <m/>
    <m/>
    <n v="10"/>
    <m/>
    <n v="10"/>
    <n v="10"/>
    <s v="st"/>
    <n v="12"/>
    <n v="6"/>
    <n v="6"/>
    <n v="0.72727272727272729"/>
    <n v="0.54545454545454541"/>
    <n v="0.18181818181818188"/>
    <m/>
    <m/>
    <s v=""/>
    <s v=""/>
    <s v=""/>
    <s v=""/>
    <s v=""/>
    <s v=""/>
    <s v=""/>
    <s v=""/>
    <s v=""/>
    <s v=""/>
    <x v="0"/>
    <m/>
    <m/>
    <s v="TC-1086Rodando"/>
  </r>
  <r>
    <x v="4"/>
    <x v="4"/>
    <x v="0"/>
    <x v="1"/>
    <m/>
    <s v="Goodyear"/>
    <s v="295/80R22.5"/>
    <s v="KMAXD"/>
    <s v="KMAXD"/>
    <x v="0"/>
    <n v="22.2"/>
    <n v="110"/>
    <m/>
    <m/>
    <m/>
    <m/>
    <m/>
    <s v="7"/>
    <d v="2024-04-03T00:00:00"/>
    <m/>
    <m/>
    <n v="20"/>
    <m/>
    <n v="20"/>
    <n v="20"/>
    <s v="st"/>
    <n v="2.1999999999999993"/>
    <n v="6"/>
    <n v="6"/>
    <n v="0.72972972972972971"/>
    <n v="9.9099099099099086E-2"/>
    <n v="0.63063063063063063"/>
    <m/>
    <m/>
    <s v=""/>
    <s v=""/>
    <s v=""/>
    <s v=""/>
    <s v=""/>
    <s v=""/>
    <s v=""/>
    <s v=""/>
    <s v=""/>
    <s v=""/>
    <x v="0"/>
    <m/>
    <m/>
    <s v="TC-1087Rodando"/>
  </r>
  <r>
    <x v="4"/>
    <x v="4"/>
    <x v="0"/>
    <x v="1"/>
    <m/>
    <s v="Goodyear"/>
    <s v="295/80R22.5"/>
    <s v="KMAXD"/>
    <s v="KMAXD"/>
    <x v="0"/>
    <n v="22.2"/>
    <n v="110"/>
    <m/>
    <m/>
    <m/>
    <m/>
    <m/>
    <s v="8"/>
    <d v="2024-04-03T00:00:00"/>
    <m/>
    <m/>
    <n v="20"/>
    <m/>
    <n v="20"/>
    <n v="20"/>
    <s v="st"/>
    <n v="2.1999999999999993"/>
    <n v="6"/>
    <n v="6"/>
    <n v="0.72972972972972971"/>
    <n v="9.9099099099099086E-2"/>
    <n v="0.63063063063063063"/>
    <m/>
    <m/>
    <s v=""/>
    <s v=""/>
    <s v=""/>
    <s v=""/>
    <s v=""/>
    <s v=""/>
    <s v=""/>
    <s v=""/>
    <s v=""/>
    <s v=""/>
    <x v="0"/>
    <m/>
    <m/>
    <s v="TC-1088Rodando"/>
  </r>
  <r>
    <x v="4"/>
    <x v="4"/>
    <x v="0"/>
    <x v="1"/>
    <m/>
    <s v="Goodyear"/>
    <s v="295/80R22.5"/>
    <s v="KMAXD"/>
    <s v="KMAXD"/>
    <x v="0"/>
    <n v="22.2"/>
    <n v="110"/>
    <m/>
    <m/>
    <m/>
    <m/>
    <m/>
    <s v="9"/>
    <d v="2024-04-03T00:00:00"/>
    <m/>
    <m/>
    <n v="20"/>
    <m/>
    <n v="20"/>
    <n v="20"/>
    <s v="st"/>
    <n v="2.1999999999999993"/>
    <n v="6"/>
    <n v="6"/>
    <n v="0.72972972972972971"/>
    <n v="9.9099099099099086E-2"/>
    <n v="0.63063063063063063"/>
    <m/>
    <m/>
    <s v=""/>
    <s v=""/>
    <s v=""/>
    <s v=""/>
    <s v=""/>
    <s v=""/>
    <s v=""/>
    <s v=""/>
    <s v=""/>
    <s v=""/>
    <x v="0"/>
    <m/>
    <m/>
    <s v="TC-1089Rodando"/>
  </r>
  <r>
    <x v="4"/>
    <x v="4"/>
    <x v="0"/>
    <x v="1"/>
    <m/>
    <s v="Goodyear"/>
    <s v="295/80R22.5"/>
    <s v="KMAXD"/>
    <s v="KMAXD"/>
    <x v="0"/>
    <n v="22.2"/>
    <n v="110"/>
    <m/>
    <m/>
    <m/>
    <m/>
    <m/>
    <s v="10"/>
    <d v="2024-04-03T00:00:00"/>
    <m/>
    <m/>
    <n v="20"/>
    <m/>
    <n v="20"/>
    <n v="20"/>
    <s v="st"/>
    <n v="2.1999999999999993"/>
    <n v="6"/>
    <n v="6"/>
    <n v="0.72972972972972971"/>
    <n v="9.9099099099099086E-2"/>
    <n v="0.63063063063063063"/>
    <m/>
    <m/>
    <s v=""/>
    <s v=""/>
    <s v=""/>
    <s v=""/>
    <s v=""/>
    <s v=""/>
    <s v=""/>
    <s v=""/>
    <s v=""/>
    <s v=""/>
    <x v="0"/>
    <m/>
    <m/>
    <s v="TC-10810Rodando"/>
  </r>
  <r>
    <x v="5"/>
    <x v="5"/>
    <x v="1"/>
    <x v="2"/>
    <s v="108"/>
    <s v="Aeolus"/>
    <s v="445/65R22.5"/>
    <s v="AGC28"/>
    <s v="AGC28"/>
    <x v="0"/>
    <n v="16.5"/>
    <n v="110"/>
    <m/>
    <m/>
    <m/>
    <m/>
    <m/>
    <s v="1"/>
    <d v="2024-04-03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SR-1081Rodando"/>
  </r>
  <r>
    <x v="5"/>
    <x v="5"/>
    <x v="1"/>
    <x v="2"/>
    <s v="108"/>
    <s v="Aeolus"/>
    <s v="445/65R22.5"/>
    <s v="AGC28"/>
    <s v="AGC28"/>
    <x v="0"/>
    <n v="16.5"/>
    <n v="110"/>
    <m/>
    <m/>
    <m/>
    <m/>
    <m/>
    <s v="2"/>
    <d v="2024-04-03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1082Rodando"/>
  </r>
  <r>
    <x v="5"/>
    <x v="5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0"/>
    <n v="9"/>
    <n v="9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083Rodando"/>
  </r>
  <r>
    <x v="5"/>
    <x v="5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7"/>
    <n v="7"/>
    <n v="7"/>
    <n v="7"/>
    <s v="st"/>
    <n v="9.5"/>
    <n v="6"/>
    <n v="6"/>
    <n v="0.63636363636363635"/>
    <n v="0.57575757575757569"/>
    <n v="6.0606060606060663E-2"/>
    <m/>
    <m/>
    <s v=""/>
    <s v=""/>
    <s v=""/>
    <s v=""/>
    <s v=""/>
    <s v=""/>
    <s v=""/>
    <s v=""/>
    <s v=""/>
    <s v=""/>
    <x v="0"/>
    <m/>
    <m/>
    <s v="SR-1084Rodando"/>
  </r>
  <r>
    <x v="5"/>
    <x v="5"/>
    <x v="1"/>
    <x v="2"/>
    <s v="1085"/>
    <s v="Aeolus"/>
    <s v="445/65R22.5"/>
    <s v="AGC28"/>
    <s v="AGC28"/>
    <x v="0"/>
    <n v="16.5"/>
    <n v="110"/>
    <m/>
    <m/>
    <m/>
    <m/>
    <m/>
    <s v="5"/>
    <d v="2024-04-03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085Rodando"/>
  </r>
  <r>
    <x v="5"/>
    <x v="5"/>
    <x v="1"/>
    <x v="2"/>
    <s v="1086"/>
    <s v="Aeolus"/>
    <s v="445/65R22.5"/>
    <s v="AGC28"/>
    <s v="AGC28"/>
    <x v="0"/>
    <n v="16.5"/>
    <n v="110"/>
    <m/>
    <m/>
    <m/>
    <m/>
    <m/>
    <s v="6"/>
    <d v="2024-04-03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086Rodando"/>
  </r>
  <r>
    <x v="5"/>
    <x v="5"/>
    <x v="1"/>
    <x v="3"/>
    <s v="032008200042"/>
    <s v="Goodyear"/>
    <s v="445/65R22.5"/>
    <s v="OMNITRAC MST2"/>
    <s v="OMNITRAC MST2"/>
    <x v="0"/>
    <n v="15.6"/>
    <n v="110"/>
    <m/>
    <m/>
    <m/>
    <m/>
    <m/>
    <s v="RE"/>
    <d v="2024-04-03T00:00:00"/>
    <m/>
    <m/>
    <n v="7"/>
    <n v="6"/>
    <n v="7"/>
    <n v="6"/>
    <s v="st"/>
    <n v="9.6"/>
    <n v="6"/>
    <n v="6"/>
    <n v="0.61538461538461542"/>
    <n v="0.61538461538461542"/>
    <n v="0"/>
    <m/>
    <m/>
    <s v=""/>
    <s v=""/>
    <s v=""/>
    <s v=""/>
    <s v=""/>
    <s v=""/>
    <s v=""/>
    <s v=""/>
    <s v=""/>
    <s v=""/>
    <x v="0"/>
    <m/>
    <m/>
    <s v="SR-108RERodando"/>
  </r>
  <r>
    <x v="5"/>
    <x v="5"/>
    <x v="1"/>
    <x v="4"/>
    <m/>
    <s v="Michelin"/>
    <s v="295/80R22.5"/>
    <s v="Reencauche"/>
    <s v="MDE"/>
    <x v="1"/>
    <n v="22"/>
    <n v="110"/>
    <m/>
    <m/>
    <m/>
    <m/>
    <m/>
    <s v="RT"/>
    <d v="2024-04-03T00:00:00"/>
    <m/>
    <m/>
    <n v="7"/>
    <m/>
    <n v="7"/>
    <n v="7"/>
    <s v="st"/>
    <n v="15"/>
    <n v="6"/>
    <n v="6"/>
    <n v="0.72727272727272729"/>
    <n v="0.68181818181818188"/>
    <n v="4.5454545454545414E-2"/>
    <m/>
    <m/>
    <s v=""/>
    <s v=""/>
    <s v=""/>
    <s v=""/>
    <s v=""/>
    <s v=""/>
    <s v=""/>
    <s v=""/>
    <s v=""/>
    <s v=""/>
    <x v="0"/>
    <s v="Dispersión de cordones costado"/>
    <m/>
    <s v="SR-108RTRodando"/>
  </r>
  <r>
    <x v="6"/>
    <x v="6"/>
    <x v="0"/>
    <x v="0"/>
    <s v="110 1"/>
    <s v="Goodyear"/>
    <s v="295/80R22.5"/>
    <s v="KMAX S"/>
    <s v="KMAX S"/>
    <x v="0"/>
    <n v="15.8"/>
    <n v="100"/>
    <m/>
    <m/>
    <m/>
    <m/>
    <m/>
    <s v="1"/>
    <d v="2024-04-02T00:00:00"/>
    <m/>
    <m/>
    <n v="11"/>
    <n v="13"/>
    <n v="12"/>
    <n v="11"/>
    <s v="st"/>
    <n v="4.8000000000000007"/>
    <n v="6"/>
    <n v="6"/>
    <n v="0.620253164556962"/>
    <n v="0.30379746835443044"/>
    <n v="0.31645569620253156"/>
    <m/>
    <m/>
    <s v=""/>
    <s v=""/>
    <s v=""/>
    <s v=""/>
    <s v=""/>
    <s v=""/>
    <s v=""/>
    <s v=""/>
    <s v=""/>
    <s v=""/>
    <x v="0"/>
    <m/>
    <m/>
    <s v="TC-1101Rodando"/>
  </r>
  <r>
    <x v="6"/>
    <x v="6"/>
    <x v="0"/>
    <x v="0"/>
    <s v="110 2"/>
    <s v="Goodyear"/>
    <s v="295/80R22.5"/>
    <s v="KMAX S"/>
    <s v="KMAX S"/>
    <x v="0"/>
    <n v="15.8"/>
    <n v="100"/>
    <m/>
    <m/>
    <m/>
    <m/>
    <m/>
    <s v="2"/>
    <d v="2024-04-02T00:00:00"/>
    <m/>
    <m/>
    <n v="11"/>
    <n v="13"/>
    <n v="12"/>
    <n v="11"/>
    <s v="tm"/>
    <n v="4.8000000000000007"/>
    <n v="6"/>
    <n v="6"/>
    <n v="0.620253164556962"/>
    <n v="0.30379746835443044"/>
    <n v="0.31645569620253156"/>
    <m/>
    <m/>
    <s v=""/>
    <s v=""/>
    <s v=""/>
    <s v=""/>
    <s v=""/>
    <s v=""/>
    <s v=""/>
    <s v=""/>
    <s v=""/>
    <s v=""/>
    <x v="0"/>
    <m/>
    <m/>
    <s v="TC-1102Rodando"/>
  </r>
  <r>
    <x v="6"/>
    <x v="6"/>
    <x v="0"/>
    <x v="1"/>
    <m/>
    <s v="Michelin"/>
    <s v="295/80R22.5"/>
    <s v="XMULTI2D"/>
    <s v="XMULTI2D"/>
    <x v="0"/>
    <n v="21.4"/>
    <n v="110"/>
    <m/>
    <m/>
    <m/>
    <m/>
    <m/>
    <s v="3"/>
    <d v="2024-04-02T00:00:00"/>
    <m/>
    <m/>
    <n v="14"/>
    <m/>
    <n v="14"/>
    <n v="14"/>
    <s v="st"/>
    <n v="7.3999999999999986"/>
    <n v="6"/>
    <n v="6"/>
    <n v="0.71962616822429903"/>
    <n v="0.34579439252336441"/>
    <n v="0.37383177570093462"/>
    <m/>
    <m/>
    <s v=""/>
    <s v=""/>
    <s v=""/>
    <s v=""/>
    <s v=""/>
    <s v=""/>
    <s v=""/>
    <s v=""/>
    <s v=""/>
    <s v=""/>
    <x v="0"/>
    <m/>
    <m/>
    <s v="TC-1103Rodando"/>
  </r>
  <r>
    <x v="6"/>
    <x v="6"/>
    <x v="0"/>
    <x v="1"/>
    <m/>
    <s v="Michelin"/>
    <s v="295/80R22.5"/>
    <s v="XMULTI2D"/>
    <s v="XMULTI2D"/>
    <x v="0"/>
    <n v="21.4"/>
    <n v="110"/>
    <m/>
    <m/>
    <m/>
    <m/>
    <m/>
    <s v="4"/>
    <d v="2024-04-02T00:00:00"/>
    <m/>
    <m/>
    <n v="14"/>
    <m/>
    <n v="15"/>
    <n v="14"/>
    <s v="st"/>
    <n v="7.3999999999999986"/>
    <n v="6"/>
    <n v="6"/>
    <n v="0.71962616822429903"/>
    <n v="0.34579439252336441"/>
    <n v="0.37383177570093462"/>
    <m/>
    <m/>
    <s v=""/>
    <s v=""/>
    <s v=""/>
    <s v=""/>
    <s v=""/>
    <s v=""/>
    <s v=""/>
    <s v=""/>
    <s v=""/>
    <s v=""/>
    <x v="0"/>
    <m/>
    <m/>
    <s v="TC-1104Rodando"/>
  </r>
  <r>
    <x v="6"/>
    <x v="6"/>
    <x v="0"/>
    <x v="1"/>
    <m/>
    <s v="Michelin"/>
    <s v="295/80R22.5"/>
    <s v="XMULTI2D"/>
    <s v="XMULTI2D"/>
    <x v="0"/>
    <n v="21.4"/>
    <n v="110"/>
    <m/>
    <m/>
    <m/>
    <m/>
    <m/>
    <s v="5"/>
    <d v="2024-04-02T00:00:00"/>
    <m/>
    <m/>
    <n v="15"/>
    <m/>
    <n v="15"/>
    <n v="15"/>
    <s v="st"/>
    <n v="6.3999999999999986"/>
    <n v="6"/>
    <n v="6"/>
    <n v="0.71962616822429903"/>
    <n v="0.29906542056074759"/>
    <n v="0.42056074766355145"/>
    <m/>
    <m/>
    <s v=""/>
    <s v=""/>
    <s v=""/>
    <s v=""/>
    <s v=""/>
    <s v=""/>
    <s v=""/>
    <s v=""/>
    <s v=""/>
    <s v=""/>
    <x v="0"/>
    <m/>
    <m/>
    <s v="TC-1105Rodando"/>
  </r>
  <r>
    <x v="6"/>
    <x v="6"/>
    <x v="0"/>
    <x v="1"/>
    <m/>
    <s v="Michelin"/>
    <s v="295/80R22.5"/>
    <s v="XMULTI2D"/>
    <s v="XMULTI2D"/>
    <x v="0"/>
    <n v="21.4"/>
    <n v="110"/>
    <m/>
    <m/>
    <m/>
    <m/>
    <m/>
    <s v="6"/>
    <d v="2024-04-02T00:00:00"/>
    <m/>
    <m/>
    <n v="15"/>
    <m/>
    <n v="15"/>
    <n v="15"/>
    <s v="st"/>
    <n v="6.3999999999999986"/>
    <n v="6"/>
    <n v="6"/>
    <n v="0.71962616822429903"/>
    <n v="0.29906542056074759"/>
    <n v="0.42056074766355145"/>
    <m/>
    <m/>
    <s v=""/>
    <s v=""/>
    <s v=""/>
    <s v=""/>
    <s v=""/>
    <s v=""/>
    <s v=""/>
    <s v=""/>
    <s v=""/>
    <s v=""/>
    <x v="0"/>
    <m/>
    <m/>
    <s v="TC-1106Rodando"/>
  </r>
  <r>
    <x v="6"/>
    <x v="6"/>
    <x v="0"/>
    <x v="1"/>
    <m/>
    <s v="Continental"/>
    <s v="295/80R22.5"/>
    <s v="Reencauche"/>
    <s v="MDE"/>
    <x v="1"/>
    <n v="22"/>
    <n v="110"/>
    <m/>
    <m/>
    <m/>
    <m/>
    <m/>
    <s v="7"/>
    <d v="2024-04-02T00:00:00"/>
    <m/>
    <m/>
    <n v="19"/>
    <m/>
    <n v="19"/>
    <n v="19"/>
    <s v="st"/>
    <n v="3"/>
    <n v="6"/>
    <n v="6"/>
    <n v="0.72727272727272729"/>
    <n v="0.13636363636363635"/>
    <n v="0.59090909090909094"/>
    <m/>
    <m/>
    <s v=""/>
    <s v=""/>
    <s v=""/>
    <s v=""/>
    <s v=""/>
    <s v=""/>
    <s v=""/>
    <s v=""/>
    <s v=""/>
    <s v=""/>
    <x v="0"/>
    <m/>
    <m/>
    <s v="TC-1107Rodando"/>
  </r>
  <r>
    <x v="6"/>
    <x v="6"/>
    <x v="0"/>
    <x v="1"/>
    <m/>
    <s v="Continental"/>
    <s v="295/80R22.5"/>
    <s v="Reencauche"/>
    <s v="MDE"/>
    <x v="1"/>
    <n v="22"/>
    <n v="110"/>
    <m/>
    <m/>
    <m/>
    <m/>
    <m/>
    <s v="8"/>
    <d v="2024-04-02T00:00:00"/>
    <m/>
    <m/>
    <n v="18"/>
    <m/>
    <n v="18"/>
    <n v="18"/>
    <s v="st"/>
    <n v="4"/>
    <n v="6"/>
    <n v="6"/>
    <n v="0.72727272727272729"/>
    <n v="0.18181818181818177"/>
    <n v="0.54545454545454553"/>
    <m/>
    <m/>
    <s v=""/>
    <s v=""/>
    <s v=""/>
    <s v=""/>
    <s v=""/>
    <s v=""/>
    <s v=""/>
    <s v=""/>
    <s v=""/>
    <s v=""/>
    <x v="0"/>
    <m/>
    <m/>
    <s v="TC-1108Rodando"/>
  </r>
  <r>
    <x v="6"/>
    <x v="6"/>
    <x v="0"/>
    <x v="1"/>
    <m/>
    <s v="Continental"/>
    <s v="295/80R22.5"/>
    <s v="Reencauche"/>
    <s v="MDE"/>
    <x v="1"/>
    <n v="22"/>
    <n v="110"/>
    <m/>
    <m/>
    <m/>
    <m/>
    <m/>
    <s v="9"/>
    <d v="2024-04-02T00:00:00"/>
    <m/>
    <m/>
    <n v="18"/>
    <m/>
    <n v="18"/>
    <n v="18"/>
    <s v="st"/>
    <n v="4"/>
    <n v="6"/>
    <n v="6"/>
    <n v="0.72727272727272729"/>
    <n v="0.18181818181818177"/>
    <n v="0.54545454545454553"/>
    <m/>
    <m/>
    <s v=""/>
    <s v=""/>
    <s v=""/>
    <s v=""/>
    <s v=""/>
    <s v=""/>
    <s v=""/>
    <s v=""/>
    <s v=""/>
    <s v=""/>
    <x v="0"/>
    <m/>
    <m/>
    <s v="TC-1109Rodando"/>
  </r>
  <r>
    <x v="6"/>
    <x v="6"/>
    <x v="0"/>
    <x v="1"/>
    <m/>
    <s v="Continental"/>
    <s v="295/80R22.5"/>
    <s v="Reencauche"/>
    <s v="MDE"/>
    <x v="1"/>
    <n v="22"/>
    <n v="110"/>
    <m/>
    <m/>
    <m/>
    <m/>
    <m/>
    <s v="10"/>
    <d v="2024-04-02T00:00:00"/>
    <m/>
    <m/>
    <n v="18"/>
    <m/>
    <n v="18"/>
    <n v="18"/>
    <s v="st"/>
    <n v="4"/>
    <n v="6"/>
    <n v="6"/>
    <n v="0.72727272727272729"/>
    <n v="0.18181818181818177"/>
    <n v="0.54545454545454553"/>
    <m/>
    <m/>
    <s v=""/>
    <s v=""/>
    <s v=""/>
    <s v=""/>
    <s v=""/>
    <s v=""/>
    <s v=""/>
    <s v=""/>
    <s v=""/>
    <s v=""/>
    <x v="0"/>
    <m/>
    <m/>
    <s v="TC-11010Rodando"/>
  </r>
  <r>
    <x v="7"/>
    <x v="7"/>
    <x v="0"/>
    <x v="0"/>
    <m/>
    <s v="Michelin"/>
    <s v="295/80R22.5"/>
    <s v="XMULTI+Z"/>
    <s v="XMULTI+Z"/>
    <x v="0"/>
    <n v="16"/>
    <n v="100"/>
    <m/>
    <m/>
    <m/>
    <m/>
    <m/>
    <s v="1"/>
    <d v="2024-04-02T00:00:00"/>
    <m/>
    <m/>
    <n v="16"/>
    <n v="15"/>
    <n v="16"/>
    <n v="15"/>
    <s v="tm"/>
    <n v="1"/>
    <n v="6"/>
    <n v="6"/>
    <n v="0.625"/>
    <n v="6.25E-2"/>
    <n v="0.5625"/>
    <m/>
    <m/>
    <s v=""/>
    <s v=""/>
    <s v=""/>
    <s v=""/>
    <s v=""/>
    <s v=""/>
    <s v=""/>
    <s v=""/>
    <s v=""/>
    <s v=""/>
    <x v="0"/>
    <m/>
    <m/>
    <s v="TC-2661Rodando"/>
  </r>
  <r>
    <x v="7"/>
    <x v="7"/>
    <x v="0"/>
    <x v="0"/>
    <m/>
    <s v="Michelin"/>
    <s v="295/80R22.5"/>
    <s v="XMULTI+Z"/>
    <s v="XMULTI+Z"/>
    <x v="0"/>
    <n v="16"/>
    <n v="100"/>
    <m/>
    <m/>
    <m/>
    <m/>
    <m/>
    <s v="2"/>
    <d v="2024-04-02T00:00:00"/>
    <m/>
    <m/>
    <n v="13"/>
    <n v="12"/>
    <n v="13"/>
    <n v="12"/>
    <s v="tm"/>
    <n v="4"/>
    <n v="6"/>
    <n v="6"/>
    <n v="0.625"/>
    <n v="0.25"/>
    <n v="0.375"/>
    <m/>
    <m/>
    <s v=""/>
    <s v=""/>
    <s v=""/>
    <s v=""/>
    <s v=""/>
    <s v=""/>
    <s v=""/>
    <s v=""/>
    <s v=""/>
    <s v=""/>
    <x v="0"/>
    <m/>
    <m/>
    <s v="TC-2662Rodando"/>
  </r>
  <r>
    <x v="7"/>
    <x v="7"/>
    <x v="0"/>
    <x v="1"/>
    <m/>
    <s v="Michelin"/>
    <s v="295/80R22.5"/>
    <s v="XMULTI2D"/>
    <s v="XMULTI2D"/>
    <x v="0"/>
    <n v="21.4"/>
    <n v="110"/>
    <m/>
    <m/>
    <m/>
    <m/>
    <m/>
    <s v="3"/>
    <d v="2024-04-02T00:00:00"/>
    <m/>
    <m/>
    <n v="16"/>
    <m/>
    <n v="16"/>
    <n v="16"/>
    <s v="st"/>
    <n v="5.3999999999999986"/>
    <n v="6"/>
    <n v="6"/>
    <n v="0.71962616822429903"/>
    <n v="0.25233644859813076"/>
    <n v="0.46728971962616828"/>
    <m/>
    <m/>
    <s v=""/>
    <s v=""/>
    <s v=""/>
    <s v=""/>
    <s v=""/>
    <s v=""/>
    <s v=""/>
    <s v=""/>
    <s v=""/>
    <s v=""/>
    <x v="0"/>
    <m/>
    <m/>
    <s v="TC-2663Rodando"/>
  </r>
  <r>
    <x v="7"/>
    <x v="7"/>
    <x v="0"/>
    <x v="1"/>
    <m/>
    <s v="Michelin"/>
    <s v="295/80R22.5"/>
    <s v="XMULTI2D"/>
    <s v="XMULTI2D"/>
    <x v="0"/>
    <n v="21.4"/>
    <n v="110"/>
    <m/>
    <m/>
    <m/>
    <m/>
    <m/>
    <s v="4"/>
    <d v="2024-04-02T00:00:00"/>
    <m/>
    <m/>
    <n v="16"/>
    <m/>
    <n v="16"/>
    <n v="16"/>
    <s v="tm"/>
    <n v="5.3999999999999986"/>
    <n v="6"/>
    <n v="6"/>
    <n v="0.71962616822429903"/>
    <n v="0.25233644859813076"/>
    <n v="0.46728971962616828"/>
    <m/>
    <m/>
    <s v=""/>
    <s v=""/>
    <s v=""/>
    <s v=""/>
    <s v=""/>
    <s v=""/>
    <s v=""/>
    <s v=""/>
    <s v=""/>
    <s v=""/>
    <x v="0"/>
    <m/>
    <m/>
    <s v="TC-2664Rodando"/>
  </r>
  <r>
    <x v="7"/>
    <x v="7"/>
    <x v="0"/>
    <x v="1"/>
    <m/>
    <s v="Michelin"/>
    <s v="295/80R22.5"/>
    <s v="XMULTI2D"/>
    <s v="XMULTI2D"/>
    <x v="0"/>
    <n v="21.4"/>
    <n v="110"/>
    <m/>
    <m/>
    <m/>
    <m/>
    <m/>
    <s v="5"/>
    <d v="2024-04-02T00:00:00"/>
    <m/>
    <m/>
    <n v="17"/>
    <m/>
    <n v="17"/>
    <n v="17"/>
    <s v="tm"/>
    <n v="4.3999999999999986"/>
    <n v="6"/>
    <n v="6"/>
    <n v="0.71962616822429903"/>
    <n v="0.20560747663551393"/>
    <n v="0.5140186915887851"/>
    <m/>
    <m/>
    <s v=""/>
    <s v=""/>
    <s v=""/>
    <s v=""/>
    <s v=""/>
    <s v=""/>
    <s v=""/>
    <s v=""/>
    <s v=""/>
    <s v=""/>
    <x v="0"/>
    <m/>
    <m/>
    <s v="TC-2665Rodando"/>
  </r>
  <r>
    <x v="7"/>
    <x v="7"/>
    <x v="0"/>
    <x v="1"/>
    <m/>
    <s v="Michelin"/>
    <s v="295/80R22.5"/>
    <s v="XMULTI2D"/>
    <s v="XMULTI2D"/>
    <x v="0"/>
    <n v="21.4"/>
    <n v="110"/>
    <m/>
    <m/>
    <m/>
    <m/>
    <m/>
    <s v="6"/>
    <d v="2024-04-02T00:00:00"/>
    <m/>
    <m/>
    <n v="17"/>
    <m/>
    <n v="17"/>
    <n v="17"/>
    <s v="st"/>
    <n v="4.3999999999999986"/>
    <n v="6"/>
    <n v="6"/>
    <n v="0.71962616822429903"/>
    <n v="0.20560747663551393"/>
    <n v="0.5140186915887851"/>
    <m/>
    <m/>
    <s v=""/>
    <s v=""/>
    <s v=""/>
    <s v=""/>
    <s v=""/>
    <s v=""/>
    <s v=""/>
    <s v=""/>
    <s v=""/>
    <s v=""/>
    <x v="0"/>
    <m/>
    <m/>
    <s v="TC-2666Rodando"/>
  </r>
  <r>
    <x v="7"/>
    <x v="7"/>
    <x v="0"/>
    <x v="1"/>
    <m/>
    <s v="Michelin"/>
    <s v="295/80R22.5"/>
    <s v="XMULTI2D"/>
    <s v="XMULTI2D"/>
    <x v="0"/>
    <n v="21.4"/>
    <n v="110"/>
    <m/>
    <m/>
    <m/>
    <m/>
    <m/>
    <s v="7"/>
    <d v="2024-04-02T00:00:00"/>
    <m/>
    <m/>
    <n v="17"/>
    <m/>
    <n v="17"/>
    <n v="17"/>
    <s v="tm"/>
    <n v="4.3999999999999986"/>
    <n v="6"/>
    <n v="6"/>
    <n v="0.71962616822429903"/>
    <n v="0.20560747663551393"/>
    <n v="0.5140186915887851"/>
    <m/>
    <m/>
    <s v=""/>
    <s v=""/>
    <s v=""/>
    <s v=""/>
    <s v=""/>
    <s v=""/>
    <s v=""/>
    <s v=""/>
    <s v=""/>
    <s v=""/>
    <x v="0"/>
    <m/>
    <m/>
    <s v="TC-2667Rodando"/>
  </r>
  <r>
    <x v="7"/>
    <x v="7"/>
    <x v="0"/>
    <x v="1"/>
    <m/>
    <s v="Michelin"/>
    <s v="295/80R22.5"/>
    <s v="XMULTI2D"/>
    <s v="XMULTI2D"/>
    <x v="0"/>
    <n v="21.4"/>
    <n v="110"/>
    <m/>
    <m/>
    <m/>
    <m/>
    <m/>
    <s v="8"/>
    <d v="2024-04-02T00:00:00"/>
    <m/>
    <m/>
    <n v="17"/>
    <m/>
    <n v="17"/>
    <n v="17"/>
    <s v="tm"/>
    <n v="4.3999999999999986"/>
    <n v="6"/>
    <n v="6"/>
    <n v="0.71962616822429903"/>
    <n v="0.20560747663551393"/>
    <n v="0.5140186915887851"/>
    <m/>
    <m/>
    <s v=""/>
    <s v=""/>
    <s v=""/>
    <s v=""/>
    <s v=""/>
    <s v=""/>
    <s v=""/>
    <s v=""/>
    <s v=""/>
    <s v=""/>
    <x v="0"/>
    <m/>
    <m/>
    <s v="TC-2668Rodando"/>
  </r>
  <r>
    <x v="7"/>
    <x v="7"/>
    <x v="0"/>
    <x v="1"/>
    <m/>
    <s v="Michelin"/>
    <s v="295/80R22.5"/>
    <s v="XMULTI2D"/>
    <s v="XMULTI2D"/>
    <x v="0"/>
    <n v="21.4"/>
    <n v="110"/>
    <m/>
    <m/>
    <m/>
    <m/>
    <m/>
    <s v="9"/>
    <d v="2024-04-02T00:00:00"/>
    <m/>
    <m/>
    <n v="17"/>
    <m/>
    <n v="17"/>
    <n v="17"/>
    <s v="tm"/>
    <n v="4.3999999999999986"/>
    <n v="6"/>
    <n v="6"/>
    <n v="0.71962616822429903"/>
    <n v="0.20560747663551393"/>
    <n v="0.5140186915887851"/>
    <m/>
    <m/>
    <s v=""/>
    <s v=""/>
    <s v=""/>
    <s v=""/>
    <s v=""/>
    <s v=""/>
    <s v=""/>
    <s v=""/>
    <s v=""/>
    <s v=""/>
    <x v="0"/>
    <m/>
    <m/>
    <s v="TC-2669Rodando"/>
  </r>
  <r>
    <x v="7"/>
    <x v="7"/>
    <x v="0"/>
    <x v="1"/>
    <m/>
    <s v="Michelin"/>
    <s v="295/80R22.5"/>
    <s v="XMULTI2D"/>
    <s v="XMULTI2D"/>
    <x v="0"/>
    <n v="21.4"/>
    <n v="110"/>
    <m/>
    <m/>
    <m/>
    <m/>
    <m/>
    <s v="10"/>
    <d v="2024-04-02T00:00:00"/>
    <m/>
    <m/>
    <n v="17"/>
    <m/>
    <n v="18"/>
    <n v="17"/>
    <s v="tm"/>
    <n v="4.3999999999999986"/>
    <n v="6"/>
    <n v="6"/>
    <n v="0.71962616822429903"/>
    <n v="0.20560747663551393"/>
    <n v="0.5140186915887851"/>
    <m/>
    <m/>
    <s v=""/>
    <s v=""/>
    <s v=""/>
    <s v=""/>
    <s v=""/>
    <s v=""/>
    <s v=""/>
    <s v=""/>
    <s v=""/>
    <s v=""/>
    <x v="0"/>
    <m/>
    <m/>
    <s v="TC-26610Rodando"/>
  </r>
  <r>
    <x v="8"/>
    <x v="8"/>
    <x v="0"/>
    <x v="0"/>
    <m/>
    <s v="Continental"/>
    <s v="295/80R22.5"/>
    <s v="HS3+"/>
    <s v="HS3+"/>
    <x v="0"/>
    <n v="16"/>
    <n v="100"/>
    <m/>
    <m/>
    <m/>
    <m/>
    <m/>
    <s v="1"/>
    <d v="2024-04-02T00:00:00"/>
    <m/>
    <m/>
    <n v="7"/>
    <n v="7"/>
    <n v="9"/>
    <n v="7"/>
    <s v="st"/>
    <n v="9"/>
    <n v="6"/>
    <n v="6"/>
    <n v="0.625"/>
    <n v="0.5625"/>
    <n v="6.25E-2"/>
    <m/>
    <m/>
    <s v=""/>
    <s v=""/>
    <s v=""/>
    <s v=""/>
    <s v=""/>
    <s v=""/>
    <s v=""/>
    <s v=""/>
    <s v=""/>
    <s v=""/>
    <x v="0"/>
    <m/>
    <s v="Alineamiento"/>
    <s v="TC-1121Rodando"/>
  </r>
  <r>
    <x v="8"/>
    <x v="8"/>
    <x v="0"/>
    <x v="0"/>
    <m/>
    <s v="Continental"/>
    <s v="295/80R22.5"/>
    <s v="HS3+"/>
    <s v="HS3+"/>
    <x v="0"/>
    <n v="16"/>
    <n v="100"/>
    <m/>
    <m/>
    <m/>
    <m/>
    <m/>
    <s v="2"/>
    <d v="2024-04-02T00:00:00"/>
    <m/>
    <m/>
    <n v="10"/>
    <n v="10"/>
    <n v="9"/>
    <n v="9"/>
    <s v="st"/>
    <n v="7"/>
    <n v="6"/>
    <n v="6"/>
    <n v="0.625"/>
    <n v="0.4375"/>
    <n v="0.1875"/>
    <m/>
    <m/>
    <s v=""/>
    <s v=""/>
    <s v=""/>
    <s v=""/>
    <s v=""/>
    <s v=""/>
    <s v=""/>
    <s v=""/>
    <s v=""/>
    <s v=""/>
    <x v="0"/>
    <m/>
    <s v="Alineamiento"/>
    <s v="TC-1122Rodando"/>
  </r>
  <r>
    <x v="8"/>
    <x v="8"/>
    <x v="0"/>
    <x v="1"/>
    <m/>
    <s v="Aufine"/>
    <s v="295/80R22.5"/>
    <s v="ADR8"/>
    <s v="ADR8"/>
    <x v="0"/>
    <n v="18"/>
    <n v="110"/>
    <m/>
    <m/>
    <m/>
    <m/>
    <m/>
    <s v="3"/>
    <d v="2024-04-02T00:00:00"/>
    <m/>
    <m/>
    <n v="8"/>
    <m/>
    <n v="10"/>
    <n v="8"/>
    <s v="st"/>
    <n v="10"/>
    <n v="6"/>
    <n v="6"/>
    <n v="0.66666666666666674"/>
    <n v="0.55555555555555558"/>
    <n v="0.11111111111111116"/>
    <m/>
    <m/>
    <s v=""/>
    <s v=""/>
    <s v=""/>
    <s v=""/>
    <s v=""/>
    <s v=""/>
    <s v=""/>
    <s v=""/>
    <s v=""/>
    <s v=""/>
    <x v="0"/>
    <m/>
    <m/>
    <s v="TC-1123Rodando"/>
  </r>
  <r>
    <x v="8"/>
    <x v="8"/>
    <x v="0"/>
    <x v="1"/>
    <m/>
    <s v="Aufine"/>
    <s v="295/80R22.5"/>
    <s v="ADR8"/>
    <s v="ADR8"/>
    <x v="0"/>
    <n v="18"/>
    <n v="110"/>
    <m/>
    <m/>
    <m/>
    <m/>
    <m/>
    <s v="4"/>
    <d v="2024-04-02T00:00:00"/>
    <m/>
    <m/>
    <n v="9"/>
    <m/>
    <n v="10"/>
    <n v="9"/>
    <s v="st"/>
    <n v="9"/>
    <n v="6"/>
    <n v="6"/>
    <n v="0.66666666666666674"/>
    <n v="0.5"/>
    <n v="0.16666666666666674"/>
    <m/>
    <m/>
    <s v=""/>
    <s v=""/>
    <s v=""/>
    <s v=""/>
    <s v=""/>
    <s v=""/>
    <s v=""/>
    <s v=""/>
    <s v=""/>
    <s v=""/>
    <x v="0"/>
    <m/>
    <m/>
    <s v="TC-1124Rodando"/>
  </r>
  <r>
    <x v="8"/>
    <x v="8"/>
    <x v="0"/>
    <x v="1"/>
    <m/>
    <s v="Aufine"/>
    <s v="295/80R22.5"/>
    <s v="ADR8"/>
    <s v="ADR8"/>
    <x v="0"/>
    <n v="18"/>
    <n v="110"/>
    <m/>
    <m/>
    <m/>
    <m/>
    <m/>
    <s v="5"/>
    <d v="2024-04-02T00:00:00"/>
    <m/>
    <m/>
    <n v="8"/>
    <m/>
    <n v="8"/>
    <n v="8"/>
    <s v="st"/>
    <n v="10"/>
    <n v="6"/>
    <n v="6"/>
    <n v="0.66666666666666674"/>
    <n v="0.55555555555555558"/>
    <n v="0.11111111111111116"/>
    <m/>
    <m/>
    <s v=""/>
    <s v=""/>
    <s v=""/>
    <s v=""/>
    <s v=""/>
    <s v=""/>
    <s v=""/>
    <s v=""/>
    <s v=""/>
    <s v=""/>
    <x v="0"/>
    <m/>
    <m/>
    <s v="TC-1125Rodando"/>
  </r>
  <r>
    <x v="8"/>
    <x v="8"/>
    <x v="0"/>
    <x v="1"/>
    <m/>
    <s v="Aufine"/>
    <s v="295/80R22.5"/>
    <s v="ADR8"/>
    <s v="ADR8"/>
    <x v="0"/>
    <n v="18"/>
    <n v="110"/>
    <m/>
    <m/>
    <m/>
    <m/>
    <m/>
    <s v="6"/>
    <d v="2024-04-02T00:00:00"/>
    <m/>
    <m/>
    <n v="8"/>
    <m/>
    <n v="8"/>
    <n v="8"/>
    <s v="st"/>
    <n v="10"/>
    <n v="6"/>
    <n v="6"/>
    <n v="0.66666666666666674"/>
    <n v="0.55555555555555558"/>
    <n v="0.11111111111111116"/>
    <m/>
    <m/>
    <s v=""/>
    <s v=""/>
    <s v=""/>
    <s v=""/>
    <s v=""/>
    <s v=""/>
    <s v=""/>
    <s v=""/>
    <s v=""/>
    <s v=""/>
    <x v="0"/>
    <m/>
    <m/>
    <s v="TC-1126Rodando"/>
  </r>
  <r>
    <x v="8"/>
    <x v="8"/>
    <x v="0"/>
    <x v="1"/>
    <m/>
    <s v="Aufine"/>
    <s v="295/80R22.5"/>
    <s v="ADR8"/>
    <s v="ADR8"/>
    <x v="0"/>
    <n v="18"/>
    <n v="110"/>
    <m/>
    <m/>
    <m/>
    <m/>
    <m/>
    <s v="7"/>
    <d v="2024-04-02T00:00:00"/>
    <m/>
    <m/>
    <n v="5"/>
    <m/>
    <n v="5"/>
    <n v="5"/>
    <s v="st"/>
    <n v="13"/>
    <n v="6"/>
    <n v="5"/>
    <n v="0.66666666666666674"/>
    <n v="0.72222222222222221"/>
    <n v="-5.5555555555555469E-2"/>
    <m/>
    <m/>
    <s v=""/>
    <s v=""/>
    <s v=""/>
    <s v=""/>
    <s v=""/>
    <s v=""/>
    <s v=""/>
    <s v=""/>
    <s v=""/>
    <s v=""/>
    <x v="0"/>
    <m/>
    <m/>
    <s v="TC-1127Rodando"/>
  </r>
  <r>
    <x v="8"/>
    <x v="8"/>
    <x v="0"/>
    <x v="1"/>
    <m/>
    <s v="Aufine"/>
    <s v="295/80R22.5"/>
    <s v="ADR8"/>
    <s v="ADR8"/>
    <x v="0"/>
    <n v="18"/>
    <n v="110"/>
    <m/>
    <m/>
    <m/>
    <m/>
    <m/>
    <s v="8"/>
    <d v="2024-04-02T00:00:00"/>
    <m/>
    <m/>
    <n v="6"/>
    <m/>
    <n v="6"/>
    <n v="6"/>
    <s v="st"/>
    <n v="12"/>
    <n v="6"/>
    <n v="6"/>
    <n v="0.66666666666666674"/>
    <n v="0.66666666666666674"/>
    <n v="0"/>
    <m/>
    <m/>
    <s v=""/>
    <s v=""/>
    <s v=""/>
    <s v=""/>
    <s v=""/>
    <s v=""/>
    <s v=""/>
    <s v=""/>
    <s v=""/>
    <s v=""/>
    <x v="0"/>
    <m/>
    <m/>
    <s v="TC-1128Rodando"/>
  </r>
  <r>
    <x v="8"/>
    <x v="8"/>
    <x v="0"/>
    <x v="1"/>
    <m/>
    <s v="Aufine"/>
    <s v="295/80R22.5"/>
    <s v="ADR8"/>
    <s v="ADR8"/>
    <x v="0"/>
    <n v="18"/>
    <n v="110"/>
    <m/>
    <m/>
    <m/>
    <m/>
    <m/>
    <s v="9"/>
    <d v="2024-04-02T00:00:00"/>
    <m/>
    <m/>
    <n v="5"/>
    <m/>
    <n v="4"/>
    <n v="4"/>
    <s v="st"/>
    <n v="14"/>
    <n v="6"/>
    <n v="4"/>
    <n v="0.66666666666666674"/>
    <n v="0.77777777777777779"/>
    <n v="-0.11111111111111105"/>
    <m/>
    <m/>
    <s v=""/>
    <s v=""/>
    <s v=""/>
    <s v=""/>
    <s v=""/>
    <s v=""/>
    <s v=""/>
    <s v=""/>
    <s v=""/>
    <s v=""/>
    <x v="0"/>
    <m/>
    <m/>
    <s v="TC-1129Rodando"/>
  </r>
  <r>
    <x v="8"/>
    <x v="8"/>
    <x v="0"/>
    <x v="1"/>
    <m/>
    <s v="Aufine"/>
    <s v="295/80R22.5"/>
    <s v="ADR8"/>
    <s v="ADR8"/>
    <x v="0"/>
    <n v="18"/>
    <n v="110"/>
    <m/>
    <m/>
    <m/>
    <m/>
    <m/>
    <s v="10"/>
    <d v="2024-04-02T00:00:00"/>
    <m/>
    <m/>
    <n v="5"/>
    <m/>
    <n v="4"/>
    <n v="4"/>
    <s v="st"/>
    <n v="14"/>
    <n v="6"/>
    <n v="4"/>
    <n v="0.66666666666666674"/>
    <n v="0.77777777777777779"/>
    <n v="-0.11111111111111105"/>
    <m/>
    <m/>
    <s v=""/>
    <s v=""/>
    <s v=""/>
    <s v=""/>
    <s v=""/>
    <s v=""/>
    <s v=""/>
    <s v=""/>
    <s v=""/>
    <s v=""/>
    <x v="0"/>
    <m/>
    <m/>
    <s v="TC-11210Rodando"/>
  </r>
  <r>
    <x v="9"/>
    <x v="9"/>
    <x v="0"/>
    <x v="0"/>
    <s v="2023020062"/>
    <s v="Goodyear"/>
    <s v="295/80R22.5"/>
    <s v="KMAX EXTREME"/>
    <s v="KMAX EXTREME"/>
    <x v="0"/>
    <n v="17.5"/>
    <n v="100"/>
    <m/>
    <m/>
    <m/>
    <m/>
    <m/>
    <s v="1"/>
    <d v="2024-04-02T00:00:00"/>
    <m/>
    <m/>
    <n v="11"/>
    <n v="11"/>
    <n v="11"/>
    <n v="11"/>
    <s v="st"/>
    <n v="6.5"/>
    <n v="6"/>
    <n v="6"/>
    <n v="0.65714285714285714"/>
    <n v="0.37142857142857144"/>
    <n v="0.2857142857142857"/>
    <m/>
    <m/>
    <s v=""/>
    <s v=""/>
    <s v=""/>
    <s v=""/>
    <s v=""/>
    <s v=""/>
    <s v=""/>
    <s v=""/>
    <s v=""/>
    <s v=""/>
    <x v="0"/>
    <m/>
    <m/>
    <s v="TC-1141Rodando"/>
  </r>
  <r>
    <x v="9"/>
    <x v="9"/>
    <x v="0"/>
    <x v="0"/>
    <s v="202362001"/>
    <s v="Goodyear"/>
    <s v="295/80R22.5"/>
    <s v="KMAX EXTREME"/>
    <s v="KMAX EXTREME"/>
    <x v="0"/>
    <n v="17.5"/>
    <n v="100"/>
    <m/>
    <m/>
    <m/>
    <m/>
    <m/>
    <s v="2"/>
    <d v="2024-04-02T00:00:00"/>
    <m/>
    <m/>
    <n v="11"/>
    <n v="12"/>
    <n v="11"/>
    <n v="11"/>
    <s v="st"/>
    <n v="6.5"/>
    <n v="6"/>
    <n v="6"/>
    <n v="0.65714285714285714"/>
    <n v="0.37142857142857144"/>
    <n v="0.2857142857142857"/>
    <m/>
    <m/>
    <s v=""/>
    <s v=""/>
    <s v=""/>
    <s v=""/>
    <s v=""/>
    <s v=""/>
    <s v=""/>
    <s v=""/>
    <s v=""/>
    <s v=""/>
    <x v="0"/>
    <m/>
    <m/>
    <s v="TC-1142Rodando"/>
  </r>
  <r>
    <x v="9"/>
    <x v="9"/>
    <x v="0"/>
    <x v="1"/>
    <s v="23040027"/>
    <s v="Goodyear"/>
    <s v="295/80R22.5"/>
    <s v="KMAXD"/>
    <s v="KMAXD"/>
    <x v="0"/>
    <n v="22.2"/>
    <n v="110"/>
    <m/>
    <m/>
    <m/>
    <m/>
    <m/>
    <s v="3"/>
    <d v="2024-04-02T00:00:00"/>
    <m/>
    <m/>
    <n v="18"/>
    <m/>
    <n v="18"/>
    <n v="18"/>
    <s v="st"/>
    <n v="4.1999999999999993"/>
    <n v="6"/>
    <n v="6"/>
    <n v="0.72972972972972971"/>
    <n v="0.18918918918918914"/>
    <n v="0.54054054054054057"/>
    <m/>
    <m/>
    <s v=""/>
    <s v=""/>
    <s v=""/>
    <s v=""/>
    <s v=""/>
    <s v=""/>
    <s v=""/>
    <s v=""/>
    <s v=""/>
    <s v=""/>
    <x v="0"/>
    <m/>
    <m/>
    <s v="TC-1143Rodando"/>
  </r>
  <r>
    <x v="9"/>
    <x v="9"/>
    <x v="0"/>
    <x v="1"/>
    <m/>
    <s v="Goodyear"/>
    <s v="295/80R22.5"/>
    <s v="KMAXD"/>
    <s v="KMAXD"/>
    <x v="0"/>
    <n v="22.2"/>
    <n v="110"/>
    <m/>
    <m/>
    <m/>
    <m/>
    <m/>
    <s v="4"/>
    <d v="2024-04-02T00:00:00"/>
    <m/>
    <m/>
    <n v="18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1144Rodando"/>
  </r>
  <r>
    <x v="9"/>
    <x v="9"/>
    <x v="0"/>
    <x v="1"/>
    <m/>
    <s v="Goodyear"/>
    <s v="295/80R22.5"/>
    <s v="KMAXD"/>
    <s v="KMAXD"/>
    <x v="0"/>
    <n v="22.2"/>
    <n v="110"/>
    <m/>
    <m/>
    <m/>
    <m/>
    <m/>
    <s v="5"/>
    <d v="2024-04-02T00:00:00"/>
    <m/>
    <m/>
    <n v="17"/>
    <m/>
    <n v="16"/>
    <n v="16"/>
    <s v="st"/>
    <n v="6.1999999999999993"/>
    <n v="6"/>
    <n v="6"/>
    <n v="0.72972972972972971"/>
    <n v="0.2792792792792792"/>
    <n v="0.45045045045045051"/>
    <m/>
    <m/>
    <s v=""/>
    <s v=""/>
    <s v=""/>
    <s v=""/>
    <s v=""/>
    <s v=""/>
    <s v=""/>
    <s v=""/>
    <s v=""/>
    <s v=""/>
    <x v="0"/>
    <m/>
    <m/>
    <s v="TC-1145Rodando"/>
  </r>
  <r>
    <x v="9"/>
    <x v="9"/>
    <x v="0"/>
    <x v="1"/>
    <s v="2023020027"/>
    <s v="Goodyear"/>
    <s v="295/80R22.5"/>
    <s v="KMAXD"/>
    <s v="KMAXD"/>
    <x v="0"/>
    <n v="22.2"/>
    <n v="110"/>
    <m/>
    <m/>
    <m/>
    <m/>
    <m/>
    <s v="6"/>
    <d v="2024-04-02T00:00:00"/>
    <m/>
    <m/>
    <n v="16"/>
    <m/>
    <n v="17"/>
    <n v="16"/>
    <s v="st"/>
    <n v="6.1999999999999993"/>
    <n v="6"/>
    <n v="6"/>
    <n v="0.72972972972972971"/>
    <n v="0.2792792792792792"/>
    <n v="0.45045045045045051"/>
    <m/>
    <m/>
    <s v=""/>
    <s v=""/>
    <s v=""/>
    <s v=""/>
    <s v=""/>
    <s v=""/>
    <s v=""/>
    <s v=""/>
    <s v=""/>
    <s v=""/>
    <x v="0"/>
    <m/>
    <m/>
    <s v="TC-1146Rodando"/>
  </r>
  <r>
    <x v="9"/>
    <x v="9"/>
    <x v="0"/>
    <x v="1"/>
    <s v="2023000021"/>
    <s v="Goodyear"/>
    <s v="295/80R22.5"/>
    <s v="KMAXD"/>
    <s v="KMAXD"/>
    <x v="0"/>
    <n v="22.2"/>
    <n v="110"/>
    <m/>
    <m/>
    <m/>
    <m/>
    <m/>
    <s v="7"/>
    <d v="2024-04-02T00:00:00"/>
    <m/>
    <m/>
    <n v="17"/>
    <m/>
    <n v="16"/>
    <n v="16"/>
    <s v="st"/>
    <n v="6.1999999999999993"/>
    <n v="6"/>
    <n v="6"/>
    <n v="0.72972972972972971"/>
    <n v="0.2792792792792792"/>
    <n v="0.45045045045045051"/>
    <m/>
    <m/>
    <s v=""/>
    <s v=""/>
    <s v=""/>
    <s v=""/>
    <s v=""/>
    <s v=""/>
    <s v=""/>
    <s v=""/>
    <s v=""/>
    <s v=""/>
    <x v="0"/>
    <m/>
    <s v="Desgaste punta talón"/>
    <s v="TC-1147Rodando"/>
  </r>
  <r>
    <x v="9"/>
    <x v="9"/>
    <x v="0"/>
    <x v="1"/>
    <m/>
    <s v="Goodyear"/>
    <s v="295/80R22.5"/>
    <s v="KMAXD"/>
    <s v="KMAXD"/>
    <x v="0"/>
    <n v="22.2"/>
    <n v="110"/>
    <m/>
    <m/>
    <m/>
    <m/>
    <m/>
    <s v="8"/>
    <d v="2024-04-02T00:00:00"/>
    <m/>
    <m/>
    <n v="14"/>
    <m/>
    <n v="15"/>
    <n v="14"/>
    <s v="st"/>
    <n v="8.1999999999999993"/>
    <n v="6"/>
    <n v="6"/>
    <n v="0.72972972972972971"/>
    <n v="0.36936936936936937"/>
    <n v="0.36036036036036034"/>
    <m/>
    <m/>
    <s v=""/>
    <s v=""/>
    <s v=""/>
    <s v=""/>
    <s v=""/>
    <s v=""/>
    <s v=""/>
    <s v=""/>
    <s v=""/>
    <s v=""/>
    <x v="0"/>
    <m/>
    <s v="Desgaste punta talón"/>
    <s v="TC-1148Rodando"/>
  </r>
  <r>
    <x v="9"/>
    <x v="9"/>
    <x v="0"/>
    <x v="1"/>
    <m/>
    <s v="Goodyear"/>
    <s v="295/80R22.5"/>
    <s v="KMAXD"/>
    <s v="KMAXD"/>
    <x v="0"/>
    <n v="22.2"/>
    <n v="110"/>
    <m/>
    <m/>
    <m/>
    <m/>
    <m/>
    <s v="9"/>
    <d v="2024-04-02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s v="Desgaste punta talón"/>
    <s v="TC-1149Rodando"/>
  </r>
  <r>
    <x v="9"/>
    <x v="9"/>
    <x v="0"/>
    <x v="1"/>
    <s v="23040055"/>
    <s v="Goodyear"/>
    <s v="295/80R22.5"/>
    <s v="KMAXD"/>
    <s v="KMAXD"/>
    <x v="0"/>
    <n v="22.2"/>
    <n v="110"/>
    <m/>
    <m/>
    <m/>
    <m/>
    <m/>
    <s v="10"/>
    <d v="2024-04-02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s v="Desgaste punta talón"/>
    <s v="TC-11410Rodando"/>
  </r>
  <r>
    <x v="10"/>
    <x v="10"/>
    <x v="1"/>
    <x v="2"/>
    <m/>
    <s v="Aeolus"/>
    <s v="445/65R22.5"/>
    <s v="AGC28"/>
    <s v="AGC28"/>
    <x v="0"/>
    <n v="16.5"/>
    <n v="110"/>
    <m/>
    <m/>
    <m/>
    <m/>
    <m/>
    <s v="1"/>
    <d v="2024-04-02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161Rodando"/>
  </r>
  <r>
    <x v="10"/>
    <x v="10"/>
    <x v="1"/>
    <x v="2"/>
    <m/>
    <s v="Aeolus"/>
    <s v="445/65R22.5"/>
    <s v="AGC28"/>
    <s v="AGC28"/>
    <x v="0"/>
    <n v="16.5"/>
    <n v="110"/>
    <m/>
    <m/>
    <m/>
    <m/>
    <m/>
    <s v="2"/>
    <d v="2024-04-02T00:00:00"/>
    <m/>
    <m/>
    <n v="14"/>
    <n v="15"/>
    <n v="15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162Rodando"/>
  </r>
  <r>
    <x v="10"/>
    <x v="10"/>
    <x v="1"/>
    <x v="2"/>
    <m/>
    <s v="Aeolus"/>
    <s v="445/65R22.5"/>
    <s v="AGC28"/>
    <s v="AGC28"/>
    <x v="0"/>
    <n v="16.5"/>
    <n v="110"/>
    <m/>
    <m/>
    <m/>
    <m/>
    <m/>
    <s v="3"/>
    <d v="2024-04-02T00:00:00"/>
    <m/>
    <m/>
    <n v="11"/>
    <n v="9"/>
    <n v="9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163Rodando"/>
  </r>
  <r>
    <x v="10"/>
    <x v="10"/>
    <x v="1"/>
    <x v="2"/>
    <m/>
    <s v="Aeolus"/>
    <s v="445/65R22.5"/>
    <s v="AGC28"/>
    <s v="AGC28"/>
    <x v="0"/>
    <n v="16.5"/>
    <n v="110"/>
    <m/>
    <m/>
    <m/>
    <m/>
    <m/>
    <s v="4"/>
    <d v="2024-04-02T00:00:00"/>
    <m/>
    <m/>
    <n v="8"/>
    <n v="7"/>
    <n v="8"/>
    <n v="7"/>
    <s v="st"/>
    <n v="9.5"/>
    <n v="6"/>
    <n v="6"/>
    <n v="0.63636363636363635"/>
    <n v="0.57575757575757569"/>
    <n v="6.0606060606060663E-2"/>
    <m/>
    <m/>
    <s v=""/>
    <s v=""/>
    <s v=""/>
    <s v=""/>
    <s v=""/>
    <s v=""/>
    <s v=""/>
    <s v=""/>
    <s v=""/>
    <s v=""/>
    <x v="0"/>
    <m/>
    <m/>
    <s v="SR-1164Rodando"/>
  </r>
  <r>
    <x v="10"/>
    <x v="10"/>
    <x v="1"/>
    <x v="2"/>
    <m/>
    <s v="Aeolus"/>
    <s v="445/65R22.5"/>
    <s v="AGC28"/>
    <s v="AGC28"/>
    <x v="0"/>
    <n v="16.5"/>
    <n v="110"/>
    <m/>
    <m/>
    <m/>
    <m/>
    <m/>
    <s v="5"/>
    <d v="2024-04-02T00:00:00"/>
    <m/>
    <m/>
    <n v="7"/>
    <n v="6"/>
    <n v="8"/>
    <n v="6"/>
    <s v="st"/>
    <n v="10.5"/>
    <n v="6"/>
    <n v="6"/>
    <n v="0.63636363636363635"/>
    <n v="0.63636363636363635"/>
    <n v="0"/>
    <m/>
    <m/>
    <s v=""/>
    <s v=""/>
    <s v=""/>
    <s v=""/>
    <s v=""/>
    <s v=""/>
    <s v=""/>
    <s v=""/>
    <s v=""/>
    <s v=""/>
    <x v="0"/>
    <m/>
    <m/>
    <s v="SR-1165Rodando"/>
  </r>
  <r>
    <x v="10"/>
    <x v="10"/>
    <x v="1"/>
    <x v="2"/>
    <m/>
    <s v="Aeolus"/>
    <s v="445/65R22.5"/>
    <s v="AGC28"/>
    <s v="AGC28"/>
    <x v="0"/>
    <n v="16.5"/>
    <n v="110"/>
    <m/>
    <m/>
    <m/>
    <m/>
    <m/>
    <s v="6"/>
    <d v="2024-04-02T00:00:00"/>
    <m/>
    <m/>
    <n v="10"/>
    <n v="9"/>
    <n v="10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166Rodando"/>
  </r>
  <r>
    <x v="10"/>
    <x v="10"/>
    <x v="1"/>
    <x v="3"/>
    <s v="0320092"/>
    <s v="Goodyear"/>
    <s v="445/65R22.5"/>
    <s v="OMNITRAC MST2"/>
    <s v="OMNITRAC MST2"/>
    <x v="0"/>
    <n v="15.6"/>
    <n v="110"/>
    <m/>
    <m/>
    <m/>
    <m/>
    <m/>
    <s v="RE"/>
    <d v="2024-04-02T00:00:00"/>
    <m/>
    <m/>
    <n v="7"/>
    <n v="7"/>
    <n v="7"/>
    <n v="7"/>
    <s v="st"/>
    <n v="8.6"/>
    <n v="6"/>
    <n v="6"/>
    <n v="0.61538461538461542"/>
    <n v="0.55128205128205132"/>
    <n v="6.4102564102564097E-2"/>
    <m/>
    <m/>
    <s v=""/>
    <s v=""/>
    <s v=""/>
    <s v=""/>
    <s v=""/>
    <s v=""/>
    <s v=""/>
    <s v=""/>
    <s v=""/>
    <s v=""/>
    <x v="0"/>
    <m/>
    <m/>
    <s v="SR-116RERodando"/>
  </r>
  <r>
    <x v="10"/>
    <x v="10"/>
    <x v="1"/>
    <x v="4"/>
    <s v="116"/>
    <s v="Goodyear"/>
    <s v="295/80R22.5"/>
    <s v="KMAX EXTREME"/>
    <s v="KMAX EXTREME"/>
    <x v="0"/>
    <n v="17.5"/>
    <n v="100"/>
    <m/>
    <m/>
    <m/>
    <m/>
    <m/>
    <s v="RT"/>
    <d v="2024-04-02T00:00:00"/>
    <m/>
    <m/>
    <n v="10"/>
    <n v="10"/>
    <n v="9"/>
    <n v="9"/>
    <s v="st"/>
    <n v="8.5"/>
    <n v="6"/>
    <n v="6"/>
    <n v="0.65714285714285714"/>
    <n v="0.48571428571428577"/>
    <n v="0.17142857142857137"/>
    <m/>
    <m/>
    <s v=""/>
    <s v=""/>
    <s v=""/>
    <s v=""/>
    <s v=""/>
    <s v=""/>
    <s v=""/>
    <s v=""/>
    <s v=""/>
    <s v=""/>
    <x v="0"/>
    <m/>
    <m/>
    <s v="SR-116RTRodando"/>
  </r>
  <r>
    <x v="11"/>
    <x v="11"/>
    <x v="1"/>
    <x v="2"/>
    <m/>
    <s v="Goodyear"/>
    <s v="445/65R22.5"/>
    <s v="Reencauche"/>
    <s v="LZY3"/>
    <x v="1"/>
    <n v="19"/>
    <n v="110"/>
    <m/>
    <m/>
    <m/>
    <m/>
    <m/>
    <s v="1"/>
    <d v="2024-04-02T00:00:00"/>
    <m/>
    <m/>
    <n v="18"/>
    <n v="18"/>
    <n v="18"/>
    <n v="18"/>
    <s v="st"/>
    <n v="1"/>
    <n v="6"/>
    <n v="6"/>
    <n v="0.68421052631578949"/>
    <n v="5.2631578947368474E-2"/>
    <n v="0.63157894736842102"/>
    <m/>
    <m/>
    <s v=""/>
    <s v=""/>
    <s v=""/>
    <s v=""/>
    <s v=""/>
    <s v=""/>
    <s v=""/>
    <s v=""/>
    <s v=""/>
    <s v=""/>
    <x v="0"/>
    <m/>
    <m/>
    <s v="SR-1181Rodando"/>
  </r>
  <r>
    <x v="11"/>
    <x v="11"/>
    <x v="1"/>
    <x v="2"/>
    <m/>
    <s v="Goodyear"/>
    <s v="445/65R22.5"/>
    <s v="Reencauche"/>
    <s v="LZY3"/>
    <x v="1"/>
    <n v="19"/>
    <n v="110"/>
    <m/>
    <m/>
    <m/>
    <m/>
    <m/>
    <s v="2"/>
    <d v="2024-04-02T00:00:00"/>
    <m/>
    <m/>
    <n v="18"/>
    <n v="19"/>
    <n v="18"/>
    <n v="18"/>
    <s v="st"/>
    <n v="1"/>
    <n v="6"/>
    <n v="6"/>
    <n v="0.68421052631578949"/>
    <n v="5.2631578947368474E-2"/>
    <n v="0.63157894736842102"/>
    <m/>
    <m/>
    <s v=""/>
    <s v=""/>
    <s v=""/>
    <s v=""/>
    <s v=""/>
    <s v=""/>
    <s v=""/>
    <s v=""/>
    <s v=""/>
    <s v=""/>
    <x v="0"/>
    <m/>
    <m/>
    <s v="SR-1182Rodando"/>
  </r>
  <r>
    <x v="11"/>
    <x v="11"/>
    <x v="1"/>
    <x v="2"/>
    <m/>
    <s v="Aeolus"/>
    <s v="445/65R22.5"/>
    <s v="AGC28"/>
    <s v="AGC28"/>
    <x v="0"/>
    <n v="16.5"/>
    <n v="110"/>
    <m/>
    <m/>
    <m/>
    <m/>
    <m/>
    <s v="3"/>
    <d v="2024-04-02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183Rodando"/>
  </r>
  <r>
    <x v="11"/>
    <x v="11"/>
    <x v="1"/>
    <x v="2"/>
    <m/>
    <s v="Aeolus"/>
    <s v="445/65R22.5"/>
    <s v="AGC28"/>
    <s v="AGC28"/>
    <x v="0"/>
    <n v="16.5"/>
    <n v="110"/>
    <m/>
    <m/>
    <m/>
    <m/>
    <m/>
    <s v="4"/>
    <d v="2024-04-02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184Rodando"/>
  </r>
  <r>
    <x v="11"/>
    <x v="11"/>
    <x v="1"/>
    <x v="2"/>
    <m/>
    <s v="Aeolus"/>
    <s v="445/65R22.5"/>
    <s v="AGC28"/>
    <s v="AGC28"/>
    <x v="0"/>
    <n v="16.5"/>
    <n v="110"/>
    <m/>
    <m/>
    <m/>
    <m/>
    <m/>
    <s v="5"/>
    <d v="2024-04-02T00:00:00"/>
    <m/>
    <m/>
    <n v="11"/>
    <n v="10"/>
    <n v="11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1185Rodando"/>
  </r>
  <r>
    <x v="11"/>
    <x v="11"/>
    <x v="1"/>
    <x v="2"/>
    <m/>
    <s v="Aeolus"/>
    <s v="445/65R22.5"/>
    <s v="AGC28"/>
    <s v="AGC28"/>
    <x v="0"/>
    <n v="16.5"/>
    <n v="110"/>
    <m/>
    <m/>
    <m/>
    <m/>
    <m/>
    <s v="6"/>
    <d v="2024-04-02T00:00:00"/>
    <m/>
    <m/>
    <n v="11"/>
    <n v="11"/>
    <n v="11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1186Rodando"/>
  </r>
  <r>
    <x v="11"/>
    <x v="11"/>
    <x v="1"/>
    <x v="3"/>
    <m/>
    <s v="Michelin"/>
    <s v="425/65R22.5"/>
    <s v="XZY3"/>
    <s v="XZY3"/>
    <x v="0"/>
    <n v="0"/>
    <n v="110"/>
    <m/>
    <m/>
    <m/>
    <m/>
    <m/>
    <s v="RE"/>
    <d v="2024-04-02T00:00:00"/>
    <m/>
    <m/>
    <n v="9"/>
    <n v="9"/>
    <n v="9"/>
    <n v="9"/>
    <s v="st"/>
    <n v="-9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118RERodando"/>
  </r>
  <r>
    <x v="11"/>
    <x v="11"/>
    <x v="1"/>
    <x v="4"/>
    <m/>
    <s v="Goodyear"/>
    <s v="295/80R22.5"/>
    <s v="KMAX EXTREME"/>
    <s v="KMAX EXTREME"/>
    <x v="0"/>
    <n v="17.5"/>
    <n v="100"/>
    <m/>
    <m/>
    <m/>
    <m/>
    <m/>
    <s v="RT"/>
    <d v="2024-04-02T00:00:00"/>
    <m/>
    <m/>
    <n v="6"/>
    <n v="11"/>
    <n v="11"/>
    <n v="6"/>
    <s v="st"/>
    <n v="11.5"/>
    <n v="6"/>
    <n v="6"/>
    <n v="0.65714285714285714"/>
    <n v="0.65714285714285714"/>
    <n v="0"/>
    <m/>
    <m/>
    <s v=""/>
    <s v=""/>
    <s v=""/>
    <s v=""/>
    <s v=""/>
    <s v=""/>
    <s v=""/>
    <s v=""/>
    <s v=""/>
    <s v=""/>
    <x v="0"/>
    <m/>
    <s v="Alineamiento"/>
    <s v="SR-118RTRodando"/>
  </r>
  <r>
    <x v="12"/>
    <x v="12"/>
    <x v="1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0"/>
    <n v="9"/>
    <n v="9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201Rodando"/>
  </r>
  <r>
    <x v="12"/>
    <x v="12"/>
    <x v="1"/>
    <x v="2"/>
    <s v="204 6"/>
    <s v="Aeolus"/>
    <s v="445/65R22.5"/>
    <s v="AGC28"/>
    <s v="AGC28"/>
    <x v="0"/>
    <n v="16.5"/>
    <n v="110"/>
    <m/>
    <m/>
    <m/>
    <m/>
    <m/>
    <s v="2"/>
    <d v="2024-04-03T00:00:00"/>
    <m/>
    <m/>
    <n v="10"/>
    <n v="10"/>
    <n v="10"/>
    <n v="10"/>
    <s v="tm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1202Rodando"/>
  </r>
  <r>
    <x v="12"/>
    <x v="12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1"/>
    <n v="11"/>
    <n v="11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1203Rodando"/>
  </r>
  <r>
    <x v="12"/>
    <x v="12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2"/>
    <n v="11"/>
    <n v="11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1204Rodando"/>
  </r>
  <r>
    <x v="12"/>
    <x v="12"/>
    <x v="1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9"/>
    <n v="8"/>
    <n v="9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1205Rodando"/>
  </r>
  <r>
    <x v="12"/>
    <x v="12"/>
    <x v="1"/>
    <x v="2"/>
    <s v="130 6"/>
    <s v="Aeolus"/>
    <s v="445/65R22.5"/>
    <s v="AGC28"/>
    <s v="AGC28"/>
    <x v="0"/>
    <n v="16.5"/>
    <n v="110"/>
    <m/>
    <m/>
    <m/>
    <m/>
    <m/>
    <s v="6"/>
    <d v="2024-04-03T00:00:00"/>
    <m/>
    <m/>
    <n v="9"/>
    <n v="8"/>
    <n v="9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1206Rodando"/>
  </r>
  <r>
    <x v="12"/>
    <x v="12"/>
    <x v="1"/>
    <x v="3"/>
    <m/>
    <s v="Michelin"/>
    <s v="425/65R22.5"/>
    <s v="XZY3"/>
    <s v="XZY3"/>
    <x v="0"/>
    <n v="0"/>
    <n v="110"/>
    <m/>
    <m/>
    <m/>
    <m/>
    <m/>
    <s v="RE"/>
    <d v="2024-04-03T00:00:00"/>
    <m/>
    <m/>
    <n v="6"/>
    <n v="6"/>
    <n v="6"/>
    <n v="6"/>
    <s v="st"/>
    <n v="-6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120RERodando"/>
  </r>
  <r>
    <x v="12"/>
    <x v="12"/>
    <x v="1"/>
    <x v="4"/>
    <m/>
    <s v="Michelin"/>
    <s v="295/80R22.5"/>
    <s v="XMULTI2D"/>
    <s v="XMULTI2D"/>
    <x v="0"/>
    <n v="21.4"/>
    <n v="110"/>
    <m/>
    <m/>
    <m/>
    <m/>
    <m/>
    <s v="RT"/>
    <d v="2024-04-03T00:00:00"/>
    <m/>
    <m/>
    <n v="21"/>
    <m/>
    <n v="21"/>
    <n v="21"/>
    <s v="st"/>
    <n v="0.39999999999999858"/>
    <n v="6"/>
    <n v="6"/>
    <n v="0.71962616822429903"/>
    <n v="1.869158878504662E-2"/>
    <n v="0.70093457943925241"/>
    <m/>
    <m/>
    <s v=""/>
    <s v=""/>
    <s v=""/>
    <s v=""/>
    <s v=""/>
    <s v=""/>
    <s v=""/>
    <s v=""/>
    <s v=""/>
    <s v=""/>
    <x v="0"/>
    <m/>
    <m/>
    <s v="SR-120RTRodando"/>
  </r>
  <r>
    <x v="13"/>
    <x v="13"/>
    <x v="0"/>
    <x v="0"/>
    <m/>
    <s v="Michelin"/>
    <s v="295/80R22.5"/>
    <s v="XMULTI+Z"/>
    <s v="XMULTI+Z"/>
    <x v="0"/>
    <n v="16"/>
    <n v="100"/>
    <m/>
    <m/>
    <m/>
    <m/>
    <m/>
    <s v="1"/>
    <d v="2024-04-02T00:00:00"/>
    <m/>
    <m/>
    <n v="14"/>
    <n v="14"/>
    <n v="14"/>
    <n v="14"/>
    <s v="st"/>
    <n v="2"/>
    <n v="6"/>
    <n v="6"/>
    <n v="0.625"/>
    <n v="0.125"/>
    <n v="0.5"/>
    <m/>
    <m/>
    <s v=""/>
    <s v=""/>
    <s v=""/>
    <s v=""/>
    <s v=""/>
    <s v=""/>
    <s v=""/>
    <s v=""/>
    <s v=""/>
    <s v=""/>
    <x v="0"/>
    <m/>
    <m/>
    <s v="TC-1261Rodando"/>
  </r>
  <r>
    <x v="13"/>
    <x v="13"/>
    <x v="0"/>
    <x v="0"/>
    <m/>
    <s v="Michelin"/>
    <s v="295/80R22.5"/>
    <s v="XMULTI+Z"/>
    <s v="XMULTI+Z"/>
    <x v="0"/>
    <n v="16"/>
    <n v="100"/>
    <m/>
    <m/>
    <m/>
    <m/>
    <m/>
    <s v="2"/>
    <d v="2024-04-02T00:00:00"/>
    <m/>
    <m/>
    <n v="14"/>
    <n v="14"/>
    <n v="14"/>
    <n v="14"/>
    <s v="st"/>
    <n v="2"/>
    <n v="6"/>
    <n v="6"/>
    <n v="0.625"/>
    <n v="0.125"/>
    <n v="0.5"/>
    <m/>
    <m/>
    <s v=""/>
    <s v=""/>
    <s v=""/>
    <s v=""/>
    <s v=""/>
    <s v=""/>
    <s v=""/>
    <s v=""/>
    <s v=""/>
    <s v=""/>
    <x v="0"/>
    <m/>
    <m/>
    <s v="TC-1262Rodando"/>
  </r>
  <r>
    <x v="13"/>
    <x v="13"/>
    <x v="0"/>
    <x v="1"/>
    <m/>
    <s v="Goodyear"/>
    <s v="295/80R22.5"/>
    <s v="KMAXD"/>
    <s v="KMAXD"/>
    <x v="0"/>
    <n v="22.2"/>
    <n v="110"/>
    <m/>
    <m/>
    <m/>
    <m/>
    <m/>
    <s v="3"/>
    <d v="2024-04-02T00:00:00"/>
    <m/>
    <m/>
    <n v="22"/>
    <m/>
    <n v="22"/>
    <n v="22"/>
    <s v="st"/>
    <n v="0.19999999999999929"/>
    <n v="6"/>
    <n v="6"/>
    <n v="0.72972972972972971"/>
    <n v="9.009009009009028E-3"/>
    <n v="0.72072072072072069"/>
    <m/>
    <m/>
    <s v=""/>
    <s v=""/>
    <s v=""/>
    <s v=""/>
    <s v=""/>
    <s v=""/>
    <s v=""/>
    <s v=""/>
    <s v=""/>
    <s v=""/>
    <x v="0"/>
    <m/>
    <m/>
    <s v="TC-1263Rodando"/>
  </r>
  <r>
    <x v="13"/>
    <x v="13"/>
    <x v="0"/>
    <x v="1"/>
    <m/>
    <s v="Goodyear"/>
    <s v="295/80R22.5"/>
    <s v="KMAXD"/>
    <s v="KMAXD"/>
    <x v="0"/>
    <n v="22.2"/>
    <n v="110"/>
    <m/>
    <m/>
    <m/>
    <m/>
    <m/>
    <s v="4"/>
    <d v="2024-04-02T00:00:00"/>
    <m/>
    <m/>
    <n v="22"/>
    <m/>
    <n v="22"/>
    <n v="22"/>
    <s v="st"/>
    <n v="0.19999999999999929"/>
    <n v="6"/>
    <n v="6"/>
    <n v="0.72972972972972971"/>
    <n v="9.009009009009028E-3"/>
    <n v="0.72072072072072069"/>
    <m/>
    <m/>
    <s v=""/>
    <s v=""/>
    <s v=""/>
    <s v=""/>
    <s v=""/>
    <s v=""/>
    <s v=""/>
    <s v=""/>
    <s v=""/>
    <s v=""/>
    <x v="0"/>
    <m/>
    <m/>
    <s v="TC-1264Rodando"/>
  </r>
  <r>
    <x v="13"/>
    <x v="13"/>
    <x v="0"/>
    <x v="1"/>
    <m/>
    <s v="Goodyear"/>
    <s v="295/80R22.5"/>
    <s v="KMAXD"/>
    <s v="KMAXD"/>
    <x v="0"/>
    <n v="22.2"/>
    <n v="110"/>
    <m/>
    <m/>
    <m/>
    <m/>
    <m/>
    <s v="5"/>
    <d v="2024-04-02T00:00:00"/>
    <m/>
    <m/>
    <n v="22"/>
    <m/>
    <n v="22"/>
    <n v="22"/>
    <s v="st"/>
    <n v="0.19999999999999929"/>
    <n v="6"/>
    <n v="6"/>
    <n v="0.72972972972972971"/>
    <n v="9.009009009009028E-3"/>
    <n v="0.72072072072072069"/>
    <m/>
    <m/>
    <s v=""/>
    <s v=""/>
    <s v=""/>
    <s v=""/>
    <s v=""/>
    <s v=""/>
    <s v=""/>
    <s v=""/>
    <s v=""/>
    <s v=""/>
    <x v="0"/>
    <m/>
    <m/>
    <s v="TC-1265Rodando"/>
  </r>
  <r>
    <x v="13"/>
    <x v="13"/>
    <x v="0"/>
    <x v="1"/>
    <m/>
    <s v="Goodyear"/>
    <s v="295/80R22.5"/>
    <s v="KMAXD"/>
    <s v="KMAXD"/>
    <x v="0"/>
    <n v="22.2"/>
    <n v="110"/>
    <m/>
    <m/>
    <m/>
    <m/>
    <m/>
    <s v="6"/>
    <d v="2024-04-02T00:00:00"/>
    <m/>
    <m/>
    <n v="22"/>
    <m/>
    <n v="22"/>
    <n v="22"/>
    <s v="st"/>
    <n v="0.19999999999999929"/>
    <n v="6"/>
    <n v="6"/>
    <n v="0.72972972972972971"/>
    <n v="9.009009009009028E-3"/>
    <n v="0.72072072072072069"/>
    <m/>
    <m/>
    <s v=""/>
    <s v=""/>
    <s v=""/>
    <s v=""/>
    <s v=""/>
    <s v=""/>
    <s v=""/>
    <s v=""/>
    <s v=""/>
    <s v=""/>
    <x v="0"/>
    <m/>
    <m/>
    <s v="TC-1266Rodando"/>
  </r>
  <r>
    <x v="13"/>
    <x v="13"/>
    <x v="0"/>
    <x v="1"/>
    <m/>
    <s v="Goodyear"/>
    <s v="295/80R22.5"/>
    <s v="KMAXD"/>
    <s v="KMAXD"/>
    <x v="0"/>
    <n v="22.2"/>
    <n v="110"/>
    <m/>
    <m/>
    <m/>
    <m/>
    <m/>
    <s v="7"/>
    <d v="2024-04-02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1267Rodando"/>
  </r>
  <r>
    <x v="13"/>
    <x v="13"/>
    <x v="0"/>
    <x v="1"/>
    <m/>
    <s v="Goodyear"/>
    <s v="295/80R22.5"/>
    <s v="KMAXD"/>
    <s v="KMAXD"/>
    <x v="0"/>
    <n v="22.2"/>
    <n v="110"/>
    <m/>
    <m/>
    <m/>
    <m/>
    <m/>
    <s v="8"/>
    <d v="2024-04-02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1268Rodando"/>
  </r>
  <r>
    <x v="13"/>
    <x v="13"/>
    <x v="0"/>
    <x v="1"/>
    <m/>
    <s v="Goodyear"/>
    <s v="295/80R22.5"/>
    <s v="KMAXD"/>
    <s v="KMAXD"/>
    <x v="0"/>
    <n v="22.2"/>
    <n v="110"/>
    <m/>
    <m/>
    <m/>
    <m/>
    <m/>
    <s v="9"/>
    <d v="2024-04-02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1269Rodando"/>
  </r>
  <r>
    <x v="13"/>
    <x v="13"/>
    <x v="0"/>
    <x v="1"/>
    <m/>
    <s v="Goodyear"/>
    <s v="295/80R22.5"/>
    <s v="KMAXD"/>
    <s v="KMAXD"/>
    <x v="0"/>
    <n v="22.2"/>
    <n v="110"/>
    <m/>
    <m/>
    <m/>
    <m/>
    <m/>
    <s v="10"/>
    <d v="2024-04-02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12610Rodando"/>
  </r>
  <r>
    <x v="14"/>
    <x v="14"/>
    <x v="1"/>
    <x v="2"/>
    <m/>
    <s v="Aeolus"/>
    <s v="445/65R22.5"/>
    <s v="AGC28"/>
    <s v="AGC28"/>
    <x v="0"/>
    <n v="16.5"/>
    <n v="110"/>
    <m/>
    <m/>
    <m/>
    <m/>
    <m/>
    <s v="1"/>
    <d v="2024-04-02T00:00:00"/>
    <m/>
    <m/>
    <n v="10"/>
    <n v="9"/>
    <n v="10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261Rodando"/>
  </r>
  <r>
    <x v="14"/>
    <x v="14"/>
    <x v="1"/>
    <x v="2"/>
    <m/>
    <s v="Aeolus"/>
    <s v="445/65R22.5"/>
    <s v="AGC28"/>
    <s v="AGC28"/>
    <x v="0"/>
    <n v="16.5"/>
    <n v="110"/>
    <m/>
    <m/>
    <m/>
    <m/>
    <m/>
    <s v="2"/>
    <d v="2024-04-02T00:00:00"/>
    <m/>
    <m/>
    <n v="11"/>
    <n v="10"/>
    <n v="11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1262Rodando"/>
  </r>
  <r>
    <x v="14"/>
    <x v="14"/>
    <x v="1"/>
    <x v="2"/>
    <m/>
    <s v="Aeolus"/>
    <s v="445/65R22.5"/>
    <s v="AGC28"/>
    <s v="AGC28"/>
    <x v="0"/>
    <n v="16.5"/>
    <n v="110"/>
    <m/>
    <m/>
    <m/>
    <m/>
    <m/>
    <s v="3"/>
    <d v="2024-04-02T00:00:00"/>
    <m/>
    <m/>
    <n v="19"/>
    <n v="18"/>
    <n v="18"/>
    <n v="18"/>
    <s v="st"/>
    <n v="-1.5"/>
    <n v="6"/>
    <n v="6"/>
    <n v="0.63636363636363635"/>
    <n v="-9.0909090909090828E-2"/>
    <n v="0.72727272727272718"/>
    <m/>
    <m/>
    <s v=""/>
    <s v=""/>
    <s v=""/>
    <s v=""/>
    <s v=""/>
    <s v=""/>
    <s v=""/>
    <s v=""/>
    <s v=""/>
    <s v=""/>
    <x v="0"/>
    <m/>
    <m/>
    <s v="SR-1263Rodando"/>
  </r>
  <r>
    <x v="14"/>
    <x v="14"/>
    <x v="1"/>
    <x v="2"/>
    <m/>
    <s v="Aeolus"/>
    <s v="445/65R22.5"/>
    <s v="AGC28"/>
    <s v="AGC28"/>
    <x v="0"/>
    <n v="16.5"/>
    <n v="110"/>
    <m/>
    <m/>
    <m/>
    <m/>
    <m/>
    <s v="4"/>
    <d v="2024-04-02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264Rodando"/>
  </r>
  <r>
    <x v="14"/>
    <x v="14"/>
    <x v="1"/>
    <x v="2"/>
    <m/>
    <s v="Aeolus"/>
    <s v="445/65R22.5"/>
    <s v="AGC28"/>
    <s v="AGC28"/>
    <x v="0"/>
    <n v="16.5"/>
    <n v="110"/>
    <m/>
    <m/>
    <m/>
    <m/>
    <m/>
    <s v="5"/>
    <d v="2024-04-02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SR-1265Rodando"/>
  </r>
  <r>
    <x v="14"/>
    <x v="14"/>
    <x v="1"/>
    <x v="2"/>
    <m/>
    <s v="Aeolus"/>
    <s v="445/65R22.5"/>
    <s v="AGC28"/>
    <s v="AGC28"/>
    <x v="0"/>
    <n v="16.5"/>
    <n v="110"/>
    <m/>
    <m/>
    <m/>
    <m/>
    <m/>
    <s v="6"/>
    <d v="2024-04-02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SR-1266Rodando"/>
  </r>
  <r>
    <x v="15"/>
    <x v="15"/>
    <x v="0"/>
    <x v="0"/>
    <m/>
    <s v="Continental"/>
    <s v="295/80R22.5"/>
    <s v="HS3+"/>
    <s v="HS3+"/>
    <x v="0"/>
    <n v="16"/>
    <n v="100"/>
    <m/>
    <m/>
    <m/>
    <m/>
    <m/>
    <s v="1"/>
    <d v="2024-04-03T00:00:00"/>
    <m/>
    <m/>
    <n v="16"/>
    <n v="16"/>
    <n v="16"/>
    <n v="16"/>
    <s v="tm"/>
    <n v="0"/>
    <n v="6"/>
    <n v="6"/>
    <n v="0.625"/>
    <n v="0"/>
    <n v="0.625"/>
    <m/>
    <m/>
    <s v=""/>
    <s v=""/>
    <s v=""/>
    <s v=""/>
    <s v=""/>
    <s v=""/>
    <s v=""/>
    <s v=""/>
    <s v=""/>
    <s v=""/>
    <x v="0"/>
    <m/>
    <m/>
    <s v="TC-1281Rodando"/>
  </r>
  <r>
    <x v="15"/>
    <x v="15"/>
    <x v="0"/>
    <x v="0"/>
    <m/>
    <s v="Continental"/>
    <s v="295/80R22.5"/>
    <s v="HS3+"/>
    <s v="HS3+"/>
    <x v="0"/>
    <n v="16"/>
    <n v="100"/>
    <m/>
    <m/>
    <m/>
    <m/>
    <m/>
    <s v="2"/>
    <d v="2024-04-03T00:00:00"/>
    <m/>
    <m/>
    <n v="16"/>
    <n v="16"/>
    <n v="16"/>
    <n v="16"/>
    <s v="st"/>
    <n v="0"/>
    <n v="6"/>
    <n v="6"/>
    <n v="0.625"/>
    <n v="0"/>
    <n v="0.625"/>
    <m/>
    <m/>
    <s v=""/>
    <s v=""/>
    <s v=""/>
    <s v=""/>
    <s v=""/>
    <s v=""/>
    <s v=""/>
    <s v=""/>
    <s v=""/>
    <s v=""/>
    <x v="0"/>
    <m/>
    <m/>
    <s v="TC-1282Rodando"/>
  </r>
  <r>
    <x v="15"/>
    <x v="15"/>
    <x v="0"/>
    <x v="1"/>
    <m/>
    <s v="Michelin"/>
    <s v="295/80R22.5"/>
    <s v="XMULTI2D"/>
    <s v="XMULTI2D"/>
    <x v="0"/>
    <n v="21.4"/>
    <n v="110"/>
    <m/>
    <m/>
    <m/>
    <m/>
    <m/>
    <s v="3"/>
    <d v="2024-04-03T00:00:00"/>
    <m/>
    <m/>
    <n v="13"/>
    <m/>
    <n v="14"/>
    <n v="13"/>
    <s v="st"/>
    <n v="8.3999999999999986"/>
    <n v="6"/>
    <n v="6"/>
    <n v="0.71962616822429903"/>
    <n v="0.39252336448598124"/>
    <n v="0.32710280373831779"/>
    <m/>
    <m/>
    <s v=""/>
    <s v=""/>
    <s v=""/>
    <s v=""/>
    <s v=""/>
    <s v=""/>
    <s v=""/>
    <s v=""/>
    <s v=""/>
    <s v=""/>
    <x v="0"/>
    <m/>
    <m/>
    <s v="TC-1283Rodando"/>
  </r>
  <r>
    <x v="15"/>
    <x v="15"/>
    <x v="0"/>
    <x v="1"/>
    <m/>
    <s v="Michelin"/>
    <s v="295/80R22.5"/>
    <s v="XMULTI2D"/>
    <s v="XMULTI2D"/>
    <x v="0"/>
    <n v="21.4"/>
    <n v="110"/>
    <m/>
    <m/>
    <m/>
    <m/>
    <m/>
    <s v="4"/>
    <d v="2024-04-03T00:00:00"/>
    <m/>
    <m/>
    <n v="13"/>
    <m/>
    <n v="13"/>
    <n v="13"/>
    <s v="st"/>
    <n v="8.3999999999999986"/>
    <n v="6"/>
    <n v="6"/>
    <n v="0.71962616822429903"/>
    <n v="0.39252336448598124"/>
    <n v="0.32710280373831779"/>
    <m/>
    <m/>
    <s v=""/>
    <s v=""/>
    <s v=""/>
    <s v=""/>
    <s v=""/>
    <s v=""/>
    <s v=""/>
    <s v=""/>
    <s v=""/>
    <s v=""/>
    <x v="0"/>
    <m/>
    <m/>
    <s v="TC-1284Rodando"/>
  </r>
  <r>
    <x v="15"/>
    <x v="15"/>
    <x v="0"/>
    <x v="1"/>
    <m/>
    <s v="Michelin"/>
    <s v="295/80R22.5"/>
    <s v="XMULTI2D"/>
    <s v="XMULTI2D"/>
    <x v="0"/>
    <n v="21.4"/>
    <n v="110"/>
    <m/>
    <m/>
    <m/>
    <m/>
    <m/>
    <s v="5"/>
    <d v="2024-04-03T00:00:00"/>
    <m/>
    <m/>
    <n v="13"/>
    <m/>
    <n v="15"/>
    <n v="13"/>
    <s v="st"/>
    <n v="8.3999999999999986"/>
    <n v="6"/>
    <n v="6"/>
    <n v="0.71962616822429903"/>
    <n v="0.39252336448598124"/>
    <n v="0.32710280373831779"/>
    <m/>
    <m/>
    <s v=""/>
    <s v=""/>
    <s v=""/>
    <s v=""/>
    <s v=""/>
    <s v=""/>
    <s v=""/>
    <s v=""/>
    <s v=""/>
    <s v=""/>
    <x v="0"/>
    <m/>
    <m/>
    <s v="TC-1285Rodando"/>
  </r>
  <r>
    <x v="15"/>
    <x v="15"/>
    <x v="0"/>
    <x v="1"/>
    <m/>
    <s v="Michelin"/>
    <s v="295/80R22.5"/>
    <s v="XMULTI2D"/>
    <s v="XMULTI2D"/>
    <x v="0"/>
    <n v="21.4"/>
    <n v="110"/>
    <m/>
    <m/>
    <m/>
    <m/>
    <m/>
    <s v="6"/>
    <d v="2024-04-03T00:00:00"/>
    <m/>
    <m/>
    <n v="13"/>
    <m/>
    <n v="15"/>
    <n v="13"/>
    <s v="st"/>
    <n v="8.3999999999999986"/>
    <n v="6"/>
    <n v="6"/>
    <n v="0.71962616822429903"/>
    <n v="0.39252336448598124"/>
    <n v="0.32710280373831779"/>
    <m/>
    <m/>
    <s v=""/>
    <s v=""/>
    <s v=""/>
    <s v=""/>
    <s v=""/>
    <s v=""/>
    <s v=""/>
    <s v=""/>
    <s v=""/>
    <s v=""/>
    <x v="0"/>
    <m/>
    <m/>
    <s v="TC-1286Rodando"/>
  </r>
  <r>
    <x v="15"/>
    <x v="15"/>
    <x v="0"/>
    <x v="1"/>
    <m/>
    <s v="Goodyear"/>
    <s v="295/80R22.5"/>
    <s v="Reencauche"/>
    <s v="MDE"/>
    <x v="1"/>
    <n v="22"/>
    <n v="110"/>
    <m/>
    <m/>
    <m/>
    <m/>
    <m/>
    <s v="7"/>
    <d v="2024-04-03T00:00:00"/>
    <m/>
    <m/>
    <n v="8"/>
    <m/>
    <n v="11"/>
    <n v="8"/>
    <s v="st"/>
    <n v="14"/>
    <n v="6"/>
    <n v="6"/>
    <n v="0.72727272727272729"/>
    <n v="0.63636363636363635"/>
    <n v="9.0909090909090939E-2"/>
    <m/>
    <m/>
    <s v=""/>
    <s v=""/>
    <s v=""/>
    <s v=""/>
    <s v=""/>
    <s v=""/>
    <s v=""/>
    <s v=""/>
    <s v=""/>
    <s v=""/>
    <x v="0"/>
    <m/>
    <m/>
    <s v="TC-1287Rodando"/>
  </r>
  <r>
    <x v="15"/>
    <x v="15"/>
    <x v="0"/>
    <x v="1"/>
    <m/>
    <s v="Goodyear"/>
    <s v="295/80R22.5"/>
    <s v="Reencauche"/>
    <s v="MDE"/>
    <x v="1"/>
    <n v="22"/>
    <n v="110"/>
    <m/>
    <m/>
    <m/>
    <m/>
    <m/>
    <s v="8"/>
    <d v="2024-04-03T00:00:00"/>
    <m/>
    <m/>
    <n v="8"/>
    <m/>
    <n v="11"/>
    <n v="8"/>
    <s v="st"/>
    <n v="14"/>
    <n v="6"/>
    <n v="6"/>
    <n v="0.72727272727272729"/>
    <n v="0.63636363636363635"/>
    <n v="9.0909090909090939E-2"/>
    <m/>
    <m/>
    <s v=""/>
    <s v=""/>
    <s v=""/>
    <s v=""/>
    <s v=""/>
    <s v=""/>
    <s v=""/>
    <s v=""/>
    <s v=""/>
    <s v=""/>
    <x v="0"/>
    <m/>
    <m/>
    <s v="TC-1288Rodando"/>
  </r>
  <r>
    <x v="15"/>
    <x v="15"/>
    <x v="0"/>
    <x v="1"/>
    <m/>
    <s v="Michelin"/>
    <s v="295/80R22.5"/>
    <s v="Reencauche"/>
    <s v="MDE"/>
    <x v="1"/>
    <n v="22"/>
    <n v="110"/>
    <m/>
    <m/>
    <m/>
    <m/>
    <m/>
    <s v="9"/>
    <d v="2024-04-03T00:00:00"/>
    <m/>
    <m/>
    <n v="9"/>
    <m/>
    <n v="10"/>
    <n v="9"/>
    <s v="st"/>
    <n v="13"/>
    <n v="6"/>
    <n v="6"/>
    <n v="0.72727272727272729"/>
    <n v="0.59090909090909083"/>
    <n v="0.13636363636363646"/>
    <m/>
    <m/>
    <s v=""/>
    <s v=""/>
    <s v=""/>
    <s v=""/>
    <s v=""/>
    <s v=""/>
    <s v=""/>
    <s v=""/>
    <s v=""/>
    <s v=""/>
    <x v="0"/>
    <m/>
    <m/>
    <s v="TC-1289Rodando"/>
  </r>
  <r>
    <x v="15"/>
    <x v="15"/>
    <x v="0"/>
    <x v="1"/>
    <m/>
    <s v="Michelin"/>
    <s v="295/80R22.5"/>
    <s v="Reencauche"/>
    <s v="MDE"/>
    <x v="1"/>
    <n v="22"/>
    <n v="110"/>
    <m/>
    <m/>
    <m/>
    <m/>
    <m/>
    <s v="10"/>
    <d v="2024-04-03T00:00:00"/>
    <m/>
    <m/>
    <n v="9"/>
    <m/>
    <n v="10"/>
    <n v="9"/>
    <s v="st"/>
    <n v="13"/>
    <n v="6"/>
    <n v="6"/>
    <n v="0.72727272727272729"/>
    <n v="0.59090909090909083"/>
    <n v="0.13636363636363646"/>
    <m/>
    <m/>
    <s v=""/>
    <s v=""/>
    <s v=""/>
    <s v=""/>
    <s v=""/>
    <s v=""/>
    <s v=""/>
    <s v=""/>
    <s v=""/>
    <s v=""/>
    <x v="0"/>
    <m/>
    <m/>
    <s v="TC-12810Rodando"/>
  </r>
  <r>
    <x v="16"/>
    <x v="16"/>
    <x v="1"/>
    <x v="2"/>
    <m/>
    <s v="Michelin"/>
    <s v="425/65R22.5"/>
    <s v="Reencauche"/>
    <s v="LZY3"/>
    <x v="1"/>
    <n v="19"/>
    <n v="110"/>
    <m/>
    <m/>
    <m/>
    <m/>
    <m/>
    <s v="1"/>
    <d v="2024-04-03T00:00:00"/>
    <m/>
    <m/>
    <n v="10"/>
    <n v="9"/>
    <n v="10"/>
    <n v="9"/>
    <s v="st"/>
    <n v="10"/>
    <n v="6"/>
    <n v="6"/>
    <n v="0.68421052631578949"/>
    <n v="0.52631578947368429"/>
    <n v="0.1578947368421052"/>
    <m/>
    <m/>
    <s v=""/>
    <s v=""/>
    <s v=""/>
    <s v=""/>
    <s v=""/>
    <s v=""/>
    <s v=""/>
    <s v=""/>
    <s v=""/>
    <s v=""/>
    <x v="0"/>
    <m/>
    <m/>
    <s v="SR-1281Rodando"/>
  </r>
  <r>
    <x v="16"/>
    <x v="16"/>
    <x v="1"/>
    <x v="2"/>
    <m/>
    <s v="Michelin"/>
    <s v="425/65R22.5"/>
    <s v="Reencauche"/>
    <s v="LZY3"/>
    <x v="1"/>
    <n v="19"/>
    <n v="110"/>
    <m/>
    <m/>
    <m/>
    <m/>
    <m/>
    <s v="2"/>
    <d v="2024-04-03T00:00:00"/>
    <m/>
    <m/>
    <n v="9"/>
    <n v="8"/>
    <n v="9"/>
    <n v="8"/>
    <s v="st"/>
    <n v="11"/>
    <n v="6"/>
    <n v="6"/>
    <n v="0.68421052631578949"/>
    <n v="0.57894736842105265"/>
    <n v="0.10526315789473684"/>
    <m/>
    <m/>
    <s v=""/>
    <s v=""/>
    <s v=""/>
    <s v=""/>
    <s v=""/>
    <s v=""/>
    <s v=""/>
    <s v=""/>
    <s v=""/>
    <s v=""/>
    <x v="0"/>
    <m/>
    <m/>
    <s v="SR-1282Rodando"/>
  </r>
  <r>
    <x v="16"/>
    <x v="16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283Rodando"/>
  </r>
  <r>
    <x v="16"/>
    <x v="16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4"/>
    <n v="14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284Rodando"/>
  </r>
  <r>
    <x v="16"/>
    <x v="16"/>
    <x v="1"/>
    <x v="2"/>
    <m/>
    <s v="Aeolus"/>
    <s v="445/65R22.5"/>
    <s v="Reencauche"/>
    <s v="LZY3"/>
    <x v="4"/>
    <n v="20"/>
    <n v="110"/>
    <m/>
    <m/>
    <m/>
    <m/>
    <m/>
    <s v="5"/>
    <d v="2024-04-03T00:00:00"/>
    <m/>
    <m/>
    <n v="17"/>
    <m/>
    <n v="17"/>
    <n v="17"/>
    <s v="st"/>
    <n v="3"/>
    <n v="6"/>
    <n v="6"/>
    <n v="0.7"/>
    <n v="0.15000000000000002"/>
    <n v="0.54999999999999993"/>
    <m/>
    <m/>
    <s v=""/>
    <s v=""/>
    <s v=""/>
    <s v=""/>
    <s v=""/>
    <s v=""/>
    <s v=""/>
    <s v=""/>
    <s v=""/>
    <s v=""/>
    <x v="0"/>
    <m/>
    <m/>
    <s v="SR-1285Rodando"/>
  </r>
  <r>
    <x v="16"/>
    <x v="16"/>
    <x v="1"/>
    <x v="2"/>
    <m/>
    <s v="Aeolus"/>
    <s v="445/65R22.5"/>
    <s v="Reencauche"/>
    <s v="LZY3"/>
    <x v="4"/>
    <n v="20"/>
    <n v="110"/>
    <m/>
    <m/>
    <m/>
    <m/>
    <m/>
    <s v="6"/>
    <d v="2024-04-03T00:00:00"/>
    <m/>
    <m/>
    <n v="17"/>
    <m/>
    <n v="17"/>
    <n v="17"/>
    <s v="st"/>
    <n v="3"/>
    <n v="6"/>
    <n v="6"/>
    <n v="0.7"/>
    <n v="0.15000000000000002"/>
    <n v="0.54999999999999993"/>
    <m/>
    <m/>
    <s v=""/>
    <s v=""/>
    <s v=""/>
    <s v=""/>
    <s v=""/>
    <s v=""/>
    <s v=""/>
    <s v=""/>
    <s v=""/>
    <s v=""/>
    <x v="0"/>
    <m/>
    <m/>
    <s v="SR-1286Rodando"/>
  </r>
  <r>
    <x v="16"/>
    <x v="16"/>
    <x v="1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28RERodando"/>
  </r>
  <r>
    <x v="16"/>
    <x v="16"/>
    <x v="1"/>
    <x v="4"/>
    <m/>
    <s v="Michelin"/>
    <s v="295/80R22.5"/>
    <s v="XMULTI2D"/>
    <s v="XMULTI2D"/>
    <x v="0"/>
    <n v="21.4"/>
    <n v="110"/>
    <m/>
    <m/>
    <m/>
    <m/>
    <m/>
    <s v="RT"/>
    <d v="2024-04-03T00:00:00"/>
    <m/>
    <m/>
    <n v="7"/>
    <m/>
    <n v="7"/>
    <n v="7"/>
    <s v="st"/>
    <n v="14.399999999999999"/>
    <n v="6"/>
    <n v="6"/>
    <n v="0.71962616822429903"/>
    <n v="0.67289719626168221"/>
    <n v="4.6728971962616828E-2"/>
    <m/>
    <m/>
    <s v=""/>
    <s v=""/>
    <s v=""/>
    <s v=""/>
    <s v=""/>
    <s v=""/>
    <s v=""/>
    <s v=""/>
    <s v=""/>
    <s v=""/>
    <x v="0"/>
    <m/>
    <m/>
    <s v="SR-128RTRodando"/>
  </r>
  <r>
    <x v="17"/>
    <x v="17"/>
    <x v="0"/>
    <x v="0"/>
    <m/>
    <s v="Goodyear"/>
    <s v="295/80R22.5"/>
    <s v="KMAX S"/>
    <s v="KMAX S"/>
    <x v="0"/>
    <n v="15.8"/>
    <n v="100"/>
    <m/>
    <m/>
    <m/>
    <m/>
    <m/>
    <s v="1"/>
    <d v="2024-04-02T00:00:00"/>
    <m/>
    <m/>
    <n v="8"/>
    <n v="10"/>
    <n v="10"/>
    <n v="8"/>
    <s v="st"/>
    <n v="7.8000000000000007"/>
    <n v="6"/>
    <n v="6"/>
    <n v="0.620253164556962"/>
    <n v="0.49367088607594944"/>
    <n v="0.12658227848101256"/>
    <m/>
    <m/>
    <s v=""/>
    <s v=""/>
    <s v=""/>
    <s v=""/>
    <s v=""/>
    <s v=""/>
    <s v=""/>
    <s v=""/>
    <s v=""/>
    <s v=""/>
    <x v="0"/>
    <m/>
    <s v="Alineamiento"/>
    <s v="TC-1301Rodando"/>
  </r>
  <r>
    <x v="17"/>
    <x v="17"/>
    <x v="0"/>
    <x v="0"/>
    <m/>
    <s v="Goodyear"/>
    <s v="295/80R22.5"/>
    <s v="KMAX S"/>
    <s v="KMAX S"/>
    <x v="0"/>
    <n v="15.8"/>
    <n v="100"/>
    <m/>
    <m/>
    <m/>
    <m/>
    <m/>
    <s v="2"/>
    <d v="2024-04-02T00:00:00"/>
    <m/>
    <m/>
    <n v="9"/>
    <n v="11"/>
    <n v="10"/>
    <n v="9"/>
    <s v="st"/>
    <n v="6.8000000000000007"/>
    <n v="6"/>
    <n v="6"/>
    <n v="0.620253164556962"/>
    <n v="0.43037974683544311"/>
    <n v="0.18987341772151889"/>
    <m/>
    <m/>
    <s v=""/>
    <s v=""/>
    <s v=""/>
    <s v=""/>
    <s v=""/>
    <s v=""/>
    <s v=""/>
    <s v=""/>
    <s v=""/>
    <s v=""/>
    <x v="0"/>
    <m/>
    <s v="Alineamiento"/>
    <s v="TC-1302Rodando"/>
  </r>
  <r>
    <x v="17"/>
    <x v="17"/>
    <x v="0"/>
    <x v="1"/>
    <m/>
    <s v="Michelin"/>
    <s v="295/80R22.5"/>
    <s v="Reencauche"/>
    <s v="MDE"/>
    <x v="1"/>
    <n v="22"/>
    <n v="110"/>
    <m/>
    <m/>
    <m/>
    <m/>
    <m/>
    <s v="3"/>
    <d v="2024-04-02T00:00:00"/>
    <m/>
    <m/>
    <n v="21"/>
    <m/>
    <n v="21"/>
    <n v="21"/>
    <s v="st"/>
    <n v="1"/>
    <n v="6"/>
    <n v="6"/>
    <n v="0.72727272727272729"/>
    <n v="4.5454545454545414E-2"/>
    <n v="0.68181818181818188"/>
    <m/>
    <m/>
    <s v=""/>
    <s v=""/>
    <s v=""/>
    <s v=""/>
    <s v=""/>
    <s v=""/>
    <s v=""/>
    <s v=""/>
    <s v=""/>
    <s v=""/>
    <x v="0"/>
    <m/>
    <m/>
    <s v="TC-1303Rodando"/>
  </r>
  <r>
    <x v="17"/>
    <x v="17"/>
    <x v="0"/>
    <x v="1"/>
    <m/>
    <s v="Michelin"/>
    <s v="295/80R22.5"/>
    <s v="Reencauche"/>
    <s v="MDE"/>
    <x v="1"/>
    <n v="22"/>
    <n v="110"/>
    <m/>
    <m/>
    <m/>
    <m/>
    <m/>
    <s v="4"/>
    <d v="2024-04-02T00:00:00"/>
    <m/>
    <m/>
    <n v="21"/>
    <m/>
    <n v="21"/>
    <n v="21"/>
    <s v="st"/>
    <n v="1"/>
    <n v="6"/>
    <n v="6"/>
    <n v="0.72727272727272729"/>
    <n v="4.5454545454545414E-2"/>
    <n v="0.68181818181818188"/>
    <m/>
    <m/>
    <s v=""/>
    <s v=""/>
    <s v=""/>
    <s v=""/>
    <s v=""/>
    <s v=""/>
    <s v=""/>
    <s v=""/>
    <s v=""/>
    <s v=""/>
    <x v="0"/>
    <m/>
    <m/>
    <s v="TC-1304Rodando"/>
  </r>
  <r>
    <x v="17"/>
    <x v="17"/>
    <x v="0"/>
    <x v="1"/>
    <m/>
    <s v="Continental"/>
    <s v="295/80R22.5"/>
    <s v="Reencauche"/>
    <s v="MDE"/>
    <x v="1"/>
    <n v="22"/>
    <n v="110"/>
    <m/>
    <m/>
    <m/>
    <m/>
    <m/>
    <s v="5"/>
    <d v="2024-04-02T00:00:00"/>
    <m/>
    <m/>
    <n v="21"/>
    <m/>
    <n v="21"/>
    <n v="21"/>
    <s v="st"/>
    <n v="1"/>
    <n v="6"/>
    <n v="6"/>
    <n v="0.72727272727272729"/>
    <n v="4.5454545454545414E-2"/>
    <n v="0.68181818181818188"/>
    <m/>
    <m/>
    <s v=""/>
    <s v=""/>
    <s v=""/>
    <s v=""/>
    <s v=""/>
    <s v=""/>
    <s v=""/>
    <s v=""/>
    <s v=""/>
    <s v=""/>
    <x v="0"/>
    <m/>
    <m/>
    <s v="TC-1305Rodando"/>
  </r>
  <r>
    <x v="17"/>
    <x v="17"/>
    <x v="0"/>
    <x v="1"/>
    <m/>
    <s v="Continental"/>
    <s v="295/80R22.5"/>
    <s v="Reencauche"/>
    <s v="MDE"/>
    <x v="1"/>
    <n v="22"/>
    <n v="110"/>
    <m/>
    <m/>
    <m/>
    <m/>
    <m/>
    <s v="6"/>
    <d v="2024-04-02T00:00:00"/>
    <m/>
    <m/>
    <n v="21"/>
    <m/>
    <n v="21"/>
    <n v="21"/>
    <s v="tp"/>
    <n v="1"/>
    <n v="6"/>
    <n v="6"/>
    <n v="0.72727272727272729"/>
    <n v="4.5454545454545414E-2"/>
    <n v="0.68181818181818188"/>
    <m/>
    <m/>
    <s v=""/>
    <s v=""/>
    <s v=""/>
    <s v=""/>
    <s v=""/>
    <s v=""/>
    <s v=""/>
    <s v=""/>
    <s v=""/>
    <s v=""/>
    <x v="0"/>
    <m/>
    <m/>
    <s v="TC-1306Rodando"/>
  </r>
  <r>
    <x v="17"/>
    <x v="17"/>
    <x v="0"/>
    <x v="1"/>
    <m/>
    <s v="Goodyear"/>
    <s v="295/80R22.5"/>
    <s v="KMAXD"/>
    <s v="KMAXD"/>
    <x v="0"/>
    <n v="22.2"/>
    <n v="110"/>
    <m/>
    <m/>
    <m/>
    <m/>
    <m/>
    <s v="7"/>
    <d v="2024-04-02T00:00:00"/>
    <m/>
    <m/>
    <n v="18"/>
    <m/>
    <n v="19"/>
    <n v="18"/>
    <s v="st"/>
    <n v="4.1999999999999993"/>
    <n v="6"/>
    <n v="6"/>
    <n v="0.72972972972972971"/>
    <n v="0.18918918918918914"/>
    <n v="0.54054054054054057"/>
    <m/>
    <m/>
    <s v=""/>
    <s v=""/>
    <s v=""/>
    <s v=""/>
    <s v=""/>
    <s v=""/>
    <s v=""/>
    <s v=""/>
    <s v=""/>
    <s v=""/>
    <x v="0"/>
    <m/>
    <m/>
    <s v="TC-1307Rodando"/>
  </r>
  <r>
    <x v="17"/>
    <x v="17"/>
    <x v="0"/>
    <x v="1"/>
    <m/>
    <s v="Goodyear"/>
    <s v="295/80R22.5"/>
    <s v="KMAXD"/>
    <s v="KMAXD"/>
    <x v="0"/>
    <n v="22.2"/>
    <n v="110"/>
    <m/>
    <m/>
    <m/>
    <m/>
    <m/>
    <s v="8"/>
    <d v="2024-04-02T00:00:00"/>
    <m/>
    <m/>
    <n v="19"/>
    <m/>
    <n v="18"/>
    <n v="18"/>
    <s v="st"/>
    <n v="4.1999999999999993"/>
    <n v="6"/>
    <n v="6"/>
    <n v="0.72972972972972971"/>
    <n v="0.18918918918918914"/>
    <n v="0.54054054054054057"/>
    <m/>
    <m/>
    <s v=""/>
    <s v=""/>
    <s v=""/>
    <s v=""/>
    <s v=""/>
    <s v=""/>
    <s v=""/>
    <s v=""/>
    <s v=""/>
    <s v=""/>
    <x v="0"/>
    <m/>
    <m/>
    <s v="TC-1308Rodando"/>
  </r>
  <r>
    <x v="17"/>
    <x v="17"/>
    <x v="0"/>
    <x v="1"/>
    <m/>
    <s v="Goodyear"/>
    <s v="295/80R22.5"/>
    <s v="KMAXD"/>
    <s v="KMAXD"/>
    <x v="0"/>
    <n v="22.2"/>
    <n v="110"/>
    <m/>
    <m/>
    <m/>
    <m/>
    <m/>
    <s v="9"/>
    <d v="2024-04-02T00:00:00"/>
    <m/>
    <m/>
    <n v="18"/>
    <m/>
    <n v="18"/>
    <n v="18"/>
    <s v="st"/>
    <n v="4.1999999999999993"/>
    <n v="6"/>
    <n v="6"/>
    <n v="0.72972972972972971"/>
    <n v="0.18918918918918914"/>
    <n v="0.54054054054054057"/>
    <m/>
    <m/>
    <s v=""/>
    <s v=""/>
    <s v=""/>
    <s v=""/>
    <s v=""/>
    <s v=""/>
    <s v=""/>
    <s v=""/>
    <s v=""/>
    <s v=""/>
    <x v="0"/>
    <m/>
    <m/>
    <s v="TC-1309Rodando"/>
  </r>
  <r>
    <x v="17"/>
    <x v="17"/>
    <x v="0"/>
    <x v="1"/>
    <m/>
    <s v="Goodyear"/>
    <s v="295/80R22.5"/>
    <s v="KMAXD"/>
    <s v="KMAXD"/>
    <x v="0"/>
    <n v="22.2"/>
    <n v="110"/>
    <m/>
    <m/>
    <m/>
    <m/>
    <m/>
    <s v="10"/>
    <d v="2024-04-02T00:00:00"/>
    <m/>
    <m/>
    <n v="18"/>
    <m/>
    <n v="18"/>
    <n v="18"/>
    <s v="st"/>
    <n v="4.1999999999999993"/>
    <n v="6"/>
    <n v="6"/>
    <n v="0.72972972972972971"/>
    <n v="0.18918918918918914"/>
    <n v="0.54054054054054057"/>
    <m/>
    <m/>
    <s v=""/>
    <s v=""/>
    <s v=""/>
    <s v=""/>
    <s v=""/>
    <s v=""/>
    <s v=""/>
    <s v=""/>
    <s v=""/>
    <s v=""/>
    <x v="0"/>
    <m/>
    <m/>
    <s v="TC-13010Rodando"/>
  </r>
  <r>
    <x v="18"/>
    <x v="18"/>
    <x v="0"/>
    <x v="0"/>
    <s v="2023020006"/>
    <s v="Goodyear"/>
    <s v="295/80R22.5"/>
    <s v="KMAX EXTREME"/>
    <s v="KMAX EXTREME"/>
    <x v="0"/>
    <n v="17.5"/>
    <n v="100"/>
    <m/>
    <m/>
    <m/>
    <m/>
    <m/>
    <s v="1"/>
    <d v="2024-04-02T00:00:00"/>
    <m/>
    <m/>
    <n v="9"/>
    <n v="11"/>
    <n v="9"/>
    <n v="9"/>
    <s v="st"/>
    <n v="8.5"/>
    <n v="6"/>
    <n v="6"/>
    <n v="0.65714285714285714"/>
    <n v="0.48571428571428577"/>
    <n v="0.17142857142857137"/>
    <m/>
    <m/>
    <s v=""/>
    <s v=""/>
    <s v=""/>
    <s v=""/>
    <s v=""/>
    <s v=""/>
    <s v=""/>
    <s v=""/>
    <s v=""/>
    <s v=""/>
    <x v="0"/>
    <m/>
    <s v="Alineamiento"/>
    <s v="TC-1321Rodando"/>
  </r>
  <r>
    <x v="18"/>
    <x v="18"/>
    <x v="0"/>
    <x v="0"/>
    <s v="2023020009"/>
    <s v="Goodyear"/>
    <s v="295/80R22.5"/>
    <s v="KMAX EXTREME"/>
    <s v="KMAX EXTREME"/>
    <x v="0"/>
    <n v="17.5"/>
    <n v="100"/>
    <m/>
    <m/>
    <m/>
    <m/>
    <m/>
    <s v="2"/>
    <d v="2024-04-02T00:00:00"/>
    <m/>
    <m/>
    <n v="11"/>
    <n v="12"/>
    <n v="10"/>
    <n v="10"/>
    <s v="st"/>
    <n v="7.5"/>
    <n v="6"/>
    <n v="6"/>
    <n v="0.65714285714285714"/>
    <n v="0.4285714285714286"/>
    <n v="0.22857142857142854"/>
    <m/>
    <m/>
    <s v=""/>
    <s v=""/>
    <s v=""/>
    <s v=""/>
    <s v=""/>
    <s v=""/>
    <s v=""/>
    <s v=""/>
    <s v=""/>
    <s v=""/>
    <x v="0"/>
    <m/>
    <s v="Alineamiento"/>
    <s v="TC-1322Rodando"/>
  </r>
  <r>
    <x v="18"/>
    <x v="18"/>
    <x v="0"/>
    <x v="1"/>
    <s v="2023020032"/>
    <s v="Michelin"/>
    <s v="295/80R22.5"/>
    <s v="Reencauche"/>
    <s v="MDE"/>
    <x v="1"/>
    <n v="22"/>
    <n v="110"/>
    <m/>
    <m/>
    <m/>
    <m/>
    <m/>
    <s v="3"/>
    <d v="2024-04-02T00:00:00"/>
    <m/>
    <m/>
    <n v="11"/>
    <m/>
    <n v="11"/>
    <n v="11"/>
    <s v="st"/>
    <n v="11"/>
    <n v="6"/>
    <n v="6"/>
    <n v="0.72727272727272729"/>
    <n v="0.5"/>
    <n v="0.22727272727272729"/>
    <m/>
    <m/>
    <s v=""/>
    <s v=""/>
    <s v=""/>
    <s v=""/>
    <s v=""/>
    <s v=""/>
    <s v=""/>
    <s v=""/>
    <s v=""/>
    <s v=""/>
    <x v="0"/>
    <m/>
    <m/>
    <s v="TC-1323Rodando"/>
  </r>
  <r>
    <x v="18"/>
    <x v="18"/>
    <x v="0"/>
    <x v="1"/>
    <m/>
    <s v="Michelin"/>
    <s v="295/80R22.5"/>
    <s v="Reencauche"/>
    <s v="MDE"/>
    <x v="1"/>
    <n v="22"/>
    <n v="110"/>
    <m/>
    <m/>
    <m/>
    <m/>
    <m/>
    <s v="4"/>
    <d v="2024-04-02T00:00:00"/>
    <m/>
    <m/>
    <n v="10"/>
    <m/>
    <n v="9"/>
    <n v="9"/>
    <s v="st"/>
    <n v="13"/>
    <n v="6"/>
    <n v="6"/>
    <n v="0.72727272727272729"/>
    <n v="0.59090909090909083"/>
    <n v="0.13636363636363646"/>
    <m/>
    <m/>
    <s v=""/>
    <s v=""/>
    <s v=""/>
    <s v=""/>
    <s v=""/>
    <s v=""/>
    <s v=""/>
    <s v=""/>
    <s v=""/>
    <s v=""/>
    <x v="0"/>
    <m/>
    <m/>
    <s v="TC-1324Rodando"/>
  </r>
  <r>
    <x v="18"/>
    <x v="18"/>
    <x v="0"/>
    <x v="1"/>
    <m/>
    <s v="Michelin"/>
    <s v="295/80R22.5"/>
    <s v="Reencauche"/>
    <s v="MDE"/>
    <x v="1"/>
    <n v="22"/>
    <n v="110"/>
    <m/>
    <m/>
    <m/>
    <m/>
    <m/>
    <s v="5"/>
    <d v="2024-04-02T00:00:00"/>
    <m/>
    <m/>
    <n v="7"/>
    <m/>
    <n v="7"/>
    <n v="7"/>
    <s v="st"/>
    <n v="15"/>
    <n v="6"/>
    <n v="6"/>
    <n v="0.72727272727272729"/>
    <n v="0.68181818181818188"/>
    <n v="4.5454545454545414E-2"/>
    <m/>
    <m/>
    <s v=""/>
    <s v=""/>
    <s v=""/>
    <s v=""/>
    <s v=""/>
    <s v=""/>
    <s v=""/>
    <s v=""/>
    <s v=""/>
    <s v=""/>
    <x v="0"/>
    <m/>
    <m/>
    <s v="TC-1325Rodando"/>
  </r>
  <r>
    <x v="18"/>
    <x v="18"/>
    <x v="0"/>
    <x v="1"/>
    <s v="2023020024"/>
    <s v="Michelin"/>
    <s v="295/80R22.5"/>
    <s v="XMULTI+Z"/>
    <s v="XMULTI+Z"/>
    <x v="0"/>
    <n v="16"/>
    <n v="110"/>
    <m/>
    <m/>
    <m/>
    <m/>
    <m/>
    <s v="6"/>
    <d v="2024-04-02T00:00:00"/>
    <m/>
    <m/>
    <n v="6"/>
    <m/>
    <n v="7"/>
    <n v="6"/>
    <s v="st"/>
    <n v="10"/>
    <n v="6"/>
    <n v="6"/>
    <n v="0.625"/>
    <n v="0.625"/>
    <n v="0"/>
    <m/>
    <m/>
    <s v=""/>
    <s v=""/>
    <s v=""/>
    <s v=""/>
    <s v=""/>
    <s v=""/>
    <s v=""/>
    <s v=""/>
    <s v=""/>
    <s v=""/>
    <x v="0"/>
    <m/>
    <m/>
    <s v="TC-1326Rodando"/>
  </r>
  <r>
    <x v="18"/>
    <x v="18"/>
    <x v="0"/>
    <x v="1"/>
    <m/>
    <s v="Continental"/>
    <s v="295/80R22.5"/>
    <s v="Reencauche"/>
    <s v="MDE"/>
    <x v="2"/>
    <n v="22"/>
    <n v="110"/>
    <m/>
    <m/>
    <m/>
    <m/>
    <m/>
    <s v="7"/>
    <d v="2024-04-02T00:00:00"/>
    <m/>
    <m/>
    <n v="6"/>
    <m/>
    <n v="6"/>
    <n v="6"/>
    <s v="st"/>
    <n v="16"/>
    <n v="6"/>
    <n v="6"/>
    <n v="0.72727272727272729"/>
    <n v="0.72727272727272729"/>
    <n v="0"/>
    <m/>
    <m/>
    <s v=""/>
    <s v=""/>
    <s v=""/>
    <s v=""/>
    <s v=""/>
    <s v=""/>
    <s v=""/>
    <s v=""/>
    <s v=""/>
    <s v=""/>
    <x v="0"/>
    <m/>
    <m/>
    <s v="TC-1327Rodando"/>
  </r>
  <r>
    <x v="18"/>
    <x v="18"/>
    <x v="0"/>
    <x v="1"/>
    <m/>
    <s v="Continental"/>
    <s v="295/80R22.5"/>
    <s v="Reencauche"/>
    <s v="MDE"/>
    <x v="1"/>
    <n v="22"/>
    <n v="110"/>
    <m/>
    <m/>
    <m/>
    <m/>
    <m/>
    <s v="8"/>
    <d v="2024-04-02T00:00:00"/>
    <m/>
    <m/>
    <n v="5"/>
    <m/>
    <n v="4"/>
    <n v="4"/>
    <s v="st"/>
    <n v="18"/>
    <n v="6"/>
    <n v="4"/>
    <n v="0.72727272727272729"/>
    <n v="0.81818181818181812"/>
    <n v="-9.0909090909090828E-2"/>
    <m/>
    <m/>
    <s v=""/>
    <s v=""/>
    <s v=""/>
    <s v=""/>
    <s v=""/>
    <s v=""/>
    <s v=""/>
    <s v=""/>
    <s v=""/>
    <s v=""/>
    <x v="0"/>
    <m/>
    <m/>
    <s v="TC-1328Rodando"/>
  </r>
  <r>
    <x v="18"/>
    <x v="18"/>
    <x v="0"/>
    <x v="1"/>
    <s v="23640022"/>
    <s v="Michelin"/>
    <s v="295/80R22.5"/>
    <s v="Reencauche"/>
    <s v="MDE"/>
    <x v="1"/>
    <n v="22"/>
    <n v="110"/>
    <m/>
    <m/>
    <m/>
    <m/>
    <m/>
    <s v="9"/>
    <d v="2024-04-02T00:00:00"/>
    <m/>
    <m/>
    <n v="10"/>
    <m/>
    <n v="10"/>
    <n v="10"/>
    <s v="st"/>
    <n v="12"/>
    <n v="6"/>
    <n v="6"/>
    <n v="0.72727272727272729"/>
    <n v="0.54545454545454541"/>
    <n v="0.18181818181818188"/>
    <m/>
    <m/>
    <s v=""/>
    <s v=""/>
    <s v=""/>
    <s v=""/>
    <s v=""/>
    <s v=""/>
    <s v=""/>
    <s v=""/>
    <s v=""/>
    <s v=""/>
    <x v="0"/>
    <m/>
    <m/>
    <s v="TC-1329Rodando"/>
  </r>
  <r>
    <x v="18"/>
    <x v="18"/>
    <x v="0"/>
    <x v="1"/>
    <s v="23040022"/>
    <s v="Michelin"/>
    <s v="295/80R22.5"/>
    <s v="Reencauche"/>
    <s v="MDE"/>
    <x v="1"/>
    <n v="22"/>
    <n v="110"/>
    <m/>
    <m/>
    <m/>
    <m/>
    <m/>
    <s v="10"/>
    <d v="2024-04-02T00:00:00"/>
    <m/>
    <m/>
    <n v="8"/>
    <m/>
    <n v="7"/>
    <n v="7"/>
    <s v="st"/>
    <n v="15"/>
    <n v="6"/>
    <n v="6"/>
    <n v="0.72727272727272729"/>
    <n v="0.68181818181818188"/>
    <n v="4.5454545454545414E-2"/>
    <m/>
    <m/>
    <s v=""/>
    <s v=""/>
    <s v=""/>
    <s v=""/>
    <s v=""/>
    <s v=""/>
    <s v=""/>
    <s v=""/>
    <s v=""/>
    <s v=""/>
    <x v="0"/>
    <m/>
    <m/>
    <s v="TC-13210Rodando"/>
  </r>
  <r>
    <x v="19"/>
    <x v="19"/>
    <x v="0"/>
    <x v="0"/>
    <m/>
    <s v="Michelin"/>
    <s v="295/80R22.5"/>
    <s v="XMULTI+Z"/>
    <s v="XMULTI+Z"/>
    <x v="0"/>
    <n v="16"/>
    <n v="100"/>
    <m/>
    <m/>
    <m/>
    <m/>
    <m/>
    <s v="1"/>
    <d v="2024-04-03T00:00:00"/>
    <m/>
    <m/>
    <n v="6"/>
    <n v="8"/>
    <n v="7"/>
    <n v="6"/>
    <s v="st"/>
    <n v="10"/>
    <n v="6"/>
    <n v="6"/>
    <n v="0.625"/>
    <n v="0.625"/>
    <n v="0"/>
    <m/>
    <m/>
    <s v=""/>
    <s v=""/>
    <s v=""/>
    <s v=""/>
    <s v=""/>
    <s v=""/>
    <s v=""/>
    <s v=""/>
    <s v=""/>
    <s v=""/>
    <x v="0"/>
    <m/>
    <s v="Alineamiento"/>
    <s v="TC-1341Rodando"/>
  </r>
  <r>
    <x v="19"/>
    <x v="19"/>
    <x v="0"/>
    <x v="0"/>
    <m/>
    <s v="Michelin"/>
    <s v="295/80R22.5"/>
    <s v="XMULTI+Z"/>
    <s v="XMULTI+Z"/>
    <x v="0"/>
    <n v="16"/>
    <n v="100"/>
    <m/>
    <m/>
    <m/>
    <m/>
    <m/>
    <s v="2"/>
    <d v="2024-04-03T00:00:00"/>
    <m/>
    <m/>
    <n v="10"/>
    <n v="12"/>
    <n v="11"/>
    <n v="10"/>
    <s v="tm"/>
    <n v="6"/>
    <n v="6"/>
    <n v="6"/>
    <n v="0.625"/>
    <n v="0.375"/>
    <n v="0.25"/>
    <m/>
    <m/>
    <s v=""/>
    <s v=""/>
    <s v=""/>
    <s v=""/>
    <s v=""/>
    <s v=""/>
    <s v=""/>
    <s v=""/>
    <s v=""/>
    <s v=""/>
    <x v="0"/>
    <m/>
    <s v="Alineamiento"/>
    <s v="TC-1342Rodando"/>
  </r>
  <r>
    <x v="19"/>
    <x v="19"/>
    <x v="0"/>
    <x v="1"/>
    <m/>
    <s v="Michelin"/>
    <s v="295/80R22.5"/>
    <s v="Reencauche"/>
    <s v="MDE"/>
    <x v="1"/>
    <n v="22"/>
    <n v="110"/>
    <m/>
    <m/>
    <m/>
    <m/>
    <m/>
    <s v="3"/>
    <d v="2024-04-03T00:00:00"/>
    <m/>
    <m/>
    <n v="12"/>
    <m/>
    <n v="12"/>
    <n v="12"/>
    <s v="st"/>
    <n v="10"/>
    <n v="6"/>
    <n v="6"/>
    <n v="0.72727272727272729"/>
    <n v="0.45454545454545459"/>
    <n v="0.27272727272727271"/>
    <m/>
    <m/>
    <s v=""/>
    <s v=""/>
    <s v=""/>
    <s v=""/>
    <s v=""/>
    <s v=""/>
    <s v=""/>
    <s v=""/>
    <s v=""/>
    <s v=""/>
    <x v="0"/>
    <m/>
    <m/>
    <s v="TC-1343Rodando"/>
  </r>
  <r>
    <x v="19"/>
    <x v="19"/>
    <x v="0"/>
    <x v="1"/>
    <m/>
    <s v="Michelin"/>
    <s v="295/80R22.5"/>
    <s v="Reencauche"/>
    <s v="MDE"/>
    <x v="1"/>
    <n v="22"/>
    <n v="110"/>
    <m/>
    <m/>
    <m/>
    <m/>
    <m/>
    <s v="4"/>
    <d v="2024-04-03T00:00:00"/>
    <m/>
    <m/>
    <n v="12"/>
    <m/>
    <n v="12"/>
    <n v="12"/>
    <s v="st"/>
    <n v="10"/>
    <n v="6"/>
    <n v="6"/>
    <n v="0.72727272727272729"/>
    <n v="0.45454545454545459"/>
    <n v="0.27272727272727271"/>
    <m/>
    <m/>
    <s v=""/>
    <s v=""/>
    <s v=""/>
    <s v=""/>
    <s v=""/>
    <s v=""/>
    <s v=""/>
    <s v=""/>
    <s v=""/>
    <s v=""/>
    <x v="0"/>
    <m/>
    <m/>
    <s v="TC-1344Rodando"/>
  </r>
  <r>
    <x v="19"/>
    <x v="19"/>
    <x v="0"/>
    <x v="1"/>
    <m/>
    <s v="Michelin"/>
    <s v="295/80R22.5"/>
    <s v="Reencauche"/>
    <s v="MDE"/>
    <x v="1"/>
    <n v="22"/>
    <n v="110"/>
    <m/>
    <m/>
    <m/>
    <m/>
    <m/>
    <s v="5"/>
    <d v="2024-04-03T00:00:00"/>
    <m/>
    <m/>
    <n v="12"/>
    <m/>
    <n v="12"/>
    <n v="12"/>
    <s v="st"/>
    <n v="10"/>
    <n v="6"/>
    <n v="6"/>
    <n v="0.72727272727272729"/>
    <n v="0.45454545454545459"/>
    <n v="0.27272727272727271"/>
    <m/>
    <m/>
    <s v=""/>
    <s v=""/>
    <s v=""/>
    <s v=""/>
    <s v=""/>
    <s v=""/>
    <s v=""/>
    <s v=""/>
    <s v=""/>
    <s v=""/>
    <x v="0"/>
    <m/>
    <m/>
    <s v="TC-1345Rodando"/>
  </r>
  <r>
    <x v="19"/>
    <x v="19"/>
    <x v="0"/>
    <x v="1"/>
    <m/>
    <s v="Michelin"/>
    <s v="295/80R22.5"/>
    <s v="Reencauche"/>
    <s v="MDE"/>
    <x v="1"/>
    <n v="22"/>
    <n v="110"/>
    <m/>
    <m/>
    <m/>
    <m/>
    <m/>
    <s v="6"/>
    <d v="2024-04-03T00:00:00"/>
    <m/>
    <m/>
    <n v="12"/>
    <m/>
    <n v="12"/>
    <n v="12"/>
    <s v="st"/>
    <n v="10"/>
    <n v="6"/>
    <n v="6"/>
    <n v="0.72727272727272729"/>
    <n v="0.45454545454545459"/>
    <n v="0.27272727272727271"/>
    <m/>
    <m/>
    <s v=""/>
    <s v=""/>
    <s v=""/>
    <s v=""/>
    <s v=""/>
    <s v=""/>
    <s v=""/>
    <s v=""/>
    <s v=""/>
    <s v=""/>
    <x v="0"/>
    <m/>
    <m/>
    <s v="TC-1346Rodando"/>
  </r>
  <r>
    <x v="19"/>
    <x v="19"/>
    <x v="0"/>
    <x v="1"/>
    <m/>
    <s v="Michelin"/>
    <s v="295/80R22.5"/>
    <s v="Reencauche"/>
    <s v="MDE"/>
    <x v="2"/>
    <n v="22"/>
    <n v="110"/>
    <m/>
    <m/>
    <m/>
    <m/>
    <m/>
    <s v="7"/>
    <d v="2024-04-03T00:00:00"/>
    <m/>
    <m/>
    <n v="5"/>
    <m/>
    <n v="5"/>
    <n v="5"/>
    <s v="st"/>
    <n v="17"/>
    <n v="6"/>
    <n v="5"/>
    <n v="0.72727272727272729"/>
    <n v="0.77272727272727271"/>
    <n v="-4.5454545454545414E-2"/>
    <m/>
    <m/>
    <s v=""/>
    <s v=""/>
    <s v=""/>
    <s v=""/>
    <s v=""/>
    <s v=""/>
    <s v=""/>
    <s v=""/>
    <s v=""/>
    <s v=""/>
    <x v="0"/>
    <m/>
    <m/>
    <s v="TC-1347Rodando"/>
  </r>
  <r>
    <x v="19"/>
    <x v="19"/>
    <x v="0"/>
    <x v="1"/>
    <m/>
    <s v="Michelin"/>
    <s v="295/80R22.5"/>
    <s v="Reencauche"/>
    <s v="MDE"/>
    <x v="1"/>
    <n v="22"/>
    <n v="110"/>
    <m/>
    <m/>
    <m/>
    <m/>
    <m/>
    <s v="8"/>
    <d v="2024-04-03T00:00:00"/>
    <m/>
    <m/>
    <n v="5"/>
    <m/>
    <n v="6"/>
    <n v="5"/>
    <s v="st"/>
    <n v="17"/>
    <n v="6"/>
    <n v="5"/>
    <n v="0.72727272727272729"/>
    <n v="0.77272727272727271"/>
    <n v="-4.5454545454545414E-2"/>
    <m/>
    <m/>
    <s v=""/>
    <s v=""/>
    <s v=""/>
    <s v=""/>
    <s v=""/>
    <s v=""/>
    <s v=""/>
    <s v=""/>
    <s v=""/>
    <s v=""/>
    <x v="0"/>
    <m/>
    <m/>
    <s v="TC-1348Rodando"/>
  </r>
  <r>
    <x v="19"/>
    <x v="19"/>
    <x v="0"/>
    <x v="1"/>
    <m/>
    <s v="Michelin"/>
    <s v="295/80R22.5"/>
    <s v="Reencauche"/>
    <s v="MDE"/>
    <x v="1"/>
    <n v="22"/>
    <n v="110"/>
    <m/>
    <m/>
    <m/>
    <m/>
    <m/>
    <s v="9"/>
    <d v="2024-04-03T00:00:00"/>
    <m/>
    <m/>
    <n v="6"/>
    <m/>
    <n v="8"/>
    <n v="6"/>
    <s v="st"/>
    <n v="16"/>
    <n v="6"/>
    <n v="6"/>
    <n v="0.72727272727272729"/>
    <n v="0.72727272727272729"/>
    <n v="0"/>
    <m/>
    <m/>
    <s v=""/>
    <s v=""/>
    <s v=""/>
    <s v=""/>
    <s v=""/>
    <s v=""/>
    <s v=""/>
    <s v=""/>
    <s v=""/>
    <s v=""/>
    <x v="0"/>
    <m/>
    <m/>
    <s v="TC-1349Rodando"/>
  </r>
  <r>
    <x v="19"/>
    <x v="19"/>
    <x v="0"/>
    <x v="1"/>
    <m/>
    <s v="Michelin"/>
    <s v="295/80R22.5"/>
    <s v="Reencauche"/>
    <s v="MDE"/>
    <x v="2"/>
    <n v="22"/>
    <n v="110"/>
    <m/>
    <m/>
    <m/>
    <m/>
    <m/>
    <s v="10"/>
    <d v="2024-04-03T00:00:00"/>
    <m/>
    <m/>
    <n v="6"/>
    <m/>
    <n v="6"/>
    <n v="6"/>
    <s v="st"/>
    <n v="16"/>
    <n v="6"/>
    <n v="6"/>
    <n v="0.72727272727272729"/>
    <n v="0.72727272727272729"/>
    <n v="0"/>
    <m/>
    <m/>
    <s v=""/>
    <s v=""/>
    <s v=""/>
    <s v=""/>
    <s v=""/>
    <s v=""/>
    <s v=""/>
    <s v=""/>
    <s v=""/>
    <s v=""/>
    <x v="0"/>
    <m/>
    <m/>
    <s v="TC-13410Rodando"/>
  </r>
  <r>
    <x v="20"/>
    <x v="20"/>
    <x v="1"/>
    <x v="2"/>
    <s v="134 1"/>
    <s v="Aeolus"/>
    <s v="445/65R22.5"/>
    <s v="AGC28"/>
    <s v="AGC28"/>
    <x v="0"/>
    <n v="16.5"/>
    <n v="110"/>
    <m/>
    <m/>
    <m/>
    <m/>
    <m/>
    <s v="1"/>
    <d v="2024-04-03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1341Rodando"/>
  </r>
  <r>
    <x v="20"/>
    <x v="20"/>
    <x v="1"/>
    <x v="2"/>
    <s v="134 2"/>
    <s v="Aeolus"/>
    <s v="445/65R22.5"/>
    <s v="AGC28"/>
    <s v="AGC28"/>
    <x v="0"/>
    <n v="16.5"/>
    <n v="110"/>
    <m/>
    <m/>
    <m/>
    <m/>
    <m/>
    <s v="2"/>
    <d v="2024-04-03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1342Rodando"/>
  </r>
  <r>
    <x v="20"/>
    <x v="20"/>
    <x v="1"/>
    <x v="2"/>
    <s v="134 4"/>
    <s v="Aeolus"/>
    <s v="445/65R22.5"/>
    <s v="AGC28"/>
    <s v="AGC28"/>
    <x v="0"/>
    <n v="16.5"/>
    <n v="110"/>
    <m/>
    <m/>
    <m/>
    <m/>
    <m/>
    <s v="3"/>
    <d v="2024-04-03T00:00:00"/>
    <m/>
    <m/>
    <n v="11"/>
    <n v="11"/>
    <n v="11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1343Rodando"/>
  </r>
  <r>
    <x v="20"/>
    <x v="20"/>
    <x v="1"/>
    <x v="2"/>
    <s v="134 3"/>
    <s v="Aeolus"/>
    <s v="445/65R22.5"/>
    <s v="AGC28"/>
    <s v="AGC28"/>
    <x v="0"/>
    <n v="16.5"/>
    <n v="110"/>
    <m/>
    <m/>
    <m/>
    <m/>
    <m/>
    <s v="4"/>
    <d v="2024-04-03T00:00:00"/>
    <m/>
    <m/>
    <n v="10"/>
    <n v="9"/>
    <n v="9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344Rodando"/>
  </r>
  <r>
    <x v="20"/>
    <x v="20"/>
    <x v="1"/>
    <x v="2"/>
    <s v="134 6"/>
    <s v="Aeolus"/>
    <s v="445/65R22.5"/>
    <s v="AGC28"/>
    <s v="AGC28"/>
    <x v="0"/>
    <n v="16.5"/>
    <n v="110"/>
    <m/>
    <m/>
    <m/>
    <m/>
    <m/>
    <s v="5"/>
    <d v="2024-04-03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345Rodando"/>
  </r>
  <r>
    <x v="20"/>
    <x v="20"/>
    <x v="1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346Rodando"/>
  </r>
  <r>
    <x v="20"/>
    <x v="20"/>
    <x v="1"/>
    <x v="3"/>
    <m/>
    <s v="Goodyear"/>
    <s v="445/65R22.5"/>
    <s v="OMNITRAC MST2"/>
    <s v="OMNITRAC MST2"/>
    <x v="0"/>
    <n v="15.6"/>
    <n v="110"/>
    <m/>
    <m/>
    <m/>
    <m/>
    <m/>
    <s v="RE"/>
    <d v="2024-04-03T00:00:00"/>
    <m/>
    <m/>
    <n v="9"/>
    <n v="9"/>
    <n v="9"/>
    <n v="9"/>
    <s v="st"/>
    <n v="6.6"/>
    <n v="6"/>
    <n v="6"/>
    <n v="0.61538461538461542"/>
    <n v="0.42307692307692302"/>
    <n v="0.1923076923076924"/>
    <m/>
    <m/>
    <s v=""/>
    <s v=""/>
    <s v=""/>
    <s v=""/>
    <s v=""/>
    <s v=""/>
    <s v=""/>
    <s v=""/>
    <s v=""/>
    <s v=""/>
    <x v="0"/>
    <m/>
    <m/>
    <s v="SR-134RERodando"/>
  </r>
  <r>
    <x v="20"/>
    <x v="20"/>
    <x v="1"/>
    <x v="4"/>
    <m/>
    <s v="Goodyear"/>
    <s v="295/80R22.5"/>
    <s v="KMAX S"/>
    <s v="KMAX S"/>
    <x v="0"/>
    <n v="15.8"/>
    <n v="100"/>
    <m/>
    <m/>
    <m/>
    <m/>
    <m/>
    <s v="RT"/>
    <d v="2024-04-03T00:00:00"/>
    <m/>
    <m/>
    <n v="11"/>
    <n v="12"/>
    <n v="11"/>
    <n v="11"/>
    <s v="st"/>
    <n v="4.8000000000000007"/>
    <n v="6"/>
    <n v="6"/>
    <n v="0.620253164556962"/>
    <n v="0.30379746835443044"/>
    <n v="0.31645569620253156"/>
    <m/>
    <m/>
    <s v=""/>
    <s v=""/>
    <s v=""/>
    <s v=""/>
    <s v=""/>
    <s v=""/>
    <s v=""/>
    <s v=""/>
    <s v=""/>
    <s v=""/>
    <x v="0"/>
    <m/>
    <m/>
    <s v="SR-134RTRodando"/>
  </r>
  <r>
    <x v="21"/>
    <x v="21"/>
    <x v="0"/>
    <x v="0"/>
    <m/>
    <s v="Continental"/>
    <s v="295/80R22.5"/>
    <s v="HS3+"/>
    <s v="HS3+"/>
    <x v="0"/>
    <n v="16"/>
    <n v="100"/>
    <m/>
    <m/>
    <m/>
    <m/>
    <m/>
    <s v="1"/>
    <d v="2024-04-02T00:00:00"/>
    <m/>
    <m/>
    <n v="9"/>
    <n v="9"/>
    <n v="8"/>
    <n v="8"/>
    <s v="st"/>
    <n v="8"/>
    <n v="6"/>
    <n v="6"/>
    <n v="0.625"/>
    <n v="0.5"/>
    <n v="0.125"/>
    <m/>
    <m/>
    <s v=""/>
    <s v=""/>
    <s v=""/>
    <s v=""/>
    <s v=""/>
    <s v=""/>
    <s v=""/>
    <s v=""/>
    <s v=""/>
    <s v=""/>
    <x v="0"/>
    <m/>
    <s v="Alineamiento"/>
    <s v="TC-1361Rodando"/>
  </r>
  <r>
    <x v="21"/>
    <x v="21"/>
    <x v="0"/>
    <x v="0"/>
    <m/>
    <s v="Continental"/>
    <s v="295/80R22.5"/>
    <s v="HS3+"/>
    <s v="HS3+"/>
    <x v="0"/>
    <n v="16"/>
    <n v="100"/>
    <m/>
    <m/>
    <m/>
    <m/>
    <m/>
    <s v="2"/>
    <d v="2024-04-02T00:00:00"/>
    <m/>
    <m/>
    <n v="9"/>
    <n v="9"/>
    <n v="7"/>
    <n v="7"/>
    <s v="st"/>
    <n v="9"/>
    <n v="6"/>
    <n v="6"/>
    <n v="0.625"/>
    <n v="0.5625"/>
    <n v="6.25E-2"/>
    <m/>
    <m/>
    <s v=""/>
    <s v=""/>
    <s v=""/>
    <s v=""/>
    <s v=""/>
    <s v=""/>
    <s v=""/>
    <s v=""/>
    <s v=""/>
    <s v=""/>
    <x v="0"/>
    <m/>
    <s v="Alineamiento"/>
    <s v="TC-1362Rodando"/>
  </r>
  <r>
    <x v="21"/>
    <x v="21"/>
    <x v="0"/>
    <x v="1"/>
    <m/>
    <s v="Michelin"/>
    <s v="295/80R22.5"/>
    <s v="Reencauche"/>
    <s v="MDE"/>
    <x v="1"/>
    <n v="22"/>
    <n v="110"/>
    <m/>
    <m/>
    <m/>
    <m/>
    <m/>
    <s v="3"/>
    <d v="2024-04-02T00:00:00"/>
    <m/>
    <m/>
    <n v="8"/>
    <n v="8"/>
    <n v="8"/>
    <n v="8"/>
    <s v="st"/>
    <n v="14"/>
    <n v="6"/>
    <n v="6"/>
    <n v="0.72727272727272729"/>
    <n v="0.63636363636363635"/>
    <n v="9.0909090909090939E-2"/>
    <m/>
    <m/>
    <s v=""/>
    <s v=""/>
    <s v=""/>
    <s v=""/>
    <s v=""/>
    <s v=""/>
    <s v=""/>
    <s v=""/>
    <s v=""/>
    <s v=""/>
    <x v="0"/>
    <m/>
    <m/>
    <s v="TC-1363Rodando"/>
  </r>
  <r>
    <x v="21"/>
    <x v="21"/>
    <x v="0"/>
    <x v="1"/>
    <m/>
    <s v="Michelin"/>
    <s v="295/80R22.5"/>
    <s v="Reencauche"/>
    <s v="MDE"/>
    <x v="1"/>
    <n v="22"/>
    <n v="110"/>
    <m/>
    <m/>
    <m/>
    <m/>
    <m/>
    <s v="4"/>
    <d v="2024-04-02T00:00:00"/>
    <m/>
    <m/>
    <n v="8"/>
    <n v="7"/>
    <n v="8"/>
    <n v="7"/>
    <s v="st"/>
    <n v="15"/>
    <n v="6"/>
    <n v="6"/>
    <n v="0.72727272727272729"/>
    <n v="0.68181818181818188"/>
    <n v="4.5454545454545414E-2"/>
    <m/>
    <m/>
    <s v=""/>
    <s v=""/>
    <s v=""/>
    <s v=""/>
    <s v=""/>
    <s v=""/>
    <s v=""/>
    <s v=""/>
    <s v=""/>
    <s v=""/>
    <x v="0"/>
    <m/>
    <m/>
    <s v="TC-1364Rodando"/>
  </r>
  <r>
    <x v="21"/>
    <x v="21"/>
    <x v="0"/>
    <x v="1"/>
    <m/>
    <s v="Michelin"/>
    <s v="295/80R22.5"/>
    <s v="Reencauche"/>
    <s v="MDE"/>
    <x v="1"/>
    <n v="22"/>
    <n v="110"/>
    <m/>
    <m/>
    <m/>
    <m/>
    <m/>
    <s v="5"/>
    <d v="2024-04-02T00:00:00"/>
    <m/>
    <m/>
    <n v="9"/>
    <n v="9"/>
    <n v="9"/>
    <n v="9"/>
    <s v="st"/>
    <n v="13"/>
    <n v="6"/>
    <n v="6"/>
    <n v="0.72727272727272729"/>
    <n v="0.59090909090909083"/>
    <n v="0.13636363636363646"/>
    <m/>
    <m/>
    <s v=""/>
    <s v=""/>
    <s v=""/>
    <s v=""/>
    <s v=""/>
    <s v=""/>
    <s v=""/>
    <s v=""/>
    <s v=""/>
    <s v=""/>
    <x v="0"/>
    <m/>
    <m/>
    <s v="TC-1365Rodando"/>
  </r>
  <r>
    <x v="21"/>
    <x v="21"/>
    <x v="0"/>
    <x v="1"/>
    <m/>
    <s v="Michelin"/>
    <s v="295/80R22.5"/>
    <s v="Reencauche"/>
    <s v="MDE"/>
    <x v="1"/>
    <n v="22"/>
    <n v="110"/>
    <m/>
    <m/>
    <m/>
    <m/>
    <m/>
    <s v="6"/>
    <d v="2024-04-02T00:00:00"/>
    <m/>
    <m/>
    <n v="8"/>
    <n v="8"/>
    <n v="8"/>
    <n v="8"/>
    <s v="st"/>
    <n v="14"/>
    <n v="6"/>
    <n v="6"/>
    <n v="0.72727272727272729"/>
    <n v="0.63636363636363635"/>
    <n v="9.0909090909090939E-2"/>
    <m/>
    <m/>
    <s v=""/>
    <s v=""/>
    <s v=""/>
    <s v=""/>
    <s v=""/>
    <s v=""/>
    <s v=""/>
    <s v=""/>
    <s v=""/>
    <s v=""/>
    <x v="0"/>
    <m/>
    <m/>
    <s v="TC-1366Rodando"/>
  </r>
  <r>
    <x v="21"/>
    <x v="21"/>
    <x v="0"/>
    <x v="1"/>
    <m/>
    <s v="Michelin"/>
    <s v="295/80R22.5"/>
    <s v="Reencauche"/>
    <s v="MDE"/>
    <x v="1"/>
    <n v="22"/>
    <n v="110"/>
    <m/>
    <m/>
    <m/>
    <m/>
    <m/>
    <s v="7"/>
    <d v="2024-04-02T00:00:00"/>
    <m/>
    <m/>
    <n v="14"/>
    <n v="13"/>
    <n v="14"/>
    <n v="13"/>
    <s v="st"/>
    <n v="9"/>
    <n v="6"/>
    <n v="6"/>
    <n v="0.72727272727272729"/>
    <n v="0.40909090909090906"/>
    <n v="0.31818181818181823"/>
    <m/>
    <m/>
    <s v=""/>
    <s v=""/>
    <s v=""/>
    <s v=""/>
    <s v=""/>
    <s v=""/>
    <s v=""/>
    <s v=""/>
    <s v=""/>
    <s v=""/>
    <x v="0"/>
    <m/>
    <m/>
    <s v="TC-1367Rodando"/>
  </r>
  <r>
    <x v="21"/>
    <x v="21"/>
    <x v="0"/>
    <x v="1"/>
    <m/>
    <s v="Michelin"/>
    <s v="295/80R22.5"/>
    <s v="Reencauche"/>
    <s v="MDE"/>
    <x v="1"/>
    <n v="22"/>
    <n v="110"/>
    <m/>
    <m/>
    <m/>
    <m/>
    <m/>
    <s v="8"/>
    <d v="2024-04-02T00:00:00"/>
    <m/>
    <m/>
    <n v="14"/>
    <n v="13"/>
    <n v="14"/>
    <n v="13"/>
    <s v="st"/>
    <n v="9"/>
    <n v="6"/>
    <n v="6"/>
    <n v="0.72727272727272729"/>
    <n v="0.40909090909090906"/>
    <n v="0.31818181818181823"/>
    <m/>
    <m/>
    <s v=""/>
    <s v=""/>
    <s v=""/>
    <s v=""/>
    <s v=""/>
    <s v=""/>
    <s v=""/>
    <s v=""/>
    <s v=""/>
    <s v=""/>
    <x v="0"/>
    <m/>
    <m/>
    <s v="TC-1368Rodando"/>
  </r>
  <r>
    <x v="21"/>
    <x v="21"/>
    <x v="0"/>
    <x v="1"/>
    <m/>
    <s v="Michelin"/>
    <s v="295/80R22.5"/>
    <s v="Reencauche"/>
    <s v="MDE"/>
    <x v="1"/>
    <n v="22"/>
    <n v="110"/>
    <m/>
    <m/>
    <m/>
    <m/>
    <m/>
    <s v="9"/>
    <d v="2024-04-02T00:00:00"/>
    <m/>
    <m/>
    <n v="13"/>
    <n v="13"/>
    <n v="13"/>
    <n v="13"/>
    <s v="st"/>
    <n v="9"/>
    <n v="6"/>
    <n v="6"/>
    <n v="0.72727272727272729"/>
    <n v="0.40909090909090906"/>
    <n v="0.31818181818181823"/>
    <m/>
    <m/>
    <s v=""/>
    <s v=""/>
    <s v=""/>
    <s v=""/>
    <s v=""/>
    <s v=""/>
    <s v=""/>
    <s v=""/>
    <s v=""/>
    <s v=""/>
    <x v="0"/>
    <m/>
    <m/>
    <s v="TC-1369Rodando"/>
  </r>
  <r>
    <x v="21"/>
    <x v="21"/>
    <x v="0"/>
    <x v="1"/>
    <m/>
    <s v="Michelin"/>
    <s v="295/80R22.5"/>
    <s v="Reencauche"/>
    <s v="MDE"/>
    <x v="1"/>
    <n v="22"/>
    <n v="110"/>
    <m/>
    <m/>
    <m/>
    <m/>
    <m/>
    <s v="10"/>
    <d v="2024-04-02T00:00:00"/>
    <m/>
    <m/>
    <n v="13"/>
    <n v="13"/>
    <n v="13"/>
    <n v="13"/>
    <s v="st"/>
    <n v="9"/>
    <n v="6"/>
    <n v="6"/>
    <n v="0.72727272727272729"/>
    <n v="0.40909090909090906"/>
    <n v="0.31818181818181823"/>
    <m/>
    <m/>
    <s v=""/>
    <s v=""/>
    <s v=""/>
    <s v=""/>
    <s v=""/>
    <s v=""/>
    <s v=""/>
    <s v=""/>
    <s v=""/>
    <s v=""/>
    <x v="0"/>
    <m/>
    <m/>
    <s v="TC-13610Rodando"/>
  </r>
  <r>
    <x v="22"/>
    <x v="22"/>
    <x v="1"/>
    <x v="2"/>
    <m/>
    <s v="Suretrac"/>
    <s v="425/65R22.5"/>
    <s v="RT306"/>
    <s v="RT306"/>
    <x v="0"/>
    <n v="0"/>
    <n v="110"/>
    <m/>
    <m/>
    <m/>
    <m/>
    <m/>
    <s v="1"/>
    <d v="2024-04-03T00:00:00"/>
    <m/>
    <m/>
    <n v="8"/>
    <n v="10"/>
    <n v="8"/>
    <n v="8"/>
    <s v="st"/>
    <n v="-8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1361Rodando"/>
  </r>
  <r>
    <x v="22"/>
    <x v="22"/>
    <x v="1"/>
    <x v="2"/>
    <m/>
    <s v="Goodyear"/>
    <s v="445/65R22.5"/>
    <s v="Reencauche"/>
    <s v="LZY3"/>
    <x v="1"/>
    <n v="19"/>
    <n v="110"/>
    <m/>
    <m/>
    <m/>
    <m/>
    <m/>
    <s v="2"/>
    <d v="2024-04-03T00:00:00"/>
    <m/>
    <m/>
    <n v="9"/>
    <n v="9"/>
    <n v="9"/>
    <n v="9"/>
    <s v="st"/>
    <n v="10"/>
    <n v="6"/>
    <n v="6"/>
    <n v="0.68421052631578949"/>
    <n v="0.52631578947368429"/>
    <n v="0.1578947368421052"/>
    <m/>
    <m/>
    <s v=""/>
    <s v=""/>
    <s v=""/>
    <s v=""/>
    <s v=""/>
    <s v=""/>
    <s v=""/>
    <s v=""/>
    <s v=""/>
    <s v=""/>
    <x v="0"/>
    <m/>
    <m/>
    <s v="SR-1362Rodando"/>
  </r>
  <r>
    <x v="22"/>
    <x v="22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1363Rodando"/>
  </r>
  <r>
    <x v="22"/>
    <x v="22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1364Rodando"/>
  </r>
  <r>
    <x v="22"/>
    <x v="22"/>
    <x v="1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365Rodando"/>
  </r>
  <r>
    <x v="22"/>
    <x v="22"/>
    <x v="1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366Rodando"/>
  </r>
  <r>
    <x v="22"/>
    <x v="22"/>
    <x v="1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10"/>
    <n v="9"/>
    <n v="10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36RERodando"/>
  </r>
  <r>
    <x v="22"/>
    <x v="22"/>
    <x v="1"/>
    <x v="4"/>
    <m/>
    <s v="Michelin"/>
    <s v="295/80R22.5"/>
    <s v="XMULTI+Z"/>
    <s v="XMULTI+Z"/>
    <x v="0"/>
    <n v="16"/>
    <n v="100"/>
    <m/>
    <m/>
    <m/>
    <m/>
    <m/>
    <s v="RT"/>
    <d v="2024-04-03T00:00:00"/>
    <m/>
    <m/>
    <n v="7"/>
    <n v="7"/>
    <n v="6"/>
    <n v="6"/>
    <s v="st"/>
    <n v="10"/>
    <n v="6"/>
    <n v="6"/>
    <n v="0.625"/>
    <n v="0.625"/>
    <n v="0"/>
    <m/>
    <m/>
    <s v=""/>
    <s v=""/>
    <s v=""/>
    <s v=""/>
    <s v=""/>
    <s v=""/>
    <s v=""/>
    <s v=""/>
    <s v=""/>
    <s v=""/>
    <x v="0"/>
    <m/>
    <m/>
    <s v="SR-136RTRodando"/>
  </r>
  <r>
    <x v="23"/>
    <x v="23"/>
    <x v="0"/>
    <x v="0"/>
    <m/>
    <s v="Continental"/>
    <s v="295/80R22.5"/>
    <s v="HS3+"/>
    <s v="HS3+"/>
    <x v="0"/>
    <n v="16"/>
    <n v="100"/>
    <m/>
    <m/>
    <m/>
    <m/>
    <m/>
    <s v="1"/>
    <d v="2024-04-03T00:00:00"/>
    <m/>
    <m/>
    <n v="8"/>
    <n v="9"/>
    <n v="8"/>
    <n v="8"/>
    <s v="st"/>
    <n v="8"/>
    <n v="6"/>
    <n v="6"/>
    <n v="0.625"/>
    <n v="0.5"/>
    <n v="0.125"/>
    <m/>
    <m/>
    <s v=""/>
    <s v=""/>
    <s v=""/>
    <s v=""/>
    <s v=""/>
    <s v=""/>
    <s v=""/>
    <s v=""/>
    <s v=""/>
    <s v=""/>
    <x v="0"/>
    <m/>
    <s v="Alineamiento"/>
    <s v="TC-1381Rodando"/>
  </r>
  <r>
    <x v="23"/>
    <x v="23"/>
    <x v="0"/>
    <x v="0"/>
    <m/>
    <s v="Continental"/>
    <s v="295/80R22.5"/>
    <s v="HS3+"/>
    <s v="HS3+"/>
    <x v="0"/>
    <n v="16"/>
    <n v="100"/>
    <m/>
    <m/>
    <m/>
    <m/>
    <m/>
    <s v="2"/>
    <d v="2024-04-03T00:00:00"/>
    <m/>
    <m/>
    <n v="8"/>
    <n v="8"/>
    <n v="5"/>
    <n v="5"/>
    <s v="st"/>
    <n v="11"/>
    <n v="6"/>
    <n v="5"/>
    <n v="0.625"/>
    <n v="0.6875"/>
    <n v="-6.25E-2"/>
    <m/>
    <m/>
    <s v=""/>
    <s v=""/>
    <s v=""/>
    <s v=""/>
    <s v=""/>
    <s v=""/>
    <s v=""/>
    <s v=""/>
    <s v=""/>
    <s v=""/>
    <x v="0"/>
    <m/>
    <s v="Alineamiento"/>
    <s v="TC-1382Rodando"/>
  </r>
  <r>
    <x v="23"/>
    <x v="23"/>
    <x v="0"/>
    <x v="1"/>
    <m/>
    <s v="Continental"/>
    <s v="295/80R22.5"/>
    <s v="Reencauche"/>
    <s v="MDE"/>
    <x v="1"/>
    <n v="22"/>
    <n v="110"/>
    <m/>
    <m/>
    <m/>
    <m/>
    <m/>
    <s v="3"/>
    <d v="2024-04-03T00:00:00"/>
    <m/>
    <m/>
    <n v="19"/>
    <m/>
    <n v="19"/>
    <n v="19"/>
    <s v="st"/>
    <n v="3"/>
    <n v="6"/>
    <n v="6"/>
    <n v="0.72727272727272729"/>
    <n v="0.13636363636363635"/>
    <n v="0.59090909090909094"/>
    <m/>
    <m/>
    <s v=""/>
    <s v=""/>
    <s v=""/>
    <s v=""/>
    <s v=""/>
    <s v=""/>
    <s v=""/>
    <s v=""/>
    <s v=""/>
    <s v=""/>
    <x v="0"/>
    <m/>
    <m/>
    <s v="TC-1383Rodando"/>
  </r>
  <r>
    <x v="23"/>
    <x v="23"/>
    <x v="0"/>
    <x v="1"/>
    <m/>
    <s v="Continental"/>
    <s v="295/80R22.5"/>
    <s v="Reencauche"/>
    <s v="MDE"/>
    <x v="1"/>
    <n v="22"/>
    <n v="110"/>
    <m/>
    <m/>
    <m/>
    <m/>
    <m/>
    <s v="4"/>
    <d v="2024-04-03T00:00:00"/>
    <m/>
    <m/>
    <n v="19"/>
    <m/>
    <n v="19"/>
    <n v="19"/>
    <s v="st"/>
    <n v="3"/>
    <n v="6"/>
    <n v="6"/>
    <n v="0.72727272727272729"/>
    <n v="0.13636363636363635"/>
    <n v="0.59090909090909094"/>
    <m/>
    <m/>
    <s v=""/>
    <s v=""/>
    <s v=""/>
    <s v=""/>
    <s v=""/>
    <s v=""/>
    <s v=""/>
    <s v=""/>
    <s v=""/>
    <s v=""/>
    <x v="0"/>
    <m/>
    <m/>
    <s v="TC-1384Rodando"/>
  </r>
  <r>
    <x v="23"/>
    <x v="23"/>
    <x v="0"/>
    <x v="1"/>
    <m/>
    <s v="Continental"/>
    <s v="295/80R22.5"/>
    <s v="Reencauche"/>
    <s v="MDE"/>
    <x v="1"/>
    <n v="22"/>
    <n v="110"/>
    <m/>
    <m/>
    <m/>
    <m/>
    <m/>
    <s v="5"/>
    <d v="2024-04-03T00:00:00"/>
    <m/>
    <m/>
    <n v="19"/>
    <m/>
    <n v="19"/>
    <n v="19"/>
    <s v="st"/>
    <n v="3"/>
    <n v="6"/>
    <n v="6"/>
    <n v="0.72727272727272729"/>
    <n v="0.13636363636363635"/>
    <n v="0.59090909090909094"/>
    <m/>
    <m/>
    <s v=""/>
    <s v=""/>
    <s v=""/>
    <s v=""/>
    <s v=""/>
    <s v=""/>
    <s v=""/>
    <s v=""/>
    <s v=""/>
    <s v=""/>
    <x v="0"/>
    <m/>
    <m/>
    <s v="TC-1385Rodando"/>
  </r>
  <r>
    <x v="23"/>
    <x v="23"/>
    <x v="0"/>
    <x v="1"/>
    <m/>
    <s v="Continental"/>
    <s v="295/80R22.5"/>
    <s v="Reencauche"/>
    <s v="MDE"/>
    <x v="1"/>
    <n v="22"/>
    <n v="110"/>
    <m/>
    <m/>
    <m/>
    <m/>
    <m/>
    <s v="6"/>
    <d v="2024-04-03T00:00:00"/>
    <m/>
    <m/>
    <n v="19"/>
    <m/>
    <n v="19"/>
    <n v="19"/>
    <s v="st"/>
    <n v="3"/>
    <n v="6"/>
    <n v="6"/>
    <n v="0.72727272727272729"/>
    <n v="0.13636363636363635"/>
    <n v="0.59090909090909094"/>
    <m/>
    <m/>
    <s v=""/>
    <s v=""/>
    <s v=""/>
    <s v=""/>
    <s v=""/>
    <s v=""/>
    <s v=""/>
    <s v=""/>
    <s v=""/>
    <s v=""/>
    <x v="0"/>
    <m/>
    <m/>
    <s v="TC-1386Rodando"/>
  </r>
  <r>
    <x v="23"/>
    <x v="23"/>
    <x v="0"/>
    <x v="1"/>
    <m/>
    <s v="Continental"/>
    <s v="295/80R22.5"/>
    <s v="HD3"/>
    <s v="HD3"/>
    <x v="0"/>
    <n v="0"/>
    <n v="110"/>
    <m/>
    <m/>
    <m/>
    <m/>
    <m/>
    <s v="7"/>
    <d v="2024-04-03T00:00:00"/>
    <m/>
    <m/>
    <n v="5"/>
    <m/>
    <n v="6"/>
    <n v="5"/>
    <s v="st"/>
    <n v="-5"/>
    <n v="6"/>
    <n v="5"/>
    <s v=""/>
    <s v=""/>
    <s v=""/>
    <m/>
    <m/>
    <s v=""/>
    <s v=""/>
    <s v=""/>
    <s v=""/>
    <s v=""/>
    <s v=""/>
    <s v=""/>
    <s v=""/>
    <s v=""/>
    <s v=""/>
    <x v="0"/>
    <m/>
    <m/>
    <s v="TC-1387Rodando"/>
  </r>
  <r>
    <x v="23"/>
    <x v="23"/>
    <x v="0"/>
    <x v="1"/>
    <m/>
    <s v="Continental"/>
    <s v="295/80R22.5"/>
    <s v="HD3"/>
    <s v="HD3"/>
    <x v="0"/>
    <n v="0"/>
    <n v="110"/>
    <m/>
    <m/>
    <m/>
    <m/>
    <m/>
    <s v="8"/>
    <d v="2024-04-03T00:00:00"/>
    <m/>
    <m/>
    <n v="5"/>
    <m/>
    <n v="6"/>
    <n v="5"/>
    <s v="st"/>
    <n v="-5"/>
    <n v="6"/>
    <n v="5"/>
    <s v=""/>
    <s v=""/>
    <s v=""/>
    <m/>
    <m/>
    <s v=""/>
    <s v=""/>
    <s v=""/>
    <s v=""/>
    <s v=""/>
    <s v=""/>
    <s v=""/>
    <s v=""/>
    <s v=""/>
    <s v=""/>
    <x v="0"/>
    <m/>
    <m/>
    <s v="TC-1388Rodando"/>
  </r>
  <r>
    <x v="23"/>
    <x v="23"/>
    <x v="0"/>
    <x v="1"/>
    <m/>
    <s v="Continental"/>
    <s v="295/80R22.5"/>
    <s v="HS3+"/>
    <s v="HS3+"/>
    <x v="0"/>
    <n v="16"/>
    <n v="110"/>
    <m/>
    <m/>
    <m/>
    <m/>
    <m/>
    <s v="9"/>
    <d v="2024-04-03T00:00:00"/>
    <m/>
    <m/>
    <n v="6"/>
    <n v="5"/>
    <n v="4"/>
    <n v="4"/>
    <s v="st"/>
    <n v="12"/>
    <n v="6"/>
    <n v="4"/>
    <n v="0.625"/>
    <n v="0.75"/>
    <n v="-0.125"/>
    <m/>
    <m/>
    <s v=""/>
    <s v=""/>
    <s v=""/>
    <s v=""/>
    <s v=""/>
    <s v=""/>
    <s v=""/>
    <s v=""/>
    <s v=""/>
    <s v=""/>
    <x v="0"/>
    <m/>
    <m/>
    <s v="TC-1389Rodando"/>
  </r>
  <r>
    <x v="23"/>
    <x v="23"/>
    <x v="0"/>
    <x v="1"/>
    <m/>
    <s v="Continental"/>
    <s v="295/80R22.5"/>
    <s v="HS3+"/>
    <s v="HS3+"/>
    <x v="0"/>
    <n v="16"/>
    <n v="110"/>
    <m/>
    <m/>
    <m/>
    <m/>
    <m/>
    <s v="10"/>
    <d v="2024-04-03T00:00:00"/>
    <m/>
    <m/>
    <n v="5"/>
    <n v="4"/>
    <n v="6"/>
    <n v="4"/>
    <s v="st"/>
    <n v="12"/>
    <n v="6"/>
    <n v="4"/>
    <n v="0.625"/>
    <n v="0.75"/>
    <n v="-0.125"/>
    <m/>
    <m/>
    <s v=""/>
    <s v=""/>
    <s v=""/>
    <s v=""/>
    <s v=""/>
    <s v=""/>
    <s v=""/>
    <s v=""/>
    <s v=""/>
    <s v=""/>
    <x v="0"/>
    <m/>
    <m/>
    <s v="TC-13810Rodando"/>
  </r>
  <r>
    <x v="24"/>
    <x v="24"/>
    <x v="1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2"/>
    <n v="12"/>
    <n v="12"/>
    <n v="12"/>
    <s v="st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1401Rodando"/>
  </r>
  <r>
    <x v="24"/>
    <x v="24"/>
    <x v="1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12"/>
    <n v="12"/>
    <n v="12"/>
    <n v="12"/>
    <s v="st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1402Rodando"/>
  </r>
  <r>
    <x v="24"/>
    <x v="24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403Rodando"/>
  </r>
  <r>
    <x v="24"/>
    <x v="24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404Rodando"/>
  </r>
  <r>
    <x v="24"/>
    <x v="24"/>
    <x v="1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13"/>
    <n v="12"/>
    <n v="12"/>
    <n v="12"/>
    <s v="st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1405Rodando"/>
  </r>
  <r>
    <x v="24"/>
    <x v="24"/>
    <x v="1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406Rodando"/>
  </r>
  <r>
    <x v="24"/>
    <x v="24"/>
    <x v="1"/>
    <x v="3"/>
    <m/>
    <s v="Michelin"/>
    <s v="425/65R22.5"/>
    <s v="Reencauche"/>
    <s v="LZY3"/>
    <x v="1"/>
    <n v="19"/>
    <n v="110"/>
    <m/>
    <m/>
    <m/>
    <m/>
    <m/>
    <s v="RE"/>
    <d v="2024-04-03T00:00:00"/>
    <m/>
    <m/>
    <n v="12"/>
    <n v="13"/>
    <n v="12"/>
    <n v="12"/>
    <s v="st"/>
    <n v="7"/>
    <n v="6"/>
    <n v="6"/>
    <n v="0.68421052631578949"/>
    <n v="0.36842105263157898"/>
    <n v="0.31578947368421051"/>
    <m/>
    <m/>
    <s v=""/>
    <s v=""/>
    <s v=""/>
    <s v=""/>
    <s v=""/>
    <s v=""/>
    <s v=""/>
    <s v=""/>
    <s v=""/>
    <s v=""/>
    <x v="0"/>
    <m/>
    <m/>
    <s v="SR-140RERodando"/>
  </r>
  <r>
    <x v="24"/>
    <x v="24"/>
    <x v="1"/>
    <x v="4"/>
    <m/>
    <s v="Michelin"/>
    <s v="295/80R22.5"/>
    <s v="XMULTI2D"/>
    <s v="XMULTI2D"/>
    <x v="0"/>
    <n v="21.4"/>
    <n v="110"/>
    <m/>
    <m/>
    <m/>
    <m/>
    <m/>
    <s v="RT"/>
    <d v="2024-04-03T00:00:00"/>
    <m/>
    <m/>
    <n v="15"/>
    <m/>
    <n v="15"/>
    <n v="15"/>
    <s v="st"/>
    <n v="6.3999999999999986"/>
    <n v="6"/>
    <n v="6"/>
    <n v="0.71962616822429903"/>
    <n v="0.29906542056074759"/>
    <n v="0.42056074766355145"/>
    <m/>
    <m/>
    <s v=""/>
    <s v=""/>
    <s v=""/>
    <s v=""/>
    <s v=""/>
    <s v=""/>
    <s v=""/>
    <s v=""/>
    <s v=""/>
    <s v=""/>
    <x v="0"/>
    <m/>
    <m/>
    <s v="SR-140RTRodando"/>
  </r>
  <r>
    <x v="25"/>
    <x v="25"/>
    <x v="1"/>
    <x v="2"/>
    <m/>
    <s v="Aeolus"/>
    <s v="445/65R22.5"/>
    <s v="Reencauche"/>
    <s v="LZY3"/>
    <x v="1"/>
    <n v="20"/>
    <n v="110"/>
    <m/>
    <m/>
    <m/>
    <m/>
    <m/>
    <s v="1"/>
    <d v="2024-04-03T00:00:00"/>
    <m/>
    <m/>
    <n v="19"/>
    <n v="18"/>
    <n v="18"/>
    <n v="18"/>
    <s v="st"/>
    <n v="2"/>
    <n v="6"/>
    <n v="6"/>
    <n v="0.7"/>
    <n v="9.9999999999999978E-2"/>
    <n v="0.6"/>
    <m/>
    <m/>
    <s v=""/>
    <s v=""/>
    <s v=""/>
    <s v=""/>
    <s v=""/>
    <s v=""/>
    <s v=""/>
    <s v=""/>
    <s v=""/>
    <s v=""/>
    <x v="0"/>
    <m/>
    <m/>
    <s v="SR-1441Rodando"/>
  </r>
  <r>
    <x v="25"/>
    <x v="25"/>
    <x v="1"/>
    <x v="2"/>
    <m/>
    <s v="Aeolus"/>
    <s v="445/65R22.5"/>
    <s v="Reencauche"/>
    <s v="LZY3"/>
    <x v="1"/>
    <n v="20"/>
    <n v="110"/>
    <m/>
    <m/>
    <m/>
    <m/>
    <m/>
    <s v="2"/>
    <d v="2024-04-03T00:00:00"/>
    <m/>
    <m/>
    <n v="18"/>
    <n v="19"/>
    <n v="19"/>
    <n v="18"/>
    <s v="st"/>
    <n v="2"/>
    <n v="6"/>
    <n v="6"/>
    <n v="0.7"/>
    <n v="9.9999999999999978E-2"/>
    <n v="0.6"/>
    <m/>
    <m/>
    <s v=""/>
    <s v=""/>
    <s v=""/>
    <s v=""/>
    <s v=""/>
    <s v=""/>
    <s v=""/>
    <s v=""/>
    <s v=""/>
    <s v=""/>
    <x v="0"/>
    <m/>
    <m/>
    <s v="SR-1442Rodando"/>
  </r>
  <r>
    <x v="25"/>
    <x v="25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443Rodando"/>
  </r>
  <r>
    <x v="25"/>
    <x v="25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2"/>
    <n v="12"/>
    <n v="12"/>
    <n v="12"/>
    <s v="st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1444Rodando"/>
  </r>
  <r>
    <x v="25"/>
    <x v="25"/>
    <x v="1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9"/>
    <n v="9"/>
    <n v="9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445Rodando"/>
  </r>
  <r>
    <x v="25"/>
    <x v="25"/>
    <x v="1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9"/>
    <n v="9"/>
    <n v="9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446Rodando"/>
  </r>
  <r>
    <x v="25"/>
    <x v="25"/>
    <x v="1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6"/>
    <n v="6"/>
    <n v="6"/>
    <n v="6"/>
    <s v="st"/>
    <n v="10.5"/>
    <n v="6"/>
    <n v="6"/>
    <n v="0.63636363636363635"/>
    <n v="0.63636363636363635"/>
    <n v="0"/>
    <m/>
    <m/>
    <s v=""/>
    <s v=""/>
    <s v=""/>
    <s v=""/>
    <s v=""/>
    <s v=""/>
    <s v=""/>
    <s v=""/>
    <s v=""/>
    <s v=""/>
    <x v="0"/>
    <s v="Delaminación de caucho en banda"/>
    <m/>
    <s v="SR-144RERodando"/>
  </r>
  <r>
    <x v="25"/>
    <x v="25"/>
    <x v="1"/>
    <x v="4"/>
    <m/>
    <s v="Michelin"/>
    <s v="295/80R22.5"/>
    <s v="Reencauche"/>
    <s v="XMULTI2D"/>
    <x v="5"/>
    <n v="21.4"/>
    <n v="110"/>
    <m/>
    <m/>
    <m/>
    <m/>
    <m/>
    <s v="RT"/>
    <d v="2024-04-03T00:00:00"/>
    <m/>
    <m/>
    <n v="20"/>
    <m/>
    <n v="20"/>
    <n v="20"/>
    <s v="st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SR-144RTRodando"/>
  </r>
  <r>
    <x v="26"/>
    <x v="26"/>
    <x v="0"/>
    <x v="0"/>
    <s v="1481"/>
    <s v="Goodyear"/>
    <s v="295/80R22.5"/>
    <s v="KMAX S"/>
    <s v="KMAX S"/>
    <x v="0"/>
    <n v="15.8"/>
    <n v="100"/>
    <m/>
    <m/>
    <m/>
    <m/>
    <m/>
    <s v="1"/>
    <d v="2024-04-03T00:00:00"/>
    <m/>
    <m/>
    <n v="14"/>
    <n v="15"/>
    <n v="14"/>
    <n v="14"/>
    <s v="st"/>
    <n v="1.8000000000000007"/>
    <n v="6"/>
    <n v="6"/>
    <n v="0.620253164556962"/>
    <n v="0.11392405063291144"/>
    <n v="0.50632911392405056"/>
    <m/>
    <m/>
    <s v=""/>
    <s v=""/>
    <s v=""/>
    <s v=""/>
    <s v=""/>
    <s v=""/>
    <s v=""/>
    <s v=""/>
    <s v=""/>
    <s v=""/>
    <x v="0"/>
    <m/>
    <m/>
    <s v="TC-1461Rodando"/>
  </r>
  <r>
    <x v="26"/>
    <x v="26"/>
    <x v="0"/>
    <x v="0"/>
    <s v="1482"/>
    <s v="Goodyear"/>
    <s v="295/80R22.5"/>
    <s v="KMAX S"/>
    <s v="KMAX S"/>
    <x v="0"/>
    <n v="15.8"/>
    <n v="100"/>
    <m/>
    <m/>
    <m/>
    <m/>
    <m/>
    <s v="2"/>
    <d v="2024-04-03T00:00:00"/>
    <m/>
    <m/>
    <n v="14"/>
    <n v="14"/>
    <n v="14"/>
    <n v="14"/>
    <s v="st"/>
    <n v="1.8000000000000007"/>
    <n v="6"/>
    <n v="6"/>
    <n v="0.620253164556962"/>
    <n v="0.11392405063291144"/>
    <n v="0.50632911392405056"/>
    <m/>
    <m/>
    <s v=""/>
    <s v=""/>
    <s v=""/>
    <s v=""/>
    <s v=""/>
    <s v=""/>
    <s v=""/>
    <s v=""/>
    <s v=""/>
    <s v=""/>
    <x v="0"/>
    <m/>
    <m/>
    <s v="TC-1462Rodando"/>
  </r>
  <r>
    <x v="26"/>
    <x v="26"/>
    <x v="0"/>
    <x v="1"/>
    <m/>
    <s v="Goodyear"/>
    <s v="295/80R22.5"/>
    <s v="Reencauche"/>
    <s v="MDE"/>
    <x v="1"/>
    <n v="22"/>
    <n v="110"/>
    <m/>
    <m/>
    <m/>
    <m/>
    <m/>
    <s v="3"/>
    <d v="2024-04-03T00:00:00"/>
    <m/>
    <m/>
    <n v="11"/>
    <m/>
    <n v="11"/>
    <n v="11"/>
    <s v="st"/>
    <n v="11"/>
    <n v="6"/>
    <n v="6"/>
    <n v="0.72727272727272729"/>
    <n v="0.5"/>
    <n v="0.22727272727272729"/>
    <m/>
    <m/>
    <s v=""/>
    <s v=""/>
    <s v=""/>
    <s v=""/>
    <s v=""/>
    <s v=""/>
    <s v=""/>
    <s v=""/>
    <s v=""/>
    <s v=""/>
    <x v="0"/>
    <m/>
    <m/>
    <s v="TC-1463Rodando"/>
  </r>
  <r>
    <x v="26"/>
    <x v="26"/>
    <x v="0"/>
    <x v="1"/>
    <m/>
    <s v="Goodyear"/>
    <s v="295/80R22.5"/>
    <s v="Reencauche"/>
    <s v="MDE"/>
    <x v="1"/>
    <n v="22"/>
    <n v="110"/>
    <m/>
    <m/>
    <m/>
    <m/>
    <m/>
    <s v="4"/>
    <d v="2024-04-03T00:00:00"/>
    <m/>
    <m/>
    <n v="8"/>
    <m/>
    <n v="10"/>
    <n v="8"/>
    <s v="st"/>
    <n v="14"/>
    <n v="6"/>
    <n v="6"/>
    <n v="0.72727272727272729"/>
    <n v="0.63636363636363635"/>
    <n v="9.0909090909090939E-2"/>
    <m/>
    <m/>
    <s v=""/>
    <s v=""/>
    <s v=""/>
    <s v=""/>
    <s v=""/>
    <s v=""/>
    <s v=""/>
    <s v=""/>
    <s v=""/>
    <s v=""/>
    <x v="0"/>
    <m/>
    <m/>
    <s v="TC-1464Rodando"/>
  </r>
  <r>
    <x v="26"/>
    <x v="26"/>
    <x v="0"/>
    <x v="1"/>
    <m/>
    <s v="Michelin"/>
    <s v="295/80R22.5"/>
    <s v="Reencauche"/>
    <s v="MDE"/>
    <x v="1"/>
    <n v="22"/>
    <n v="110"/>
    <m/>
    <m/>
    <m/>
    <m/>
    <m/>
    <s v="5"/>
    <d v="2024-04-03T00:00:00"/>
    <m/>
    <m/>
    <n v="12"/>
    <m/>
    <n v="10"/>
    <n v="10"/>
    <s v="st"/>
    <n v="12"/>
    <n v="6"/>
    <n v="6"/>
    <n v="0.72727272727272729"/>
    <n v="0.54545454545454541"/>
    <n v="0.18181818181818188"/>
    <m/>
    <m/>
    <s v=""/>
    <s v=""/>
    <s v=""/>
    <s v=""/>
    <s v=""/>
    <s v=""/>
    <s v=""/>
    <s v=""/>
    <s v=""/>
    <s v=""/>
    <x v="0"/>
    <m/>
    <m/>
    <s v="TC-1465Rodando"/>
  </r>
  <r>
    <x v="26"/>
    <x v="26"/>
    <x v="0"/>
    <x v="1"/>
    <m/>
    <s v="Michelin"/>
    <s v="295/80R22.5"/>
    <s v="Reencauche"/>
    <s v="MDE"/>
    <x v="1"/>
    <n v="22"/>
    <n v="110"/>
    <m/>
    <m/>
    <m/>
    <m/>
    <m/>
    <s v="6"/>
    <d v="2024-04-03T00:00:00"/>
    <m/>
    <m/>
    <n v="13"/>
    <m/>
    <n v="14"/>
    <n v="13"/>
    <s v="st"/>
    <n v="9"/>
    <n v="6"/>
    <n v="6"/>
    <n v="0.72727272727272729"/>
    <n v="0.40909090909090906"/>
    <n v="0.31818181818181823"/>
    <m/>
    <m/>
    <s v=""/>
    <s v=""/>
    <s v=""/>
    <s v=""/>
    <s v=""/>
    <s v=""/>
    <s v=""/>
    <s v=""/>
    <s v=""/>
    <s v=""/>
    <x v="0"/>
    <m/>
    <m/>
    <s v="TC-1466Rodando"/>
  </r>
  <r>
    <x v="26"/>
    <x v="26"/>
    <x v="0"/>
    <x v="1"/>
    <m/>
    <s v="Goodyear"/>
    <s v="295/80R22.5"/>
    <s v="KMAXD"/>
    <s v="KMAXD"/>
    <x v="0"/>
    <n v="22.2"/>
    <n v="110"/>
    <m/>
    <m/>
    <m/>
    <m/>
    <m/>
    <s v="7"/>
    <d v="2024-04-03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1467Rodando"/>
  </r>
  <r>
    <x v="26"/>
    <x v="26"/>
    <x v="0"/>
    <x v="1"/>
    <m/>
    <s v="Goodyear"/>
    <s v="295/80R22.5"/>
    <s v="KMAXD"/>
    <s v="KMAXD"/>
    <x v="0"/>
    <n v="22.2"/>
    <n v="110"/>
    <m/>
    <m/>
    <m/>
    <m/>
    <m/>
    <s v="8"/>
    <d v="2024-04-03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1468Rodando"/>
  </r>
  <r>
    <x v="26"/>
    <x v="26"/>
    <x v="0"/>
    <x v="1"/>
    <m/>
    <s v="Goodyear"/>
    <s v="295/80R22.5"/>
    <s v="KMAXD"/>
    <s v="KMAXD"/>
    <x v="0"/>
    <n v="22.2"/>
    <n v="110"/>
    <m/>
    <m/>
    <m/>
    <m/>
    <m/>
    <s v="9"/>
    <d v="2024-04-03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1469Rodando"/>
  </r>
  <r>
    <x v="26"/>
    <x v="26"/>
    <x v="0"/>
    <x v="1"/>
    <m/>
    <s v="Goodyear"/>
    <s v="295/80R22.5"/>
    <s v="KMAXD"/>
    <s v="KMAXD"/>
    <x v="0"/>
    <n v="22.2"/>
    <n v="110"/>
    <m/>
    <m/>
    <m/>
    <m/>
    <m/>
    <s v="10"/>
    <d v="2024-04-03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14610Rodando"/>
  </r>
  <r>
    <x v="27"/>
    <x v="27"/>
    <x v="1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461Rodando"/>
  </r>
  <r>
    <x v="27"/>
    <x v="27"/>
    <x v="1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462Rodando"/>
  </r>
  <r>
    <x v="27"/>
    <x v="27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0"/>
    <n v="8"/>
    <n v="8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s v="Alineamiento"/>
    <s v="SR-1463Rodando"/>
  </r>
  <r>
    <x v="27"/>
    <x v="27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9"/>
    <n v="8"/>
    <n v="9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1464Rodando"/>
  </r>
  <r>
    <x v="27"/>
    <x v="27"/>
    <x v="1"/>
    <x v="2"/>
    <m/>
    <s v="Continental"/>
    <s v="445/65R22.5"/>
    <s v="HAC3"/>
    <s v="HAC3"/>
    <x v="0"/>
    <n v="0"/>
    <n v="110"/>
    <m/>
    <m/>
    <m/>
    <m/>
    <m/>
    <s v="5"/>
    <d v="2024-04-03T00:00:00"/>
    <m/>
    <m/>
    <n v="16"/>
    <n v="16"/>
    <n v="15"/>
    <n v="15"/>
    <s v="st"/>
    <n v="-15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1465Rodando"/>
  </r>
  <r>
    <x v="27"/>
    <x v="27"/>
    <x v="1"/>
    <x v="2"/>
    <m/>
    <s v="Continental"/>
    <s v="445/65R22.5"/>
    <s v="HAC3"/>
    <s v="HAC3"/>
    <x v="0"/>
    <n v="0"/>
    <n v="110"/>
    <m/>
    <m/>
    <m/>
    <m/>
    <m/>
    <s v="6"/>
    <d v="2024-04-03T00:00:00"/>
    <m/>
    <m/>
    <n v="15"/>
    <n v="16"/>
    <n v="16"/>
    <n v="15"/>
    <s v="st"/>
    <n v="-15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1466Rodando"/>
  </r>
  <r>
    <x v="27"/>
    <x v="27"/>
    <x v="1"/>
    <x v="3"/>
    <m/>
    <s v="Goodyear"/>
    <s v="445/65R22.5"/>
    <s v="OMNITRAC MST2"/>
    <s v="OMNITRAC MST2"/>
    <x v="0"/>
    <n v="15.6"/>
    <n v="110"/>
    <m/>
    <m/>
    <m/>
    <m/>
    <m/>
    <s v="RE"/>
    <d v="2024-04-03T00:00:00"/>
    <m/>
    <m/>
    <n v="10"/>
    <n v="10"/>
    <n v="10"/>
    <n v="10"/>
    <s v="st"/>
    <n v="5.6"/>
    <n v="6"/>
    <n v="6"/>
    <n v="0.61538461538461542"/>
    <n v="0.35897435897435892"/>
    <n v="0.2564102564102565"/>
    <m/>
    <m/>
    <s v=""/>
    <s v=""/>
    <s v=""/>
    <s v=""/>
    <s v=""/>
    <s v=""/>
    <s v=""/>
    <s v=""/>
    <s v=""/>
    <s v=""/>
    <x v="0"/>
    <m/>
    <m/>
    <s v="SR-146RERodando"/>
  </r>
  <r>
    <x v="27"/>
    <x v="27"/>
    <x v="1"/>
    <x v="4"/>
    <m/>
    <s v="Goodyear"/>
    <s v="295/80R22.5"/>
    <s v="KMAX S"/>
    <s v="KMAX S"/>
    <x v="0"/>
    <n v="15.8"/>
    <n v="100"/>
    <m/>
    <m/>
    <m/>
    <m/>
    <m/>
    <s v="RT"/>
    <d v="2024-04-03T00:00:00"/>
    <m/>
    <m/>
    <n v="9"/>
    <n v="10"/>
    <n v="6"/>
    <n v="6"/>
    <s v="st"/>
    <n v="9.8000000000000007"/>
    <n v="6"/>
    <n v="6"/>
    <n v="0.620253164556962"/>
    <n v="0.620253164556962"/>
    <n v="0"/>
    <m/>
    <m/>
    <s v=""/>
    <s v=""/>
    <s v=""/>
    <s v=""/>
    <s v=""/>
    <s v=""/>
    <s v=""/>
    <s v=""/>
    <s v=""/>
    <s v=""/>
    <x v="0"/>
    <m/>
    <s v="Alineamiento"/>
    <s v="SR-146RTRodando"/>
  </r>
  <r>
    <x v="28"/>
    <x v="28"/>
    <x v="1"/>
    <x v="2"/>
    <m/>
    <s v="Aeolus"/>
    <s v="445/65R22.5"/>
    <s v="Reencauche"/>
    <s v="LZY3"/>
    <x v="1"/>
    <n v="21"/>
    <n v="110"/>
    <m/>
    <m/>
    <m/>
    <m/>
    <m/>
    <s v="1"/>
    <d v="2024-04-02T00:00:00"/>
    <m/>
    <m/>
    <n v="20"/>
    <n v="19"/>
    <n v="19"/>
    <n v="19"/>
    <s v="st"/>
    <n v="2"/>
    <n v="6"/>
    <n v="6"/>
    <n v="0.7142857142857143"/>
    <n v="9.5238095238095233E-2"/>
    <n v="0.61904761904761907"/>
    <m/>
    <m/>
    <s v=""/>
    <s v=""/>
    <s v=""/>
    <s v=""/>
    <s v=""/>
    <s v=""/>
    <s v=""/>
    <s v=""/>
    <s v=""/>
    <s v=""/>
    <x v="0"/>
    <m/>
    <m/>
    <s v="SR-1481Rodando"/>
  </r>
  <r>
    <x v="28"/>
    <x v="28"/>
    <x v="1"/>
    <x v="2"/>
    <m/>
    <s v="Aeolus"/>
    <s v="445/65R22.5"/>
    <s v="Reencauche"/>
    <s v="LZY3"/>
    <x v="1"/>
    <n v="21"/>
    <n v="110"/>
    <m/>
    <m/>
    <m/>
    <m/>
    <m/>
    <s v="2"/>
    <d v="2024-04-02T00:00:00"/>
    <m/>
    <m/>
    <n v="19"/>
    <n v="19"/>
    <n v="19"/>
    <n v="19"/>
    <s v="st"/>
    <n v="2"/>
    <n v="6"/>
    <n v="6"/>
    <n v="0.7142857142857143"/>
    <n v="9.5238095238095233E-2"/>
    <n v="0.61904761904761907"/>
    <m/>
    <m/>
    <s v=""/>
    <s v=""/>
    <s v=""/>
    <s v=""/>
    <s v=""/>
    <s v=""/>
    <s v=""/>
    <s v=""/>
    <s v=""/>
    <s v=""/>
    <x v="0"/>
    <m/>
    <m/>
    <s v="SR-1482Rodando"/>
  </r>
  <r>
    <x v="28"/>
    <x v="28"/>
    <x v="1"/>
    <x v="2"/>
    <m/>
    <s v="Aeolus"/>
    <s v="445/65R22.5"/>
    <s v="AGC28"/>
    <s v="AGC28"/>
    <x v="0"/>
    <n v="16.5"/>
    <n v="110"/>
    <m/>
    <m/>
    <m/>
    <m/>
    <m/>
    <s v="3"/>
    <d v="2024-04-02T00:00:00"/>
    <m/>
    <m/>
    <n v="11"/>
    <n v="10"/>
    <n v="10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1483Rodando"/>
  </r>
  <r>
    <x v="28"/>
    <x v="28"/>
    <x v="1"/>
    <x v="2"/>
    <m/>
    <s v="Aeolus"/>
    <s v="445/65R22.5"/>
    <s v="AGC28"/>
    <s v="AGC28"/>
    <x v="0"/>
    <n v="16.5"/>
    <n v="110"/>
    <m/>
    <m/>
    <m/>
    <m/>
    <m/>
    <s v="4"/>
    <d v="2024-04-02T00:00:00"/>
    <m/>
    <m/>
    <n v="9"/>
    <n v="8"/>
    <n v="9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1484Rodando"/>
  </r>
  <r>
    <x v="28"/>
    <x v="28"/>
    <x v="1"/>
    <x v="2"/>
    <m/>
    <s v="Goodyear"/>
    <s v="425/65R22.5"/>
    <s v="Reencauche"/>
    <s v="LZY3"/>
    <x v="1"/>
    <n v="19"/>
    <n v="110"/>
    <m/>
    <m/>
    <m/>
    <m/>
    <m/>
    <s v="5"/>
    <d v="2024-04-02T00:00:00"/>
    <m/>
    <m/>
    <n v="13"/>
    <n v="12"/>
    <n v="12"/>
    <n v="12"/>
    <s v="st"/>
    <n v="7"/>
    <n v="6"/>
    <n v="6"/>
    <n v="0.68421052631578949"/>
    <n v="0.36842105263157898"/>
    <n v="0.31578947368421051"/>
    <m/>
    <m/>
    <s v=""/>
    <s v=""/>
    <s v=""/>
    <s v=""/>
    <s v=""/>
    <s v=""/>
    <s v=""/>
    <s v=""/>
    <s v=""/>
    <s v=""/>
    <x v="0"/>
    <m/>
    <m/>
    <s v="SR-1485Rodando"/>
  </r>
  <r>
    <x v="28"/>
    <x v="28"/>
    <x v="1"/>
    <x v="2"/>
    <m/>
    <s v="Goodyear"/>
    <s v="425/65R22.5"/>
    <s v="Reencauche"/>
    <s v="LZY3"/>
    <x v="1"/>
    <n v="19"/>
    <n v="110"/>
    <m/>
    <m/>
    <m/>
    <m/>
    <m/>
    <s v="6"/>
    <d v="2024-04-02T00:00:00"/>
    <m/>
    <m/>
    <n v="13"/>
    <n v="12"/>
    <n v="12"/>
    <n v="12"/>
    <s v="tm"/>
    <n v="7"/>
    <n v="6"/>
    <n v="6"/>
    <n v="0.68421052631578949"/>
    <n v="0.36842105263157898"/>
    <n v="0.31578947368421051"/>
    <m/>
    <m/>
    <s v=""/>
    <s v=""/>
    <s v=""/>
    <s v=""/>
    <s v=""/>
    <s v=""/>
    <s v=""/>
    <s v=""/>
    <s v=""/>
    <s v=""/>
    <x v="0"/>
    <m/>
    <m/>
    <s v="SR-1486Rodando"/>
  </r>
  <r>
    <x v="28"/>
    <x v="28"/>
    <x v="1"/>
    <x v="3"/>
    <m/>
    <s v="Aeolus"/>
    <s v="445/65R22.5"/>
    <s v="AGC28"/>
    <s v="AGC28"/>
    <x v="0"/>
    <n v="16.5"/>
    <n v="110"/>
    <m/>
    <m/>
    <m/>
    <m/>
    <m/>
    <s v="RE"/>
    <d v="2024-04-02T00:00:00"/>
    <m/>
    <m/>
    <n v="7"/>
    <n v="7"/>
    <n v="7"/>
    <n v="7"/>
    <s v="st"/>
    <n v="9.5"/>
    <n v="6"/>
    <n v="6"/>
    <n v="0.63636363636363635"/>
    <n v="0.57575757575757569"/>
    <n v="6.0606060606060663E-2"/>
    <m/>
    <m/>
    <s v=""/>
    <s v=""/>
    <s v=""/>
    <s v=""/>
    <s v=""/>
    <s v=""/>
    <s v=""/>
    <s v=""/>
    <s v=""/>
    <s v=""/>
    <x v="0"/>
    <m/>
    <m/>
    <s v="SR-148RERodando"/>
  </r>
  <r>
    <x v="28"/>
    <x v="28"/>
    <x v="1"/>
    <x v="4"/>
    <m/>
    <s v="Michelin"/>
    <s v="295/80R22.5"/>
    <s v="XMULTI2D"/>
    <s v="XMULTI2D"/>
    <x v="0"/>
    <n v="21.4"/>
    <n v="110"/>
    <m/>
    <m/>
    <m/>
    <m/>
    <m/>
    <s v="RT"/>
    <d v="2024-04-02T00:00:00"/>
    <m/>
    <m/>
    <n v="20"/>
    <m/>
    <n v="20"/>
    <n v="20"/>
    <s v="tm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SR-148RTRodando"/>
  </r>
  <r>
    <x v="29"/>
    <x v="29"/>
    <x v="0"/>
    <x v="0"/>
    <m/>
    <s v="Goodyear"/>
    <s v="295/80R22.5"/>
    <s v="KMAX S"/>
    <s v="KMAX S"/>
    <x v="0"/>
    <n v="15.8"/>
    <n v="100"/>
    <m/>
    <m/>
    <m/>
    <m/>
    <m/>
    <s v="1"/>
    <d v="2024-04-03T00:00:00"/>
    <m/>
    <m/>
    <n v="9"/>
    <n v="12"/>
    <n v="12"/>
    <n v="9"/>
    <s v="st"/>
    <n v="6.8000000000000007"/>
    <n v="6"/>
    <n v="6"/>
    <n v="0.620253164556962"/>
    <n v="0.43037974683544311"/>
    <n v="0.18987341772151889"/>
    <m/>
    <m/>
    <s v=""/>
    <s v=""/>
    <s v=""/>
    <s v=""/>
    <s v=""/>
    <s v=""/>
    <s v=""/>
    <s v=""/>
    <s v=""/>
    <s v=""/>
    <x v="0"/>
    <m/>
    <s v="Alineamiento"/>
    <s v="TC-1521Rodando"/>
  </r>
  <r>
    <x v="29"/>
    <x v="29"/>
    <x v="0"/>
    <x v="0"/>
    <m/>
    <s v="Goodyear"/>
    <s v="295/80R22.5"/>
    <s v="KMAX S"/>
    <s v="KMAX S"/>
    <x v="0"/>
    <n v="15.8"/>
    <n v="100"/>
    <m/>
    <m/>
    <m/>
    <m/>
    <m/>
    <s v="2"/>
    <d v="2024-04-03T00:00:00"/>
    <m/>
    <m/>
    <n v="10"/>
    <n v="12"/>
    <n v="11"/>
    <n v="10"/>
    <s v="st"/>
    <n v="5.8000000000000007"/>
    <n v="6"/>
    <n v="6"/>
    <n v="0.620253164556962"/>
    <n v="0.36708860759493678"/>
    <n v="0.25316455696202522"/>
    <m/>
    <m/>
    <s v=""/>
    <s v=""/>
    <s v=""/>
    <s v=""/>
    <s v=""/>
    <s v=""/>
    <s v=""/>
    <s v=""/>
    <s v=""/>
    <s v=""/>
    <x v="0"/>
    <m/>
    <s v="Alineamiento"/>
    <s v="TC-1522Rodando"/>
  </r>
  <r>
    <x v="29"/>
    <x v="29"/>
    <x v="0"/>
    <x v="1"/>
    <m/>
    <s v="Michelin"/>
    <s v="295/80R22.5"/>
    <s v="XMULTI2D"/>
    <s v="XMULTI2D"/>
    <x v="0"/>
    <n v="21.4"/>
    <n v="110"/>
    <m/>
    <m/>
    <m/>
    <m/>
    <m/>
    <s v="3"/>
    <d v="2024-04-03T00:00:00"/>
    <m/>
    <m/>
    <n v="20"/>
    <m/>
    <n v="20"/>
    <n v="20"/>
    <s v="st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TC-1523Rodando"/>
  </r>
  <r>
    <x v="29"/>
    <x v="29"/>
    <x v="0"/>
    <x v="1"/>
    <m/>
    <s v="Michelin"/>
    <s v="295/80R22.5"/>
    <s v="XMULTI2D"/>
    <s v="XMULTI2D"/>
    <x v="0"/>
    <n v="21.4"/>
    <n v="110"/>
    <m/>
    <m/>
    <m/>
    <m/>
    <m/>
    <s v="4"/>
    <d v="2024-04-03T00:00:00"/>
    <m/>
    <m/>
    <n v="20"/>
    <m/>
    <n v="20"/>
    <n v="20"/>
    <s v="st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TC-1524Rodando"/>
  </r>
  <r>
    <x v="29"/>
    <x v="29"/>
    <x v="0"/>
    <x v="1"/>
    <m/>
    <s v="Michelin"/>
    <s v="295/80R22.5"/>
    <s v="XMULTI2D"/>
    <s v="XMULTI2D"/>
    <x v="0"/>
    <n v="21.4"/>
    <n v="110"/>
    <m/>
    <m/>
    <m/>
    <m/>
    <m/>
    <s v="5"/>
    <d v="2024-04-03T00:00:00"/>
    <m/>
    <m/>
    <n v="20"/>
    <m/>
    <n v="20"/>
    <n v="20"/>
    <s v="st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TC-1525Rodando"/>
  </r>
  <r>
    <x v="29"/>
    <x v="29"/>
    <x v="0"/>
    <x v="1"/>
    <m/>
    <s v="Michelin"/>
    <s v="295/80R22.5"/>
    <s v="XMULTI2D"/>
    <s v="XMULTI2D"/>
    <x v="0"/>
    <n v="21.4"/>
    <n v="110"/>
    <m/>
    <m/>
    <m/>
    <m/>
    <m/>
    <s v="6"/>
    <d v="2024-04-03T00:00:00"/>
    <m/>
    <m/>
    <n v="20"/>
    <m/>
    <n v="20"/>
    <n v="20"/>
    <s v="st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TC-1526Rodando"/>
  </r>
  <r>
    <x v="29"/>
    <x v="29"/>
    <x v="0"/>
    <x v="1"/>
    <s v="2023020002"/>
    <s v="Goodyear"/>
    <s v="295/80R22.5"/>
    <s v="KMAX EXTREME"/>
    <s v="KMAX EXTREME"/>
    <x v="0"/>
    <n v="17.5"/>
    <n v="110"/>
    <m/>
    <m/>
    <m/>
    <m/>
    <m/>
    <s v="7"/>
    <d v="2024-04-03T00:00:00"/>
    <m/>
    <m/>
    <n v="10"/>
    <n v="9"/>
    <n v="10"/>
    <n v="9"/>
    <s v="st"/>
    <n v="8.5"/>
    <n v="6"/>
    <n v="6"/>
    <n v="0.65714285714285714"/>
    <n v="0.48571428571428577"/>
    <n v="0.17142857142857137"/>
    <m/>
    <m/>
    <s v=""/>
    <s v=""/>
    <s v=""/>
    <s v=""/>
    <s v=""/>
    <s v=""/>
    <s v=""/>
    <s v=""/>
    <s v=""/>
    <s v=""/>
    <x v="0"/>
    <m/>
    <m/>
    <s v="TC-1527Rodando"/>
  </r>
  <r>
    <x v="29"/>
    <x v="29"/>
    <x v="0"/>
    <x v="1"/>
    <m/>
    <s v="Goodyear"/>
    <s v="295/80R22.5"/>
    <s v="KMAX EXTREME"/>
    <s v="KMAX EXTREME"/>
    <x v="0"/>
    <n v="17.5"/>
    <n v="110"/>
    <m/>
    <m/>
    <m/>
    <m/>
    <m/>
    <s v="8"/>
    <d v="2024-04-03T00:00:00"/>
    <m/>
    <m/>
    <n v="10"/>
    <n v="9"/>
    <n v="9"/>
    <n v="9"/>
    <s v="st"/>
    <n v="8.5"/>
    <n v="6"/>
    <n v="6"/>
    <n v="0.65714285714285714"/>
    <n v="0.48571428571428577"/>
    <n v="0.17142857142857137"/>
    <m/>
    <m/>
    <s v=""/>
    <s v=""/>
    <s v=""/>
    <s v=""/>
    <s v=""/>
    <s v=""/>
    <s v=""/>
    <s v=""/>
    <s v=""/>
    <s v=""/>
    <x v="0"/>
    <m/>
    <m/>
    <s v="TC-1528Rodando"/>
  </r>
  <r>
    <x v="29"/>
    <x v="29"/>
    <x v="0"/>
    <x v="1"/>
    <m/>
    <s v="Goodyear"/>
    <s v="295/80R22.5"/>
    <s v="KMAX EXTREME"/>
    <s v="KMAX EXTREME"/>
    <x v="0"/>
    <n v="17.5"/>
    <n v="110"/>
    <m/>
    <m/>
    <m/>
    <m/>
    <m/>
    <s v="9"/>
    <d v="2024-04-03T00:00:00"/>
    <m/>
    <m/>
    <n v="11"/>
    <n v="11"/>
    <n v="10"/>
    <n v="10"/>
    <s v="st"/>
    <n v="7.5"/>
    <n v="6"/>
    <n v="6"/>
    <n v="0.65714285714285714"/>
    <n v="0.4285714285714286"/>
    <n v="0.22857142857142854"/>
    <m/>
    <m/>
    <s v=""/>
    <s v=""/>
    <s v=""/>
    <s v=""/>
    <s v=""/>
    <s v=""/>
    <s v=""/>
    <s v=""/>
    <s v=""/>
    <s v=""/>
    <x v="0"/>
    <m/>
    <m/>
    <s v="TC-1529Rodando"/>
  </r>
  <r>
    <x v="29"/>
    <x v="29"/>
    <x v="0"/>
    <x v="1"/>
    <m/>
    <s v="Goodyear"/>
    <s v="295/80R22.5"/>
    <s v="KMAX EXTREME"/>
    <s v="KMAX EXTREME"/>
    <x v="0"/>
    <n v="17.5"/>
    <n v="110"/>
    <m/>
    <m/>
    <m/>
    <m/>
    <m/>
    <s v="10"/>
    <d v="2024-04-03T00:00:00"/>
    <m/>
    <m/>
    <n v="11"/>
    <n v="11"/>
    <n v="10"/>
    <n v="10"/>
    <s v="st"/>
    <n v="7.5"/>
    <n v="6"/>
    <n v="6"/>
    <n v="0.65714285714285714"/>
    <n v="0.4285714285714286"/>
    <n v="0.22857142857142854"/>
    <m/>
    <m/>
    <s v=""/>
    <s v=""/>
    <s v=""/>
    <s v=""/>
    <s v=""/>
    <s v=""/>
    <s v=""/>
    <s v=""/>
    <s v=""/>
    <s v=""/>
    <x v="0"/>
    <m/>
    <m/>
    <s v="TC-15210Rodando"/>
  </r>
  <r>
    <x v="30"/>
    <x v="30"/>
    <x v="1"/>
    <x v="2"/>
    <m/>
    <s v="Aeolus"/>
    <s v="445/65R22.5"/>
    <s v="AGC28"/>
    <s v="AGC28"/>
    <x v="0"/>
    <n v="16.5"/>
    <n v="110"/>
    <m/>
    <m/>
    <m/>
    <m/>
    <m/>
    <s v="1"/>
    <d v="2024-04-02T00:00:00"/>
    <m/>
    <m/>
    <n v="12"/>
    <n v="12"/>
    <n v="12"/>
    <n v="12"/>
    <s v="st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1521Rodando"/>
  </r>
  <r>
    <x v="30"/>
    <x v="30"/>
    <x v="1"/>
    <x v="2"/>
    <m/>
    <s v="Aeolus"/>
    <s v="445/65R22.5"/>
    <s v="AGC28"/>
    <s v="AGC28"/>
    <x v="0"/>
    <n v="16.5"/>
    <n v="110"/>
    <m/>
    <m/>
    <m/>
    <m/>
    <m/>
    <s v="2"/>
    <d v="2024-04-02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522Rodando"/>
  </r>
  <r>
    <x v="30"/>
    <x v="30"/>
    <x v="1"/>
    <x v="2"/>
    <m/>
    <s v="Aeolus"/>
    <s v="445/65R22.5"/>
    <s v="AGC28"/>
    <s v="AGC28"/>
    <x v="0"/>
    <n v="16.5"/>
    <n v="110"/>
    <m/>
    <m/>
    <m/>
    <m/>
    <m/>
    <s v="3"/>
    <d v="2024-04-02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523Rodando"/>
  </r>
  <r>
    <x v="30"/>
    <x v="30"/>
    <x v="1"/>
    <x v="2"/>
    <m/>
    <s v="Aeolus"/>
    <s v="445/65R22.5"/>
    <s v="AGC28"/>
    <s v="AGC28"/>
    <x v="0"/>
    <n v="16.5"/>
    <n v="110"/>
    <m/>
    <m/>
    <m/>
    <m/>
    <m/>
    <s v="4"/>
    <d v="2024-04-02T00:00:00"/>
    <m/>
    <m/>
    <n v="16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1524Rodando"/>
  </r>
  <r>
    <x v="30"/>
    <x v="30"/>
    <x v="1"/>
    <x v="2"/>
    <m/>
    <s v="Aeolus"/>
    <s v="445/65R22.5"/>
    <s v="AGC28"/>
    <s v="AGC28"/>
    <x v="0"/>
    <n v="16.5"/>
    <n v="110"/>
    <m/>
    <m/>
    <m/>
    <m/>
    <m/>
    <s v="5"/>
    <d v="2024-04-02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1525Rodando"/>
  </r>
  <r>
    <x v="30"/>
    <x v="30"/>
    <x v="1"/>
    <x v="2"/>
    <m/>
    <s v="Aeolus"/>
    <s v="445/65R22.5"/>
    <s v="AGC28"/>
    <s v="AGC28"/>
    <x v="0"/>
    <n v="16.5"/>
    <n v="110"/>
    <m/>
    <m/>
    <m/>
    <m/>
    <m/>
    <s v="6"/>
    <d v="2024-04-02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526Rodando"/>
  </r>
  <r>
    <x v="30"/>
    <x v="30"/>
    <x v="1"/>
    <x v="3"/>
    <m/>
    <s v="Goodyear"/>
    <s v="445/65R22.5"/>
    <s v="OMNITRAC MST2"/>
    <s v="OMNITRAC MST2"/>
    <x v="0"/>
    <n v="15.6"/>
    <n v="110"/>
    <m/>
    <m/>
    <m/>
    <m/>
    <m/>
    <s v="RE"/>
    <d v="2024-04-02T00:00:00"/>
    <m/>
    <m/>
    <n v="8"/>
    <n v="5"/>
    <n v="6"/>
    <n v="5"/>
    <s v="st"/>
    <n v="10.6"/>
    <n v="6"/>
    <n v="5"/>
    <n v="0.61538461538461542"/>
    <n v="0.67948717948717952"/>
    <n v="-6.4102564102564097E-2"/>
    <m/>
    <m/>
    <s v=""/>
    <s v=""/>
    <s v=""/>
    <s v=""/>
    <s v=""/>
    <s v=""/>
    <s v=""/>
    <s v=""/>
    <s v=""/>
    <s v=""/>
    <x v="0"/>
    <m/>
    <m/>
    <s v="SR-152RERodando"/>
  </r>
  <r>
    <x v="30"/>
    <x v="30"/>
    <x v="1"/>
    <x v="4"/>
    <m/>
    <s v="Michelin"/>
    <s v="295/80R22.5"/>
    <s v="Reencauche"/>
    <s v="MDE"/>
    <x v="1"/>
    <n v="22"/>
    <n v="110"/>
    <m/>
    <m/>
    <m/>
    <m/>
    <m/>
    <s v="RT"/>
    <d v="2024-04-02T00:00:00"/>
    <m/>
    <m/>
    <n v="7"/>
    <n v="7"/>
    <n v="8"/>
    <n v="7"/>
    <s v="st"/>
    <n v="15"/>
    <n v="6"/>
    <n v="6"/>
    <n v="0.72727272727272729"/>
    <n v="0.68181818181818188"/>
    <n v="4.5454545454545414E-2"/>
    <m/>
    <m/>
    <s v=""/>
    <s v=""/>
    <s v=""/>
    <s v=""/>
    <s v=""/>
    <s v=""/>
    <s v=""/>
    <s v=""/>
    <s v=""/>
    <s v=""/>
    <x v="0"/>
    <m/>
    <m/>
    <s v="SR-152RTRodando"/>
  </r>
  <r>
    <x v="31"/>
    <x v="31"/>
    <x v="0"/>
    <x v="0"/>
    <m/>
    <s v="Michelin"/>
    <s v="295/80R22.5"/>
    <s v="XMULTI+Z"/>
    <s v="XMULTI+Z"/>
    <x v="0"/>
    <n v="16"/>
    <n v="100"/>
    <m/>
    <m/>
    <m/>
    <m/>
    <m/>
    <s v="1"/>
    <d v="2024-04-04T00:00:00"/>
    <m/>
    <m/>
    <n v="15"/>
    <n v="15"/>
    <n v="15"/>
    <n v="15"/>
    <s v="tm"/>
    <n v="1"/>
    <n v="6"/>
    <n v="6"/>
    <n v="0.625"/>
    <n v="6.25E-2"/>
    <n v="0.5625"/>
    <m/>
    <m/>
    <s v=""/>
    <s v=""/>
    <s v=""/>
    <s v=""/>
    <s v=""/>
    <s v=""/>
    <s v=""/>
    <s v=""/>
    <s v=""/>
    <s v=""/>
    <x v="0"/>
    <m/>
    <m/>
    <s v="TC-1541Rodando"/>
  </r>
  <r>
    <x v="31"/>
    <x v="31"/>
    <x v="0"/>
    <x v="0"/>
    <m/>
    <s v="Michelin"/>
    <s v="295/80R22.5"/>
    <s v="XMULTI+Z"/>
    <s v="XMULTI+Z"/>
    <x v="0"/>
    <n v="16"/>
    <n v="100"/>
    <m/>
    <m/>
    <m/>
    <m/>
    <m/>
    <s v="2"/>
    <d v="2024-04-04T00:00:00"/>
    <m/>
    <m/>
    <n v="15"/>
    <n v="15"/>
    <n v="15"/>
    <n v="15"/>
    <s v="tm"/>
    <n v="1"/>
    <n v="6"/>
    <n v="6"/>
    <n v="0.625"/>
    <n v="6.25E-2"/>
    <n v="0.5625"/>
    <m/>
    <m/>
    <s v=""/>
    <s v=""/>
    <s v=""/>
    <s v=""/>
    <s v=""/>
    <s v=""/>
    <s v=""/>
    <s v=""/>
    <s v=""/>
    <s v=""/>
    <x v="0"/>
    <m/>
    <m/>
    <s v="TC-1542Rodando"/>
  </r>
  <r>
    <x v="31"/>
    <x v="31"/>
    <x v="0"/>
    <x v="1"/>
    <m/>
    <s v="Continental"/>
    <s v="295/80R22.5"/>
    <s v="Reencauche"/>
    <s v="MDE"/>
    <x v="2"/>
    <n v="22"/>
    <n v="110"/>
    <m/>
    <m/>
    <m/>
    <m/>
    <m/>
    <s v="3"/>
    <d v="2024-04-04T00:00:00"/>
    <m/>
    <m/>
    <n v="15"/>
    <n v="15"/>
    <n v="15"/>
    <n v="15"/>
    <s v="tm"/>
    <n v="7"/>
    <n v="6"/>
    <n v="6"/>
    <n v="0.72727272727272729"/>
    <n v="0.31818181818181823"/>
    <n v="0.40909090909090906"/>
    <m/>
    <m/>
    <s v=""/>
    <s v=""/>
    <s v=""/>
    <s v=""/>
    <s v=""/>
    <s v=""/>
    <s v=""/>
    <s v=""/>
    <s v=""/>
    <s v=""/>
    <x v="0"/>
    <m/>
    <m/>
    <s v="TC-1543Rodando"/>
  </r>
  <r>
    <x v="31"/>
    <x v="31"/>
    <x v="0"/>
    <x v="1"/>
    <m/>
    <s v="Continental"/>
    <s v="295/80R22.5"/>
    <s v="Reencauche"/>
    <s v="MDE"/>
    <x v="1"/>
    <n v="22"/>
    <n v="110"/>
    <m/>
    <m/>
    <m/>
    <m/>
    <m/>
    <s v="4"/>
    <d v="2024-04-04T00:00:00"/>
    <m/>
    <m/>
    <n v="14"/>
    <n v="14"/>
    <n v="14"/>
    <n v="14"/>
    <s v="st"/>
    <n v="8"/>
    <n v="6"/>
    <n v="6"/>
    <n v="0.72727272727272729"/>
    <n v="0.36363636363636365"/>
    <n v="0.36363636363636365"/>
    <m/>
    <m/>
    <s v=""/>
    <s v=""/>
    <s v=""/>
    <s v=""/>
    <s v=""/>
    <s v=""/>
    <s v=""/>
    <s v=""/>
    <s v=""/>
    <s v=""/>
    <x v="0"/>
    <m/>
    <m/>
    <s v="TC-1544Rodando"/>
  </r>
  <r>
    <x v="31"/>
    <x v="31"/>
    <x v="0"/>
    <x v="1"/>
    <m/>
    <s v="Continental"/>
    <s v="295/80R22.5"/>
    <s v="Reencauche"/>
    <s v="MDE"/>
    <x v="1"/>
    <n v="22"/>
    <n v="110"/>
    <m/>
    <m/>
    <m/>
    <m/>
    <m/>
    <s v="5"/>
    <d v="2024-04-04T00:00:00"/>
    <m/>
    <m/>
    <n v="16"/>
    <n v="16"/>
    <n v="16"/>
    <n v="16"/>
    <s v="st"/>
    <n v="6"/>
    <n v="6"/>
    <n v="6"/>
    <n v="0.72727272727272729"/>
    <n v="0.27272727272727271"/>
    <n v="0.45454545454545459"/>
    <m/>
    <m/>
    <s v=""/>
    <s v=""/>
    <s v=""/>
    <s v=""/>
    <s v=""/>
    <s v=""/>
    <s v=""/>
    <s v=""/>
    <s v=""/>
    <s v=""/>
    <x v="0"/>
    <m/>
    <m/>
    <s v="TC-1545Rodando"/>
  </r>
  <r>
    <x v="31"/>
    <x v="31"/>
    <x v="0"/>
    <x v="1"/>
    <m/>
    <s v="Continental"/>
    <s v="295/80R22.5"/>
    <s v="Reencauche"/>
    <s v="MDE"/>
    <x v="1"/>
    <n v="22"/>
    <n v="110"/>
    <m/>
    <m/>
    <m/>
    <m/>
    <m/>
    <s v="6"/>
    <d v="2024-04-04T00:00:00"/>
    <m/>
    <m/>
    <n v="15"/>
    <n v="15"/>
    <n v="15"/>
    <n v="15"/>
    <s v="st"/>
    <n v="7"/>
    <n v="6"/>
    <n v="6"/>
    <n v="0.72727272727272729"/>
    <n v="0.31818181818181823"/>
    <n v="0.40909090909090906"/>
    <m/>
    <m/>
    <s v=""/>
    <s v=""/>
    <s v=""/>
    <s v=""/>
    <s v=""/>
    <s v=""/>
    <s v=""/>
    <s v=""/>
    <s v=""/>
    <s v=""/>
    <x v="0"/>
    <m/>
    <m/>
    <s v="TC-1546Rodando"/>
  </r>
  <r>
    <x v="31"/>
    <x v="31"/>
    <x v="0"/>
    <x v="1"/>
    <s v="2023020034"/>
    <s v="Goodyear"/>
    <s v="295/80R22.5"/>
    <s v="KMAXD"/>
    <s v="KMAXD"/>
    <x v="0"/>
    <n v="22.2"/>
    <n v="110"/>
    <m/>
    <m/>
    <m/>
    <m/>
    <m/>
    <s v="7"/>
    <d v="2024-04-04T00:00:00"/>
    <m/>
    <m/>
    <n v="11"/>
    <m/>
    <n v="12"/>
    <n v="11"/>
    <s v="st"/>
    <n v="11.2"/>
    <n v="6"/>
    <n v="6"/>
    <n v="0.72972972972972971"/>
    <n v="0.50450450450450446"/>
    <n v="0.22522522522522526"/>
    <m/>
    <m/>
    <s v=""/>
    <s v=""/>
    <s v=""/>
    <s v=""/>
    <s v=""/>
    <s v=""/>
    <s v=""/>
    <s v=""/>
    <s v=""/>
    <s v=""/>
    <x v="0"/>
    <m/>
    <m/>
    <s v="TC-1547Rodando"/>
  </r>
  <r>
    <x v="31"/>
    <x v="31"/>
    <x v="0"/>
    <x v="1"/>
    <m/>
    <s v="Goodyear"/>
    <s v="295/80R22.5"/>
    <s v="KMAXD"/>
    <s v="KMAXD"/>
    <x v="0"/>
    <n v="22.2"/>
    <n v="110"/>
    <m/>
    <m/>
    <m/>
    <m/>
    <m/>
    <s v="8"/>
    <d v="2024-04-04T00:00:00"/>
    <m/>
    <m/>
    <n v="11"/>
    <m/>
    <n v="12"/>
    <n v="11"/>
    <s v="st"/>
    <n v="11.2"/>
    <n v="6"/>
    <n v="6"/>
    <n v="0.72972972972972971"/>
    <n v="0.50450450450450446"/>
    <n v="0.22522522522522526"/>
    <m/>
    <m/>
    <s v=""/>
    <s v=""/>
    <s v=""/>
    <s v=""/>
    <s v=""/>
    <s v=""/>
    <s v=""/>
    <s v=""/>
    <s v=""/>
    <s v=""/>
    <x v="0"/>
    <m/>
    <m/>
    <s v="TC-1548Rodando"/>
  </r>
  <r>
    <x v="31"/>
    <x v="31"/>
    <x v="0"/>
    <x v="1"/>
    <m/>
    <s v="Goodyear"/>
    <s v="295/80R22.5"/>
    <s v="KMAXD"/>
    <s v="KMAXD"/>
    <x v="0"/>
    <n v="22.2"/>
    <n v="110"/>
    <m/>
    <m/>
    <m/>
    <m/>
    <m/>
    <s v="9"/>
    <d v="2024-04-04T00:00:00"/>
    <m/>
    <m/>
    <n v="9"/>
    <m/>
    <n v="9"/>
    <n v="9"/>
    <s v="st"/>
    <n v="13.2"/>
    <n v="6"/>
    <n v="6"/>
    <n v="0.72972972972972971"/>
    <n v="0.59459459459459452"/>
    <n v="0.1351351351351352"/>
    <m/>
    <m/>
    <s v=""/>
    <s v=""/>
    <s v=""/>
    <s v=""/>
    <s v=""/>
    <s v=""/>
    <s v=""/>
    <s v=""/>
    <s v=""/>
    <s v=""/>
    <x v="0"/>
    <m/>
    <m/>
    <s v="TC-1549Rodando"/>
  </r>
  <r>
    <x v="31"/>
    <x v="31"/>
    <x v="0"/>
    <x v="1"/>
    <s v="2023020030"/>
    <s v="Goodyear"/>
    <s v="295/80R22.5"/>
    <s v="KMAXD"/>
    <s v="KMAXD"/>
    <x v="0"/>
    <n v="22.2"/>
    <n v="110"/>
    <m/>
    <m/>
    <m/>
    <m/>
    <m/>
    <s v="10"/>
    <d v="2024-04-04T00:00:00"/>
    <m/>
    <m/>
    <n v="10"/>
    <m/>
    <n v="10"/>
    <n v="10"/>
    <s v="st"/>
    <n v="12.2"/>
    <n v="6"/>
    <n v="6"/>
    <n v="0.72972972972972971"/>
    <n v="0.54954954954954949"/>
    <n v="0.18018018018018023"/>
    <m/>
    <m/>
    <s v=""/>
    <s v=""/>
    <s v=""/>
    <s v=""/>
    <s v=""/>
    <s v=""/>
    <s v=""/>
    <s v=""/>
    <s v=""/>
    <s v=""/>
    <x v="0"/>
    <m/>
    <m/>
    <s v="TC-15410Rodando"/>
  </r>
  <r>
    <x v="32"/>
    <x v="32"/>
    <x v="1"/>
    <x v="2"/>
    <m/>
    <s v="Aeolus"/>
    <s v="445/65R22.5"/>
    <s v="AGC28"/>
    <s v="AGC28"/>
    <x v="0"/>
    <n v="16.5"/>
    <n v="110"/>
    <m/>
    <m/>
    <m/>
    <m/>
    <m/>
    <s v="1"/>
    <d v="2024-04-04T00:00:00"/>
    <m/>
    <m/>
    <n v="9"/>
    <n v="9"/>
    <n v="9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541Rodando"/>
  </r>
  <r>
    <x v="32"/>
    <x v="32"/>
    <x v="1"/>
    <x v="2"/>
    <m/>
    <s v="Goodyear"/>
    <s v="445/65R22.5"/>
    <s v="Reencauche"/>
    <s v="LZY3"/>
    <x v="1"/>
    <n v="19"/>
    <n v="110"/>
    <m/>
    <m/>
    <m/>
    <m/>
    <m/>
    <s v="2"/>
    <d v="2024-04-04T00:00:00"/>
    <m/>
    <m/>
    <n v="12"/>
    <n v="12"/>
    <n v="12"/>
    <n v="12"/>
    <s v="st"/>
    <n v="7"/>
    <n v="6"/>
    <n v="6"/>
    <n v="0.68421052631578949"/>
    <n v="0.36842105263157898"/>
    <n v="0.31578947368421051"/>
    <m/>
    <m/>
    <s v=""/>
    <s v=""/>
    <s v=""/>
    <s v=""/>
    <s v=""/>
    <s v=""/>
    <s v=""/>
    <s v=""/>
    <s v=""/>
    <s v=""/>
    <x v="0"/>
    <m/>
    <m/>
    <s v="SR-1542Rodando"/>
  </r>
  <r>
    <x v="32"/>
    <x v="32"/>
    <x v="1"/>
    <x v="2"/>
    <m/>
    <s v="Aeolus"/>
    <s v="445/65R22.5"/>
    <s v="AGC28"/>
    <s v="AGC28"/>
    <x v="0"/>
    <n v="16.5"/>
    <n v="110"/>
    <m/>
    <m/>
    <m/>
    <m/>
    <m/>
    <s v="3"/>
    <d v="2024-04-04T00:00:00"/>
    <m/>
    <m/>
    <n v="10"/>
    <n v="10"/>
    <n v="10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1543Rodando"/>
  </r>
  <r>
    <x v="32"/>
    <x v="32"/>
    <x v="1"/>
    <x v="2"/>
    <m/>
    <s v="Aeolus"/>
    <s v="445/65R22.5"/>
    <s v="AGC28"/>
    <s v="AGC28"/>
    <x v="0"/>
    <n v="16.5"/>
    <n v="110"/>
    <m/>
    <m/>
    <m/>
    <m/>
    <m/>
    <s v="4"/>
    <d v="2024-04-04T00:00:00"/>
    <m/>
    <m/>
    <n v="12"/>
    <n v="10"/>
    <n v="10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1544Rodando"/>
  </r>
  <r>
    <x v="32"/>
    <x v="32"/>
    <x v="1"/>
    <x v="2"/>
    <m/>
    <s v="Aeolus"/>
    <s v="445/65R22.5"/>
    <s v="AGC28"/>
    <s v="AGC28"/>
    <x v="0"/>
    <n v="16.5"/>
    <n v="110"/>
    <m/>
    <m/>
    <m/>
    <m/>
    <m/>
    <s v="5"/>
    <d v="2024-04-04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545Rodando"/>
  </r>
  <r>
    <x v="32"/>
    <x v="32"/>
    <x v="1"/>
    <x v="2"/>
    <m/>
    <s v="Aeolus"/>
    <s v="445/65R22.5"/>
    <s v="AGC28"/>
    <s v="AGC28"/>
    <x v="0"/>
    <n v="16.5"/>
    <n v="110"/>
    <m/>
    <m/>
    <m/>
    <m/>
    <m/>
    <s v="6"/>
    <d v="2024-04-04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546Rodando"/>
  </r>
  <r>
    <x v="32"/>
    <x v="32"/>
    <x v="1"/>
    <x v="3"/>
    <m/>
    <s v="Aeolus"/>
    <s v="445/65R22.5"/>
    <s v="AGC28"/>
    <s v="AGC28"/>
    <x v="0"/>
    <n v="16.5"/>
    <n v="110"/>
    <m/>
    <m/>
    <m/>
    <m/>
    <m/>
    <s v="RE"/>
    <d v="2024-04-04T00:00:00"/>
    <m/>
    <m/>
    <n v="10"/>
    <n v="10"/>
    <n v="10"/>
    <n v="10"/>
    <s v="tp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154RERodando"/>
  </r>
  <r>
    <x v="32"/>
    <x v="32"/>
    <x v="1"/>
    <x v="4"/>
    <m/>
    <s v="Michelin"/>
    <s v="295/80R22.5"/>
    <s v="Reencauche"/>
    <s v="MDE"/>
    <x v="1"/>
    <n v="22"/>
    <n v="110"/>
    <m/>
    <m/>
    <m/>
    <m/>
    <m/>
    <s v="RT"/>
    <d v="2024-04-04T00:00:00"/>
    <m/>
    <m/>
    <n v="8"/>
    <n v="8"/>
    <n v="8"/>
    <n v="8"/>
    <s v="tm"/>
    <n v="14"/>
    <n v="6"/>
    <n v="6"/>
    <n v="0.72727272727272729"/>
    <n v="0.63636363636363635"/>
    <n v="9.0909090909090939E-2"/>
    <m/>
    <m/>
    <s v=""/>
    <s v=""/>
    <s v=""/>
    <s v=""/>
    <s v=""/>
    <s v=""/>
    <s v=""/>
    <s v=""/>
    <s v=""/>
    <s v=""/>
    <x v="0"/>
    <m/>
    <m/>
    <s v="SR-154RTRodando"/>
  </r>
  <r>
    <x v="33"/>
    <x v="33"/>
    <x v="0"/>
    <x v="0"/>
    <m/>
    <s v="Goodyear"/>
    <s v="295/80R22.5"/>
    <s v="KMAX S"/>
    <s v="KMAX S"/>
    <x v="0"/>
    <n v="15.8"/>
    <n v="100"/>
    <m/>
    <m/>
    <m/>
    <m/>
    <m/>
    <s v="1"/>
    <d v="2024-04-03T00:00:00"/>
    <m/>
    <m/>
    <n v="14"/>
    <n v="15"/>
    <n v="14"/>
    <n v="14"/>
    <s v="tm"/>
    <n v="1.8000000000000007"/>
    <n v="6"/>
    <n v="6"/>
    <n v="0.620253164556962"/>
    <n v="0.11392405063291144"/>
    <n v="0.50632911392405056"/>
    <m/>
    <m/>
    <s v=""/>
    <s v=""/>
    <s v=""/>
    <s v=""/>
    <s v=""/>
    <s v=""/>
    <s v=""/>
    <s v=""/>
    <s v=""/>
    <s v=""/>
    <x v="0"/>
    <m/>
    <s v="Alineamiento"/>
    <s v="TC-1561Rodando"/>
  </r>
  <r>
    <x v="33"/>
    <x v="33"/>
    <x v="0"/>
    <x v="0"/>
    <m/>
    <s v="Goodyear"/>
    <s v="295/80R22.5"/>
    <s v="KMAX S"/>
    <s v="KMAX S"/>
    <x v="0"/>
    <n v="15.8"/>
    <n v="100"/>
    <m/>
    <m/>
    <m/>
    <m/>
    <m/>
    <s v="2"/>
    <d v="2024-04-03T00:00:00"/>
    <m/>
    <m/>
    <n v="13"/>
    <n v="14"/>
    <n v="14"/>
    <n v="13"/>
    <s v="tm"/>
    <n v="2.8000000000000007"/>
    <n v="6"/>
    <n v="6"/>
    <n v="0.620253164556962"/>
    <n v="0.17721518987341778"/>
    <n v="0.44303797468354422"/>
    <m/>
    <m/>
    <s v=""/>
    <s v=""/>
    <s v=""/>
    <s v=""/>
    <s v=""/>
    <s v=""/>
    <s v=""/>
    <s v=""/>
    <s v=""/>
    <s v=""/>
    <x v="0"/>
    <m/>
    <s v="Alineamiento"/>
    <s v="TC-1562Rodando"/>
  </r>
  <r>
    <x v="33"/>
    <x v="33"/>
    <x v="0"/>
    <x v="1"/>
    <s v="23040033"/>
    <s v="Goodyear"/>
    <s v="295/80R22.5"/>
    <s v="KMAXD"/>
    <s v="KMAXD"/>
    <x v="0"/>
    <n v="22.2"/>
    <n v="110"/>
    <m/>
    <m/>
    <m/>
    <m/>
    <m/>
    <s v="3"/>
    <d v="2024-04-03T00:00:00"/>
    <m/>
    <m/>
    <n v="19"/>
    <m/>
    <n v="19"/>
    <n v="19"/>
    <s v="tp"/>
    <n v="3.1999999999999993"/>
    <n v="6"/>
    <n v="6"/>
    <n v="0.72972972972972971"/>
    <n v="0.14414414414414412"/>
    <n v="0.5855855855855856"/>
    <m/>
    <m/>
    <s v=""/>
    <s v=""/>
    <s v=""/>
    <s v=""/>
    <s v=""/>
    <s v=""/>
    <s v=""/>
    <s v=""/>
    <s v=""/>
    <s v=""/>
    <x v="0"/>
    <m/>
    <m/>
    <s v="TC-1563Rodando"/>
  </r>
  <r>
    <x v="33"/>
    <x v="33"/>
    <x v="0"/>
    <x v="1"/>
    <m/>
    <s v="Goodyear"/>
    <s v="295/80R22.5"/>
    <s v="KMAXD"/>
    <s v="KMAXD"/>
    <x v="0"/>
    <n v="22.2"/>
    <n v="110"/>
    <m/>
    <m/>
    <m/>
    <m/>
    <m/>
    <s v="4"/>
    <d v="2024-04-03T00:00:00"/>
    <m/>
    <m/>
    <n v="19"/>
    <m/>
    <n v="19"/>
    <n v="19"/>
    <s v="tp"/>
    <n v="3.1999999999999993"/>
    <n v="6"/>
    <n v="6"/>
    <n v="0.72972972972972971"/>
    <n v="0.14414414414414412"/>
    <n v="0.5855855855855856"/>
    <m/>
    <m/>
    <s v=""/>
    <s v=""/>
    <s v=""/>
    <s v=""/>
    <s v=""/>
    <s v=""/>
    <s v=""/>
    <s v=""/>
    <s v=""/>
    <s v=""/>
    <x v="0"/>
    <m/>
    <m/>
    <s v="TC-1564Rodando"/>
  </r>
  <r>
    <x v="33"/>
    <x v="33"/>
    <x v="0"/>
    <x v="1"/>
    <m/>
    <s v="Goodyear"/>
    <s v="295/80R22.5"/>
    <s v="KMAXD"/>
    <s v="KMAXD"/>
    <x v="0"/>
    <n v="22.2"/>
    <n v="110"/>
    <m/>
    <m/>
    <m/>
    <m/>
    <m/>
    <s v="5"/>
    <d v="2024-04-03T00:00:00"/>
    <m/>
    <m/>
    <n v="19"/>
    <m/>
    <n v="19"/>
    <n v="19"/>
    <s v="tm"/>
    <n v="3.1999999999999993"/>
    <n v="6"/>
    <n v="6"/>
    <n v="0.72972972972972971"/>
    <n v="0.14414414414414412"/>
    <n v="0.5855855855855856"/>
    <m/>
    <m/>
    <s v=""/>
    <s v=""/>
    <s v=""/>
    <s v=""/>
    <s v=""/>
    <s v=""/>
    <s v=""/>
    <s v=""/>
    <s v=""/>
    <s v=""/>
    <x v="0"/>
    <m/>
    <m/>
    <s v="TC-1565Rodando"/>
  </r>
  <r>
    <x v="33"/>
    <x v="33"/>
    <x v="0"/>
    <x v="1"/>
    <m/>
    <s v="Goodyear"/>
    <s v="295/80R22.5"/>
    <s v="KMAXD"/>
    <s v="KMAXD"/>
    <x v="0"/>
    <n v="22.2"/>
    <n v="110"/>
    <m/>
    <m/>
    <m/>
    <m/>
    <m/>
    <s v="6"/>
    <d v="2024-04-03T00:00:00"/>
    <m/>
    <m/>
    <n v="19"/>
    <m/>
    <n v="19"/>
    <n v="19"/>
    <s v="tm"/>
    <n v="3.1999999999999993"/>
    <n v="6"/>
    <n v="6"/>
    <n v="0.72972972972972971"/>
    <n v="0.14414414414414412"/>
    <n v="0.5855855855855856"/>
    <m/>
    <m/>
    <s v=""/>
    <s v=""/>
    <s v=""/>
    <s v=""/>
    <s v=""/>
    <s v=""/>
    <s v=""/>
    <s v=""/>
    <s v=""/>
    <s v=""/>
    <x v="0"/>
    <m/>
    <m/>
    <s v="TC-1566Rodando"/>
  </r>
  <r>
    <x v="33"/>
    <x v="33"/>
    <x v="0"/>
    <x v="1"/>
    <m/>
    <s v="Michelin"/>
    <s v="295/80R22.5"/>
    <s v="XMULTI+Z"/>
    <s v="XMULTI+Z"/>
    <x v="0"/>
    <n v="16"/>
    <n v="110"/>
    <m/>
    <m/>
    <m/>
    <m/>
    <m/>
    <s v="7"/>
    <d v="2024-04-03T00:00:00"/>
    <m/>
    <m/>
    <n v="10"/>
    <n v="9"/>
    <n v="10"/>
    <n v="9"/>
    <s v="tm"/>
    <n v="7"/>
    <n v="6"/>
    <n v="6"/>
    <n v="0.625"/>
    <n v="0.4375"/>
    <n v="0.1875"/>
    <m/>
    <m/>
    <s v=""/>
    <s v=""/>
    <s v=""/>
    <s v=""/>
    <s v=""/>
    <s v=""/>
    <s v=""/>
    <s v=""/>
    <s v=""/>
    <s v=""/>
    <x v="0"/>
    <m/>
    <m/>
    <s v="TC-1567Rodando"/>
  </r>
  <r>
    <x v="33"/>
    <x v="33"/>
    <x v="0"/>
    <x v="1"/>
    <m/>
    <s v="Michelin"/>
    <s v="295/80R22.5"/>
    <s v="XMULTI+Z"/>
    <s v="XMULTI+Z"/>
    <x v="0"/>
    <n v="16"/>
    <n v="110"/>
    <m/>
    <m/>
    <m/>
    <m/>
    <m/>
    <s v="8"/>
    <d v="2024-04-03T00:00:00"/>
    <m/>
    <m/>
    <n v="10"/>
    <n v="9"/>
    <n v="10"/>
    <n v="9"/>
    <s v="tm"/>
    <n v="7"/>
    <n v="6"/>
    <n v="6"/>
    <n v="0.625"/>
    <n v="0.4375"/>
    <n v="0.1875"/>
    <m/>
    <m/>
    <s v=""/>
    <s v=""/>
    <s v=""/>
    <s v=""/>
    <s v=""/>
    <s v=""/>
    <s v=""/>
    <s v=""/>
    <s v=""/>
    <s v=""/>
    <x v="0"/>
    <m/>
    <m/>
    <s v="TC-1568Rodando"/>
  </r>
  <r>
    <x v="33"/>
    <x v="33"/>
    <x v="0"/>
    <x v="1"/>
    <m/>
    <s v="Michelin"/>
    <s v="295/80R22.5"/>
    <s v="XMULTI+Z"/>
    <s v="XMULTI+Z"/>
    <x v="0"/>
    <n v="16"/>
    <n v="110"/>
    <m/>
    <m/>
    <m/>
    <m/>
    <m/>
    <s v="9"/>
    <d v="2024-04-03T00:00:00"/>
    <m/>
    <m/>
    <n v="10"/>
    <n v="9"/>
    <n v="9"/>
    <n v="9"/>
    <s v="st"/>
    <n v="7"/>
    <n v="6"/>
    <n v="6"/>
    <n v="0.625"/>
    <n v="0.4375"/>
    <n v="0.1875"/>
    <m/>
    <m/>
    <s v=""/>
    <s v=""/>
    <s v=""/>
    <s v=""/>
    <s v=""/>
    <s v=""/>
    <s v=""/>
    <s v=""/>
    <s v=""/>
    <s v=""/>
    <x v="0"/>
    <m/>
    <m/>
    <s v="TC-1569Rodando"/>
  </r>
  <r>
    <x v="33"/>
    <x v="33"/>
    <x v="0"/>
    <x v="1"/>
    <m/>
    <s v="Michelin"/>
    <s v="295/80R22.5"/>
    <s v="XMULTI+Z"/>
    <s v="XMULTI+Z"/>
    <x v="0"/>
    <n v="16"/>
    <n v="110"/>
    <m/>
    <m/>
    <m/>
    <m/>
    <m/>
    <s v="10"/>
    <d v="2024-04-03T00:00:00"/>
    <m/>
    <m/>
    <n v="8"/>
    <n v="8"/>
    <n v="8"/>
    <n v="8"/>
    <s v="st"/>
    <n v="8"/>
    <n v="6"/>
    <n v="6"/>
    <n v="0.625"/>
    <n v="0.5"/>
    <n v="0.125"/>
    <m/>
    <m/>
    <s v=""/>
    <s v=""/>
    <s v=""/>
    <s v=""/>
    <s v=""/>
    <s v=""/>
    <s v=""/>
    <s v=""/>
    <s v=""/>
    <s v=""/>
    <x v="0"/>
    <m/>
    <m/>
    <s v="TC-15610Rodando"/>
  </r>
  <r>
    <x v="34"/>
    <x v="34"/>
    <x v="1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0"/>
    <n v="8"/>
    <n v="9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1561Rodando"/>
  </r>
  <r>
    <x v="34"/>
    <x v="34"/>
    <x v="1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10"/>
    <n v="9"/>
    <n v="10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562Rodando"/>
  </r>
  <r>
    <x v="34"/>
    <x v="34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2"/>
    <n v="11"/>
    <n v="11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1563Rodando"/>
  </r>
  <r>
    <x v="34"/>
    <x v="34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1"/>
    <n v="11"/>
    <n v="11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1564Rodando"/>
  </r>
  <r>
    <x v="34"/>
    <x v="34"/>
    <x v="1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10"/>
    <n v="10"/>
    <n v="10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1565Rodando"/>
  </r>
  <r>
    <x v="34"/>
    <x v="34"/>
    <x v="1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11"/>
    <n v="11"/>
    <n v="11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1566Rodando"/>
  </r>
  <r>
    <x v="34"/>
    <x v="34"/>
    <x v="1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7"/>
    <n v="5"/>
    <n v="7"/>
    <n v="5"/>
    <s v="st"/>
    <n v="11.5"/>
    <n v="6"/>
    <n v="5"/>
    <n v="0.63636363636363635"/>
    <n v="0.69696969696969702"/>
    <n v="-6.0606060606060663E-2"/>
    <m/>
    <m/>
    <s v=""/>
    <s v=""/>
    <s v=""/>
    <s v=""/>
    <s v=""/>
    <s v=""/>
    <s v=""/>
    <s v=""/>
    <s v=""/>
    <s v=""/>
    <x v="0"/>
    <m/>
    <m/>
    <s v="SR-156RERodando"/>
  </r>
  <r>
    <x v="34"/>
    <x v="34"/>
    <x v="1"/>
    <x v="4"/>
    <m/>
    <s v="Continental"/>
    <s v="295/80R22.5"/>
    <s v="HD3"/>
    <s v="HD3"/>
    <x v="0"/>
    <n v="0"/>
    <n v="110"/>
    <m/>
    <m/>
    <m/>
    <m/>
    <m/>
    <s v="RT"/>
    <d v="2024-04-03T00:00:00"/>
    <m/>
    <m/>
    <n v="10"/>
    <m/>
    <n v="10"/>
    <n v="10"/>
    <s v="st"/>
    <n v="-10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156RTRodando"/>
  </r>
  <r>
    <x v="35"/>
    <x v="35"/>
    <x v="0"/>
    <x v="0"/>
    <s v="1601"/>
    <s v="Goodyear"/>
    <s v="295/80R22.5"/>
    <s v="KMAX S"/>
    <s v="KMAX S"/>
    <x v="0"/>
    <n v="15.8"/>
    <n v="100"/>
    <m/>
    <m/>
    <m/>
    <m/>
    <m/>
    <s v="1"/>
    <d v="2024-04-03T00:00:00"/>
    <m/>
    <m/>
    <n v="12"/>
    <n v="13"/>
    <n v="13"/>
    <n v="12"/>
    <s v="tm"/>
    <n v="3.8000000000000007"/>
    <n v="6"/>
    <n v="6"/>
    <n v="0.620253164556962"/>
    <n v="0.24050632911392411"/>
    <n v="0.37974683544303789"/>
    <m/>
    <m/>
    <s v=""/>
    <s v=""/>
    <s v=""/>
    <s v=""/>
    <s v=""/>
    <s v=""/>
    <s v=""/>
    <s v=""/>
    <s v=""/>
    <s v=""/>
    <x v="0"/>
    <m/>
    <m/>
    <s v="TC-1601Rodando"/>
  </r>
  <r>
    <x v="35"/>
    <x v="35"/>
    <x v="0"/>
    <x v="0"/>
    <s v="1602"/>
    <s v="Goodyear"/>
    <s v="295/80R22.5"/>
    <s v="KMAX S"/>
    <s v="KMAX S"/>
    <x v="0"/>
    <n v="15.8"/>
    <n v="100"/>
    <m/>
    <m/>
    <m/>
    <m/>
    <m/>
    <s v="2"/>
    <d v="2024-04-03T00:00:00"/>
    <m/>
    <m/>
    <n v="12"/>
    <n v="13"/>
    <n v="12"/>
    <n v="12"/>
    <s v="tm"/>
    <n v="3.8000000000000007"/>
    <n v="6"/>
    <n v="6"/>
    <n v="0.620253164556962"/>
    <n v="0.24050632911392411"/>
    <n v="0.37974683544303789"/>
    <m/>
    <m/>
    <s v=""/>
    <s v=""/>
    <s v=""/>
    <s v=""/>
    <s v=""/>
    <s v=""/>
    <s v=""/>
    <s v=""/>
    <s v=""/>
    <s v=""/>
    <x v="0"/>
    <m/>
    <m/>
    <s v="TC-1602Rodando"/>
  </r>
  <r>
    <x v="35"/>
    <x v="35"/>
    <x v="0"/>
    <x v="1"/>
    <m/>
    <s v="Michelin"/>
    <s v="295/80R22.5"/>
    <s v="XMULTI2D"/>
    <s v="XMULTI2D"/>
    <x v="0"/>
    <n v="21.4"/>
    <n v="110"/>
    <m/>
    <m/>
    <m/>
    <m/>
    <m/>
    <s v="3"/>
    <d v="2024-04-03T00:00:00"/>
    <m/>
    <m/>
    <n v="10"/>
    <m/>
    <n v="11"/>
    <n v="10"/>
    <s v="st"/>
    <n v="11.399999999999999"/>
    <n v="6"/>
    <n v="6"/>
    <n v="0.71962616822429903"/>
    <n v="0.53271028037383172"/>
    <n v="0.18691588785046731"/>
    <m/>
    <m/>
    <s v=""/>
    <s v=""/>
    <s v=""/>
    <s v=""/>
    <s v=""/>
    <s v=""/>
    <s v=""/>
    <s v=""/>
    <s v=""/>
    <s v=""/>
    <x v="0"/>
    <m/>
    <m/>
    <s v="TC-1603Rodando"/>
  </r>
  <r>
    <x v="35"/>
    <x v="35"/>
    <x v="0"/>
    <x v="1"/>
    <m/>
    <s v="Michelin"/>
    <s v="295/80R22.5"/>
    <s v="XMULTI2D"/>
    <s v="XMULTI2D"/>
    <x v="0"/>
    <n v="21.4"/>
    <n v="110"/>
    <m/>
    <m/>
    <m/>
    <m/>
    <m/>
    <s v="4"/>
    <d v="2024-04-03T00:00:00"/>
    <m/>
    <m/>
    <n v="8"/>
    <m/>
    <n v="9"/>
    <n v="8"/>
    <s v="st"/>
    <n v="13.399999999999999"/>
    <n v="6"/>
    <n v="6"/>
    <n v="0.71962616822429903"/>
    <n v="0.62616822429906538"/>
    <n v="9.3457943925233655E-2"/>
    <m/>
    <m/>
    <s v=""/>
    <s v=""/>
    <s v=""/>
    <s v=""/>
    <s v=""/>
    <s v=""/>
    <s v=""/>
    <s v=""/>
    <s v=""/>
    <s v=""/>
    <x v="0"/>
    <m/>
    <m/>
    <s v="TC-1604Rodando"/>
  </r>
  <r>
    <x v="35"/>
    <x v="35"/>
    <x v="0"/>
    <x v="1"/>
    <m/>
    <s v="Michelin"/>
    <s v="295/80R22.5"/>
    <s v="XMULTI2D"/>
    <s v="XMULTI2D"/>
    <x v="0"/>
    <n v="21.4"/>
    <n v="110"/>
    <m/>
    <m/>
    <m/>
    <m/>
    <m/>
    <s v="5"/>
    <d v="2024-04-03T00:00:00"/>
    <m/>
    <m/>
    <n v="12"/>
    <m/>
    <n v="13"/>
    <n v="12"/>
    <s v="st"/>
    <n v="9.3999999999999986"/>
    <n v="6"/>
    <n v="6"/>
    <n v="0.71962616822429903"/>
    <n v="0.43925233644859807"/>
    <n v="0.28037383177570097"/>
    <m/>
    <m/>
    <s v=""/>
    <s v=""/>
    <s v=""/>
    <s v=""/>
    <s v=""/>
    <s v=""/>
    <s v=""/>
    <s v=""/>
    <s v=""/>
    <s v=""/>
    <x v="0"/>
    <m/>
    <m/>
    <s v="TC-1605Rodando"/>
  </r>
  <r>
    <x v="35"/>
    <x v="35"/>
    <x v="0"/>
    <x v="1"/>
    <m/>
    <s v="Michelin"/>
    <s v="295/80R22.5"/>
    <s v="XMULTI2D"/>
    <s v="XMULTI2D"/>
    <x v="0"/>
    <n v="21.4"/>
    <n v="110"/>
    <m/>
    <m/>
    <m/>
    <m/>
    <m/>
    <s v="6"/>
    <d v="2024-04-03T00:00:00"/>
    <m/>
    <m/>
    <n v="12"/>
    <m/>
    <n v="12"/>
    <n v="12"/>
    <s v="st"/>
    <n v="9.3999999999999986"/>
    <n v="6"/>
    <n v="6"/>
    <n v="0.71962616822429903"/>
    <n v="0.43925233644859807"/>
    <n v="0.28037383177570097"/>
    <m/>
    <m/>
    <s v=""/>
    <s v=""/>
    <s v=""/>
    <s v=""/>
    <s v=""/>
    <s v=""/>
    <s v=""/>
    <s v=""/>
    <s v=""/>
    <s v=""/>
    <x v="0"/>
    <m/>
    <m/>
    <s v="TC-1606Rodando"/>
  </r>
  <r>
    <x v="35"/>
    <x v="35"/>
    <x v="0"/>
    <x v="1"/>
    <s v="2023020019"/>
    <s v="Goodyear"/>
    <s v="295/80R22.5"/>
    <s v="KMAXD"/>
    <s v="KMAXD"/>
    <x v="0"/>
    <n v="22.2"/>
    <n v="110"/>
    <m/>
    <m/>
    <m/>
    <m/>
    <m/>
    <s v="7"/>
    <d v="2024-04-03T00:00:00"/>
    <m/>
    <m/>
    <n v="11"/>
    <m/>
    <n v="11"/>
    <n v="11"/>
    <s v="st"/>
    <n v="11.2"/>
    <n v="6"/>
    <n v="6"/>
    <n v="0.72972972972972971"/>
    <n v="0.50450450450450446"/>
    <n v="0.22522522522522526"/>
    <m/>
    <m/>
    <s v=""/>
    <s v=""/>
    <s v=""/>
    <s v=""/>
    <s v=""/>
    <s v=""/>
    <s v=""/>
    <s v=""/>
    <s v=""/>
    <s v=""/>
    <x v="0"/>
    <m/>
    <m/>
    <s v="TC-1607Rodando"/>
  </r>
  <r>
    <x v="35"/>
    <x v="35"/>
    <x v="0"/>
    <x v="1"/>
    <s v="2023020020"/>
    <s v="Goodyear"/>
    <s v="295/80R22.5"/>
    <s v="KMAXD"/>
    <s v="KMAXD"/>
    <x v="0"/>
    <n v="22.2"/>
    <n v="110"/>
    <m/>
    <m/>
    <m/>
    <m/>
    <m/>
    <s v="8"/>
    <d v="2024-04-03T00:00:00"/>
    <m/>
    <m/>
    <n v="9"/>
    <m/>
    <n v="11"/>
    <n v="9"/>
    <s v="st"/>
    <n v="13.2"/>
    <n v="6"/>
    <n v="6"/>
    <n v="0.72972972972972971"/>
    <n v="0.59459459459459452"/>
    <n v="0.1351351351351352"/>
    <m/>
    <m/>
    <s v=""/>
    <s v=""/>
    <s v=""/>
    <s v=""/>
    <s v=""/>
    <s v=""/>
    <s v=""/>
    <s v=""/>
    <s v=""/>
    <s v=""/>
    <x v="0"/>
    <m/>
    <m/>
    <s v="TC-1608Rodando"/>
  </r>
  <r>
    <x v="35"/>
    <x v="35"/>
    <x v="0"/>
    <x v="1"/>
    <s v="2023020018"/>
    <s v="Goodyear"/>
    <s v="295/80R22.5"/>
    <s v="KMAXD"/>
    <s v="KMAXD"/>
    <x v="0"/>
    <n v="22.2"/>
    <n v="110"/>
    <m/>
    <m/>
    <m/>
    <m/>
    <m/>
    <s v="9"/>
    <d v="2024-04-03T00:00:00"/>
    <m/>
    <m/>
    <n v="9"/>
    <m/>
    <n v="11"/>
    <n v="9"/>
    <s v="st"/>
    <n v="13.2"/>
    <n v="6"/>
    <n v="6"/>
    <n v="0.72972972972972971"/>
    <n v="0.59459459459459452"/>
    <n v="0.1351351351351352"/>
    <m/>
    <m/>
    <s v=""/>
    <s v=""/>
    <s v=""/>
    <s v=""/>
    <s v=""/>
    <s v=""/>
    <s v=""/>
    <s v=""/>
    <s v=""/>
    <s v=""/>
    <x v="0"/>
    <m/>
    <m/>
    <s v="TC-1609Rodando"/>
  </r>
  <r>
    <x v="35"/>
    <x v="35"/>
    <x v="0"/>
    <x v="1"/>
    <s v="2023020013"/>
    <s v="Goodyear"/>
    <s v="295/80R22.5"/>
    <s v="KMAXD"/>
    <s v="KMAXD"/>
    <x v="0"/>
    <n v="22.2"/>
    <n v="110"/>
    <m/>
    <m/>
    <m/>
    <m/>
    <m/>
    <s v="10"/>
    <d v="2024-04-03T00:00:00"/>
    <m/>
    <m/>
    <n v="10"/>
    <m/>
    <n v="10"/>
    <n v="10"/>
    <s v="st"/>
    <n v="12.2"/>
    <n v="6"/>
    <n v="6"/>
    <n v="0.72972972972972971"/>
    <n v="0.54954954954954949"/>
    <n v="0.18018018018018023"/>
    <m/>
    <m/>
    <s v=""/>
    <s v=""/>
    <s v=""/>
    <s v=""/>
    <s v=""/>
    <s v=""/>
    <s v=""/>
    <s v=""/>
    <s v=""/>
    <s v=""/>
    <x v="0"/>
    <m/>
    <m/>
    <s v="TC-16010Rodando"/>
  </r>
  <r>
    <x v="36"/>
    <x v="36"/>
    <x v="1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5"/>
    <n v="15"/>
    <n v="15"/>
    <n v="15"/>
    <s v="tp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1601Rodando"/>
  </r>
  <r>
    <x v="36"/>
    <x v="36"/>
    <x v="1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14"/>
    <n v="14"/>
    <n v="14"/>
    <n v="14"/>
    <s v="tm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602Rodando"/>
  </r>
  <r>
    <x v="36"/>
    <x v="36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4"/>
    <n v="14"/>
    <n v="14"/>
    <n v="14"/>
    <s v="tm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603Rodando"/>
  </r>
  <r>
    <x v="36"/>
    <x v="36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4"/>
    <n v="14"/>
    <n v="14"/>
    <n v="14"/>
    <s v="tm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604Rodando"/>
  </r>
  <r>
    <x v="36"/>
    <x v="36"/>
    <x v="1"/>
    <x v="2"/>
    <m/>
    <s v="Aeolus"/>
    <s v="445/65R22.5"/>
    <s v="Reencauche"/>
    <s v="LZY3"/>
    <x v="1"/>
    <n v="21"/>
    <n v="110"/>
    <m/>
    <m/>
    <m/>
    <m/>
    <m/>
    <s v="5"/>
    <d v="2024-04-03T00:00:00"/>
    <m/>
    <m/>
    <n v="19"/>
    <m/>
    <n v="19"/>
    <n v="19"/>
    <s v="tm"/>
    <n v="2"/>
    <n v="6"/>
    <n v="6"/>
    <n v="0.7142857142857143"/>
    <n v="9.5238095238095233E-2"/>
    <n v="0.61904761904761907"/>
    <m/>
    <m/>
    <s v=""/>
    <s v=""/>
    <s v=""/>
    <s v=""/>
    <s v=""/>
    <s v=""/>
    <s v=""/>
    <s v=""/>
    <s v=""/>
    <s v=""/>
    <x v="0"/>
    <m/>
    <m/>
    <s v="SR-1605Rodando"/>
  </r>
  <r>
    <x v="36"/>
    <x v="36"/>
    <x v="1"/>
    <x v="2"/>
    <m/>
    <s v="Aeolus"/>
    <s v="445/65R22.5"/>
    <s v="Reencauche"/>
    <s v="LZY3"/>
    <x v="1"/>
    <n v="21"/>
    <n v="110"/>
    <m/>
    <m/>
    <m/>
    <m/>
    <m/>
    <s v="6"/>
    <d v="2024-04-03T00:00:00"/>
    <m/>
    <m/>
    <n v="19"/>
    <m/>
    <n v="19"/>
    <n v="19"/>
    <s v="tp"/>
    <n v="2"/>
    <n v="6"/>
    <n v="6"/>
    <n v="0.7142857142857143"/>
    <n v="9.5238095238095233E-2"/>
    <n v="0.61904761904761907"/>
    <m/>
    <m/>
    <s v=""/>
    <s v=""/>
    <s v=""/>
    <s v=""/>
    <s v=""/>
    <s v=""/>
    <s v=""/>
    <s v=""/>
    <s v=""/>
    <s v=""/>
    <x v="0"/>
    <m/>
    <m/>
    <s v="SR-1606Rodando"/>
  </r>
  <r>
    <x v="36"/>
    <x v="36"/>
    <x v="1"/>
    <x v="3"/>
    <m/>
    <s v="Michelin"/>
    <s v="425/65R22.5"/>
    <s v="XZY3"/>
    <s v="XZY3"/>
    <x v="0"/>
    <n v="0"/>
    <n v="110"/>
    <m/>
    <m/>
    <m/>
    <m/>
    <m/>
    <s v="RE"/>
    <d v="2024-04-03T00:00:00"/>
    <m/>
    <m/>
    <n v="16"/>
    <n v="16"/>
    <n v="16"/>
    <n v="16"/>
    <s v="st"/>
    <n v="-16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160RERodando"/>
  </r>
  <r>
    <x v="36"/>
    <x v="36"/>
    <x v="1"/>
    <x v="4"/>
    <s v="160 06"/>
    <s v="Michelin"/>
    <s v="295/80R22.5"/>
    <s v="XMULTI2D"/>
    <s v="XMULTI2D"/>
    <x v="0"/>
    <n v="21.4"/>
    <n v="110"/>
    <m/>
    <m/>
    <m/>
    <m/>
    <m/>
    <s v="RT"/>
    <d v="2024-04-03T00:00:00"/>
    <m/>
    <m/>
    <n v="6"/>
    <m/>
    <n v="6"/>
    <n v="6"/>
    <s v="tm"/>
    <n v="15.399999999999999"/>
    <n v="6"/>
    <n v="6"/>
    <n v="0.71962616822429903"/>
    <n v="0.71962616822429903"/>
    <n v="0"/>
    <m/>
    <m/>
    <s v=""/>
    <s v=""/>
    <s v=""/>
    <s v=""/>
    <s v=""/>
    <s v=""/>
    <s v=""/>
    <s v=""/>
    <s v=""/>
    <s v=""/>
    <x v="0"/>
    <m/>
    <m/>
    <s v="SR-160RTRodando"/>
  </r>
  <r>
    <x v="37"/>
    <x v="37"/>
    <x v="0"/>
    <x v="0"/>
    <m/>
    <s v="Continental"/>
    <s v="295/80R22.5"/>
    <s v="HS3+"/>
    <s v="HS3+"/>
    <x v="0"/>
    <n v="16"/>
    <n v="100"/>
    <m/>
    <m/>
    <m/>
    <m/>
    <m/>
    <s v="1"/>
    <d v="2024-04-03T00:00:00"/>
    <m/>
    <m/>
    <n v="8"/>
    <n v="10"/>
    <n v="10"/>
    <n v="8"/>
    <s v="st"/>
    <n v="8"/>
    <n v="6"/>
    <n v="6"/>
    <n v="0.625"/>
    <n v="0.5"/>
    <n v="0.125"/>
    <m/>
    <m/>
    <s v=""/>
    <s v=""/>
    <s v=""/>
    <s v=""/>
    <s v=""/>
    <s v=""/>
    <s v=""/>
    <s v=""/>
    <s v=""/>
    <s v=""/>
    <x v="0"/>
    <m/>
    <m/>
    <s v="TC-1661Rodando"/>
  </r>
  <r>
    <x v="37"/>
    <x v="37"/>
    <x v="0"/>
    <x v="0"/>
    <m/>
    <s v="Continental"/>
    <s v="295/80R22.5"/>
    <s v="HS3+"/>
    <s v="HS3+"/>
    <x v="0"/>
    <n v="16"/>
    <n v="100"/>
    <m/>
    <m/>
    <m/>
    <m/>
    <m/>
    <s v="2"/>
    <d v="2024-04-03T00:00:00"/>
    <m/>
    <m/>
    <n v="9"/>
    <n v="9"/>
    <n v="9"/>
    <n v="9"/>
    <s v="st"/>
    <n v="7"/>
    <n v="6"/>
    <n v="6"/>
    <n v="0.625"/>
    <n v="0.4375"/>
    <n v="0.1875"/>
    <m/>
    <m/>
    <s v=""/>
    <s v=""/>
    <s v=""/>
    <s v=""/>
    <s v=""/>
    <s v=""/>
    <s v=""/>
    <s v=""/>
    <s v=""/>
    <s v=""/>
    <x v="0"/>
    <m/>
    <m/>
    <s v="TC-1662Rodando"/>
  </r>
  <r>
    <x v="37"/>
    <x v="37"/>
    <x v="0"/>
    <x v="1"/>
    <m/>
    <s v="Continental"/>
    <s v="295/80R22.5"/>
    <s v="Reencauche"/>
    <s v="MDE"/>
    <x v="1"/>
    <n v="22"/>
    <n v="110"/>
    <m/>
    <m/>
    <m/>
    <m/>
    <m/>
    <s v="3"/>
    <d v="2024-04-03T00:00:00"/>
    <m/>
    <m/>
    <n v="11"/>
    <m/>
    <n v="11"/>
    <n v="11"/>
    <s v="st"/>
    <n v="11"/>
    <n v="6"/>
    <n v="6"/>
    <n v="0.72727272727272729"/>
    <n v="0.5"/>
    <n v="0.22727272727272729"/>
    <m/>
    <m/>
    <s v=""/>
    <s v=""/>
    <s v=""/>
    <s v=""/>
    <s v=""/>
    <s v=""/>
    <s v=""/>
    <s v=""/>
    <s v=""/>
    <s v=""/>
    <x v="0"/>
    <m/>
    <m/>
    <s v="TC-1663Rodando"/>
  </r>
  <r>
    <x v="37"/>
    <x v="37"/>
    <x v="0"/>
    <x v="1"/>
    <m/>
    <s v="Continental"/>
    <s v="295/80R22.5"/>
    <s v="Reencauche"/>
    <s v="MDE"/>
    <x v="1"/>
    <n v="22"/>
    <n v="110"/>
    <m/>
    <m/>
    <m/>
    <m/>
    <m/>
    <s v="4"/>
    <d v="2024-04-03T00:00:00"/>
    <m/>
    <m/>
    <n v="11"/>
    <m/>
    <n v="11"/>
    <n v="11"/>
    <s v="tm"/>
    <n v="11"/>
    <n v="6"/>
    <n v="6"/>
    <n v="0.72727272727272729"/>
    <n v="0.5"/>
    <n v="0.22727272727272729"/>
    <m/>
    <m/>
    <s v=""/>
    <s v=""/>
    <s v=""/>
    <s v=""/>
    <s v=""/>
    <s v=""/>
    <s v=""/>
    <s v=""/>
    <s v=""/>
    <s v=""/>
    <x v="0"/>
    <m/>
    <m/>
    <s v="TC-1664Rodando"/>
  </r>
  <r>
    <x v="37"/>
    <x v="37"/>
    <x v="0"/>
    <x v="1"/>
    <m/>
    <s v="Michelin"/>
    <s v="295/80R22.5"/>
    <s v="Reencauche"/>
    <s v="MDE"/>
    <x v="1"/>
    <n v="22"/>
    <n v="110"/>
    <m/>
    <m/>
    <m/>
    <m/>
    <m/>
    <s v="5"/>
    <d v="2024-04-03T00:00:00"/>
    <m/>
    <m/>
    <n v="11"/>
    <m/>
    <n v="12"/>
    <n v="11"/>
    <s v="tm"/>
    <n v="11"/>
    <n v="6"/>
    <n v="6"/>
    <n v="0.72727272727272729"/>
    <n v="0.5"/>
    <n v="0.22727272727272729"/>
    <m/>
    <m/>
    <s v=""/>
    <s v=""/>
    <s v=""/>
    <s v=""/>
    <s v=""/>
    <s v=""/>
    <s v=""/>
    <s v=""/>
    <s v=""/>
    <s v=""/>
    <x v="0"/>
    <m/>
    <m/>
    <s v="TC-1665Rodando"/>
  </r>
  <r>
    <x v="37"/>
    <x v="37"/>
    <x v="0"/>
    <x v="1"/>
    <m/>
    <s v="Michelin"/>
    <s v="295/80R22.5"/>
    <s v="Reencauche"/>
    <s v="MDE"/>
    <x v="1"/>
    <n v="22"/>
    <n v="110"/>
    <m/>
    <m/>
    <m/>
    <m/>
    <m/>
    <s v="6"/>
    <d v="2024-04-03T00:00:00"/>
    <m/>
    <m/>
    <n v="11"/>
    <m/>
    <n v="12"/>
    <n v="11"/>
    <s v="st"/>
    <n v="11"/>
    <n v="6"/>
    <n v="6"/>
    <n v="0.72727272727272729"/>
    <n v="0.5"/>
    <n v="0.22727272727272729"/>
    <m/>
    <m/>
    <s v=""/>
    <s v=""/>
    <s v=""/>
    <s v=""/>
    <s v=""/>
    <s v=""/>
    <s v=""/>
    <s v=""/>
    <s v=""/>
    <s v=""/>
    <x v="0"/>
    <m/>
    <m/>
    <s v="TC-1666Rodando"/>
  </r>
  <r>
    <x v="37"/>
    <x v="37"/>
    <x v="0"/>
    <x v="1"/>
    <m/>
    <s v="Goodyear"/>
    <s v="295/80R22.5"/>
    <s v="KMAXD"/>
    <s v="KMAXD"/>
    <x v="0"/>
    <n v="22.2"/>
    <n v="110"/>
    <m/>
    <m/>
    <m/>
    <m/>
    <m/>
    <s v="7"/>
    <d v="2024-04-03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1667Rodando"/>
  </r>
  <r>
    <x v="37"/>
    <x v="37"/>
    <x v="0"/>
    <x v="1"/>
    <m/>
    <s v="Goodyear"/>
    <s v="295/80R22.5"/>
    <s v="KMAXD"/>
    <s v="KMAXD"/>
    <x v="0"/>
    <n v="22.2"/>
    <n v="110"/>
    <m/>
    <m/>
    <m/>
    <m/>
    <m/>
    <s v="8"/>
    <d v="2024-04-03T00:00:00"/>
    <m/>
    <m/>
    <n v="17"/>
    <m/>
    <n v="17"/>
    <n v="17"/>
    <s v="tm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1668Rodando"/>
  </r>
  <r>
    <x v="37"/>
    <x v="37"/>
    <x v="0"/>
    <x v="1"/>
    <m/>
    <s v="Goodyear"/>
    <s v="295/80R22.5"/>
    <s v="KMAXD"/>
    <s v="KMAXD"/>
    <x v="0"/>
    <n v="22.2"/>
    <n v="110"/>
    <m/>
    <m/>
    <m/>
    <m/>
    <m/>
    <s v="9"/>
    <d v="2024-04-03T00:00:00"/>
    <m/>
    <m/>
    <n v="17"/>
    <m/>
    <n v="17"/>
    <n v="17"/>
    <s v="tm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1669Rodando"/>
  </r>
  <r>
    <x v="37"/>
    <x v="37"/>
    <x v="0"/>
    <x v="1"/>
    <m/>
    <s v="Goodyear"/>
    <s v="295/80R22.5"/>
    <s v="KMAXD"/>
    <s v="KMAXD"/>
    <x v="0"/>
    <n v="22.2"/>
    <n v="110"/>
    <m/>
    <m/>
    <m/>
    <m/>
    <m/>
    <s v="10"/>
    <d v="2024-04-03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16610Rodando"/>
  </r>
  <r>
    <x v="38"/>
    <x v="38"/>
    <x v="1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8"/>
    <n v="8"/>
    <n v="9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1661Rodando"/>
  </r>
  <r>
    <x v="38"/>
    <x v="38"/>
    <x v="1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9"/>
    <n v="9"/>
    <n v="9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662Rodando"/>
  </r>
  <r>
    <x v="38"/>
    <x v="38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8"/>
    <n v="7"/>
    <n v="9"/>
    <n v="7"/>
    <s v="st"/>
    <n v="9.5"/>
    <n v="6"/>
    <n v="6"/>
    <n v="0.63636363636363635"/>
    <n v="0.57575757575757569"/>
    <n v="6.0606060606060663E-2"/>
    <m/>
    <m/>
    <s v=""/>
    <s v=""/>
    <s v=""/>
    <s v=""/>
    <s v=""/>
    <s v=""/>
    <s v=""/>
    <s v=""/>
    <s v=""/>
    <s v=""/>
    <x v="0"/>
    <m/>
    <s v="Alineamiento"/>
    <s v="SR-1663Rodando"/>
  </r>
  <r>
    <x v="38"/>
    <x v="38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664Rodando"/>
  </r>
  <r>
    <x v="38"/>
    <x v="38"/>
    <x v="1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665Rodando"/>
  </r>
  <r>
    <x v="38"/>
    <x v="38"/>
    <x v="1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666Rodando"/>
  </r>
  <r>
    <x v="38"/>
    <x v="38"/>
    <x v="1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8"/>
    <n v="7"/>
    <n v="8"/>
    <n v="7"/>
    <s v="st"/>
    <n v="9.5"/>
    <n v="6"/>
    <n v="6"/>
    <n v="0.63636363636363635"/>
    <n v="0.57575757575757569"/>
    <n v="6.0606060606060663E-2"/>
    <m/>
    <m/>
    <s v=""/>
    <s v=""/>
    <s v=""/>
    <s v=""/>
    <s v=""/>
    <s v=""/>
    <s v=""/>
    <s v=""/>
    <s v=""/>
    <s v=""/>
    <x v="0"/>
    <m/>
    <m/>
    <s v="SR-166RERodando"/>
  </r>
  <r>
    <x v="38"/>
    <x v="38"/>
    <x v="1"/>
    <x v="4"/>
    <m/>
    <s v="Michelin"/>
    <s v="295/80R22.5"/>
    <s v="XMULTI+Z"/>
    <s v="XMULTI+Z"/>
    <x v="0"/>
    <n v="16"/>
    <n v="100"/>
    <m/>
    <m/>
    <m/>
    <m/>
    <m/>
    <s v="RT"/>
    <d v="2024-04-03T00:00:00"/>
    <m/>
    <m/>
    <n v="7"/>
    <n v="7"/>
    <n v="8"/>
    <n v="7"/>
    <s v="st"/>
    <n v="9"/>
    <n v="6"/>
    <n v="6"/>
    <n v="0.625"/>
    <n v="0.5625"/>
    <n v="6.25E-2"/>
    <m/>
    <m/>
    <s v=""/>
    <s v=""/>
    <s v=""/>
    <s v=""/>
    <s v=""/>
    <s v=""/>
    <s v=""/>
    <s v=""/>
    <s v=""/>
    <s v=""/>
    <x v="0"/>
    <m/>
    <m/>
    <s v="SR-166RTRodando"/>
  </r>
  <r>
    <x v="39"/>
    <x v="39"/>
    <x v="0"/>
    <x v="0"/>
    <m/>
    <s v="Goodyear"/>
    <s v="295/80R22.5"/>
    <s v="KMAX S"/>
    <s v="KMAX S"/>
    <x v="0"/>
    <n v="15.8"/>
    <n v="100"/>
    <m/>
    <m/>
    <m/>
    <m/>
    <m/>
    <s v="1"/>
    <d v="2024-04-04T00:00:00"/>
    <m/>
    <m/>
    <n v="12"/>
    <n v="13"/>
    <n v="12"/>
    <n v="12"/>
    <s v="st"/>
    <n v="3.8000000000000007"/>
    <n v="6"/>
    <n v="6"/>
    <n v="0.620253164556962"/>
    <n v="0.24050632911392411"/>
    <n v="0.37974683544303789"/>
    <m/>
    <m/>
    <s v=""/>
    <s v=""/>
    <s v=""/>
    <s v=""/>
    <s v=""/>
    <s v=""/>
    <s v=""/>
    <s v=""/>
    <s v=""/>
    <s v=""/>
    <x v="0"/>
    <m/>
    <m/>
    <s v="TC-1681Rodando"/>
  </r>
  <r>
    <x v="39"/>
    <x v="39"/>
    <x v="0"/>
    <x v="0"/>
    <m/>
    <s v="Goodyear"/>
    <s v="295/80R22.5"/>
    <s v="KMAX S"/>
    <s v="KMAX S"/>
    <x v="0"/>
    <n v="15.8"/>
    <n v="100"/>
    <m/>
    <m/>
    <m/>
    <m/>
    <m/>
    <s v="2"/>
    <d v="2024-04-04T00:00:00"/>
    <m/>
    <m/>
    <n v="13"/>
    <n v="13"/>
    <n v="13"/>
    <n v="13"/>
    <s v="st"/>
    <n v="2.8000000000000007"/>
    <n v="6"/>
    <n v="6"/>
    <n v="0.620253164556962"/>
    <n v="0.17721518987341778"/>
    <n v="0.44303797468354422"/>
    <m/>
    <m/>
    <s v=""/>
    <s v=""/>
    <s v=""/>
    <s v=""/>
    <s v=""/>
    <s v=""/>
    <s v=""/>
    <s v=""/>
    <s v=""/>
    <s v=""/>
    <x v="0"/>
    <m/>
    <m/>
    <s v="TC-1682Rodando"/>
  </r>
  <r>
    <x v="39"/>
    <x v="39"/>
    <x v="0"/>
    <x v="1"/>
    <m/>
    <s v="Goodyear"/>
    <s v="295/80R22.5"/>
    <s v="KMAXD"/>
    <s v="KMAXD"/>
    <x v="0"/>
    <n v="22.2"/>
    <n v="110"/>
    <m/>
    <m/>
    <m/>
    <m/>
    <m/>
    <s v="3"/>
    <d v="2024-04-04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1683Rodando"/>
  </r>
  <r>
    <x v="39"/>
    <x v="39"/>
    <x v="0"/>
    <x v="1"/>
    <m/>
    <s v="Goodyear"/>
    <s v="295/80R22.5"/>
    <s v="KMAXD"/>
    <s v="KMAXD"/>
    <x v="0"/>
    <n v="22.2"/>
    <n v="110"/>
    <m/>
    <m/>
    <m/>
    <m/>
    <m/>
    <s v="4"/>
    <d v="2024-04-04T00:00:00"/>
    <m/>
    <m/>
    <n v="17"/>
    <m/>
    <n v="17"/>
    <n v="17"/>
    <s v="tp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1684Rodando"/>
  </r>
  <r>
    <x v="39"/>
    <x v="39"/>
    <x v="0"/>
    <x v="1"/>
    <m/>
    <s v="Goodyear"/>
    <s v="295/80R22.5"/>
    <s v="KMAXD"/>
    <s v="KMAXD"/>
    <x v="0"/>
    <n v="22.2"/>
    <n v="110"/>
    <m/>
    <m/>
    <m/>
    <m/>
    <m/>
    <s v="5"/>
    <d v="2024-04-04T00:00:00"/>
    <m/>
    <m/>
    <n v="16"/>
    <m/>
    <n v="16"/>
    <n v="16"/>
    <s v="st"/>
    <n v="6.1999999999999993"/>
    <n v="6"/>
    <n v="6"/>
    <n v="0.72972972972972971"/>
    <n v="0.2792792792792792"/>
    <n v="0.45045045045045051"/>
    <m/>
    <m/>
    <s v=""/>
    <s v=""/>
    <s v=""/>
    <s v=""/>
    <s v=""/>
    <s v=""/>
    <s v=""/>
    <s v=""/>
    <s v=""/>
    <s v=""/>
    <x v="0"/>
    <m/>
    <m/>
    <s v="TC-1685Rodando"/>
  </r>
  <r>
    <x v="39"/>
    <x v="39"/>
    <x v="0"/>
    <x v="1"/>
    <m/>
    <s v="Goodyear"/>
    <s v="295/80R22.5"/>
    <s v="KMAXD"/>
    <s v="KMAXD"/>
    <x v="0"/>
    <n v="22.2"/>
    <n v="110"/>
    <m/>
    <m/>
    <m/>
    <m/>
    <m/>
    <s v="6"/>
    <d v="2024-04-04T00:00:00"/>
    <m/>
    <m/>
    <n v="16"/>
    <m/>
    <n v="16"/>
    <n v="16"/>
    <s v="st"/>
    <n v="6.1999999999999993"/>
    <n v="6"/>
    <n v="6"/>
    <n v="0.72972972972972971"/>
    <n v="0.2792792792792792"/>
    <n v="0.45045045045045051"/>
    <m/>
    <m/>
    <s v=""/>
    <s v=""/>
    <s v=""/>
    <s v=""/>
    <s v=""/>
    <s v=""/>
    <s v=""/>
    <s v=""/>
    <s v=""/>
    <s v=""/>
    <x v="0"/>
    <m/>
    <m/>
    <s v="TC-1686Rodando"/>
  </r>
  <r>
    <x v="39"/>
    <x v="39"/>
    <x v="0"/>
    <x v="1"/>
    <m/>
    <s v="Goodyear"/>
    <s v="295/80R22.5"/>
    <s v="KMAXD"/>
    <s v="KMAXD"/>
    <x v="0"/>
    <n v="22.2"/>
    <n v="110"/>
    <m/>
    <m/>
    <m/>
    <m/>
    <m/>
    <s v="7"/>
    <d v="2024-04-04T00:00:00"/>
    <m/>
    <m/>
    <n v="16"/>
    <m/>
    <n v="16"/>
    <n v="16"/>
    <s v="st"/>
    <n v="6.1999999999999993"/>
    <n v="6"/>
    <n v="6"/>
    <n v="0.72972972972972971"/>
    <n v="0.2792792792792792"/>
    <n v="0.45045045045045051"/>
    <m/>
    <m/>
    <s v=""/>
    <s v=""/>
    <s v=""/>
    <s v=""/>
    <s v=""/>
    <s v=""/>
    <s v=""/>
    <s v=""/>
    <s v=""/>
    <s v=""/>
    <x v="0"/>
    <m/>
    <m/>
    <s v="TC-1687Rodando"/>
  </r>
  <r>
    <x v="39"/>
    <x v="39"/>
    <x v="0"/>
    <x v="1"/>
    <m/>
    <s v="Goodyear"/>
    <s v="295/80R22.5"/>
    <s v="KMAXD"/>
    <s v="KMAXD"/>
    <x v="0"/>
    <n v="22.2"/>
    <n v="110"/>
    <m/>
    <m/>
    <m/>
    <m/>
    <m/>
    <s v="8"/>
    <d v="2024-04-04T00:00:00"/>
    <m/>
    <m/>
    <n v="16"/>
    <m/>
    <n v="16"/>
    <n v="16"/>
    <s v="st"/>
    <n v="6.1999999999999993"/>
    <n v="6"/>
    <n v="6"/>
    <n v="0.72972972972972971"/>
    <n v="0.2792792792792792"/>
    <n v="0.45045045045045051"/>
    <m/>
    <m/>
    <s v=""/>
    <s v=""/>
    <s v=""/>
    <s v=""/>
    <s v=""/>
    <s v=""/>
    <s v=""/>
    <s v=""/>
    <s v=""/>
    <s v=""/>
    <x v="0"/>
    <m/>
    <m/>
    <s v="TC-1688Rodando"/>
  </r>
  <r>
    <x v="39"/>
    <x v="39"/>
    <x v="0"/>
    <x v="1"/>
    <m/>
    <s v="Goodyear"/>
    <s v="295/80R22.5"/>
    <s v="KMAXD"/>
    <s v="KMAXD"/>
    <x v="0"/>
    <n v="22.2"/>
    <n v="110"/>
    <m/>
    <m/>
    <m/>
    <m/>
    <m/>
    <s v="9"/>
    <d v="2024-04-04T00:00:00"/>
    <m/>
    <m/>
    <n v="15"/>
    <m/>
    <n v="15"/>
    <n v="15"/>
    <s v="tm"/>
    <n v="7.1999999999999993"/>
    <n v="6"/>
    <n v="6"/>
    <n v="0.72972972972972971"/>
    <n v="0.32432432432432434"/>
    <n v="0.40540540540540537"/>
    <m/>
    <m/>
    <s v=""/>
    <s v=""/>
    <s v=""/>
    <s v=""/>
    <s v=""/>
    <s v=""/>
    <s v=""/>
    <s v=""/>
    <s v=""/>
    <s v=""/>
    <x v="0"/>
    <m/>
    <m/>
    <s v="TC-1689Rodando"/>
  </r>
  <r>
    <x v="39"/>
    <x v="39"/>
    <x v="0"/>
    <x v="1"/>
    <m/>
    <s v="Goodyear"/>
    <s v="295/80R22.5"/>
    <s v="KMAXD"/>
    <s v="KMAXD"/>
    <x v="0"/>
    <n v="22.2"/>
    <n v="110"/>
    <m/>
    <m/>
    <m/>
    <m/>
    <m/>
    <s v="10"/>
    <d v="2024-04-04T00:00:00"/>
    <m/>
    <m/>
    <n v="15"/>
    <m/>
    <n v="15"/>
    <n v="15"/>
    <s v="st"/>
    <n v="7.1999999999999993"/>
    <n v="6"/>
    <n v="6"/>
    <n v="0.72972972972972971"/>
    <n v="0.32432432432432434"/>
    <n v="0.40540540540540537"/>
    <m/>
    <m/>
    <s v=""/>
    <s v=""/>
    <s v=""/>
    <s v=""/>
    <s v=""/>
    <s v=""/>
    <s v=""/>
    <s v=""/>
    <s v=""/>
    <s v=""/>
    <x v="0"/>
    <m/>
    <m/>
    <s v="TC-16810Rodando"/>
  </r>
  <r>
    <x v="40"/>
    <x v="40"/>
    <x v="1"/>
    <x v="2"/>
    <m/>
    <s v="Aeolus"/>
    <s v="445/65R22.5"/>
    <s v="Reencauche"/>
    <s v="LZY3"/>
    <x v="1"/>
    <n v="21"/>
    <n v="110"/>
    <m/>
    <m/>
    <m/>
    <m/>
    <m/>
    <s v="1"/>
    <d v="2024-04-04T00:00:00"/>
    <m/>
    <m/>
    <n v="17"/>
    <n v="17"/>
    <n v="17"/>
    <n v="17"/>
    <s v="st"/>
    <n v="4"/>
    <n v="6"/>
    <n v="6"/>
    <n v="0.7142857142857143"/>
    <n v="0.19047619047619047"/>
    <n v="0.52380952380952384"/>
    <m/>
    <m/>
    <s v=""/>
    <s v=""/>
    <s v=""/>
    <s v=""/>
    <s v=""/>
    <s v=""/>
    <s v=""/>
    <s v=""/>
    <s v=""/>
    <s v=""/>
    <x v="0"/>
    <m/>
    <m/>
    <s v="SR-1681Rodando"/>
  </r>
  <r>
    <x v="40"/>
    <x v="40"/>
    <x v="1"/>
    <x v="2"/>
    <m/>
    <s v="Aeolus"/>
    <s v="445/65R22.5"/>
    <s v="AGC28"/>
    <s v="AGC28"/>
    <x v="0"/>
    <n v="16.5"/>
    <n v="110"/>
    <m/>
    <m/>
    <m/>
    <m/>
    <m/>
    <s v="2"/>
    <d v="2024-04-04T00:00:00"/>
    <m/>
    <m/>
    <n v="12"/>
    <n v="12"/>
    <n v="12"/>
    <n v="12"/>
    <s v="st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1682Rodando"/>
  </r>
  <r>
    <x v="40"/>
    <x v="40"/>
    <x v="1"/>
    <x v="2"/>
    <m/>
    <s v="Continental"/>
    <s v="445/65R22.5"/>
    <s v="HTC1"/>
    <s v="HTC1"/>
    <x v="0"/>
    <n v="18"/>
    <n v="110"/>
    <m/>
    <m/>
    <m/>
    <m/>
    <m/>
    <s v="3"/>
    <d v="2024-04-04T00:00:00"/>
    <m/>
    <m/>
    <n v="13"/>
    <n v="14"/>
    <n v="13"/>
    <n v="13"/>
    <s v="st"/>
    <n v="5"/>
    <n v="6"/>
    <n v="6"/>
    <n v="0.66666666666666674"/>
    <n v="0.27777777777777779"/>
    <n v="0.38888888888888895"/>
    <m/>
    <m/>
    <s v=""/>
    <s v=""/>
    <s v=""/>
    <s v=""/>
    <s v=""/>
    <s v=""/>
    <s v=""/>
    <s v=""/>
    <s v=""/>
    <s v=""/>
    <x v="0"/>
    <m/>
    <m/>
    <s v="SR-1683Rodando"/>
  </r>
  <r>
    <x v="40"/>
    <x v="40"/>
    <x v="1"/>
    <x v="2"/>
    <m/>
    <s v="Aeolus"/>
    <s v="445/65R22.5"/>
    <s v="AGC28"/>
    <s v="AGC28"/>
    <x v="0"/>
    <n v="16.5"/>
    <n v="110"/>
    <m/>
    <m/>
    <m/>
    <m/>
    <m/>
    <s v="4"/>
    <d v="2024-04-04T00:00:00"/>
    <m/>
    <m/>
    <n v="10"/>
    <n v="10"/>
    <n v="10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1684Rodando"/>
  </r>
  <r>
    <x v="40"/>
    <x v="40"/>
    <x v="1"/>
    <x v="2"/>
    <m/>
    <s v="Continental"/>
    <s v="445/65R22.5"/>
    <s v="HTC1"/>
    <s v="HTC1"/>
    <x v="0"/>
    <n v="18"/>
    <n v="110"/>
    <m/>
    <m/>
    <m/>
    <m/>
    <m/>
    <s v="5"/>
    <d v="2024-04-04T00:00:00"/>
    <m/>
    <m/>
    <n v="11"/>
    <n v="12"/>
    <n v="11"/>
    <n v="11"/>
    <s v="st"/>
    <n v="7"/>
    <n v="6"/>
    <n v="6"/>
    <n v="0.66666666666666674"/>
    <n v="0.38888888888888884"/>
    <n v="0.2777777777777779"/>
    <m/>
    <m/>
    <s v=""/>
    <s v=""/>
    <s v=""/>
    <s v=""/>
    <s v=""/>
    <s v=""/>
    <s v=""/>
    <s v=""/>
    <s v=""/>
    <s v=""/>
    <x v="0"/>
    <m/>
    <m/>
    <s v="SR-1685Rodando"/>
  </r>
  <r>
    <x v="40"/>
    <x v="40"/>
    <x v="1"/>
    <x v="2"/>
    <m/>
    <s v="Aeolus"/>
    <s v="445/65R22.5"/>
    <s v="AGC28"/>
    <s v="AGC28"/>
    <x v="0"/>
    <n v="16.5"/>
    <n v="110"/>
    <m/>
    <m/>
    <m/>
    <m/>
    <m/>
    <s v="6"/>
    <d v="2024-04-04T00:00:00"/>
    <m/>
    <m/>
    <n v="12"/>
    <n v="12"/>
    <n v="12"/>
    <n v="12"/>
    <s v="st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1686Rodando"/>
  </r>
  <r>
    <x v="40"/>
    <x v="40"/>
    <x v="1"/>
    <x v="3"/>
    <m/>
    <s v="Bridgestone"/>
    <s v="425/65R22.5"/>
    <s v="M844"/>
    <s v="M844"/>
    <x v="0"/>
    <n v="0"/>
    <n v="110"/>
    <m/>
    <m/>
    <m/>
    <m/>
    <m/>
    <s v="RE"/>
    <d v="2024-04-04T00:00:00"/>
    <m/>
    <m/>
    <n v="10"/>
    <n v="10"/>
    <n v="10"/>
    <n v="10"/>
    <s v="st"/>
    <n v="-10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168RERodando"/>
  </r>
  <r>
    <x v="40"/>
    <x v="40"/>
    <x v="1"/>
    <x v="4"/>
    <m/>
    <s v="Goodyear"/>
    <s v="295/80R22.5"/>
    <s v="KMAX S"/>
    <s v="KMAX S"/>
    <x v="0"/>
    <n v="15.8"/>
    <n v="100"/>
    <m/>
    <m/>
    <m/>
    <m/>
    <m/>
    <s v="RT"/>
    <d v="2024-04-04T00:00:00"/>
    <m/>
    <m/>
    <n v="14"/>
    <n v="14"/>
    <n v="14"/>
    <n v="14"/>
    <s v="st"/>
    <n v="1.8000000000000007"/>
    <n v="6"/>
    <n v="6"/>
    <n v="0.620253164556962"/>
    <n v="0.11392405063291144"/>
    <n v="0.50632911392405056"/>
    <m/>
    <m/>
    <s v=""/>
    <s v=""/>
    <s v=""/>
    <s v=""/>
    <s v=""/>
    <s v=""/>
    <s v=""/>
    <s v=""/>
    <s v=""/>
    <s v=""/>
    <x v="0"/>
    <m/>
    <m/>
    <s v="SR-168RTRodando"/>
  </r>
  <r>
    <x v="41"/>
    <x v="41"/>
    <x v="1"/>
    <x v="2"/>
    <s v="206 2"/>
    <s v="Aeolus"/>
    <s v="445/65R22.5"/>
    <s v="AGC28"/>
    <s v="AGC28"/>
    <x v="0"/>
    <n v="16.5"/>
    <n v="110"/>
    <m/>
    <m/>
    <m/>
    <m/>
    <m/>
    <s v="1"/>
    <d v="2024-04-02T00:00:00"/>
    <m/>
    <m/>
    <n v="6"/>
    <n v="5"/>
    <n v="6"/>
    <n v="5"/>
    <s v="st"/>
    <n v="11.5"/>
    <n v="6"/>
    <n v="5"/>
    <n v="0.63636363636363635"/>
    <n v="0.69696969696969702"/>
    <n v="-6.0606060606060663E-2"/>
    <m/>
    <m/>
    <s v=""/>
    <s v=""/>
    <s v=""/>
    <s v=""/>
    <s v=""/>
    <s v=""/>
    <s v=""/>
    <s v=""/>
    <s v=""/>
    <s v=""/>
    <x v="0"/>
    <m/>
    <m/>
    <s v="SR-1721Rodando"/>
  </r>
  <r>
    <x v="41"/>
    <x v="41"/>
    <x v="1"/>
    <x v="2"/>
    <s v="206 1"/>
    <s v="Aeolus"/>
    <s v="445/65R22.5"/>
    <s v="AGC28"/>
    <s v="AGC28"/>
    <x v="0"/>
    <n v="16.5"/>
    <n v="110"/>
    <m/>
    <m/>
    <m/>
    <m/>
    <m/>
    <s v="2"/>
    <d v="2024-04-02T00:00:00"/>
    <m/>
    <m/>
    <n v="8"/>
    <n v="8"/>
    <n v="8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1722Rodando"/>
  </r>
  <r>
    <x v="41"/>
    <x v="41"/>
    <x v="1"/>
    <x v="2"/>
    <s v="206 3"/>
    <s v="Aeolus"/>
    <s v="445/65R22.5"/>
    <s v="AGC28"/>
    <s v="AGC28"/>
    <x v="0"/>
    <n v="16.5"/>
    <n v="110"/>
    <m/>
    <m/>
    <m/>
    <m/>
    <m/>
    <s v="3"/>
    <d v="2024-04-02T00:00:00"/>
    <m/>
    <m/>
    <n v="9"/>
    <n v="9"/>
    <n v="9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723Rodando"/>
  </r>
  <r>
    <x v="41"/>
    <x v="41"/>
    <x v="1"/>
    <x v="2"/>
    <s v="206 4"/>
    <s v="Aeolus"/>
    <s v="445/65R22.5"/>
    <s v="AGC28"/>
    <s v="AGC28"/>
    <x v="0"/>
    <n v="16.5"/>
    <n v="110"/>
    <m/>
    <m/>
    <m/>
    <m/>
    <m/>
    <s v="4"/>
    <d v="2024-04-02T00:00:00"/>
    <m/>
    <m/>
    <n v="10"/>
    <n v="8"/>
    <n v="9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1724Rodando"/>
  </r>
  <r>
    <x v="41"/>
    <x v="41"/>
    <x v="1"/>
    <x v="2"/>
    <s v="206 5"/>
    <s v="Aeolus"/>
    <s v="445/65R22.5"/>
    <s v="AGC28"/>
    <s v="AGC28"/>
    <x v="0"/>
    <n v="16.5"/>
    <n v="110"/>
    <m/>
    <m/>
    <m/>
    <m/>
    <m/>
    <s v="5"/>
    <d v="2024-04-02T00:00:00"/>
    <m/>
    <m/>
    <n v="11"/>
    <n v="11"/>
    <n v="10"/>
    <n v="10"/>
    <s v="tm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1725Rodando"/>
  </r>
  <r>
    <x v="41"/>
    <x v="41"/>
    <x v="1"/>
    <x v="2"/>
    <s v="206 6"/>
    <s v="Aeolus"/>
    <s v="445/65R22.5"/>
    <s v="AGC28"/>
    <s v="AGC28"/>
    <x v="0"/>
    <n v="16.5"/>
    <n v="110"/>
    <m/>
    <m/>
    <m/>
    <m/>
    <m/>
    <s v="6"/>
    <d v="2024-04-02T00:00:00"/>
    <m/>
    <m/>
    <n v="7"/>
    <n v="7"/>
    <n v="7"/>
    <n v="7"/>
    <s v="st"/>
    <n v="9.5"/>
    <n v="6"/>
    <n v="6"/>
    <n v="0.63636363636363635"/>
    <n v="0.57575757575757569"/>
    <n v="6.0606060606060663E-2"/>
    <m/>
    <m/>
    <s v=""/>
    <s v=""/>
    <s v=""/>
    <s v=""/>
    <s v=""/>
    <s v=""/>
    <s v=""/>
    <s v=""/>
    <s v=""/>
    <s v=""/>
    <x v="0"/>
    <m/>
    <m/>
    <s v="SR-1726Rodando"/>
  </r>
  <r>
    <x v="41"/>
    <x v="41"/>
    <x v="1"/>
    <x v="3"/>
    <m/>
    <s v="Michelin"/>
    <s v="425/65R22.5"/>
    <s v="XZY3"/>
    <s v="XZY3"/>
    <x v="0"/>
    <n v="0"/>
    <n v="110"/>
    <m/>
    <m/>
    <m/>
    <m/>
    <m/>
    <s v="RE"/>
    <d v="2024-04-02T00:00:00"/>
    <m/>
    <m/>
    <n v="11"/>
    <n v="11"/>
    <n v="11"/>
    <n v="11"/>
    <s v="st"/>
    <n v="-11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172RERodando"/>
  </r>
  <r>
    <x v="41"/>
    <x v="41"/>
    <x v="1"/>
    <x v="4"/>
    <m/>
    <s v="Michelin"/>
    <s v="295/80R22.5"/>
    <s v="XMULTI2D"/>
    <s v="XMULTI2D"/>
    <x v="0"/>
    <n v="21.4"/>
    <n v="110"/>
    <m/>
    <m/>
    <m/>
    <m/>
    <m/>
    <s v="RT"/>
    <d v="2024-04-02T00:00:00"/>
    <m/>
    <m/>
    <n v="9"/>
    <n v="9"/>
    <n v="9"/>
    <n v="9"/>
    <s v="st"/>
    <n v="12.399999999999999"/>
    <n v="6"/>
    <n v="6"/>
    <n v="0.71962616822429903"/>
    <n v="0.57943925233644855"/>
    <n v="0.14018691588785048"/>
    <m/>
    <m/>
    <s v=""/>
    <s v=""/>
    <s v=""/>
    <s v=""/>
    <s v=""/>
    <s v=""/>
    <s v=""/>
    <s v=""/>
    <s v=""/>
    <s v=""/>
    <x v="0"/>
    <m/>
    <m/>
    <s v="SR-172RTRodando"/>
  </r>
  <r>
    <x v="42"/>
    <x v="42"/>
    <x v="0"/>
    <x v="0"/>
    <s v="174 1"/>
    <s v="Michelin"/>
    <s v="295/80R22.5"/>
    <s v="XMULTI+Z"/>
    <s v="XMULTI+Z"/>
    <x v="0"/>
    <n v="16"/>
    <n v="100"/>
    <m/>
    <m/>
    <m/>
    <m/>
    <m/>
    <s v="1"/>
    <d v="2024-04-04T00:00:00"/>
    <m/>
    <m/>
    <n v="14"/>
    <n v="14"/>
    <n v="14"/>
    <n v="14"/>
    <s v="tm"/>
    <n v="2"/>
    <n v="6"/>
    <n v="6"/>
    <n v="0.625"/>
    <n v="0.125"/>
    <n v="0.5"/>
    <m/>
    <m/>
    <s v=""/>
    <s v=""/>
    <s v=""/>
    <s v=""/>
    <s v=""/>
    <s v=""/>
    <s v=""/>
    <s v=""/>
    <s v=""/>
    <s v=""/>
    <x v="0"/>
    <m/>
    <m/>
    <s v="TC-1741Rodando"/>
  </r>
  <r>
    <x v="42"/>
    <x v="42"/>
    <x v="0"/>
    <x v="0"/>
    <s v="174 2"/>
    <s v="Michelin"/>
    <s v="295/80R22.5"/>
    <s v="XMULTI+Z"/>
    <s v="XMULTI+Z"/>
    <x v="0"/>
    <n v="16"/>
    <n v="100"/>
    <m/>
    <m/>
    <m/>
    <m/>
    <m/>
    <s v="2"/>
    <d v="2024-04-04T00:00:00"/>
    <m/>
    <m/>
    <n v="15"/>
    <n v="15"/>
    <n v="15"/>
    <n v="15"/>
    <s v="tm"/>
    <n v="1"/>
    <n v="6"/>
    <n v="6"/>
    <n v="0.625"/>
    <n v="6.25E-2"/>
    <n v="0.5625"/>
    <m/>
    <m/>
    <s v=""/>
    <s v=""/>
    <s v=""/>
    <s v=""/>
    <s v=""/>
    <s v=""/>
    <s v=""/>
    <s v=""/>
    <s v=""/>
    <s v=""/>
    <x v="0"/>
    <m/>
    <m/>
    <s v="TC-1742Rodando"/>
  </r>
  <r>
    <x v="42"/>
    <x v="42"/>
    <x v="0"/>
    <x v="1"/>
    <m/>
    <s v="Michelin"/>
    <s v="295/80R22.5"/>
    <s v="Reencauche"/>
    <s v="MDE"/>
    <x v="1"/>
    <n v="22"/>
    <n v="110"/>
    <m/>
    <m/>
    <m/>
    <m/>
    <m/>
    <s v="3"/>
    <d v="2024-04-04T00:00:00"/>
    <m/>
    <m/>
    <n v="11"/>
    <m/>
    <n v="11"/>
    <n v="11"/>
    <s v="tm"/>
    <n v="11"/>
    <n v="6"/>
    <n v="6"/>
    <n v="0.72727272727272729"/>
    <n v="0.5"/>
    <n v="0.22727272727272729"/>
    <m/>
    <m/>
    <s v=""/>
    <s v=""/>
    <s v=""/>
    <s v=""/>
    <s v=""/>
    <s v=""/>
    <s v=""/>
    <s v=""/>
    <s v=""/>
    <s v=""/>
    <x v="0"/>
    <m/>
    <m/>
    <s v="TC-1743Rodando"/>
  </r>
  <r>
    <x v="42"/>
    <x v="42"/>
    <x v="0"/>
    <x v="1"/>
    <m/>
    <s v="Michelin"/>
    <s v="295/80R22.5"/>
    <s v="Reencauche"/>
    <s v="MDE"/>
    <x v="1"/>
    <n v="22"/>
    <n v="110"/>
    <m/>
    <m/>
    <m/>
    <m/>
    <m/>
    <s v="4"/>
    <d v="2024-04-04T00:00:00"/>
    <m/>
    <m/>
    <n v="11"/>
    <m/>
    <n v="11"/>
    <n v="11"/>
    <s v="st"/>
    <n v="11"/>
    <n v="6"/>
    <n v="6"/>
    <n v="0.72727272727272729"/>
    <n v="0.5"/>
    <n v="0.22727272727272729"/>
    <m/>
    <m/>
    <s v=""/>
    <s v=""/>
    <s v=""/>
    <s v=""/>
    <s v=""/>
    <s v=""/>
    <s v=""/>
    <s v=""/>
    <s v=""/>
    <s v=""/>
    <x v="0"/>
    <m/>
    <m/>
    <s v="TC-1744Rodando"/>
  </r>
  <r>
    <x v="42"/>
    <x v="42"/>
    <x v="0"/>
    <x v="1"/>
    <m/>
    <s v="Michelin"/>
    <s v="295/80R22.5"/>
    <s v="Reencauche"/>
    <s v="MDE"/>
    <x v="1"/>
    <n v="22"/>
    <n v="110"/>
    <m/>
    <m/>
    <m/>
    <m/>
    <m/>
    <s v="5"/>
    <d v="2024-04-04T00:00:00"/>
    <m/>
    <m/>
    <n v="10"/>
    <m/>
    <n v="10"/>
    <n v="10"/>
    <s v="st"/>
    <n v="12"/>
    <n v="6"/>
    <n v="6"/>
    <n v="0.72727272727272729"/>
    <n v="0.54545454545454541"/>
    <n v="0.18181818181818188"/>
    <m/>
    <m/>
    <s v=""/>
    <s v=""/>
    <s v=""/>
    <s v=""/>
    <s v=""/>
    <s v=""/>
    <s v=""/>
    <s v=""/>
    <s v=""/>
    <s v=""/>
    <x v="0"/>
    <m/>
    <m/>
    <s v="TC-1745Rodando"/>
  </r>
  <r>
    <x v="42"/>
    <x v="42"/>
    <x v="0"/>
    <x v="1"/>
    <m/>
    <s v="Michelin"/>
    <s v="295/80R22.5"/>
    <s v="Reencauche"/>
    <s v="MDE"/>
    <x v="1"/>
    <n v="22"/>
    <n v="110"/>
    <m/>
    <m/>
    <m/>
    <m/>
    <m/>
    <s v="6"/>
    <d v="2024-04-04T00:00:00"/>
    <m/>
    <m/>
    <n v="10"/>
    <m/>
    <n v="10"/>
    <n v="10"/>
    <s v="tm"/>
    <n v="12"/>
    <n v="6"/>
    <n v="6"/>
    <n v="0.72727272727272729"/>
    <n v="0.54545454545454541"/>
    <n v="0.18181818181818188"/>
    <m/>
    <m/>
    <s v=""/>
    <s v=""/>
    <s v=""/>
    <s v=""/>
    <s v=""/>
    <s v=""/>
    <s v=""/>
    <s v=""/>
    <s v=""/>
    <s v=""/>
    <x v="0"/>
    <m/>
    <m/>
    <s v="TC-1746Rodando"/>
  </r>
  <r>
    <x v="42"/>
    <x v="42"/>
    <x v="0"/>
    <x v="1"/>
    <m/>
    <s v="Goodyear"/>
    <s v="295/80R22.5"/>
    <s v="KMAXD"/>
    <s v="KMAXD"/>
    <x v="0"/>
    <n v="22.2"/>
    <n v="110"/>
    <m/>
    <m/>
    <m/>
    <m/>
    <m/>
    <s v="7"/>
    <d v="2024-04-04T00:00:00"/>
    <m/>
    <m/>
    <n v="14"/>
    <m/>
    <n v="14"/>
    <n v="14"/>
    <s v="st"/>
    <n v="8.1999999999999993"/>
    <n v="6"/>
    <n v="6"/>
    <n v="0.72972972972972971"/>
    <n v="0.36936936936936937"/>
    <n v="0.36036036036036034"/>
    <m/>
    <m/>
    <s v=""/>
    <s v=""/>
    <s v=""/>
    <s v=""/>
    <s v=""/>
    <s v=""/>
    <s v=""/>
    <s v=""/>
    <s v=""/>
    <s v=""/>
    <x v="0"/>
    <m/>
    <m/>
    <s v="TC-1747Rodando"/>
  </r>
  <r>
    <x v="42"/>
    <x v="42"/>
    <x v="0"/>
    <x v="1"/>
    <m/>
    <s v="Goodyear"/>
    <s v="295/80R22.5"/>
    <s v="KMAXD"/>
    <s v="KMAXD"/>
    <x v="0"/>
    <n v="22.2"/>
    <n v="110"/>
    <m/>
    <m/>
    <m/>
    <m/>
    <m/>
    <s v="8"/>
    <d v="2024-04-04T00:00:00"/>
    <m/>
    <m/>
    <n v="14"/>
    <m/>
    <n v="13"/>
    <n v="13"/>
    <s v="st"/>
    <n v="9.1999999999999993"/>
    <n v="6"/>
    <n v="6"/>
    <n v="0.72972972972972971"/>
    <n v="0.4144144144144144"/>
    <n v="0.31531531531531531"/>
    <m/>
    <m/>
    <s v=""/>
    <s v=""/>
    <s v=""/>
    <s v=""/>
    <s v=""/>
    <s v=""/>
    <s v=""/>
    <s v=""/>
    <s v=""/>
    <s v=""/>
    <x v="0"/>
    <m/>
    <m/>
    <s v="TC-1748Rodando"/>
  </r>
  <r>
    <x v="42"/>
    <x v="42"/>
    <x v="0"/>
    <x v="1"/>
    <m/>
    <s v="Goodyear"/>
    <s v="295/80R22.5"/>
    <s v="KMAXD"/>
    <s v="KMAXD"/>
    <x v="0"/>
    <n v="22.2"/>
    <n v="110"/>
    <m/>
    <m/>
    <m/>
    <m/>
    <m/>
    <s v="9"/>
    <d v="2024-04-04T00:00:00"/>
    <m/>
    <m/>
    <n v="14"/>
    <m/>
    <n v="14"/>
    <n v="14"/>
    <s v="st"/>
    <n v="8.1999999999999993"/>
    <n v="6"/>
    <n v="6"/>
    <n v="0.72972972972972971"/>
    <n v="0.36936936936936937"/>
    <n v="0.36036036036036034"/>
    <m/>
    <m/>
    <s v=""/>
    <s v=""/>
    <s v=""/>
    <s v=""/>
    <s v=""/>
    <s v=""/>
    <s v=""/>
    <s v=""/>
    <s v=""/>
    <s v=""/>
    <x v="0"/>
    <m/>
    <m/>
    <s v="TC-1749Rodando"/>
  </r>
  <r>
    <x v="42"/>
    <x v="42"/>
    <x v="0"/>
    <x v="1"/>
    <s v="23040044"/>
    <s v="Goodyear"/>
    <s v="295/80R22.5"/>
    <s v="KMAXD"/>
    <s v="KMAXD"/>
    <x v="0"/>
    <n v="22.2"/>
    <n v="110"/>
    <m/>
    <m/>
    <m/>
    <m/>
    <m/>
    <s v="10"/>
    <d v="2024-04-04T00:00:00"/>
    <m/>
    <m/>
    <n v="14"/>
    <m/>
    <n v="14"/>
    <n v="14"/>
    <s v="tm"/>
    <n v="8.1999999999999993"/>
    <n v="6"/>
    <n v="6"/>
    <n v="0.72972972972972971"/>
    <n v="0.36936936936936937"/>
    <n v="0.36036036036036034"/>
    <m/>
    <m/>
    <s v=""/>
    <s v=""/>
    <s v=""/>
    <s v=""/>
    <s v=""/>
    <s v=""/>
    <s v=""/>
    <s v=""/>
    <s v=""/>
    <s v=""/>
    <x v="0"/>
    <m/>
    <m/>
    <s v="TC-17410Rodando"/>
  </r>
  <r>
    <x v="43"/>
    <x v="43"/>
    <x v="1"/>
    <x v="2"/>
    <m/>
    <s v="Continental"/>
    <s v="445/65R22.5"/>
    <s v="HAC3"/>
    <s v="HAC3"/>
    <x v="0"/>
    <n v="0"/>
    <n v="110"/>
    <m/>
    <m/>
    <m/>
    <m/>
    <m/>
    <s v="1"/>
    <d v="2024-04-04T00:00:00"/>
    <m/>
    <m/>
    <n v="18"/>
    <n v="18"/>
    <n v="18"/>
    <n v="18"/>
    <s v="st"/>
    <n v="-18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1741Rodando"/>
  </r>
  <r>
    <x v="43"/>
    <x v="43"/>
    <x v="1"/>
    <x v="2"/>
    <m/>
    <s v="Continental"/>
    <s v="445/65R22.5"/>
    <s v="HAC3"/>
    <s v="HAC3"/>
    <x v="0"/>
    <n v="0"/>
    <n v="110"/>
    <m/>
    <m/>
    <m/>
    <m/>
    <m/>
    <s v="2"/>
    <d v="2024-04-04T00:00:00"/>
    <m/>
    <m/>
    <n v="18"/>
    <n v="18"/>
    <n v="18"/>
    <n v="18"/>
    <s v="st"/>
    <n v="-18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1742Rodando"/>
  </r>
  <r>
    <x v="43"/>
    <x v="43"/>
    <x v="1"/>
    <x v="2"/>
    <s v="1743"/>
    <s v="Aeolus"/>
    <s v="445/65R22.5"/>
    <s v="AGC28"/>
    <s v="AGC28"/>
    <x v="0"/>
    <n v="16.5"/>
    <n v="110"/>
    <m/>
    <m/>
    <m/>
    <m/>
    <m/>
    <s v="3"/>
    <d v="2024-04-04T00:00:00"/>
    <m/>
    <m/>
    <n v="9"/>
    <n v="9"/>
    <n v="9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743Rodando"/>
  </r>
  <r>
    <x v="43"/>
    <x v="43"/>
    <x v="1"/>
    <x v="2"/>
    <s v="1744"/>
    <s v="Aeolus"/>
    <s v="445/65R22.5"/>
    <s v="AGC28"/>
    <s v="AGC28"/>
    <x v="0"/>
    <n v="16.5"/>
    <n v="110"/>
    <m/>
    <m/>
    <m/>
    <m/>
    <m/>
    <s v="4"/>
    <d v="2024-04-04T00:00:00"/>
    <m/>
    <m/>
    <n v="9"/>
    <n v="9"/>
    <n v="9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744Rodando"/>
  </r>
  <r>
    <x v="43"/>
    <x v="43"/>
    <x v="1"/>
    <x v="2"/>
    <s v="1506"/>
    <s v="Aeolus"/>
    <s v="445/65R22.5"/>
    <s v="AGC28"/>
    <s v="AGC28"/>
    <x v="0"/>
    <n v="16.5"/>
    <n v="110"/>
    <m/>
    <m/>
    <m/>
    <m/>
    <m/>
    <s v="5"/>
    <d v="2024-04-04T00:00:00"/>
    <m/>
    <m/>
    <n v="12"/>
    <n v="12"/>
    <n v="12"/>
    <n v="12"/>
    <s v="st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1745Rodando"/>
  </r>
  <r>
    <x v="43"/>
    <x v="43"/>
    <x v="1"/>
    <x v="2"/>
    <m/>
    <s v="Aeolus"/>
    <s v="445/65R22.5"/>
    <s v="AGC28"/>
    <s v="AGC28"/>
    <x v="0"/>
    <n v="16.5"/>
    <n v="110"/>
    <m/>
    <m/>
    <m/>
    <m/>
    <m/>
    <s v="6"/>
    <d v="2024-04-04T00:00:00"/>
    <m/>
    <m/>
    <n v="12"/>
    <n v="12"/>
    <n v="12"/>
    <n v="12"/>
    <s v="st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1746Rodando"/>
  </r>
  <r>
    <x v="43"/>
    <x v="43"/>
    <x v="1"/>
    <x v="3"/>
    <m/>
    <s v="Goodyear"/>
    <s v="445/65R22.5"/>
    <s v="OMNITRAC MST2"/>
    <s v="OMNITRAC MST2"/>
    <x v="0"/>
    <n v="15.6"/>
    <n v="110"/>
    <m/>
    <m/>
    <m/>
    <m/>
    <m/>
    <s v="RE"/>
    <d v="2024-04-04T00:00:00"/>
    <m/>
    <m/>
    <n v="9"/>
    <n v="9"/>
    <n v="8"/>
    <n v="8"/>
    <s v="st"/>
    <n v="7.6"/>
    <n v="6"/>
    <n v="6"/>
    <n v="0.61538461538461542"/>
    <n v="0.48717948717948711"/>
    <n v="0.1282051282051283"/>
    <m/>
    <m/>
    <s v=""/>
    <s v=""/>
    <s v=""/>
    <s v=""/>
    <s v=""/>
    <s v=""/>
    <s v=""/>
    <s v=""/>
    <s v=""/>
    <s v=""/>
    <x v="0"/>
    <m/>
    <m/>
    <s v="SR-174RERodando"/>
  </r>
  <r>
    <x v="43"/>
    <x v="43"/>
    <x v="1"/>
    <x v="4"/>
    <m/>
    <s v="Continental"/>
    <s v="295/80R22.5"/>
    <s v="HAC3"/>
    <s v="HAC3"/>
    <x v="0"/>
    <n v="0"/>
    <n v="110"/>
    <m/>
    <m/>
    <m/>
    <m/>
    <m/>
    <s v="RT"/>
    <d v="2024-04-04T00:00:00"/>
    <m/>
    <m/>
    <n v="8"/>
    <n v="7"/>
    <n v="8"/>
    <n v="7"/>
    <s v="st"/>
    <n v="-7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174RTRodando"/>
  </r>
  <r>
    <x v="44"/>
    <x v="44"/>
    <x v="1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0"/>
    <n v="10"/>
    <n v="10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1761Rodando"/>
  </r>
  <r>
    <x v="44"/>
    <x v="44"/>
    <x v="1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9"/>
    <n v="9"/>
    <n v="9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762Rodando"/>
  </r>
  <r>
    <x v="44"/>
    <x v="44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2"/>
    <n v="12"/>
    <n v="12"/>
    <n v="12"/>
    <s v="st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1763Rodando"/>
  </r>
  <r>
    <x v="44"/>
    <x v="44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764Rodando"/>
  </r>
  <r>
    <x v="44"/>
    <x v="44"/>
    <x v="1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765Rodando"/>
  </r>
  <r>
    <x v="44"/>
    <x v="44"/>
    <x v="1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766Rodando"/>
  </r>
  <r>
    <x v="44"/>
    <x v="44"/>
    <x v="1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8"/>
    <n v="8"/>
    <n v="9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176RERodando"/>
  </r>
  <r>
    <x v="44"/>
    <x v="44"/>
    <x v="1"/>
    <x v="4"/>
    <m/>
    <s v="Goodyear"/>
    <s v="295/80R22.5"/>
    <s v="Reencauche"/>
    <s v="MDE"/>
    <x v="1"/>
    <n v="22"/>
    <n v="110"/>
    <m/>
    <m/>
    <m/>
    <m/>
    <m/>
    <s v="RT"/>
    <d v="2024-04-03T00:00:00"/>
    <m/>
    <m/>
    <n v="13"/>
    <m/>
    <n v="13"/>
    <n v="13"/>
    <s v="st"/>
    <n v="9"/>
    <n v="6"/>
    <n v="6"/>
    <n v="0.72727272727272729"/>
    <n v="0.40909090909090906"/>
    <n v="0.31818181818181823"/>
    <m/>
    <m/>
    <s v=""/>
    <s v=""/>
    <s v=""/>
    <s v=""/>
    <s v=""/>
    <s v=""/>
    <s v=""/>
    <s v=""/>
    <s v=""/>
    <s v=""/>
    <x v="0"/>
    <m/>
    <m/>
    <s v="SR-176RTRodando"/>
  </r>
  <r>
    <x v="45"/>
    <x v="45"/>
    <x v="0"/>
    <x v="0"/>
    <m/>
    <s v="Michelin"/>
    <s v="295/80R22.5"/>
    <s v="XMULTI+Z"/>
    <s v="XMULTI+Z"/>
    <x v="0"/>
    <n v="16"/>
    <n v="100"/>
    <m/>
    <m/>
    <m/>
    <m/>
    <m/>
    <s v="1"/>
    <d v="2024-04-04T00:00:00"/>
    <m/>
    <m/>
    <n v="14"/>
    <n v="14"/>
    <n v="14"/>
    <n v="14"/>
    <s v="st"/>
    <n v="2"/>
    <n v="6"/>
    <n v="6"/>
    <n v="0.625"/>
    <n v="0.125"/>
    <n v="0.5"/>
    <m/>
    <m/>
    <s v=""/>
    <s v=""/>
    <s v=""/>
    <s v=""/>
    <s v=""/>
    <s v=""/>
    <s v=""/>
    <s v=""/>
    <s v=""/>
    <s v=""/>
    <x v="0"/>
    <m/>
    <m/>
    <s v="TC-1781Rodando"/>
  </r>
  <r>
    <x v="45"/>
    <x v="45"/>
    <x v="0"/>
    <x v="0"/>
    <m/>
    <s v="Michelin"/>
    <s v="295/80R22.5"/>
    <s v="XMULTI+Z"/>
    <s v="XMULTI+Z"/>
    <x v="0"/>
    <n v="16"/>
    <n v="100"/>
    <m/>
    <m/>
    <m/>
    <m/>
    <m/>
    <s v="2"/>
    <d v="2024-04-04T00:00:00"/>
    <m/>
    <m/>
    <n v="14"/>
    <n v="14"/>
    <n v="14"/>
    <n v="14"/>
    <s v="st"/>
    <n v="2"/>
    <n v="6"/>
    <n v="6"/>
    <n v="0.625"/>
    <n v="0.125"/>
    <n v="0.5"/>
    <m/>
    <m/>
    <s v=""/>
    <s v=""/>
    <s v=""/>
    <s v=""/>
    <s v=""/>
    <s v=""/>
    <s v=""/>
    <s v=""/>
    <s v=""/>
    <s v=""/>
    <x v="0"/>
    <m/>
    <m/>
    <s v="TC-1782Rodando"/>
  </r>
  <r>
    <x v="45"/>
    <x v="45"/>
    <x v="0"/>
    <x v="1"/>
    <m/>
    <s v="Michelin"/>
    <s v="295/80R22.5"/>
    <s v="XMULTI2D"/>
    <s v="XMULTI2D"/>
    <x v="0"/>
    <n v="21.4"/>
    <n v="110"/>
    <m/>
    <m/>
    <m/>
    <m/>
    <m/>
    <s v="3"/>
    <d v="2024-04-04T00:00:00"/>
    <m/>
    <m/>
    <n v="19"/>
    <m/>
    <n v="19"/>
    <n v="19"/>
    <s v="st"/>
    <n v="2.3999999999999986"/>
    <n v="6"/>
    <n v="6"/>
    <n v="0.71962616822429903"/>
    <n v="0.11214953271028028"/>
    <n v="0.60747663551401876"/>
    <m/>
    <m/>
    <s v=""/>
    <s v=""/>
    <s v=""/>
    <s v=""/>
    <s v=""/>
    <s v=""/>
    <s v=""/>
    <s v=""/>
    <s v=""/>
    <s v=""/>
    <x v="0"/>
    <m/>
    <m/>
    <s v="TC-1783Rodando"/>
  </r>
  <r>
    <x v="45"/>
    <x v="45"/>
    <x v="0"/>
    <x v="1"/>
    <m/>
    <s v="Michelin"/>
    <s v="295/80R22.5"/>
    <s v="XMULTI2D"/>
    <s v="XMULTI2D"/>
    <x v="0"/>
    <n v="21.4"/>
    <n v="110"/>
    <m/>
    <m/>
    <m/>
    <m/>
    <m/>
    <s v="4"/>
    <d v="2024-04-04T00:00:00"/>
    <m/>
    <m/>
    <n v="19"/>
    <m/>
    <n v="19"/>
    <n v="19"/>
    <s v="st"/>
    <n v="2.3999999999999986"/>
    <n v="6"/>
    <n v="6"/>
    <n v="0.71962616822429903"/>
    <n v="0.11214953271028028"/>
    <n v="0.60747663551401876"/>
    <m/>
    <m/>
    <s v=""/>
    <s v=""/>
    <s v=""/>
    <s v=""/>
    <s v=""/>
    <s v=""/>
    <s v=""/>
    <s v=""/>
    <s v=""/>
    <s v=""/>
    <x v="0"/>
    <m/>
    <m/>
    <s v="TC-1784Rodando"/>
  </r>
  <r>
    <x v="45"/>
    <x v="45"/>
    <x v="0"/>
    <x v="1"/>
    <m/>
    <s v="Michelin"/>
    <s v="295/80R22.5"/>
    <s v="XMULTI2D"/>
    <s v="XMULTI2D"/>
    <x v="0"/>
    <n v="21.4"/>
    <n v="110"/>
    <m/>
    <m/>
    <m/>
    <m/>
    <m/>
    <s v="5"/>
    <d v="2024-04-04T00:00:00"/>
    <m/>
    <m/>
    <n v="20"/>
    <m/>
    <n v="20"/>
    <n v="20"/>
    <s v="tm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TC-1785Rodando"/>
  </r>
  <r>
    <x v="45"/>
    <x v="45"/>
    <x v="0"/>
    <x v="1"/>
    <m/>
    <s v="Michelin"/>
    <s v="295/80R22.5"/>
    <s v="XMULTI2D"/>
    <s v="XMULTI2D"/>
    <x v="0"/>
    <n v="21.4"/>
    <n v="110"/>
    <m/>
    <m/>
    <m/>
    <m/>
    <m/>
    <s v="6"/>
    <d v="2024-04-04T00:00:00"/>
    <m/>
    <m/>
    <n v="20"/>
    <m/>
    <n v="20"/>
    <n v="20"/>
    <s v="st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TC-1786Rodando"/>
  </r>
  <r>
    <x v="45"/>
    <x v="45"/>
    <x v="0"/>
    <x v="1"/>
    <m/>
    <s v="Michelin"/>
    <s v="295/80R22.5"/>
    <s v="XMULTI2D"/>
    <s v="XMULTI2D"/>
    <x v="0"/>
    <n v="21.4"/>
    <n v="110"/>
    <m/>
    <m/>
    <m/>
    <m/>
    <m/>
    <s v="7"/>
    <d v="2024-04-04T00:00:00"/>
    <m/>
    <m/>
    <n v="17"/>
    <m/>
    <n v="16"/>
    <n v="16"/>
    <s v="st"/>
    <n v="5.3999999999999986"/>
    <n v="6"/>
    <n v="6"/>
    <n v="0.71962616822429903"/>
    <n v="0.25233644859813076"/>
    <n v="0.46728971962616828"/>
    <m/>
    <m/>
    <s v=""/>
    <s v=""/>
    <s v=""/>
    <s v=""/>
    <s v=""/>
    <s v=""/>
    <s v=""/>
    <s v=""/>
    <s v=""/>
    <s v=""/>
    <x v="0"/>
    <m/>
    <m/>
    <s v="TC-1787Rodando"/>
  </r>
  <r>
    <x v="45"/>
    <x v="45"/>
    <x v="0"/>
    <x v="1"/>
    <m/>
    <s v="Michelin"/>
    <s v="295/80R22.5"/>
    <s v="XMULTI2D"/>
    <s v="XMULTI2D"/>
    <x v="0"/>
    <n v="21.4"/>
    <n v="110"/>
    <m/>
    <m/>
    <m/>
    <m/>
    <m/>
    <s v="8"/>
    <d v="2024-04-04T00:00:00"/>
    <m/>
    <m/>
    <n v="17"/>
    <m/>
    <n v="16"/>
    <n v="16"/>
    <s v="st"/>
    <n v="5.3999999999999986"/>
    <n v="6"/>
    <n v="6"/>
    <n v="0.71962616822429903"/>
    <n v="0.25233644859813076"/>
    <n v="0.46728971962616828"/>
    <m/>
    <m/>
    <s v=""/>
    <s v=""/>
    <s v=""/>
    <s v=""/>
    <s v=""/>
    <s v=""/>
    <s v=""/>
    <s v=""/>
    <s v=""/>
    <s v=""/>
    <x v="0"/>
    <m/>
    <m/>
    <s v="TC-1788Rodando"/>
  </r>
  <r>
    <x v="45"/>
    <x v="45"/>
    <x v="0"/>
    <x v="1"/>
    <m/>
    <s v="Michelin"/>
    <s v="295/80R22.5"/>
    <s v="XMULTI2D"/>
    <s v="XMULTI2D"/>
    <x v="0"/>
    <n v="21.4"/>
    <n v="110"/>
    <m/>
    <m/>
    <m/>
    <m/>
    <m/>
    <s v="9"/>
    <d v="2024-04-04T00:00:00"/>
    <m/>
    <m/>
    <n v="18"/>
    <m/>
    <n v="17"/>
    <n v="17"/>
    <s v="st"/>
    <n v="4.3999999999999986"/>
    <n v="6"/>
    <n v="6"/>
    <n v="0.71962616822429903"/>
    <n v="0.20560747663551393"/>
    <n v="0.5140186915887851"/>
    <m/>
    <m/>
    <s v=""/>
    <s v=""/>
    <s v=""/>
    <s v=""/>
    <s v=""/>
    <s v=""/>
    <s v=""/>
    <s v=""/>
    <s v=""/>
    <s v=""/>
    <x v="0"/>
    <m/>
    <m/>
    <s v="TC-1789Rodando"/>
  </r>
  <r>
    <x v="45"/>
    <x v="45"/>
    <x v="0"/>
    <x v="1"/>
    <m/>
    <s v="Michelin"/>
    <s v="295/80R22.5"/>
    <s v="XMULTI2D"/>
    <s v="XMULTI2D"/>
    <x v="0"/>
    <n v="21.4"/>
    <n v="110"/>
    <m/>
    <m/>
    <m/>
    <m/>
    <m/>
    <s v="10"/>
    <d v="2024-04-04T00:00:00"/>
    <m/>
    <m/>
    <n v="18"/>
    <m/>
    <n v="17"/>
    <n v="17"/>
    <s v="st"/>
    <n v="4.3999999999999986"/>
    <n v="6"/>
    <n v="6"/>
    <n v="0.71962616822429903"/>
    <n v="0.20560747663551393"/>
    <n v="0.5140186915887851"/>
    <m/>
    <m/>
    <s v=""/>
    <s v=""/>
    <s v=""/>
    <s v=""/>
    <s v=""/>
    <s v=""/>
    <s v=""/>
    <s v=""/>
    <s v=""/>
    <s v=""/>
    <x v="0"/>
    <m/>
    <m/>
    <s v="TC-17810Rodando"/>
  </r>
  <r>
    <x v="46"/>
    <x v="46"/>
    <x v="1"/>
    <x v="2"/>
    <m/>
    <s v="Aeolus"/>
    <s v="445/65R22.5"/>
    <s v="Reencauche"/>
    <s v="LZY3"/>
    <x v="1"/>
    <n v="20"/>
    <n v="110"/>
    <m/>
    <m/>
    <m/>
    <m/>
    <m/>
    <s v="1"/>
    <d v="2024-04-04T00:00:00"/>
    <m/>
    <m/>
    <n v="20"/>
    <n v="20"/>
    <n v="20"/>
    <n v="20"/>
    <s v="st"/>
    <n v="0"/>
    <n v="6"/>
    <n v="6"/>
    <n v="0.7"/>
    <n v="0"/>
    <n v="0.7"/>
    <m/>
    <m/>
    <s v=""/>
    <s v=""/>
    <s v=""/>
    <s v=""/>
    <s v=""/>
    <s v=""/>
    <s v=""/>
    <s v=""/>
    <s v=""/>
    <s v=""/>
    <x v="0"/>
    <m/>
    <m/>
    <s v="SR-1781Rodando"/>
  </r>
  <r>
    <x v="46"/>
    <x v="46"/>
    <x v="1"/>
    <x v="2"/>
    <m/>
    <s v="Aeolus"/>
    <s v="445/65R22.5"/>
    <s v="Reencauche"/>
    <s v="LZY3"/>
    <x v="1"/>
    <n v="21"/>
    <n v="110"/>
    <m/>
    <m/>
    <m/>
    <m/>
    <m/>
    <s v="2"/>
    <d v="2024-04-04T00:00:00"/>
    <m/>
    <m/>
    <n v="20"/>
    <n v="20"/>
    <n v="20"/>
    <n v="20"/>
    <s v="st"/>
    <n v="1"/>
    <n v="6"/>
    <n v="6"/>
    <n v="0.7142857142857143"/>
    <n v="4.7619047619047672E-2"/>
    <n v="0.66666666666666663"/>
    <m/>
    <m/>
    <s v=""/>
    <s v=""/>
    <s v=""/>
    <s v=""/>
    <s v=""/>
    <s v=""/>
    <s v=""/>
    <s v=""/>
    <s v=""/>
    <s v=""/>
    <x v="0"/>
    <m/>
    <m/>
    <s v="SR-1782Rodando"/>
  </r>
  <r>
    <x v="46"/>
    <x v="46"/>
    <x v="1"/>
    <x v="2"/>
    <m/>
    <s v="Aeolus"/>
    <s v="445/65R22.5"/>
    <s v="Reencauche"/>
    <s v="AGC28"/>
    <x v="5"/>
    <n v="16.5"/>
    <n v="110"/>
    <m/>
    <m/>
    <m/>
    <m/>
    <m/>
    <s v="3"/>
    <d v="2024-04-04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1783Rodando"/>
  </r>
  <r>
    <x v="46"/>
    <x v="46"/>
    <x v="1"/>
    <x v="2"/>
    <m/>
    <s v="Aeolus"/>
    <s v="445/65R22.5"/>
    <s v="Reencauche"/>
    <s v="AGC28"/>
    <x v="5"/>
    <n v="16.5"/>
    <n v="110"/>
    <m/>
    <m/>
    <m/>
    <m/>
    <m/>
    <s v="4"/>
    <d v="2024-04-04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1784Rodando"/>
  </r>
  <r>
    <x v="46"/>
    <x v="46"/>
    <x v="1"/>
    <x v="2"/>
    <m/>
    <s v="Aeolus"/>
    <s v="445/65R22.5"/>
    <s v="AGC28"/>
    <s v="AGC28"/>
    <x v="0"/>
    <n v="16.5"/>
    <n v="110"/>
    <m/>
    <m/>
    <m/>
    <m/>
    <m/>
    <s v="5"/>
    <d v="2024-04-04T00:00:00"/>
    <m/>
    <m/>
    <n v="8"/>
    <n v="8"/>
    <n v="8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1785Rodando"/>
  </r>
  <r>
    <x v="46"/>
    <x v="46"/>
    <x v="1"/>
    <x v="2"/>
    <m/>
    <s v="Aeolus"/>
    <s v="445/65R22.5"/>
    <s v="AGC28"/>
    <s v="AGC28"/>
    <x v="0"/>
    <n v="16.5"/>
    <n v="110"/>
    <m/>
    <m/>
    <m/>
    <m/>
    <m/>
    <s v="6"/>
    <d v="2024-04-04T00:00:00"/>
    <m/>
    <m/>
    <n v="9"/>
    <n v="8"/>
    <n v="8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1786Rodando"/>
  </r>
  <r>
    <x v="46"/>
    <x v="46"/>
    <x v="1"/>
    <x v="3"/>
    <m/>
    <s v="Aeolus"/>
    <s v="445/65R22.5"/>
    <s v="AGC28"/>
    <s v="AGC28"/>
    <x v="0"/>
    <n v="16.5"/>
    <n v="110"/>
    <m/>
    <m/>
    <m/>
    <m/>
    <m/>
    <s v="RE"/>
    <d v="2024-04-04T00:00:00"/>
    <m/>
    <m/>
    <n v="8"/>
    <n v="8"/>
    <n v="8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178RERodando"/>
  </r>
  <r>
    <x v="46"/>
    <x v="46"/>
    <x v="1"/>
    <x v="4"/>
    <m/>
    <s v="Continental"/>
    <s v="295/80R22.5"/>
    <s v="HAC3"/>
    <s v="HAC3"/>
    <x v="0"/>
    <n v="0"/>
    <n v="110"/>
    <m/>
    <m/>
    <m/>
    <m/>
    <m/>
    <s v="RT"/>
    <d v="2024-04-04T00:00:00"/>
    <m/>
    <m/>
    <n v="6"/>
    <n v="6"/>
    <n v="9"/>
    <n v="6"/>
    <s v="st"/>
    <n v="-6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178RTRodando"/>
  </r>
  <r>
    <x v="47"/>
    <x v="47"/>
    <x v="1"/>
    <x v="2"/>
    <m/>
    <s v="Aeolus"/>
    <s v="445/65R22.5"/>
    <s v="AGC28"/>
    <s v="AGC28"/>
    <x v="0"/>
    <n v="16.5"/>
    <n v="110"/>
    <m/>
    <m/>
    <m/>
    <m/>
    <m/>
    <s v="1"/>
    <d v="2024-04-02T00:00:00"/>
    <m/>
    <m/>
    <n v="8"/>
    <n v="5"/>
    <n v="8"/>
    <n v="5"/>
    <s v="st"/>
    <n v="11.5"/>
    <n v="6"/>
    <n v="5"/>
    <n v="0.63636363636363635"/>
    <n v="0.69696969696969702"/>
    <n v="-6.0606060606060663E-2"/>
    <m/>
    <m/>
    <s v=""/>
    <s v=""/>
    <s v=""/>
    <s v=""/>
    <s v=""/>
    <s v=""/>
    <s v=""/>
    <s v=""/>
    <s v=""/>
    <s v=""/>
    <x v="0"/>
    <m/>
    <m/>
    <s v="SR-1801Rodando"/>
  </r>
  <r>
    <x v="47"/>
    <x v="47"/>
    <x v="1"/>
    <x v="2"/>
    <m/>
    <s v="Michelin"/>
    <s v="425/65R22.5"/>
    <s v="Reencauche"/>
    <s v="LZY3"/>
    <x v="1"/>
    <n v="19"/>
    <n v="110"/>
    <m/>
    <m/>
    <m/>
    <m/>
    <m/>
    <s v="2"/>
    <d v="2024-04-02T00:00:00"/>
    <m/>
    <m/>
    <n v="12"/>
    <n v="10"/>
    <n v="11"/>
    <n v="10"/>
    <s v="st"/>
    <n v="9"/>
    <n v="6"/>
    <n v="6"/>
    <n v="0.68421052631578949"/>
    <n v="0.47368421052631582"/>
    <n v="0.21052631578947367"/>
    <m/>
    <m/>
    <s v=""/>
    <s v=""/>
    <s v=""/>
    <s v=""/>
    <s v=""/>
    <s v=""/>
    <s v=""/>
    <s v=""/>
    <s v=""/>
    <s v=""/>
    <x v="0"/>
    <m/>
    <m/>
    <s v="SR-1802Rodando"/>
  </r>
  <r>
    <x v="47"/>
    <x v="47"/>
    <x v="1"/>
    <x v="2"/>
    <m/>
    <s v="Aeolus"/>
    <s v="445/65R22.5"/>
    <s v="AGC28"/>
    <s v="AGC28"/>
    <x v="0"/>
    <n v="16.5"/>
    <n v="110"/>
    <m/>
    <m/>
    <m/>
    <m/>
    <m/>
    <s v="3"/>
    <d v="2024-04-02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SR-1803Rodando"/>
  </r>
  <r>
    <x v="47"/>
    <x v="47"/>
    <x v="1"/>
    <x v="2"/>
    <m/>
    <s v="Aeolus"/>
    <s v="445/65R22.5"/>
    <s v="AGC28"/>
    <s v="AGC28"/>
    <x v="0"/>
    <n v="16.5"/>
    <n v="110"/>
    <m/>
    <m/>
    <m/>
    <m/>
    <m/>
    <s v="4"/>
    <d v="2024-04-02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SR-1804Rodando"/>
  </r>
  <r>
    <x v="47"/>
    <x v="47"/>
    <x v="1"/>
    <x v="2"/>
    <m/>
    <s v="Aeolus"/>
    <s v="445/65R22.5"/>
    <s v="AGC28"/>
    <s v="AGC28"/>
    <x v="0"/>
    <n v="16.5"/>
    <n v="110"/>
    <m/>
    <m/>
    <m/>
    <m/>
    <m/>
    <s v="5"/>
    <d v="2024-04-02T00:00:00"/>
    <m/>
    <m/>
    <n v="9"/>
    <n v="8"/>
    <n v="9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1805Rodando"/>
  </r>
  <r>
    <x v="47"/>
    <x v="47"/>
    <x v="1"/>
    <x v="2"/>
    <m/>
    <s v="Aeolus"/>
    <s v="445/65R22.5"/>
    <s v="AGC28"/>
    <s v="AGC28"/>
    <x v="0"/>
    <n v="16.5"/>
    <n v="110"/>
    <m/>
    <m/>
    <m/>
    <m/>
    <m/>
    <s v="6"/>
    <d v="2024-04-02T00:00:00"/>
    <m/>
    <m/>
    <n v="8"/>
    <n v="8"/>
    <n v="8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1806Rodando"/>
  </r>
  <r>
    <x v="47"/>
    <x v="47"/>
    <x v="1"/>
    <x v="3"/>
    <m/>
    <s v="Aeolus"/>
    <s v="445/65R22.5"/>
    <s v="AGC28"/>
    <s v="AGC28"/>
    <x v="0"/>
    <n v="16.5"/>
    <n v="110"/>
    <m/>
    <m/>
    <m/>
    <m/>
    <m/>
    <s v="RE"/>
    <d v="2024-04-02T00:00:00"/>
    <m/>
    <m/>
    <n v="10"/>
    <n v="8"/>
    <n v="9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s v="Delaminación de caucho en banda"/>
    <m/>
    <s v="SR-180RERodando"/>
  </r>
  <r>
    <x v="47"/>
    <x v="47"/>
    <x v="1"/>
    <x v="4"/>
    <m/>
    <s v="Continental"/>
    <s v="295/80R22.5"/>
    <s v="HS3+"/>
    <s v="HS3+"/>
    <x v="0"/>
    <n v="16"/>
    <n v="100"/>
    <m/>
    <m/>
    <m/>
    <m/>
    <m/>
    <s v="RT"/>
    <d v="2024-04-02T00:00:00"/>
    <m/>
    <m/>
    <n v="13"/>
    <n v="13"/>
    <n v="12"/>
    <n v="12"/>
    <s v="st"/>
    <n v="4"/>
    <n v="6"/>
    <n v="6"/>
    <n v="0.625"/>
    <n v="0.25"/>
    <n v="0.375"/>
    <m/>
    <m/>
    <s v=""/>
    <s v=""/>
    <s v=""/>
    <s v=""/>
    <s v=""/>
    <s v=""/>
    <s v=""/>
    <s v=""/>
    <s v=""/>
    <s v=""/>
    <x v="0"/>
    <m/>
    <m/>
    <s v="SR-180RTRodando"/>
  </r>
  <r>
    <x v="48"/>
    <x v="48"/>
    <x v="0"/>
    <x v="0"/>
    <m/>
    <s v="Michelin"/>
    <s v="295/80R22.5"/>
    <s v="XMULTI+Z"/>
    <s v="XMULTI+Z"/>
    <x v="0"/>
    <n v="16"/>
    <n v="100"/>
    <m/>
    <m/>
    <m/>
    <m/>
    <m/>
    <s v="1"/>
    <d v="2024-04-03T00:00:00"/>
    <m/>
    <m/>
    <n v="16"/>
    <n v="16"/>
    <n v="16"/>
    <n v="16"/>
    <s v="tm"/>
    <n v="0"/>
    <n v="6"/>
    <n v="6"/>
    <n v="0.625"/>
    <n v="0"/>
    <n v="0.625"/>
    <m/>
    <m/>
    <s v=""/>
    <s v=""/>
    <s v=""/>
    <s v=""/>
    <s v=""/>
    <s v=""/>
    <s v=""/>
    <s v=""/>
    <s v=""/>
    <s v=""/>
    <x v="0"/>
    <m/>
    <m/>
    <s v="TC-1841Rodando"/>
  </r>
  <r>
    <x v="48"/>
    <x v="48"/>
    <x v="0"/>
    <x v="0"/>
    <m/>
    <s v="Michelin"/>
    <s v="295/80R22.5"/>
    <s v="XMULTI+Z"/>
    <s v="XMULTI+Z"/>
    <x v="0"/>
    <n v="16"/>
    <n v="100"/>
    <m/>
    <m/>
    <m/>
    <m/>
    <m/>
    <s v="2"/>
    <d v="2024-04-03T00:00:00"/>
    <m/>
    <m/>
    <n v="15"/>
    <n v="15"/>
    <n v="15"/>
    <n v="15"/>
    <s v="tm"/>
    <n v="1"/>
    <n v="6"/>
    <n v="6"/>
    <n v="0.625"/>
    <n v="6.25E-2"/>
    <n v="0.5625"/>
    <m/>
    <m/>
    <s v=""/>
    <s v=""/>
    <s v=""/>
    <s v=""/>
    <s v=""/>
    <s v=""/>
    <s v=""/>
    <s v=""/>
    <s v=""/>
    <s v=""/>
    <x v="0"/>
    <m/>
    <m/>
    <s v="TC-1842Rodando"/>
  </r>
  <r>
    <x v="48"/>
    <x v="48"/>
    <x v="0"/>
    <x v="1"/>
    <m/>
    <s v="Michelin"/>
    <s v="295/80R22.5"/>
    <s v="XMULTI2D"/>
    <s v="XMULTI2D"/>
    <x v="0"/>
    <n v="21.4"/>
    <n v="110"/>
    <m/>
    <m/>
    <m/>
    <m/>
    <m/>
    <s v="3"/>
    <d v="2024-04-03T00:00:00"/>
    <m/>
    <m/>
    <n v="12"/>
    <m/>
    <n v="13"/>
    <n v="12"/>
    <s v="st"/>
    <n v="9.3999999999999986"/>
    <n v="6"/>
    <n v="6"/>
    <n v="0.71962616822429903"/>
    <n v="0.43925233644859807"/>
    <n v="0.28037383177570097"/>
    <m/>
    <m/>
    <s v=""/>
    <s v=""/>
    <s v=""/>
    <s v=""/>
    <s v=""/>
    <s v=""/>
    <s v=""/>
    <s v=""/>
    <s v=""/>
    <s v=""/>
    <x v="0"/>
    <m/>
    <m/>
    <s v="TC-1843Rodando"/>
  </r>
  <r>
    <x v="48"/>
    <x v="48"/>
    <x v="0"/>
    <x v="1"/>
    <m/>
    <s v="Michelin"/>
    <s v="295/80R22.5"/>
    <s v="XMULTI2D"/>
    <s v="XMULTI2D"/>
    <x v="0"/>
    <n v="21.4"/>
    <n v="110"/>
    <m/>
    <m/>
    <m/>
    <m/>
    <m/>
    <s v="4"/>
    <d v="2024-04-03T00:00:00"/>
    <m/>
    <m/>
    <n v="13"/>
    <m/>
    <n v="12"/>
    <n v="12"/>
    <s v="st"/>
    <n v="9.3999999999999986"/>
    <n v="6"/>
    <n v="6"/>
    <n v="0.71962616822429903"/>
    <n v="0.43925233644859807"/>
    <n v="0.28037383177570097"/>
    <m/>
    <m/>
    <s v=""/>
    <s v=""/>
    <s v=""/>
    <s v=""/>
    <s v=""/>
    <s v=""/>
    <s v=""/>
    <s v=""/>
    <s v=""/>
    <s v=""/>
    <x v="0"/>
    <m/>
    <m/>
    <s v="TC-1844Rodando"/>
  </r>
  <r>
    <x v="48"/>
    <x v="48"/>
    <x v="0"/>
    <x v="1"/>
    <m/>
    <s v="Michelin"/>
    <s v="295/80R22.5"/>
    <s v="XMULTI2D"/>
    <s v="XMULTI2D"/>
    <x v="0"/>
    <n v="21.4"/>
    <n v="110"/>
    <m/>
    <m/>
    <m/>
    <m/>
    <m/>
    <s v="5"/>
    <d v="2024-04-03T00:00:00"/>
    <m/>
    <m/>
    <n v="13"/>
    <m/>
    <n v="12"/>
    <n v="12"/>
    <s v="st"/>
    <n v="9.3999999999999986"/>
    <n v="6"/>
    <n v="6"/>
    <n v="0.71962616822429903"/>
    <n v="0.43925233644859807"/>
    <n v="0.28037383177570097"/>
    <m/>
    <m/>
    <s v=""/>
    <s v=""/>
    <s v=""/>
    <s v=""/>
    <s v=""/>
    <s v=""/>
    <s v=""/>
    <s v=""/>
    <s v=""/>
    <s v=""/>
    <x v="0"/>
    <m/>
    <m/>
    <s v="TC-1845Rodando"/>
  </r>
  <r>
    <x v="48"/>
    <x v="48"/>
    <x v="0"/>
    <x v="1"/>
    <m/>
    <s v="Michelin"/>
    <s v="295/80R22.5"/>
    <s v="XMULTI2D"/>
    <s v="XMULTI2D"/>
    <x v="0"/>
    <n v="21.4"/>
    <n v="110"/>
    <m/>
    <m/>
    <m/>
    <m/>
    <m/>
    <s v="6"/>
    <d v="2024-04-03T00:00:00"/>
    <m/>
    <m/>
    <n v="12"/>
    <m/>
    <n v="13"/>
    <n v="12"/>
    <s v="st"/>
    <n v="9.3999999999999986"/>
    <n v="6"/>
    <n v="6"/>
    <n v="0.71962616822429903"/>
    <n v="0.43925233644859807"/>
    <n v="0.28037383177570097"/>
    <m/>
    <m/>
    <s v=""/>
    <s v=""/>
    <s v=""/>
    <s v=""/>
    <s v=""/>
    <s v=""/>
    <s v=""/>
    <s v=""/>
    <s v=""/>
    <s v=""/>
    <x v="0"/>
    <m/>
    <m/>
    <s v="TC-1846Rodando"/>
  </r>
  <r>
    <x v="48"/>
    <x v="48"/>
    <x v="0"/>
    <x v="1"/>
    <m/>
    <s v="Michelin"/>
    <s v="295/80R22.5"/>
    <s v="XMULTI2D"/>
    <s v="XMULTI2D"/>
    <x v="0"/>
    <n v="21.4"/>
    <n v="110"/>
    <m/>
    <m/>
    <m/>
    <m/>
    <m/>
    <s v="7"/>
    <d v="2024-04-03T00:00:00"/>
    <m/>
    <m/>
    <n v="10"/>
    <m/>
    <n v="11"/>
    <n v="10"/>
    <s v="st"/>
    <n v="11.399999999999999"/>
    <n v="6"/>
    <n v="6"/>
    <n v="0.71962616822429903"/>
    <n v="0.53271028037383172"/>
    <n v="0.18691588785046731"/>
    <m/>
    <m/>
    <s v=""/>
    <s v=""/>
    <s v=""/>
    <s v=""/>
    <s v=""/>
    <s v=""/>
    <s v=""/>
    <s v=""/>
    <s v=""/>
    <s v=""/>
    <x v="0"/>
    <m/>
    <m/>
    <s v="TC-1847Rodando"/>
  </r>
  <r>
    <x v="48"/>
    <x v="48"/>
    <x v="0"/>
    <x v="1"/>
    <m/>
    <s v="Michelin"/>
    <s v="295/80R22.5"/>
    <s v="XMULTI2D"/>
    <s v="XMULTI2D"/>
    <x v="0"/>
    <n v="21.4"/>
    <n v="110"/>
    <m/>
    <m/>
    <m/>
    <m/>
    <m/>
    <s v="8"/>
    <d v="2024-04-03T00:00:00"/>
    <m/>
    <m/>
    <n v="10"/>
    <m/>
    <n v="10"/>
    <n v="10"/>
    <s v="st"/>
    <n v="11.399999999999999"/>
    <n v="6"/>
    <n v="6"/>
    <n v="0.71962616822429903"/>
    <n v="0.53271028037383172"/>
    <n v="0.18691588785046731"/>
    <m/>
    <m/>
    <s v=""/>
    <s v=""/>
    <s v=""/>
    <s v=""/>
    <s v=""/>
    <s v=""/>
    <s v=""/>
    <s v=""/>
    <s v=""/>
    <s v=""/>
    <x v="0"/>
    <m/>
    <m/>
    <s v="TC-1848Rodando"/>
  </r>
  <r>
    <x v="48"/>
    <x v="48"/>
    <x v="0"/>
    <x v="1"/>
    <m/>
    <s v="Michelin"/>
    <s v="295/80R22.5"/>
    <s v="XMULTI2D"/>
    <s v="XMULTI2D"/>
    <x v="0"/>
    <n v="21.4"/>
    <n v="110"/>
    <m/>
    <m/>
    <m/>
    <m/>
    <m/>
    <s v="9"/>
    <d v="2024-04-03T00:00:00"/>
    <m/>
    <m/>
    <n v="10"/>
    <m/>
    <n v="11"/>
    <n v="10"/>
    <s v="st"/>
    <n v="11.399999999999999"/>
    <n v="6"/>
    <n v="6"/>
    <n v="0.71962616822429903"/>
    <n v="0.53271028037383172"/>
    <n v="0.18691588785046731"/>
    <m/>
    <m/>
    <s v=""/>
    <s v=""/>
    <s v=""/>
    <s v=""/>
    <s v=""/>
    <s v=""/>
    <s v=""/>
    <s v=""/>
    <s v=""/>
    <s v=""/>
    <x v="0"/>
    <m/>
    <m/>
    <s v="TC-1849Rodando"/>
  </r>
  <r>
    <x v="48"/>
    <x v="48"/>
    <x v="0"/>
    <x v="1"/>
    <m/>
    <s v="Michelin"/>
    <s v="295/80R22.5"/>
    <s v="XMULTI2D"/>
    <s v="XMULTI2D"/>
    <x v="0"/>
    <n v="21.4"/>
    <n v="110"/>
    <m/>
    <m/>
    <m/>
    <m/>
    <m/>
    <s v="10"/>
    <d v="2024-04-03T00:00:00"/>
    <m/>
    <m/>
    <n v="10"/>
    <m/>
    <n v="11"/>
    <n v="10"/>
    <s v="st"/>
    <n v="11.399999999999999"/>
    <n v="6"/>
    <n v="6"/>
    <n v="0.71962616822429903"/>
    <n v="0.53271028037383172"/>
    <n v="0.18691588785046731"/>
    <m/>
    <m/>
    <s v=""/>
    <s v=""/>
    <s v=""/>
    <s v=""/>
    <s v=""/>
    <s v=""/>
    <s v=""/>
    <s v=""/>
    <s v=""/>
    <s v=""/>
    <x v="0"/>
    <m/>
    <m/>
    <s v="TC-18410Rodando"/>
  </r>
  <r>
    <x v="49"/>
    <x v="49"/>
    <x v="1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841Rodando"/>
  </r>
  <r>
    <x v="49"/>
    <x v="49"/>
    <x v="1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842Rodando"/>
  </r>
  <r>
    <x v="49"/>
    <x v="49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1843Rodando"/>
  </r>
  <r>
    <x v="49"/>
    <x v="49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844Rodando"/>
  </r>
  <r>
    <x v="49"/>
    <x v="49"/>
    <x v="1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10"/>
    <n v="10"/>
    <n v="10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1845Rodando"/>
  </r>
  <r>
    <x v="49"/>
    <x v="49"/>
    <x v="1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10"/>
    <n v="10"/>
    <n v="10"/>
    <n v="10"/>
    <s v="tm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1846Rodando"/>
  </r>
  <r>
    <x v="49"/>
    <x v="49"/>
    <x v="1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5"/>
    <n v="4"/>
    <n v="5"/>
    <n v="4"/>
    <s v="st"/>
    <n v="12.5"/>
    <n v="6"/>
    <n v="4"/>
    <n v="0.63636363636363635"/>
    <n v="0.75757575757575757"/>
    <n v="-0.12121212121212122"/>
    <m/>
    <m/>
    <s v=""/>
    <s v=""/>
    <s v=""/>
    <s v=""/>
    <s v=""/>
    <s v=""/>
    <s v=""/>
    <s v=""/>
    <s v=""/>
    <s v=""/>
    <x v="0"/>
    <m/>
    <m/>
    <s v="SR-184RERodando"/>
  </r>
  <r>
    <x v="49"/>
    <x v="49"/>
    <x v="1"/>
    <x v="4"/>
    <m/>
    <s v="Goodyear"/>
    <s v="295/80R22.5"/>
    <s v="KMAX S"/>
    <s v="KMAX S"/>
    <x v="0"/>
    <n v="15.8"/>
    <n v="100"/>
    <m/>
    <m/>
    <m/>
    <m/>
    <m/>
    <s v="RT"/>
    <d v="2024-04-03T00:00:00"/>
    <m/>
    <m/>
    <n v="7"/>
    <n v="9"/>
    <n v="8"/>
    <n v="7"/>
    <s v="st"/>
    <n v="8.8000000000000007"/>
    <n v="6"/>
    <n v="6"/>
    <n v="0.620253164556962"/>
    <n v="0.55696202531645578"/>
    <n v="6.3291139240506222E-2"/>
    <m/>
    <m/>
    <s v=""/>
    <s v=""/>
    <s v=""/>
    <s v=""/>
    <s v=""/>
    <s v=""/>
    <s v=""/>
    <s v=""/>
    <s v=""/>
    <s v=""/>
    <x v="0"/>
    <m/>
    <s v="Alineamiento"/>
    <s v="SR-184RTRodando"/>
  </r>
  <r>
    <x v="50"/>
    <x v="50"/>
    <x v="0"/>
    <x v="0"/>
    <s v="1901"/>
    <s v="Goodyear"/>
    <s v="295/80R22.5"/>
    <s v="KMAX S"/>
    <s v="KMAX S"/>
    <x v="0"/>
    <n v="15.8"/>
    <n v="100"/>
    <m/>
    <m/>
    <m/>
    <m/>
    <m/>
    <s v="1"/>
    <d v="2024-04-03T00:00:00"/>
    <m/>
    <m/>
    <n v="9"/>
    <n v="12"/>
    <n v="11"/>
    <n v="9"/>
    <s v="st"/>
    <n v="6.8000000000000007"/>
    <n v="6"/>
    <n v="6"/>
    <n v="0.620253164556962"/>
    <n v="0.43037974683544311"/>
    <n v="0.18987341772151889"/>
    <m/>
    <m/>
    <s v=""/>
    <s v=""/>
    <s v=""/>
    <s v=""/>
    <s v=""/>
    <s v=""/>
    <s v=""/>
    <s v=""/>
    <s v=""/>
    <s v=""/>
    <x v="0"/>
    <m/>
    <s v="Alineamiento"/>
    <s v="TC-1901Rodando"/>
  </r>
  <r>
    <x v="50"/>
    <x v="50"/>
    <x v="0"/>
    <x v="0"/>
    <s v="1902"/>
    <s v="Goodyear"/>
    <s v="295/80R22.5"/>
    <s v="KMAX S"/>
    <s v="KMAX S"/>
    <x v="0"/>
    <n v="15.8"/>
    <n v="100"/>
    <m/>
    <m/>
    <m/>
    <m/>
    <m/>
    <s v="2"/>
    <d v="2024-04-03T00:00:00"/>
    <m/>
    <m/>
    <n v="11"/>
    <n v="13"/>
    <n v="12"/>
    <n v="11"/>
    <s v="st"/>
    <n v="4.8000000000000007"/>
    <n v="6"/>
    <n v="6"/>
    <n v="0.620253164556962"/>
    <n v="0.30379746835443044"/>
    <n v="0.31645569620253156"/>
    <m/>
    <m/>
    <s v=""/>
    <s v=""/>
    <s v=""/>
    <s v=""/>
    <s v=""/>
    <s v=""/>
    <s v=""/>
    <s v=""/>
    <s v=""/>
    <s v=""/>
    <x v="0"/>
    <m/>
    <s v="Alineamiento"/>
    <s v="TC-1902Rodando"/>
  </r>
  <r>
    <x v="50"/>
    <x v="50"/>
    <x v="0"/>
    <x v="1"/>
    <s v="23040023"/>
    <s v="Goodyear"/>
    <s v="295/80R22.5"/>
    <s v="KMAXD"/>
    <s v="KMAXD"/>
    <x v="0"/>
    <n v="22.2"/>
    <n v="110"/>
    <m/>
    <m/>
    <m/>
    <m/>
    <m/>
    <s v="3"/>
    <d v="2024-04-03T00:00:00"/>
    <m/>
    <m/>
    <n v="19"/>
    <m/>
    <n v="19"/>
    <n v="19"/>
    <s v="st"/>
    <n v="3.1999999999999993"/>
    <n v="6"/>
    <n v="6"/>
    <n v="0.72972972972972971"/>
    <n v="0.14414414414414412"/>
    <n v="0.5855855855855856"/>
    <m/>
    <m/>
    <s v=""/>
    <s v=""/>
    <s v=""/>
    <s v=""/>
    <s v=""/>
    <s v=""/>
    <s v=""/>
    <s v=""/>
    <s v=""/>
    <s v=""/>
    <x v="0"/>
    <m/>
    <m/>
    <s v="TC-1903Rodando"/>
  </r>
  <r>
    <x v="50"/>
    <x v="50"/>
    <x v="0"/>
    <x v="1"/>
    <m/>
    <s v="Goodyear"/>
    <s v="295/80R22.5"/>
    <s v="KMAXD"/>
    <s v="KMAXD"/>
    <x v="0"/>
    <n v="22.2"/>
    <n v="110"/>
    <m/>
    <m/>
    <m/>
    <m/>
    <m/>
    <s v="4"/>
    <d v="2024-04-03T00:00:00"/>
    <m/>
    <m/>
    <n v="19"/>
    <m/>
    <n v="19"/>
    <n v="19"/>
    <s v="st"/>
    <n v="3.1999999999999993"/>
    <n v="6"/>
    <n v="6"/>
    <n v="0.72972972972972971"/>
    <n v="0.14414414414414412"/>
    <n v="0.5855855855855856"/>
    <m/>
    <m/>
    <s v=""/>
    <s v=""/>
    <s v=""/>
    <s v=""/>
    <s v=""/>
    <s v=""/>
    <s v=""/>
    <s v=""/>
    <s v=""/>
    <s v=""/>
    <x v="0"/>
    <m/>
    <m/>
    <s v="TC-1904Rodando"/>
  </r>
  <r>
    <x v="50"/>
    <x v="50"/>
    <x v="0"/>
    <x v="1"/>
    <m/>
    <s v="Goodyear"/>
    <s v="295/80R22.5"/>
    <s v="KMAXD"/>
    <s v="KMAXD"/>
    <x v="0"/>
    <n v="22.2"/>
    <n v="110"/>
    <m/>
    <m/>
    <m/>
    <m/>
    <m/>
    <s v="5"/>
    <d v="2024-04-03T00:00:00"/>
    <m/>
    <m/>
    <n v="19"/>
    <m/>
    <n v="19"/>
    <n v="19"/>
    <s v="st"/>
    <n v="3.1999999999999993"/>
    <n v="6"/>
    <n v="6"/>
    <n v="0.72972972972972971"/>
    <n v="0.14414414414414412"/>
    <n v="0.5855855855855856"/>
    <m/>
    <m/>
    <s v=""/>
    <s v=""/>
    <s v=""/>
    <s v=""/>
    <s v=""/>
    <s v=""/>
    <s v=""/>
    <s v=""/>
    <s v=""/>
    <s v=""/>
    <x v="0"/>
    <m/>
    <m/>
    <s v="TC-1905Rodando"/>
  </r>
  <r>
    <x v="50"/>
    <x v="50"/>
    <x v="0"/>
    <x v="1"/>
    <s v="23040014"/>
    <s v="Goodyear"/>
    <s v="295/80R22.5"/>
    <s v="KMAXD"/>
    <s v="KMAXD"/>
    <x v="0"/>
    <n v="22.2"/>
    <n v="110"/>
    <m/>
    <m/>
    <m/>
    <m/>
    <m/>
    <s v="6"/>
    <d v="2024-04-03T00:00:00"/>
    <m/>
    <m/>
    <n v="19"/>
    <m/>
    <n v="19"/>
    <n v="19"/>
    <s v="st"/>
    <n v="3.1999999999999993"/>
    <n v="6"/>
    <n v="6"/>
    <n v="0.72972972972972971"/>
    <n v="0.14414414414414412"/>
    <n v="0.5855855855855856"/>
    <m/>
    <m/>
    <s v=""/>
    <s v=""/>
    <s v=""/>
    <s v=""/>
    <s v=""/>
    <s v=""/>
    <s v=""/>
    <s v=""/>
    <s v=""/>
    <s v=""/>
    <x v="0"/>
    <m/>
    <m/>
    <s v="TC-1906Rodando"/>
  </r>
  <r>
    <x v="50"/>
    <x v="50"/>
    <x v="0"/>
    <x v="1"/>
    <s v="23040013"/>
    <s v="Goodyear"/>
    <s v="295/80R22.5"/>
    <s v="KMAXD"/>
    <s v="KMAXD"/>
    <x v="0"/>
    <n v="22.2"/>
    <n v="110"/>
    <m/>
    <m/>
    <m/>
    <m/>
    <m/>
    <s v="7"/>
    <d v="2024-04-03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1907Rodando"/>
  </r>
  <r>
    <x v="50"/>
    <x v="50"/>
    <x v="0"/>
    <x v="1"/>
    <m/>
    <s v="Goodyear"/>
    <s v="295/80R22.5"/>
    <s v="KMAXD"/>
    <s v="KMAXD"/>
    <x v="0"/>
    <n v="22.2"/>
    <n v="110"/>
    <m/>
    <m/>
    <m/>
    <m/>
    <m/>
    <s v="8"/>
    <d v="2024-04-03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1908Rodando"/>
  </r>
  <r>
    <x v="50"/>
    <x v="50"/>
    <x v="0"/>
    <x v="1"/>
    <m/>
    <s v="Goodyear"/>
    <s v="295/80R22.5"/>
    <s v="KMAXD"/>
    <s v="KMAXD"/>
    <x v="0"/>
    <n v="22.2"/>
    <n v="110"/>
    <m/>
    <m/>
    <m/>
    <m/>
    <m/>
    <s v="9"/>
    <d v="2024-04-03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1909Rodando"/>
  </r>
  <r>
    <x v="50"/>
    <x v="50"/>
    <x v="0"/>
    <x v="1"/>
    <s v="23040012"/>
    <s v="Goodyear"/>
    <s v="295/80R22.5"/>
    <s v="KMAXD"/>
    <s v="KMAXD"/>
    <x v="0"/>
    <n v="22.2"/>
    <n v="110"/>
    <m/>
    <m/>
    <m/>
    <m/>
    <m/>
    <s v="10"/>
    <d v="2024-04-03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19010Rodando"/>
  </r>
  <r>
    <x v="51"/>
    <x v="51"/>
    <x v="1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8"/>
    <n v="9"/>
    <n v="9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1901Rodando"/>
  </r>
  <r>
    <x v="51"/>
    <x v="51"/>
    <x v="1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9"/>
    <n v="8"/>
    <n v="8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1902Rodando"/>
  </r>
  <r>
    <x v="51"/>
    <x v="51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7"/>
    <n v="7"/>
    <n v="7"/>
    <n v="7"/>
    <s v="st"/>
    <n v="9.5"/>
    <n v="6"/>
    <n v="6"/>
    <n v="0.63636363636363635"/>
    <n v="0.57575757575757569"/>
    <n v="6.0606060606060663E-2"/>
    <m/>
    <m/>
    <s v=""/>
    <s v=""/>
    <s v=""/>
    <s v=""/>
    <s v=""/>
    <s v=""/>
    <s v=""/>
    <s v=""/>
    <s v=""/>
    <s v=""/>
    <x v="0"/>
    <m/>
    <m/>
    <s v="SR-1903Rodando"/>
  </r>
  <r>
    <x v="51"/>
    <x v="51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7"/>
    <n v="6"/>
    <n v="7"/>
    <n v="6"/>
    <s v="st"/>
    <n v="10.5"/>
    <n v="6"/>
    <n v="6"/>
    <n v="0.63636363636363635"/>
    <n v="0.63636363636363635"/>
    <n v="0"/>
    <m/>
    <m/>
    <s v=""/>
    <s v=""/>
    <s v=""/>
    <s v=""/>
    <s v=""/>
    <s v=""/>
    <s v=""/>
    <s v=""/>
    <s v=""/>
    <s v=""/>
    <x v="0"/>
    <m/>
    <m/>
    <s v="SR-1904Rodando"/>
  </r>
  <r>
    <x v="51"/>
    <x v="51"/>
    <x v="1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7"/>
    <n v="7"/>
    <n v="7"/>
    <n v="7"/>
    <s v="st"/>
    <n v="9.5"/>
    <n v="6"/>
    <n v="6"/>
    <n v="0.63636363636363635"/>
    <n v="0.57575757575757569"/>
    <n v="6.0606060606060663E-2"/>
    <m/>
    <m/>
    <s v=""/>
    <s v=""/>
    <s v=""/>
    <s v=""/>
    <s v=""/>
    <s v=""/>
    <s v=""/>
    <s v=""/>
    <s v=""/>
    <s v=""/>
    <x v="0"/>
    <m/>
    <m/>
    <s v="SR-1905Rodando"/>
  </r>
  <r>
    <x v="51"/>
    <x v="51"/>
    <x v="1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8"/>
    <n v="8"/>
    <n v="8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1906Rodando"/>
  </r>
  <r>
    <x v="51"/>
    <x v="51"/>
    <x v="1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9"/>
    <n v="8"/>
    <n v="8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190RERodando"/>
  </r>
  <r>
    <x v="52"/>
    <x v="52"/>
    <x v="0"/>
    <x v="0"/>
    <m/>
    <s v="Goodyear"/>
    <s v="295/80R22.5"/>
    <s v="KMAX S"/>
    <s v="KMAX S"/>
    <x v="0"/>
    <n v="15.8"/>
    <n v="100"/>
    <m/>
    <m/>
    <m/>
    <m/>
    <m/>
    <s v="1"/>
    <d v="2024-04-03T00:00:00"/>
    <m/>
    <m/>
    <n v="14"/>
    <n v="14"/>
    <n v="14"/>
    <n v="14"/>
    <s v="tm"/>
    <n v="1.8000000000000007"/>
    <n v="6"/>
    <n v="6"/>
    <n v="0.620253164556962"/>
    <n v="0.11392405063291144"/>
    <n v="0.50632911392405056"/>
    <m/>
    <m/>
    <s v=""/>
    <s v=""/>
    <s v=""/>
    <s v=""/>
    <s v=""/>
    <s v=""/>
    <s v=""/>
    <s v=""/>
    <s v=""/>
    <s v=""/>
    <x v="0"/>
    <m/>
    <m/>
    <s v="TC-1941Rodando"/>
  </r>
  <r>
    <x v="52"/>
    <x v="52"/>
    <x v="0"/>
    <x v="0"/>
    <m/>
    <s v="Goodyear"/>
    <s v="295/80R22.5"/>
    <s v="KMAX S"/>
    <s v="KMAX S"/>
    <x v="0"/>
    <n v="15.8"/>
    <n v="100"/>
    <m/>
    <m/>
    <m/>
    <m/>
    <m/>
    <s v="2"/>
    <d v="2024-04-03T00:00:00"/>
    <m/>
    <m/>
    <n v="15"/>
    <n v="15"/>
    <n v="15"/>
    <n v="15"/>
    <s v="tm"/>
    <n v="0.80000000000000071"/>
    <n v="6"/>
    <n v="6"/>
    <n v="0.620253164556962"/>
    <n v="5.0632911392405111E-2"/>
    <n v="0.56962025316455689"/>
    <m/>
    <m/>
    <s v=""/>
    <s v=""/>
    <s v=""/>
    <s v=""/>
    <s v=""/>
    <s v=""/>
    <s v=""/>
    <s v=""/>
    <s v=""/>
    <s v=""/>
    <x v="0"/>
    <m/>
    <m/>
    <s v="TC-1942Rodando"/>
  </r>
  <r>
    <x v="52"/>
    <x v="52"/>
    <x v="0"/>
    <x v="1"/>
    <m/>
    <s v="Goodyear"/>
    <s v="295/80R22.5"/>
    <s v="KMAXD"/>
    <s v="KMAXD"/>
    <x v="0"/>
    <n v="22.2"/>
    <n v="110"/>
    <m/>
    <m/>
    <m/>
    <m/>
    <m/>
    <s v="3"/>
    <d v="2024-04-03T00:00:00"/>
    <m/>
    <m/>
    <n v="20"/>
    <m/>
    <n v="20"/>
    <n v="20"/>
    <s v="st"/>
    <n v="2.1999999999999993"/>
    <n v="6"/>
    <n v="6"/>
    <n v="0.72972972972972971"/>
    <n v="9.9099099099099086E-2"/>
    <n v="0.63063063063063063"/>
    <m/>
    <m/>
    <s v=""/>
    <s v=""/>
    <s v=""/>
    <s v=""/>
    <s v=""/>
    <s v=""/>
    <s v=""/>
    <s v=""/>
    <s v=""/>
    <s v=""/>
    <x v="0"/>
    <m/>
    <m/>
    <s v="TC-1943Rodando"/>
  </r>
  <r>
    <x v="52"/>
    <x v="52"/>
    <x v="0"/>
    <x v="1"/>
    <m/>
    <s v="Goodyear"/>
    <s v="295/80R22.5"/>
    <s v="KMAXD"/>
    <s v="KMAXD"/>
    <x v="0"/>
    <n v="22.2"/>
    <n v="110"/>
    <m/>
    <m/>
    <m/>
    <m/>
    <m/>
    <s v="4"/>
    <d v="2024-04-03T00:00:00"/>
    <m/>
    <m/>
    <n v="20"/>
    <m/>
    <n v="20"/>
    <n v="20"/>
    <s v="st"/>
    <n v="2.1999999999999993"/>
    <n v="6"/>
    <n v="6"/>
    <n v="0.72972972972972971"/>
    <n v="9.9099099099099086E-2"/>
    <n v="0.63063063063063063"/>
    <m/>
    <m/>
    <s v=""/>
    <s v=""/>
    <s v=""/>
    <s v=""/>
    <s v=""/>
    <s v=""/>
    <s v=""/>
    <s v=""/>
    <s v=""/>
    <s v=""/>
    <x v="0"/>
    <m/>
    <m/>
    <s v="TC-1944Rodando"/>
  </r>
  <r>
    <x v="52"/>
    <x v="52"/>
    <x v="0"/>
    <x v="1"/>
    <m/>
    <s v="Goodyear"/>
    <s v="295/80R22.5"/>
    <s v="KMAXD"/>
    <s v="KMAXD"/>
    <x v="0"/>
    <n v="22.2"/>
    <n v="110"/>
    <m/>
    <m/>
    <m/>
    <m/>
    <m/>
    <s v="5"/>
    <d v="2024-04-03T00:00:00"/>
    <m/>
    <m/>
    <n v="20"/>
    <m/>
    <n v="20"/>
    <n v="20"/>
    <s v="st"/>
    <n v="2.1999999999999993"/>
    <n v="6"/>
    <n v="6"/>
    <n v="0.72972972972972971"/>
    <n v="9.9099099099099086E-2"/>
    <n v="0.63063063063063063"/>
    <m/>
    <m/>
    <s v=""/>
    <s v=""/>
    <s v=""/>
    <s v=""/>
    <s v=""/>
    <s v=""/>
    <s v=""/>
    <s v=""/>
    <s v=""/>
    <s v=""/>
    <x v="0"/>
    <m/>
    <m/>
    <s v="TC-1945Rodando"/>
  </r>
  <r>
    <x v="52"/>
    <x v="52"/>
    <x v="0"/>
    <x v="1"/>
    <m/>
    <s v="Goodyear"/>
    <s v="295/80R22.5"/>
    <s v="KMAXD"/>
    <s v="KMAXD"/>
    <x v="0"/>
    <n v="22.2"/>
    <n v="110"/>
    <m/>
    <m/>
    <m/>
    <m/>
    <m/>
    <s v="6"/>
    <d v="2024-04-03T00:00:00"/>
    <m/>
    <m/>
    <n v="20"/>
    <m/>
    <n v="20"/>
    <n v="20"/>
    <s v="tm"/>
    <n v="2.1999999999999993"/>
    <n v="6"/>
    <n v="6"/>
    <n v="0.72972972972972971"/>
    <n v="9.9099099099099086E-2"/>
    <n v="0.63063063063063063"/>
    <m/>
    <m/>
    <s v=""/>
    <s v=""/>
    <s v=""/>
    <s v=""/>
    <s v=""/>
    <s v=""/>
    <s v=""/>
    <s v=""/>
    <s v=""/>
    <s v=""/>
    <x v="0"/>
    <m/>
    <m/>
    <s v="TC-1946Rodando"/>
  </r>
  <r>
    <x v="52"/>
    <x v="52"/>
    <x v="0"/>
    <x v="1"/>
    <m/>
    <s v="Goodyear"/>
    <s v="295/80R22.5"/>
    <s v="KMAXD"/>
    <s v="KMAXD"/>
    <x v="0"/>
    <n v="22.2"/>
    <n v="110"/>
    <m/>
    <m/>
    <m/>
    <m/>
    <m/>
    <s v="7"/>
    <d v="2024-04-03T00:00:00"/>
    <m/>
    <m/>
    <n v="19"/>
    <m/>
    <n v="19"/>
    <n v="19"/>
    <s v="tm"/>
    <n v="3.1999999999999993"/>
    <n v="6"/>
    <n v="6"/>
    <n v="0.72972972972972971"/>
    <n v="0.14414414414414412"/>
    <n v="0.5855855855855856"/>
    <m/>
    <m/>
    <s v=""/>
    <s v=""/>
    <s v=""/>
    <s v=""/>
    <s v=""/>
    <s v=""/>
    <s v=""/>
    <s v=""/>
    <s v=""/>
    <s v=""/>
    <x v="0"/>
    <m/>
    <m/>
    <s v="TC-1947Rodando"/>
  </r>
  <r>
    <x v="52"/>
    <x v="52"/>
    <x v="0"/>
    <x v="1"/>
    <m/>
    <s v="Goodyear"/>
    <s v="295/80R22.5"/>
    <s v="KMAXD"/>
    <s v="KMAXD"/>
    <x v="0"/>
    <n v="22.2"/>
    <n v="110"/>
    <m/>
    <m/>
    <m/>
    <m/>
    <m/>
    <s v="8"/>
    <d v="2024-04-03T00:00:00"/>
    <m/>
    <m/>
    <n v="19"/>
    <m/>
    <n v="19"/>
    <n v="19"/>
    <s v="tm"/>
    <n v="3.1999999999999993"/>
    <n v="6"/>
    <n v="6"/>
    <n v="0.72972972972972971"/>
    <n v="0.14414414414414412"/>
    <n v="0.5855855855855856"/>
    <m/>
    <m/>
    <s v=""/>
    <s v=""/>
    <s v=""/>
    <s v=""/>
    <s v=""/>
    <s v=""/>
    <s v=""/>
    <s v=""/>
    <s v=""/>
    <s v=""/>
    <x v="0"/>
    <m/>
    <m/>
    <s v="TC-1948Rodando"/>
  </r>
  <r>
    <x v="52"/>
    <x v="52"/>
    <x v="0"/>
    <x v="1"/>
    <m/>
    <s v="Goodyear"/>
    <s v="295/80R22.5"/>
    <s v="KMAXD"/>
    <s v="KMAXD"/>
    <x v="0"/>
    <n v="22.2"/>
    <n v="110"/>
    <m/>
    <m/>
    <m/>
    <m/>
    <m/>
    <s v="9"/>
    <d v="2024-04-03T00:00:00"/>
    <m/>
    <m/>
    <n v="19"/>
    <m/>
    <n v="19"/>
    <n v="19"/>
    <s v="tm"/>
    <n v="3.1999999999999993"/>
    <n v="6"/>
    <n v="6"/>
    <n v="0.72972972972972971"/>
    <n v="0.14414414414414412"/>
    <n v="0.5855855855855856"/>
    <m/>
    <m/>
    <s v=""/>
    <s v=""/>
    <s v=""/>
    <s v=""/>
    <s v=""/>
    <s v=""/>
    <s v=""/>
    <s v=""/>
    <s v=""/>
    <s v=""/>
    <x v="0"/>
    <m/>
    <m/>
    <s v="TC-1949Rodando"/>
  </r>
  <r>
    <x v="52"/>
    <x v="52"/>
    <x v="0"/>
    <x v="1"/>
    <m/>
    <s v="Goodyear"/>
    <s v="295/80R22.5"/>
    <s v="KMAXD"/>
    <s v="KMAXD"/>
    <x v="0"/>
    <n v="22.2"/>
    <n v="110"/>
    <m/>
    <m/>
    <m/>
    <m/>
    <m/>
    <s v="10"/>
    <d v="2024-04-03T00:00:00"/>
    <m/>
    <m/>
    <n v="19"/>
    <m/>
    <n v="19"/>
    <n v="19"/>
    <s v="tm"/>
    <n v="3.1999999999999993"/>
    <n v="6"/>
    <n v="6"/>
    <n v="0.72972972972972971"/>
    <n v="0.14414414414414412"/>
    <n v="0.5855855855855856"/>
    <m/>
    <m/>
    <s v=""/>
    <s v=""/>
    <s v=""/>
    <s v=""/>
    <s v=""/>
    <s v=""/>
    <s v=""/>
    <s v=""/>
    <s v=""/>
    <s v=""/>
    <x v="0"/>
    <m/>
    <m/>
    <s v="TC-19410Rodando"/>
  </r>
  <r>
    <x v="53"/>
    <x v="53"/>
    <x v="1"/>
    <x v="2"/>
    <s v="194 5"/>
    <s v="Aeolus"/>
    <s v="445/65R22.5"/>
    <s v="AGC28"/>
    <s v="AGC28"/>
    <x v="0"/>
    <n v="16.5"/>
    <n v="110"/>
    <m/>
    <m/>
    <m/>
    <m/>
    <m/>
    <s v="1"/>
    <d v="2024-04-03T00:00:00"/>
    <m/>
    <m/>
    <n v="11"/>
    <n v="10"/>
    <n v="10"/>
    <n v="10"/>
    <s v="tm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1941Rodando"/>
  </r>
  <r>
    <x v="53"/>
    <x v="53"/>
    <x v="1"/>
    <x v="2"/>
    <s v="194 6"/>
    <s v="Aeolus"/>
    <s v="445/65R22.5"/>
    <s v="AGC28"/>
    <s v="AGC28"/>
    <x v="0"/>
    <n v="16.5"/>
    <n v="110"/>
    <m/>
    <m/>
    <m/>
    <m/>
    <m/>
    <s v="2"/>
    <d v="2024-04-03T00:00:00"/>
    <m/>
    <m/>
    <n v="11"/>
    <n v="11"/>
    <n v="11"/>
    <n v="11"/>
    <s v="tm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1942Rodando"/>
  </r>
  <r>
    <x v="53"/>
    <x v="53"/>
    <x v="1"/>
    <x v="2"/>
    <m/>
    <s v="Aeolus"/>
    <s v="445/65R22.5"/>
    <s v="Reencauche"/>
    <s v="LZY3"/>
    <x v="1"/>
    <n v="21"/>
    <n v="110"/>
    <m/>
    <m/>
    <m/>
    <m/>
    <m/>
    <s v="3"/>
    <d v="2024-04-03T00:00:00"/>
    <m/>
    <m/>
    <n v="19"/>
    <n v="19"/>
    <n v="19"/>
    <n v="19"/>
    <s v="tm"/>
    <n v="2"/>
    <n v="6"/>
    <n v="6"/>
    <n v="0.7142857142857143"/>
    <n v="9.5238095238095233E-2"/>
    <n v="0.61904761904761907"/>
    <m/>
    <m/>
    <s v=""/>
    <s v=""/>
    <s v=""/>
    <s v=""/>
    <s v=""/>
    <s v=""/>
    <s v=""/>
    <s v=""/>
    <s v=""/>
    <s v=""/>
    <x v="0"/>
    <m/>
    <m/>
    <s v="SR-1943Rodando"/>
  </r>
  <r>
    <x v="53"/>
    <x v="53"/>
    <x v="1"/>
    <x v="2"/>
    <m/>
    <s v="Aeolus"/>
    <s v="445/65R22.5"/>
    <s v="Reencauche"/>
    <s v="LZY3"/>
    <x v="1"/>
    <n v="21"/>
    <n v="110"/>
    <m/>
    <m/>
    <m/>
    <m/>
    <m/>
    <s v="4"/>
    <d v="2024-04-03T00:00:00"/>
    <m/>
    <m/>
    <n v="19"/>
    <n v="19"/>
    <n v="19"/>
    <n v="19"/>
    <s v="tm"/>
    <n v="2"/>
    <n v="6"/>
    <n v="6"/>
    <n v="0.7142857142857143"/>
    <n v="9.5238095238095233E-2"/>
    <n v="0.61904761904761907"/>
    <m/>
    <m/>
    <s v=""/>
    <s v=""/>
    <s v=""/>
    <s v=""/>
    <s v=""/>
    <s v=""/>
    <s v=""/>
    <s v=""/>
    <s v=""/>
    <s v=""/>
    <x v="0"/>
    <m/>
    <m/>
    <s v="SR-1944Rodando"/>
  </r>
  <r>
    <x v="53"/>
    <x v="53"/>
    <x v="1"/>
    <x v="2"/>
    <s v="194 3"/>
    <s v="Aeolus"/>
    <s v="445/65R22.5"/>
    <s v="AGC28"/>
    <s v="AGC28"/>
    <x v="0"/>
    <n v="16.5"/>
    <n v="110"/>
    <m/>
    <m/>
    <m/>
    <m/>
    <m/>
    <s v="5"/>
    <d v="2024-04-03T00:00:00"/>
    <m/>
    <m/>
    <n v="14"/>
    <n v="14"/>
    <n v="14"/>
    <n v="14"/>
    <s v="tm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945Rodando"/>
  </r>
  <r>
    <x v="53"/>
    <x v="53"/>
    <x v="1"/>
    <x v="2"/>
    <s v="194 3"/>
    <s v="Aeolus"/>
    <s v="445/65R22.5"/>
    <s v="AGC28"/>
    <s v="AGC28"/>
    <x v="0"/>
    <n v="16.5"/>
    <n v="110"/>
    <m/>
    <m/>
    <m/>
    <m/>
    <m/>
    <s v="6"/>
    <d v="2024-04-03T00:00:00"/>
    <m/>
    <m/>
    <n v="14"/>
    <n v="14"/>
    <n v="14"/>
    <n v="14"/>
    <s v="tm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946Rodando"/>
  </r>
  <r>
    <x v="53"/>
    <x v="53"/>
    <x v="1"/>
    <x v="3"/>
    <m/>
    <s v="Michelin"/>
    <s v="425/65R22.5"/>
    <s v="XZY3"/>
    <s v="XZY3"/>
    <x v="0"/>
    <n v="0"/>
    <n v="110"/>
    <m/>
    <m/>
    <m/>
    <m/>
    <m/>
    <s v="RE"/>
    <d v="2024-04-03T00:00:00"/>
    <m/>
    <m/>
    <n v="10"/>
    <n v="8"/>
    <n v="9"/>
    <n v="8"/>
    <s v="st"/>
    <n v="-8"/>
    <n v="6"/>
    <n v="6"/>
    <s v=""/>
    <s v=""/>
    <s v=""/>
    <m/>
    <m/>
    <s v=""/>
    <s v=""/>
    <s v=""/>
    <s v=""/>
    <s v=""/>
    <s v=""/>
    <s v=""/>
    <s v=""/>
    <s v=""/>
    <s v=""/>
    <x v="0"/>
    <m/>
    <s v="Alineamiento"/>
    <s v="SR-194RERodando"/>
  </r>
  <r>
    <x v="53"/>
    <x v="53"/>
    <x v="1"/>
    <x v="4"/>
    <m/>
    <s v="Michelin"/>
    <s v="295/80R22.5"/>
    <s v="Reencauche"/>
    <s v="MDE"/>
    <x v="1"/>
    <n v="22"/>
    <n v="110"/>
    <m/>
    <m/>
    <m/>
    <m/>
    <m/>
    <s v="RT"/>
    <d v="2024-04-03T00:00:00"/>
    <m/>
    <m/>
    <n v="8"/>
    <m/>
    <n v="10"/>
    <n v="8"/>
    <s v="st"/>
    <n v="14"/>
    <n v="6"/>
    <n v="6"/>
    <n v="0.72727272727272729"/>
    <n v="0.63636363636363635"/>
    <n v="9.0909090909090939E-2"/>
    <m/>
    <m/>
    <s v=""/>
    <s v=""/>
    <s v=""/>
    <s v=""/>
    <s v=""/>
    <s v=""/>
    <s v=""/>
    <s v=""/>
    <s v=""/>
    <s v=""/>
    <x v="0"/>
    <m/>
    <s v="Alineamiento"/>
    <s v="SR-194RTRodando"/>
  </r>
  <r>
    <x v="54"/>
    <x v="54"/>
    <x v="0"/>
    <x v="0"/>
    <m/>
    <s v="Continental"/>
    <s v="295/80R22.5"/>
    <s v="HS3+"/>
    <s v="HS3+"/>
    <x v="0"/>
    <n v="16"/>
    <n v="100"/>
    <m/>
    <m/>
    <m/>
    <m/>
    <m/>
    <s v="1"/>
    <d v="2024-04-03T00:00:00"/>
    <m/>
    <m/>
    <n v="5"/>
    <n v="7"/>
    <n v="7"/>
    <n v="5"/>
    <s v="st"/>
    <n v="11"/>
    <n v="6"/>
    <n v="5"/>
    <n v="0.625"/>
    <n v="0.6875"/>
    <n v="-6.25E-2"/>
    <m/>
    <m/>
    <s v=""/>
    <s v=""/>
    <s v=""/>
    <s v=""/>
    <s v=""/>
    <s v=""/>
    <s v=""/>
    <s v=""/>
    <s v=""/>
    <s v=""/>
    <x v="0"/>
    <m/>
    <m/>
    <s v="TC-1961Rodando"/>
  </r>
  <r>
    <x v="54"/>
    <x v="54"/>
    <x v="0"/>
    <x v="0"/>
    <m/>
    <s v="Continental"/>
    <s v="295/80R22.5"/>
    <s v="HS3+"/>
    <s v="HS3+"/>
    <x v="0"/>
    <n v="16"/>
    <n v="100"/>
    <m/>
    <m/>
    <m/>
    <m/>
    <m/>
    <s v="2"/>
    <d v="2024-04-03T00:00:00"/>
    <m/>
    <m/>
    <n v="9"/>
    <n v="9"/>
    <n v="9"/>
    <n v="9"/>
    <s v="st"/>
    <n v="7"/>
    <n v="6"/>
    <n v="6"/>
    <n v="0.625"/>
    <n v="0.4375"/>
    <n v="0.1875"/>
    <m/>
    <m/>
    <s v=""/>
    <s v=""/>
    <s v=""/>
    <s v=""/>
    <s v=""/>
    <s v=""/>
    <s v=""/>
    <s v=""/>
    <s v=""/>
    <s v=""/>
    <x v="0"/>
    <m/>
    <m/>
    <s v="TC-1962Rodando"/>
  </r>
  <r>
    <x v="54"/>
    <x v="54"/>
    <x v="0"/>
    <x v="1"/>
    <m/>
    <s v="Goodyear"/>
    <s v="295/80R22.5"/>
    <s v="KMAXD"/>
    <s v="KMAXD"/>
    <x v="0"/>
    <n v="22.2"/>
    <n v="110"/>
    <m/>
    <m/>
    <m/>
    <m/>
    <m/>
    <s v="3"/>
    <d v="2024-04-03T00:00:00"/>
    <m/>
    <m/>
    <n v="19"/>
    <m/>
    <n v="19"/>
    <n v="19"/>
    <s v="st"/>
    <n v="3.1999999999999993"/>
    <n v="6"/>
    <n v="6"/>
    <n v="0.72972972972972971"/>
    <n v="0.14414414414414412"/>
    <n v="0.5855855855855856"/>
    <m/>
    <m/>
    <s v=""/>
    <s v=""/>
    <s v=""/>
    <s v=""/>
    <s v=""/>
    <s v=""/>
    <s v=""/>
    <s v=""/>
    <s v=""/>
    <s v=""/>
    <x v="0"/>
    <m/>
    <m/>
    <s v="TC-1963Rodando"/>
  </r>
  <r>
    <x v="54"/>
    <x v="54"/>
    <x v="0"/>
    <x v="1"/>
    <m/>
    <s v="Goodyear"/>
    <s v="295/80R22.5"/>
    <s v="KMAXD"/>
    <s v="KMAXD"/>
    <x v="0"/>
    <n v="22.2"/>
    <n v="110"/>
    <m/>
    <m/>
    <m/>
    <m/>
    <m/>
    <s v="4"/>
    <d v="2024-04-03T00:00:00"/>
    <m/>
    <m/>
    <n v="19"/>
    <m/>
    <n v="19"/>
    <n v="19"/>
    <s v="st"/>
    <n v="3.1999999999999993"/>
    <n v="6"/>
    <n v="6"/>
    <n v="0.72972972972972971"/>
    <n v="0.14414414414414412"/>
    <n v="0.5855855855855856"/>
    <m/>
    <m/>
    <s v=""/>
    <s v=""/>
    <s v=""/>
    <s v=""/>
    <s v=""/>
    <s v=""/>
    <s v=""/>
    <s v=""/>
    <s v=""/>
    <s v=""/>
    <x v="0"/>
    <m/>
    <m/>
    <s v="TC-1964Rodando"/>
  </r>
  <r>
    <x v="54"/>
    <x v="54"/>
    <x v="0"/>
    <x v="1"/>
    <m/>
    <s v="Goodyear"/>
    <s v="295/80R22.5"/>
    <s v="KMAXD"/>
    <s v="KMAXD"/>
    <x v="0"/>
    <n v="22.2"/>
    <n v="110"/>
    <m/>
    <m/>
    <m/>
    <m/>
    <m/>
    <s v="5"/>
    <d v="2024-04-03T00:00:00"/>
    <m/>
    <m/>
    <n v="20"/>
    <m/>
    <n v="20"/>
    <n v="20"/>
    <s v="st"/>
    <n v="2.1999999999999993"/>
    <n v="6"/>
    <n v="6"/>
    <n v="0.72972972972972971"/>
    <n v="9.9099099099099086E-2"/>
    <n v="0.63063063063063063"/>
    <m/>
    <m/>
    <s v=""/>
    <s v=""/>
    <s v=""/>
    <s v=""/>
    <s v=""/>
    <s v=""/>
    <s v=""/>
    <s v=""/>
    <s v=""/>
    <s v=""/>
    <x v="0"/>
    <m/>
    <m/>
    <s v="TC-1965Rodando"/>
  </r>
  <r>
    <x v="54"/>
    <x v="54"/>
    <x v="0"/>
    <x v="1"/>
    <m/>
    <s v="Goodyear"/>
    <s v="295/80R22.5"/>
    <s v="KMAXD"/>
    <s v="KMAXD"/>
    <x v="0"/>
    <n v="22.2"/>
    <n v="110"/>
    <m/>
    <m/>
    <m/>
    <m/>
    <m/>
    <s v="6"/>
    <d v="2024-04-03T00:00:00"/>
    <m/>
    <m/>
    <n v="20"/>
    <m/>
    <n v="20"/>
    <n v="20"/>
    <s v="st"/>
    <n v="2.1999999999999993"/>
    <n v="6"/>
    <n v="6"/>
    <n v="0.72972972972972971"/>
    <n v="9.9099099099099086E-2"/>
    <n v="0.63063063063063063"/>
    <m/>
    <m/>
    <s v=""/>
    <s v=""/>
    <s v=""/>
    <s v=""/>
    <s v=""/>
    <s v=""/>
    <s v=""/>
    <s v=""/>
    <s v=""/>
    <s v=""/>
    <x v="0"/>
    <m/>
    <m/>
    <s v="TC-1966Rodando"/>
  </r>
  <r>
    <x v="54"/>
    <x v="54"/>
    <x v="0"/>
    <x v="1"/>
    <m/>
    <s v="Michelin"/>
    <s v="295/80R22.5"/>
    <s v="XMULTI2D"/>
    <s v="XMULTI2D"/>
    <x v="0"/>
    <n v="21.4"/>
    <n v="110"/>
    <m/>
    <m/>
    <m/>
    <m/>
    <m/>
    <s v="7"/>
    <d v="2024-04-03T00:00:00"/>
    <m/>
    <m/>
    <n v="14"/>
    <m/>
    <n v="14"/>
    <n v="14"/>
    <s v="st"/>
    <n v="7.3999999999999986"/>
    <n v="6"/>
    <n v="6"/>
    <n v="0.71962616822429903"/>
    <n v="0.34579439252336441"/>
    <n v="0.37383177570093462"/>
    <m/>
    <m/>
    <s v=""/>
    <s v=""/>
    <s v=""/>
    <s v=""/>
    <s v=""/>
    <s v=""/>
    <s v=""/>
    <s v=""/>
    <s v=""/>
    <s v=""/>
    <x v="0"/>
    <m/>
    <m/>
    <s v="TC-1967Rodando"/>
  </r>
  <r>
    <x v="54"/>
    <x v="54"/>
    <x v="0"/>
    <x v="1"/>
    <m/>
    <s v="Michelin"/>
    <s v="295/80R22.5"/>
    <s v="XMULTI2D"/>
    <s v="XMULTI2D"/>
    <x v="0"/>
    <n v="21.4"/>
    <n v="110"/>
    <m/>
    <m/>
    <m/>
    <m/>
    <m/>
    <s v="8"/>
    <d v="2024-04-03T00:00:00"/>
    <m/>
    <m/>
    <n v="14"/>
    <m/>
    <n v="14"/>
    <n v="14"/>
    <s v="st"/>
    <n v="7.3999999999999986"/>
    <n v="6"/>
    <n v="6"/>
    <n v="0.71962616822429903"/>
    <n v="0.34579439252336441"/>
    <n v="0.37383177570093462"/>
    <m/>
    <m/>
    <s v=""/>
    <s v=""/>
    <s v=""/>
    <s v=""/>
    <s v=""/>
    <s v=""/>
    <s v=""/>
    <s v=""/>
    <s v=""/>
    <s v=""/>
    <x v="0"/>
    <m/>
    <m/>
    <s v="TC-1968Rodando"/>
  </r>
  <r>
    <x v="54"/>
    <x v="54"/>
    <x v="0"/>
    <x v="1"/>
    <m/>
    <s v="Michelin"/>
    <s v="295/80R22.5"/>
    <s v="XMULTI2D"/>
    <s v="XMULTI2D"/>
    <x v="0"/>
    <n v="21.4"/>
    <n v="110"/>
    <m/>
    <m/>
    <m/>
    <m/>
    <m/>
    <s v="9"/>
    <d v="2024-04-03T00:00:00"/>
    <m/>
    <m/>
    <n v="14"/>
    <m/>
    <n v="14"/>
    <n v="14"/>
    <s v="st"/>
    <n v="7.3999999999999986"/>
    <n v="6"/>
    <n v="6"/>
    <n v="0.71962616822429903"/>
    <n v="0.34579439252336441"/>
    <n v="0.37383177570093462"/>
    <m/>
    <m/>
    <s v=""/>
    <s v=""/>
    <s v=""/>
    <s v=""/>
    <s v=""/>
    <s v=""/>
    <s v=""/>
    <s v=""/>
    <s v=""/>
    <s v=""/>
    <x v="0"/>
    <m/>
    <m/>
    <s v="TC-1969Rodando"/>
  </r>
  <r>
    <x v="54"/>
    <x v="54"/>
    <x v="0"/>
    <x v="1"/>
    <m/>
    <s v="Michelin"/>
    <s v="295/80R22.5"/>
    <s v="XMULTI2D"/>
    <s v="XMULTI2D"/>
    <x v="0"/>
    <n v="21.4"/>
    <n v="110"/>
    <m/>
    <m/>
    <m/>
    <m/>
    <m/>
    <s v="10"/>
    <d v="2024-04-03T00:00:00"/>
    <m/>
    <m/>
    <n v="14"/>
    <m/>
    <n v="14"/>
    <n v="14"/>
    <s v="st"/>
    <n v="7.3999999999999986"/>
    <n v="6"/>
    <n v="6"/>
    <n v="0.71962616822429903"/>
    <n v="0.34579439252336441"/>
    <n v="0.37383177570093462"/>
    <m/>
    <m/>
    <s v=""/>
    <s v=""/>
    <s v=""/>
    <s v=""/>
    <s v=""/>
    <s v=""/>
    <s v=""/>
    <s v=""/>
    <s v=""/>
    <s v=""/>
    <x v="0"/>
    <m/>
    <m/>
    <s v="TC-19610Rodando"/>
  </r>
  <r>
    <x v="55"/>
    <x v="55"/>
    <x v="1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3"/>
    <n v="12"/>
    <n v="12"/>
    <n v="12"/>
    <s v="st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1961Rodando"/>
  </r>
  <r>
    <x v="55"/>
    <x v="55"/>
    <x v="1"/>
    <x v="2"/>
    <s v="1826"/>
    <s v="Aeolus"/>
    <s v="445/65R22.5"/>
    <s v="Reencauche"/>
    <s v="LZY3"/>
    <x v="1"/>
    <n v="20"/>
    <n v="110"/>
    <m/>
    <m/>
    <m/>
    <m/>
    <m/>
    <s v="2"/>
    <d v="2024-04-03T00:00:00"/>
    <m/>
    <m/>
    <n v="15"/>
    <n v="15"/>
    <n v="15"/>
    <n v="15"/>
    <s v="st"/>
    <n v="5"/>
    <n v="6"/>
    <n v="6"/>
    <n v="0.7"/>
    <n v="0.25"/>
    <n v="0.44999999999999996"/>
    <m/>
    <m/>
    <s v=""/>
    <s v=""/>
    <s v=""/>
    <s v=""/>
    <s v=""/>
    <s v=""/>
    <s v=""/>
    <s v=""/>
    <s v=""/>
    <s v=""/>
    <x v="0"/>
    <m/>
    <m/>
    <s v="SR-1962Rodando"/>
  </r>
  <r>
    <x v="55"/>
    <x v="55"/>
    <x v="1"/>
    <x v="2"/>
    <s v="1963"/>
    <s v="Aeolus"/>
    <s v="445/65R22.5"/>
    <s v="AGC28"/>
    <s v="AGC28"/>
    <x v="0"/>
    <n v="16.5"/>
    <n v="110"/>
    <m/>
    <m/>
    <m/>
    <m/>
    <m/>
    <s v="3"/>
    <d v="2024-04-03T00:00:00"/>
    <m/>
    <m/>
    <n v="10"/>
    <n v="9"/>
    <n v="10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963Rodando"/>
  </r>
  <r>
    <x v="55"/>
    <x v="55"/>
    <x v="1"/>
    <x v="2"/>
    <s v="1964"/>
    <s v="Aeolus"/>
    <s v="445/65R22.5"/>
    <s v="AGC28"/>
    <s v="AGC28"/>
    <x v="0"/>
    <n v="16.5"/>
    <n v="110"/>
    <m/>
    <m/>
    <m/>
    <m/>
    <m/>
    <s v="4"/>
    <d v="2024-04-03T00:00:00"/>
    <m/>
    <m/>
    <n v="10"/>
    <n v="9"/>
    <n v="9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964Rodando"/>
  </r>
  <r>
    <x v="55"/>
    <x v="55"/>
    <x v="1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965Rodando"/>
  </r>
  <r>
    <x v="55"/>
    <x v="55"/>
    <x v="1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1966Rodando"/>
  </r>
  <r>
    <x v="55"/>
    <x v="55"/>
    <x v="1"/>
    <x v="3"/>
    <m/>
    <s v="Michelin"/>
    <s v="425/65R22.5"/>
    <s v="XZY3"/>
    <s v="XZY3"/>
    <x v="0"/>
    <n v="0"/>
    <n v="110"/>
    <m/>
    <m/>
    <m/>
    <m/>
    <m/>
    <s v="RE"/>
    <d v="2024-04-03T00:00:00"/>
    <m/>
    <m/>
    <n v="6"/>
    <n v="5"/>
    <n v="5"/>
    <n v="5"/>
    <s v="st"/>
    <n v="-5"/>
    <n v="6"/>
    <n v="5"/>
    <s v=""/>
    <s v=""/>
    <s v=""/>
    <m/>
    <m/>
    <s v=""/>
    <s v=""/>
    <s v=""/>
    <s v=""/>
    <s v=""/>
    <s v=""/>
    <s v=""/>
    <s v=""/>
    <s v=""/>
    <s v=""/>
    <x v="0"/>
    <m/>
    <m/>
    <s v="SR-196RERodando"/>
  </r>
  <r>
    <x v="55"/>
    <x v="55"/>
    <x v="1"/>
    <x v="4"/>
    <m/>
    <s v="Continental"/>
    <s v="295/80R22.5"/>
    <s v="AHC3"/>
    <s v="AHC3"/>
    <x v="0"/>
    <n v="0"/>
    <n v="110"/>
    <m/>
    <m/>
    <m/>
    <m/>
    <m/>
    <s v="RT"/>
    <d v="2024-04-03T00:00:00"/>
    <m/>
    <m/>
    <n v="8"/>
    <n v="6"/>
    <n v="7"/>
    <n v="6"/>
    <s v="st"/>
    <n v="-6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196RTRodando"/>
  </r>
  <r>
    <x v="56"/>
    <x v="56"/>
    <x v="0"/>
    <x v="0"/>
    <m/>
    <s v="Michelin"/>
    <s v="295/80R22.5"/>
    <s v="XMULTI+Z"/>
    <s v="XMULTI+Z"/>
    <x v="0"/>
    <n v="16"/>
    <n v="100"/>
    <m/>
    <m/>
    <m/>
    <m/>
    <m/>
    <s v="1"/>
    <d v="2024-04-04T00:00:00"/>
    <m/>
    <m/>
    <n v="14"/>
    <n v="14"/>
    <n v="14"/>
    <n v="14"/>
    <s v="tm"/>
    <n v="2"/>
    <n v="6"/>
    <n v="6"/>
    <n v="0.625"/>
    <n v="0.125"/>
    <n v="0.5"/>
    <m/>
    <m/>
    <s v=""/>
    <s v=""/>
    <s v=""/>
    <s v=""/>
    <s v=""/>
    <s v=""/>
    <s v=""/>
    <s v=""/>
    <s v=""/>
    <s v=""/>
    <x v="0"/>
    <m/>
    <m/>
    <s v="TC-1981Rodando"/>
  </r>
  <r>
    <x v="56"/>
    <x v="56"/>
    <x v="0"/>
    <x v="0"/>
    <m/>
    <s v="Michelin"/>
    <s v="295/80R22.5"/>
    <s v="XMULTI+Z"/>
    <s v="XMULTI+Z"/>
    <x v="0"/>
    <n v="16"/>
    <n v="100"/>
    <m/>
    <m/>
    <m/>
    <m/>
    <m/>
    <s v="2"/>
    <d v="2024-04-04T00:00:00"/>
    <m/>
    <m/>
    <n v="14"/>
    <n v="14"/>
    <n v="14"/>
    <n v="14"/>
    <s v="tm"/>
    <n v="2"/>
    <n v="6"/>
    <n v="6"/>
    <n v="0.625"/>
    <n v="0.125"/>
    <n v="0.5"/>
    <m/>
    <m/>
    <s v=""/>
    <s v=""/>
    <s v=""/>
    <s v=""/>
    <s v=""/>
    <s v=""/>
    <s v=""/>
    <s v=""/>
    <s v=""/>
    <s v=""/>
    <x v="0"/>
    <m/>
    <m/>
    <s v="TC-1982Rodando"/>
  </r>
  <r>
    <x v="56"/>
    <x v="56"/>
    <x v="0"/>
    <x v="1"/>
    <m/>
    <s v="Michelin"/>
    <s v="295/80R22.5"/>
    <s v="XMULTI2D"/>
    <s v="XMULTI2D"/>
    <x v="0"/>
    <n v="21.4"/>
    <n v="110"/>
    <m/>
    <m/>
    <m/>
    <m/>
    <m/>
    <s v="3"/>
    <d v="2024-04-04T00:00:00"/>
    <m/>
    <m/>
    <n v="19"/>
    <m/>
    <n v="19"/>
    <n v="19"/>
    <s v="st"/>
    <n v="2.3999999999999986"/>
    <n v="6"/>
    <n v="6"/>
    <n v="0.71962616822429903"/>
    <n v="0.11214953271028028"/>
    <n v="0.60747663551401876"/>
    <m/>
    <m/>
    <s v=""/>
    <s v=""/>
    <s v=""/>
    <s v=""/>
    <s v=""/>
    <s v=""/>
    <s v=""/>
    <s v=""/>
    <s v=""/>
    <s v=""/>
    <x v="0"/>
    <m/>
    <m/>
    <s v="TC-1983Rodando"/>
  </r>
  <r>
    <x v="56"/>
    <x v="56"/>
    <x v="0"/>
    <x v="1"/>
    <m/>
    <s v="Michelin"/>
    <s v="295/80R22.5"/>
    <s v="XMULTI2D"/>
    <s v="XMULTI2D"/>
    <x v="0"/>
    <n v="21.4"/>
    <n v="110"/>
    <m/>
    <m/>
    <m/>
    <m/>
    <m/>
    <s v="4"/>
    <d v="2024-04-04T00:00:00"/>
    <m/>
    <m/>
    <n v="19"/>
    <m/>
    <n v="19"/>
    <n v="19"/>
    <s v="tp"/>
    <n v="2.3999999999999986"/>
    <n v="6"/>
    <n v="6"/>
    <n v="0.71962616822429903"/>
    <n v="0.11214953271028028"/>
    <n v="0.60747663551401876"/>
    <m/>
    <m/>
    <s v=""/>
    <s v=""/>
    <s v=""/>
    <s v=""/>
    <s v=""/>
    <s v=""/>
    <s v=""/>
    <s v=""/>
    <s v=""/>
    <s v=""/>
    <x v="0"/>
    <m/>
    <m/>
    <s v="TC-1984Rodando"/>
  </r>
  <r>
    <x v="56"/>
    <x v="56"/>
    <x v="0"/>
    <x v="1"/>
    <m/>
    <s v="Michelin"/>
    <s v="295/80R22.5"/>
    <s v="XMULTI2D"/>
    <s v="XMULTI2D"/>
    <x v="0"/>
    <n v="21.4"/>
    <n v="110"/>
    <m/>
    <m/>
    <m/>
    <m/>
    <m/>
    <s v="5"/>
    <d v="2024-04-04T00:00:00"/>
    <m/>
    <m/>
    <n v="19"/>
    <m/>
    <n v="19"/>
    <n v="19"/>
    <s v="tp"/>
    <n v="2.3999999999999986"/>
    <n v="6"/>
    <n v="6"/>
    <n v="0.71962616822429903"/>
    <n v="0.11214953271028028"/>
    <n v="0.60747663551401876"/>
    <m/>
    <m/>
    <s v=""/>
    <s v=""/>
    <s v=""/>
    <s v=""/>
    <s v=""/>
    <s v=""/>
    <s v=""/>
    <s v=""/>
    <s v=""/>
    <s v=""/>
    <x v="0"/>
    <m/>
    <m/>
    <s v="TC-1985Rodando"/>
  </r>
  <r>
    <x v="56"/>
    <x v="56"/>
    <x v="0"/>
    <x v="1"/>
    <m/>
    <s v="Michelin"/>
    <s v="295/80R22.5"/>
    <s v="XMULTI2D"/>
    <s v="XMULTI2D"/>
    <x v="0"/>
    <n v="21.4"/>
    <n v="110"/>
    <m/>
    <m/>
    <m/>
    <m/>
    <m/>
    <s v="6"/>
    <d v="2024-04-04T00:00:00"/>
    <m/>
    <m/>
    <n v="19"/>
    <m/>
    <n v="19"/>
    <n v="19"/>
    <s v="st"/>
    <n v="2.3999999999999986"/>
    <n v="6"/>
    <n v="6"/>
    <n v="0.71962616822429903"/>
    <n v="0.11214953271028028"/>
    <n v="0.60747663551401876"/>
    <m/>
    <m/>
    <s v=""/>
    <s v=""/>
    <s v=""/>
    <s v=""/>
    <s v=""/>
    <s v=""/>
    <s v=""/>
    <s v=""/>
    <s v=""/>
    <s v=""/>
    <x v="0"/>
    <m/>
    <m/>
    <s v="TC-1986Rodando"/>
  </r>
  <r>
    <x v="56"/>
    <x v="56"/>
    <x v="0"/>
    <x v="1"/>
    <m/>
    <s v="Goodyear"/>
    <s v="295/80R22.5"/>
    <s v="KMAXD"/>
    <s v="KMAXD"/>
    <x v="0"/>
    <n v="22.2"/>
    <n v="110"/>
    <m/>
    <m/>
    <m/>
    <m/>
    <m/>
    <s v="7"/>
    <d v="2024-04-04T00:00:00"/>
    <m/>
    <m/>
    <n v="18"/>
    <m/>
    <n v="18"/>
    <n v="18"/>
    <s v="st"/>
    <n v="4.1999999999999993"/>
    <n v="6"/>
    <n v="6"/>
    <n v="0.72972972972972971"/>
    <n v="0.18918918918918914"/>
    <n v="0.54054054054054057"/>
    <m/>
    <m/>
    <s v=""/>
    <s v=""/>
    <s v=""/>
    <s v=""/>
    <s v=""/>
    <s v=""/>
    <s v=""/>
    <s v=""/>
    <s v=""/>
    <s v=""/>
    <x v="0"/>
    <m/>
    <m/>
    <s v="TC-1987Rodando"/>
  </r>
  <r>
    <x v="56"/>
    <x v="56"/>
    <x v="0"/>
    <x v="1"/>
    <m/>
    <s v="Goodyear"/>
    <s v="295/80R22.5"/>
    <s v="KMAXD"/>
    <s v="KMAXD"/>
    <x v="0"/>
    <n v="22.2"/>
    <n v="110"/>
    <m/>
    <m/>
    <m/>
    <m/>
    <m/>
    <s v="8"/>
    <d v="2024-04-04T00:00:00"/>
    <m/>
    <m/>
    <n v="18"/>
    <m/>
    <n v="18"/>
    <n v="18"/>
    <s v="tp"/>
    <n v="4.1999999999999993"/>
    <n v="6"/>
    <n v="6"/>
    <n v="0.72972972972972971"/>
    <n v="0.18918918918918914"/>
    <n v="0.54054054054054057"/>
    <m/>
    <m/>
    <s v=""/>
    <s v=""/>
    <s v=""/>
    <s v=""/>
    <s v=""/>
    <s v=""/>
    <s v=""/>
    <s v=""/>
    <s v=""/>
    <s v=""/>
    <x v="0"/>
    <m/>
    <m/>
    <s v="TC-1988Rodando"/>
  </r>
  <r>
    <x v="56"/>
    <x v="56"/>
    <x v="0"/>
    <x v="1"/>
    <m/>
    <s v="Goodyear"/>
    <s v="295/80R22.5"/>
    <s v="KMAXD"/>
    <s v="KMAXD"/>
    <x v="0"/>
    <n v="22.2"/>
    <n v="110"/>
    <m/>
    <m/>
    <m/>
    <m/>
    <m/>
    <s v="9"/>
    <d v="2024-04-04T00:00:00"/>
    <m/>
    <m/>
    <n v="18"/>
    <m/>
    <n v="18"/>
    <n v="18"/>
    <s v="tp"/>
    <n v="4.1999999999999993"/>
    <n v="6"/>
    <n v="6"/>
    <n v="0.72972972972972971"/>
    <n v="0.18918918918918914"/>
    <n v="0.54054054054054057"/>
    <m/>
    <m/>
    <s v=""/>
    <s v=""/>
    <s v=""/>
    <s v=""/>
    <s v=""/>
    <s v=""/>
    <s v=""/>
    <s v=""/>
    <s v=""/>
    <s v=""/>
    <x v="0"/>
    <m/>
    <m/>
    <s v="TC-1989Rodando"/>
  </r>
  <r>
    <x v="56"/>
    <x v="56"/>
    <x v="0"/>
    <x v="1"/>
    <m/>
    <s v="Goodyear"/>
    <s v="295/80R22.5"/>
    <s v="KMAXD"/>
    <s v="KMAXD"/>
    <x v="0"/>
    <n v="22.2"/>
    <n v="110"/>
    <m/>
    <m/>
    <m/>
    <m/>
    <m/>
    <s v="10"/>
    <d v="2024-04-04T00:00:00"/>
    <m/>
    <m/>
    <n v="18"/>
    <m/>
    <n v="18"/>
    <n v="18"/>
    <s v="st"/>
    <n v="4.1999999999999993"/>
    <n v="6"/>
    <n v="6"/>
    <n v="0.72972972972972971"/>
    <n v="0.18918918918918914"/>
    <n v="0.54054054054054057"/>
    <m/>
    <m/>
    <s v=""/>
    <s v=""/>
    <s v=""/>
    <s v=""/>
    <s v=""/>
    <s v=""/>
    <s v=""/>
    <s v=""/>
    <s v=""/>
    <s v=""/>
    <x v="0"/>
    <m/>
    <m/>
    <s v="TC-19810Rodando"/>
  </r>
  <r>
    <x v="57"/>
    <x v="57"/>
    <x v="1"/>
    <x v="2"/>
    <m/>
    <s v="Aeolus"/>
    <s v="445/65R22.5"/>
    <s v="AGC28"/>
    <s v="AGC28"/>
    <x v="0"/>
    <n v="16.5"/>
    <n v="110"/>
    <m/>
    <m/>
    <m/>
    <m/>
    <m/>
    <s v="1"/>
    <d v="2024-04-04T00:00:00"/>
    <m/>
    <m/>
    <n v="10"/>
    <n v="10"/>
    <n v="10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1981Rodando"/>
  </r>
  <r>
    <x v="57"/>
    <x v="57"/>
    <x v="1"/>
    <x v="2"/>
    <m/>
    <s v="Aeolus"/>
    <s v="445/65R22.5"/>
    <s v="AGC28"/>
    <s v="AGC28"/>
    <x v="0"/>
    <n v="16.5"/>
    <n v="110"/>
    <m/>
    <m/>
    <m/>
    <m/>
    <m/>
    <s v="2"/>
    <d v="2024-04-04T00:00:00"/>
    <m/>
    <m/>
    <n v="9"/>
    <n v="9"/>
    <n v="9"/>
    <n v="9"/>
    <s v="tm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982Rodando"/>
  </r>
  <r>
    <x v="57"/>
    <x v="57"/>
    <x v="1"/>
    <x v="2"/>
    <s v="1985"/>
    <s v="Aeolus"/>
    <s v="445/65R22.5"/>
    <s v="AGC28"/>
    <s v="AGC28"/>
    <x v="0"/>
    <n v="16.5"/>
    <n v="110"/>
    <m/>
    <m/>
    <m/>
    <m/>
    <m/>
    <s v="3"/>
    <d v="2024-04-04T00:00:00"/>
    <m/>
    <m/>
    <n v="8"/>
    <n v="8"/>
    <n v="8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1983Rodando"/>
  </r>
  <r>
    <x v="57"/>
    <x v="57"/>
    <x v="1"/>
    <x v="2"/>
    <s v="1986"/>
    <s v="Aeolus"/>
    <s v="445/65R22.5"/>
    <s v="AGC28"/>
    <s v="AGC28"/>
    <x v="0"/>
    <n v="16.5"/>
    <n v="110"/>
    <m/>
    <m/>
    <m/>
    <m/>
    <m/>
    <s v="4"/>
    <d v="2024-04-04T00:00:00"/>
    <m/>
    <m/>
    <n v="9"/>
    <n v="9"/>
    <n v="9"/>
    <n v="9"/>
    <s v="tm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1984Rodando"/>
  </r>
  <r>
    <x v="57"/>
    <x v="57"/>
    <x v="1"/>
    <x v="2"/>
    <s v="1983"/>
    <s v="Aeolus"/>
    <s v="445/65R22.5"/>
    <s v="AGC28"/>
    <s v="AGC28"/>
    <x v="0"/>
    <n v="16.5"/>
    <n v="110"/>
    <m/>
    <m/>
    <m/>
    <m/>
    <m/>
    <s v="5"/>
    <d v="2024-04-04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985Rodando"/>
  </r>
  <r>
    <x v="57"/>
    <x v="57"/>
    <x v="1"/>
    <x v="2"/>
    <s v="1984"/>
    <s v="Aeolus"/>
    <s v="445/65R22.5"/>
    <s v="AGC28"/>
    <s v="AGC28"/>
    <x v="0"/>
    <n v="16.5"/>
    <n v="110"/>
    <m/>
    <m/>
    <m/>
    <m/>
    <m/>
    <s v="6"/>
    <d v="2024-04-04T00:00:00"/>
    <m/>
    <m/>
    <n v="14"/>
    <n v="14"/>
    <n v="14"/>
    <n v="14"/>
    <s v="tm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1986Rodando"/>
  </r>
  <r>
    <x v="57"/>
    <x v="57"/>
    <x v="1"/>
    <x v="3"/>
    <m/>
    <s v="Michelin"/>
    <s v="425/65R22.5"/>
    <s v="XZY3"/>
    <s v="XZY3"/>
    <x v="0"/>
    <n v="0"/>
    <n v="110"/>
    <m/>
    <m/>
    <m/>
    <m/>
    <m/>
    <s v="RE"/>
    <d v="2024-04-04T00:00:00"/>
    <m/>
    <m/>
    <n v="16"/>
    <n v="16"/>
    <n v="16"/>
    <n v="16"/>
    <s v="st"/>
    <n v="-16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198RERodando"/>
  </r>
  <r>
    <x v="57"/>
    <x v="57"/>
    <x v="1"/>
    <x v="4"/>
    <s v="1104"/>
    <s v="Michelin"/>
    <s v="295/80R22.5"/>
    <s v="XDY+"/>
    <s v="XDY+"/>
    <x v="0"/>
    <n v="0"/>
    <n v="110"/>
    <m/>
    <m/>
    <m/>
    <m/>
    <m/>
    <s v="RT"/>
    <d v="2024-04-04T00:00:00"/>
    <m/>
    <m/>
    <n v="12"/>
    <m/>
    <n v="12"/>
    <n v="12"/>
    <s v="st"/>
    <n v="-12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198RTRodando"/>
  </r>
  <r>
    <x v="58"/>
    <x v="58"/>
    <x v="0"/>
    <x v="0"/>
    <s v="2001"/>
    <s v="Goodyear"/>
    <s v="295/80R22.5"/>
    <s v="KMAX S"/>
    <s v="KMAX S"/>
    <x v="0"/>
    <n v="15.8"/>
    <n v="100"/>
    <m/>
    <m/>
    <m/>
    <m/>
    <m/>
    <s v="1"/>
    <d v="2024-04-03T00:00:00"/>
    <m/>
    <m/>
    <n v="8"/>
    <n v="11"/>
    <n v="10"/>
    <n v="8"/>
    <s v="tm"/>
    <n v="7.8000000000000007"/>
    <n v="6"/>
    <n v="6"/>
    <n v="0.620253164556962"/>
    <n v="0.49367088607594944"/>
    <n v="0.12658227848101256"/>
    <m/>
    <m/>
    <s v=""/>
    <s v=""/>
    <s v=""/>
    <s v=""/>
    <s v=""/>
    <s v=""/>
    <s v=""/>
    <s v=""/>
    <s v=""/>
    <s v=""/>
    <x v="0"/>
    <m/>
    <m/>
    <s v="TC-2001Rodando"/>
  </r>
  <r>
    <x v="58"/>
    <x v="58"/>
    <x v="0"/>
    <x v="0"/>
    <s v="2002"/>
    <s v="Goodyear"/>
    <s v="295/80R22.5"/>
    <s v="KMAX S"/>
    <s v="KMAX S"/>
    <x v="0"/>
    <n v="15.8"/>
    <n v="100"/>
    <m/>
    <m/>
    <m/>
    <m/>
    <m/>
    <s v="2"/>
    <d v="2024-04-03T00:00:00"/>
    <m/>
    <m/>
    <n v="11"/>
    <n v="12"/>
    <n v="11"/>
    <n v="11"/>
    <s v="tm"/>
    <n v="4.8000000000000007"/>
    <n v="6"/>
    <n v="6"/>
    <n v="0.620253164556962"/>
    <n v="0.30379746835443044"/>
    <n v="0.31645569620253156"/>
    <m/>
    <m/>
    <s v=""/>
    <s v=""/>
    <s v=""/>
    <s v=""/>
    <s v=""/>
    <s v=""/>
    <s v=""/>
    <s v=""/>
    <s v=""/>
    <s v=""/>
    <x v="0"/>
    <m/>
    <m/>
    <s v="TC-2002Rodando"/>
  </r>
  <r>
    <x v="58"/>
    <x v="58"/>
    <x v="0"/>
    <x v="1"/>
    <m/>
    <s v="Michelin"/>
    <s v="295/80R22.5"/>
    <s v="Reencauche"/>
    <s v="MDE"/>
    <x v="1"/>
    <n v="22"/>
    <n v="110"/>
    <m/>
    <m/>
    <m/>
    <m/>
    <m/>
    <s v="3"/>
    <d v="2024-04-03T00:00:00"/>
    <m/>
    <m/>
    <n v="10"/>
    <m/>
    <n v="11"/>
    <n v="10"/>
    <s v="st"/>
    <n v="12"/>
    <n v="6"/>
    <n v="6"/>
    <n v="0.72727272727272729"/>
    <n v="0.54545454545454541"/>
    <n v="0.18181818181818188"/>
    <m/>
    <m/>
    <s v=""/>
    <s v=""/>
    <s v=""/>
    <s v=""/>
    <s v=""/>
    <s v=""/>
    <s v=""/>
    <s v=""/>
    <s v=""/>
    <s v=""/>
    <x v="0"/>
    <m/>
    <m/>
    <s v="TC-2003Rodando"/>
  </r>
  <r>
    <x v="58"/>
    <x v="58"/>
    <x v="0"/>
    <x v="1"/>
    <m/>
    <s v="Michelin"/>
    <s v="295/80R22.5"/>
    <s v="Reencauche"/>
    <s v="MDE"/>
    <x v="1"/>
    <n v="22"/>
    <n v="110"/>
    <m/>
    <m/>
    <m/>
    <m/>
    <m/>
    <s v="4"/>
    <d v="2024-04-03T00:00:00"/>
    <m/>
    <m/>
    <n v="10"/>
    <m/>
    <n v="11"/>
    <n v="10"/>
    <s v="st"/>
    <n v="12"/>
    <n v="6"/>
    <n v="6"/>
    <n v="0.72727272727272729"/>
    <n v="0.54545454545454541"/>
    <n v="0.18181818181818188"/>
    <m/>
    <m/>
    <s v=""/>
    <s v=""/>
    <s v=""/>
    <s v=""/>
    <s v=""/>
    <s v=""/>
    <s v=""/>
    <s v=""/>
    <s v=""/>
    <s v=""/>
    <x v="0"/>
    <m/>
    <m/>
    <s v="TC-2004Rodando"/>
  </r>
  <r>
    <x v="58"/>
    <x v="58"/>
    <x v="0"/>
    <x v="1"/>
    <m/>
    <s v="Michelin"/>
    <s v="295/80R22.5"/>
    <s v="Reencauche"/>
    <s v="MDE"/>
    <x v="1"/>
    <n v="22"/>
    <n v="110"/>
    <m/>
    <m/>
    <m/>
    <m/>
    <m/>
    <s v="5"/>
    <d v="2024-04-03T00:00:00"/>
    <m/>
    <m/>
    <n v="8"/>
    <m/>
    <n v="8"/>
    <n v="8"/>
    <s v="st"/>
    <n v="14"/>
    <n v="6"/>
    <n v="6"/>
    <n v="0.72727272727272729"/>
    <n v="0.63636363636363635"/>
    <n v="9.0909090909090939E-2"/>
    <m/>
    <m/>
    <s v=""/>
    <s v=""/>
    <s v=""/>
    <s v=""/>
    <s v=""/>
    <s v=""/>
    <s v=""/>
    <s v=""/>
    <s v=""/>
    <s v=""/>
    <x v="0"/>
    <m/>
    <m/>
    <s v="TC-2005Rodando"/>
  </r>
  <r>
    <x v="58"/>
    <x v="58"/>
    <x v="0"/>
    <x v="1"/>
    <m/>
    <s v="Michelin"/>
    <s v="295/80R22.5"/>
    <s v="Reencauche"/>
    <s v="MDE"/>
    <x v="1"/>
    <n v="22"/>
    <n v="110"/>
    <m/>
    <m/>
    <m/>
    <m/>
    <m/>
    <s v="6"/>
    <d v="2024-04-03T00:00:00"/>
    <m/>
    <m/>
    <n v="10"/>
    <m/>
    <n v="10"/>
    <n v="10"/>
    <s v="st"/>
    <n v="12"/>
    <n v="6"/>
    <n v="6"/>
    <n v="0.72727272727272729"/>
    <n v="0.54545454545454541"/>
    <n v="0.18181818181818188"/>
    <m/>
    <m/>
    <s v=""/>
    <s v=""/>
    <s v=""/>
    <s v=""/>
    <s v=""/>
    <s v=""/>
    <s v=""/>
    <s v=""/>
    <s v=""/>
    <s v=""/>
    <x v="0"/>
    <m/>
    <m/>
    <s v="TC-2006Rodando"/>
  </r>
  <r>
    <x v="58"/>
    <x v="58"/>
    <x v="0"/>
    <x v="1"/>
    <s v="2007"/>
    <s v="Goodyear"/>
    <s v="295/80R22.5"/>
    <s v="KMAXD"/>
    <s v="KMAXD"/>
    <x v="0"/>
    <n v="22.2"/>
    <n v="110"/>
    <m/>
    <m/>
    <m/>
    <m/>
    <m/>
    <s v="7"/>
    <d v="2024-04-03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2007Rodando"/>
  </r>
  <r>
    <x v="58"/>
    <x v="58"/>
    <x v="0"/>
    <x v="1"/>
    <s v="2008"/>
    <s v="Goodyear"/>
    <s v="295/80R22.5"/>
    <s v="KMAXD"/>
    <s v="KMAXD"/>
    <x v="0"/>
    <n v="22.2"/>
    <n v="110"/>
    <m/>
    <m/>
    <m/>
    <m/>
    <m/>
    <s v="8"/>
    <d v="2024-04-03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2008Rodando"/>
  </r>
  <r>
    <x v="58"/>
    <x v="58"/>
    <x v="0"/>
    <x v="1"/>
    <s v="2009"/>
    <s v="Goodyear"/>
    <s v="295/80R22.5"/>
    <s v="KMAXD"/>
    <s v="KMAXD"/>
    <x v="0"/>
    <n v="22.2"/>
    <n v="110"/>
    <m/>
    <m/>
    <m/>
    <m/>
    <m/>
    <s v="9"/>
    <d v="2024-04-03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2009Rodando"/>
  </r>
  <r>
    <x v="58"/>
    <x v="58"/>
    <x v="0"/>
    <x v="1"/>
    <s v="20010"/>
    <s v="Goodyear"/>
    <s v="295/80R22.5"/>
    <s v="KMAXD"/>
    <s v="KMAXD"/>
    <x v="0"/>
    <n v="22.2"/>
    <n v="110"/>
    <m/>
    <m/>
    <m/>
    <m/>
    <m/>
    <s v="10"/>
    <d v="2024-04-03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20010Rodando"/>
  </r>
  <r>
    <x v="59"/>
    <x v="59"/>
    <x v="1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0"/>
    <n v="10"/>
    <n v="10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2001Rodando"/>
  </r>
  <r>
    <x v="59"/>
    <x v="59"/>
    <x v="1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8"/>
    <n v="8"/>
    <n v="8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2002Rodando"/>
  </r>
  <r>
    <x v="59"/>
    <x v="59"/>
    <x v="1"/>
    <x v="2"/>
    <s v="2001"/>
    <s v="Aeolus"/>
    <s v="445/65R22.5"/>
    <s v="AGC28"/>
    <s v="AGC28"/>
    <x v="0"/>
    <n v="16.5"/>
    <n v="110"/>
    <m/>
    <m/>
    <m/>
    <m/>
    <m/>
    <s v="3"/>
    <d v="2024-04-03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2003Rodando"/>
  </r>
  <r>
    <x v="59"/>
    <x v="59"/>
    <x v="1"/>
    <x v="2"/>
    <s v="2002"/>
    <s v="Aeolus"/>
    <s v="445/65R22.5"/>
    <s v="AGC28"/>
    <s v="AGC28"/>
    <x v="0"/>
    <n v="16.5"/>
    <n v="110"/>
    <m/>
    <m/>
    <m/>
    <m/>
    <m/>
    <s v="4"/>
    <d v="2024-04-03T00:00:00"/>
    <m/>
    <m/>
    <n v="8"/>
    <n v="7"/>
    <n v="8"/>
    <n v="7"/>
    <s v="st"/>
    <n v="9.5"/>
    <n v="6"/>
    <n v="6"/>
    <n v="0.63636363636363635"/>
    <n v="0.57575757575757569"/>
    <n v="6.0606060606060663E-2"/>
    <m/>
    <m/>
    <s v=""/>
    <s v=""/>
    <s v=""/>
    <s v=""/>
    <s v=""/>
    <s v=""/>
    <s v=""/>
    <s v=""/>
    <s v=""/>
    <s v=""/>
    <x v="0"/>
    <m/>
    <m/>
    <s v="SR-2004Rodando"/>
  </r>
  <r>
    <x v="59"/>
    <x v="59"/>
    <x v="1"/>
    <x v="2"/>
    <s v="2003"/>
    <s v="Aeolus"/>
    <s v="445/65R22.5"/>
    <s v="AGC28"/>
    <s v="AGC28"/>
    <x v="0"/>
    <n v="16.5"/>
    <n v="110"/>
    <m/>
    <m/>
    <m/>
    <m/>
    <m/>
    <s v="5"/>
    <d v="2024-04-03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2005Rodando"/>
  </r>
  <r>
    <x v="59"/>
    <x v="59"/>
    <x v="1"/>
    <x v="2"/>
    <s v="2004"/>
    <s v="Aeolus"/>
    <s v="445/65R22.5"/>
    <s v="AGC28"/>
    <s v="AGC28"/>
    <x v="0"/>
    <n v="16.5"/>
    <n v="110"/>
    <m/>
    <m/>
    <m/>
    <m/>
    <m/>
    <s v="6"/>
    <d v="2024-04-03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2006Rodando"/>
  </r>
  <r>
    <x v="59"/>
    <x v="59"/>
    <x v="1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8"/>
    <n v="7"/>
    <n v="7"/>
    <n v="7"/>
    <s v="st"/>
    <n v="9.5"/>
    <n v="6"/>
    <n v="6"/>
    <n v="0.63636363636363635"/>
    <n v="0.57575757575757569"/>
    <n v="6.0606060606060663E-2"/>
    <m/>
    <m/>
    <s v=""/>
    <s v=""/>
    <s v=""/>
    <s v=""/>
    <s v=""/>
    <s v=""/>
    <s v=""/>
    <s v=""/>
    <s v=""/>
    <s v=""/>
    <x v="0"/>
    <m/>
    <m/>
    <s v="SR-200RERodando"/>
  </r>
  <r>
    <x v="59"/>
    <x v="59"/>
    <x v="1"/>
    <x v="4"/>
    <m/>
    <s v="Continental"/>
    <s v="295/80R22.5"/>
    <s v="HD3"/>
    <s v="HD3"/>
    <x v="0"/>
    <n v="0"/>
    <n v="110"/>
    <m/>
    <m/>
    <m/>
    <m/>
    <m/>
    <s v="RT"/>
    <d v="2024-04-03T00:00:00"/>
    <m/>
    <m/>
    <n v="8"/>
    <m/>
    <n v="8"/>
    <n v="8"/>
    <s v="st"/>
    <n v="-8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200RTRodando"/>
  </r>
  <r>
    <x v="60"/>
    <x v="60"/>
    <x v="0"/>
    <x v="0"/>
    <m/>
    <s v="Goodyear"/>
    <s v="295/80R22.5"/>
    <s v="KMAX S"/>
    <s v="KMAX S"/>
    <x v="0"/>
    <n v="15.8"/>
    <n v="100"/>
    <m/>
    <m/>
    <m/>
    <m/>
    <m/>
    <s v="1"/>
    <d v="2024-04-04T00:00:00"/>
    <m/>
    <m/>
    <n v="8"/>
    <n v="10"/>
    <n v="8"/>
    <n v="8"/>
    <s v="st"/>
    <n v="7.8000000000000007"/>
    <n v="6"/>
    <n v="6"/>
    <n v="0.620253164556962"/>
    <n v="0.49367088607594944"/>
    <n v="0.12658227848101256"/>
    <m/>
    <m/>
    <s v=""/>
    <s v=""/>
    <s v=""/>
    <s v=""/>
    <s v=""/>
    <s v=""/>
    <s v=""/>
    <s v=""/>
    <s v=""/>
    <s v=""/>
    <x v="0"/>
    <m/>
    <m/>
    <s v="TC-2021Rodando"/>
  </r>
  <r>
    <x v="60"/>
    <x v="60"/>
    <x v="0"/>
    <x v="0"/>
    <m/>
    <s v="Goodyear"/>
    <s v="295/80R22.5"/>
    <s v="KMAX S"/>
    <s v="KMAX S"/>
    <x v="0"/>
    <n v="15.8"/>
    <n v="100"/>
    <m/>
    <m/>
    <m/>
    <m/>
    <m/>
    <s v="2"/>
    <d v="2024-04-04T00:00:00"/>
    <m/>
    <m/>
    <n v="9"/>
    <n v="11"/>
    <n v="9"/>
    <n v="9"/>
    <s v="tm"/>
    <n v="6.8000000000000007"/>
    <n v="6"/>
    <n v="6"/>
    <n v="0.620253164556962"/>
    <n v="0.43037974683544311"/>
    <n v="0.18987341772151889"/>
    <m/>
    <m/>
    <s v=""/>
    <s v=""/>
    <s v=""/>
    <s v=""/>
    <s v=""/>
    <s v=""/>
    <s v=""/>
    <s v=""/>
    <s v=""/>
    <s v=""/>
    <x v="0"/>
    <m/>
    <m/>
    <s v="TC-2022Rodando"/>
  </r>
  <r>
    <x v="60"/>
    <x v="60"/>
    <x v="0"/>
    <x v="1"/>
    <m/>
    <s v="Goodyear"/>
    <s v="295/80R22.5"/>
    <s v="KMAXD"/>
    <s v="KMAXD"/>
    <x v="0"/>
    <n v="22.2"/>
    <n v="110"/>
    <m/>
    <m/>
    <m/>
    <m/>
    <m/>
    <s v="3"/>
    <d v="2024-04-04T00:00:00"/>
    <m/>
    <m/>
    <n v="14"/>
    <m/>
    <n v="14"/>
    <n v="14"/>
    <s v="tm"/>
    <n v="8.1999999999999993"/>
    <n v="6"/>
    <n v="6"/>
    <n v="0.72972972972972971"/>
    <n v="0.36936936936936937"/>
    <n v="0.36036036036036034"/>
    <m/>
    <m/>
    <s v=""/>
    <s v=""/>
    <s v=""/>
    <s v=""/>
    <s v=""/>
    <s v=""/>
    <s v=""/>
    <s v=""/>
    <s v=""/>
    <s v=""/>
    <x v="0"/>
    <m/>
    <m/>
    <s v="TC-2023Rodando"/>
  </r>
  <r>
    <x v="60"/>
    <x v="60"/>
    <x v="0"/>
    <x v="1"/>
    <m/>
    <s v="Goodyear"/>
    <s v="295/80R22.5"/>
    <s v="KMAXD"/>
    <s v="KMAXD"/>
    <x v="0"/>
    <n v="22.2"/>
    <n v="110"/>
    <m/>
    <m/>
    <m/>
    <m/>
    <m/>
    <s v="4"/>
    <d v="2024-04-04T00:00:00"/>
    <m/>
    <m/>
    <n v="14"/>
    <m/>
    <n v="14"/>
    <n v="14"/>
    <s v="st"/>
    <n v="8.1999999999999993"/>
    <n v="6"/>
    <n v="6"/>
    <n v="0.72972972972972971"/>
    <n v="0.36936936936936937"/>
    <n v="0.36036036036036034"/>
    <m/>
    <m/>
    <s v=""/>
    <s v=""/>
    <s v=""/>
    <s v=""/>
    <s v=""/>
    <s v=""/>
    <s v=""/>
    <s v=""/>
    <s v=""/>
    <s v=""/>
    <x v="0"/>
    <m/>
    <m/>
    <s v="TC-2024Rodando"/>
  </r>
  <r>
    <x v="60"/>
    <x v="60"/>
    <x v="0"/>
    <x v="1"/>
    <m/>
    <s v="Goodyear"/>
    <s v="295/80R22.5"/>
    <s v="KMAXD"/>
    <s v="KMAXD"/>
    <x v="0"/>
    <n v="22.2"/>
    <n v="110"/>
    <m/>
    <m/>
    <m/>
    <m/>
    <m/>
    <s v="5"/>
    <d v="2024-04-04T00:00:00"/>
    <m/>
    <m/>
    <n v="13"/>
    <m/>
    <n v="13"/>
    <n v="13"/>
    <s v="tm"/>
    <n v="9.1999999999999993"/>
    <n v="6"/>
    <n v="6"/>
    <n v="0.72972972972972971"/>
    <n v="0.4144144144144144"/>
    <n v="0.31531531531531531"/>
    <m/>
    <m/>
    <s v=""/>
    <s v=""/>
    <s v=""/>
    <s v=""/>
    <s v=""/>
    <s v=""/>
    <s v=""/>
    <s v=""/>
    <s v=""/>
    <s v=""/>
    <x v="0"/>
    <m/>
    <m/>
    <s v="TC-2025Rodando"/>
  </r>
  <r>
    <x v="60"/>
    <x v="60"/>
    <x v="0"/>
    <x v="1"/>
    <m/>
    <s v="Goodyear"/>
    <s v="295/80R22.5"/>
    <s v="KMAXD"/>
    <s v="KMAXD"/>
    <x v="0"/>
    <n v="22.2"/>
    <n v="110"/>
    <m/>
    <m/>
    <m/>
    <m/>
    <m/>
    <s v="6"/>
    <d v="2024-04-04T00:00:00"/>
    <m/>
    <m/>
    <n v="13"/>
    <m/>
    <n v="13"/>
    <n v="13"/>
    <s v="st"/>
    <n v="9.1999999999999993"/>
    <n v="6"/>
    <n v="6"/>
    <n v="0.72972972972972971"/>
    <n v="0.4144144144144144"/>
    <n v="0.31531531531531531"/>
    <m/>
    <m/>
    <s v=""/>
    <s v=""/>
    <s v=""/>
    <s v=""/>
    <s v=""/>
    <s v=""/>
    <s v=""/>
    <s v=""/>
    <s v=""/>
    <s v=""/>
    <x v="0"/>
    <m/>
    <m/>
    <s v="TC-2026Rodando"/>
  </r>
  <r>
    <x v="60"/>
    <x v="60"/>
    <x v="0"/>
    <x v="1"/>
    <m/>
    <s v="Goodyear"/>
    <s v="295/80R22.5"/>
    <s v="KMAXD"/>
    <s v="KMAXD"/>
    <x v="0"/>
    <n v="22.2"/>
    <n v="110"/>
    <m/>
    <m/>
    <m/>
    <m/>
    <m/>
    <s v="7"/>
    <d v="2024-04-04T00:00:00"/>
    <m/>
    <m/>
    <n v="19"/>
    <m/>
    <n v="19"/>
    <n v="19"/>
    <s v="st"/>
    <n v="3.1999999999999993"/>
    <n v="6"/>
    <n v="6"/>
    <n v="0.72972972972972971"/>
    <n v="0.14414414414414412"/>
    <n v="0.5855855855855856"/>
    <m/>
    <m/>
    <s v=""/>
    <s v=""/>
    <s v=""/>
    <s v=""/>
    <s v=""/>
    <s v=""/>
    <s v=""/>
    <s v=""/>
    <s v=""/>
    <s v=""/>
    <x v="0"/>
    <m/>
    <m/>
    <s v="TC-2027Rodando"/>
  </r>
  <r>
    <x v="60"/>
    <x v="60"/>
    <x v="0"/>
    <x v="1"/>
    <m/>
    <s v="Goodyear"/>
    <s v="295/80R22.5"/>
    <s v="KMAXD"/>
    <s v="KMAXD"/>
    <x v="0"/>
    <n v="22.2"/>
    <n v="110"/>
    <m/>
    <m/>
    <m/>
    <m/>
    <m/>
    <s v="8"/>
    <d v="2024-04-04T00:00:00"/>
    <m/>
    <m/>
    <n v="19"/>
    <m/>
    <n v="19"/>
    <n v="19"/>
    <s v="tm"/>
    <n v="3.1999999999999993"/>
    <n v="6"/>
    <n v="6"/>
    <n v="0.72972972972972971"/>
    <n v="0.14414414414414412"/>
    <n v="0.5855855855855856"/>
    <m/>
    <m/>
    <s v=""/>
    <s v=""/>
    <s v=""/>
    <s v=""/>
    <s v=""/>
    <s v=""/>
    <s v=""/>
    <s v=""/>
    <s v=""/>
    <s v=""/>
    <x v="0"/>
    <m/>
    <m/>
    <s v="TC-2028Rodando"/>
  </r>
  <r>
    <x v="60"/>
    <x v="60"/>
    <x v="0"/>
    <x v="1"/>
    <m/>
    <s v="Goodyear"/>
    <s v="295/80R22.5"/>
    <s v="KMAXD"/>
    <s v="KMAXD"/>
    <x v="0"/>
    <n v="22.2"/>
    <n v="110"/>
    <m/>
    <m/>
    <m/>
    <m/>
    <m/>
    <s v="9"/>
    <d v="2024-04-04T00:00:00"/>
    <m/>
    <m/>
    <n v="19"/>
    <m/>
    <n v="19"/>
    <n v="19"/>
    <s v="tm"/>
    <n v="3.1999999999999993"/>
    <n v="6"/>
    <n v="6"/>
    <n v="0.72972972972972971"/>
    <n v="0.14414414414414412"/>
    <n v="0.5855855855855856"/>
    <m/>
    <m/>
    <s v=""/>
    <s v=""/>
    <s v=""/>
    <s v=""/>
    <s v=""/>
    <s v=""/>
    <s v=""/>
    <s v=""/>
    <s v=""/>
    <s v=""/>
    <x v="0"/>
    <m/>
    <m/>
    <s v="TC-2029Rodando"/>
  </r>
  <r>
    <x v="60"/>
    <x v="60"/>
    <x v="0"/>
    <x v="1"/>
    <m/>
    <s v="Goodyear"/>
    <s v="295/80R22.5"/>
    <s v="KMAXD"/>
    <s v="KMAXD"/>
    <x v="0"/>
    <n v="22.2"/>
    <n v="110"/>
    <m/>
    <m/>
    <m/>
    <m/>
    <m/>
    <s v="10"/>
    <d v="2024-04-04T00:00:00"/>
    <m/>
    <m/>
    <n v="19"/>
    <m/>
    <n v="19"/>
    <n v="19"/>
    <s v="st"/>
    <n v="3.1999999999999993"/>
    <n v="6"/>
    <n v="6"/>
    <n v="0.72972972972972971"/>
    <n v="0.14414414414414412"/>
    <n v="0.5855855855855856"/>
    <m/>
    <m/>
    <s v=""/>
    <s v=""/>
    <s v=""/>
    <s v=""/>
    <s v=""/>
    <s v=""/>
    <s v=""/>
    <s v=""/>
    <s v=""/>
    <s v=""/>
    <x v="0"/>
    <m/>
    <m/>
    <s v="TC-20210Rodando"/>
  </r>
  <r>
    <x v="61"/>
    <x v="61"/>
    <x v="1"/>
    <x v="2"/>
    <m/>
    <s v="Aeolus"/>
    <s v="445/65R22.5"/>
    <s v="AGC28"/>
    <s v="AGC28"/>
    <x v="0"/>
    <n v="16.5"/>
    <n v="110"/>
    <m/>
    <m/>
    <m/>
    <m/>
    <m/>
    <s v="1"/>
    <d v="2024-04-04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041Rodando"/>
  </r>
  <r>
    <x v="61"/>
    <x v="61"/>
    <x v="1"/>
    <x v="2"/>
    <m/>
    <s v="Aeolus"/>
    <s v="445/65R22.5"/>
    <s v="AGC28"/>
    <s v="AGC28"/>
    <x v="0"/>
    <n v="16.5"/>
    <n v="110"/>
    <m/>
    <m/>
    <m/>
    <m/>
    <m/>
    <s v="2"/>
    <d v="2024-04-04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042Rodando"/>
  </r>
  <r>
    <x v="61"/>
    <x v="61"/>
    <x v="1"/>
    <x v="2"/>
    <m/>
    <s v="Aeolus"/>
    <s v="445/65R22.5"/>
    <s v="AGC28"/>
    <s v="AGC28"/>
    <x v="0"/>
    <n v="16.5"/>
    <n v="110"/>
    <m/>
    <m/>
    <m/>
    <m/>
    <m/>
    <s v="3"/>
    <d v="2024-04-04T00:00:00"/>
    <m/>
    <m/>
    <n v="10"/>
    <n v="10"/>
    <n v="10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2043Rodando"/>
  </r>
  <r>
    <x v="61"/>
    <x v="61"/>
    <x v="1"/>
    <x v="2"/>
    <m/>
    <s v="Aeolus"/>
    <s v="445/65R22.5"/>
    <s v="AGC28"/>
    <s v="AGC28"/>
    <x v="0"/>
    <n v="16.5"/>
    <n v="110"/>
    <m/>
    <m/>
    <m/>
    <m/>
    <m/>
    <s v="4"/>
    <d v="2024-04-04T00:00:00"/>
    <m/>
    <m/>
    <n v="9"/>
    <n v="9"/>
    <n v="9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2044Rodando"/>
  </r>
  <r>
    <x v="61"/>
    <x v="61"/>
    <x v="1"/>
    <x v="2"/>
    <m/>
    <s v="Aeolus"/>
    <s v="445/65R22.5"/>
    <s v="AGC28"/>
    <s v="AGC28"/>
    <x v="0"/>
    <n v="16.5"/>
    <n v="110"/>
    <m/>
    <m/>
    <m/>
    <m/>
    <m/>
    <s v="5"/>
    <d v="2024-04-04T00:00:00"/>
    <m/>
    <m/>
    <n v="12"/>
    <n v="12"/>
    <n v="12"/>
    <n v="12"/>
    <s v="st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2045Rodando"/>
  </r>
  <r>
    <x v="61"/>
    <x v="61"/>
    <x v="1"/>
    <x v="2"/>
    <m/>
    <s v="Aeolus"/>
    <s v="445/65R22.5"/>
    <s v="AGC28"/>
    <s v="AGC28"/>
    <x v="0"/>
    <n v="16.5"/>
    <n v="110"/>
    <m/>
    <m/>
    <m/>
    <m/>
    <m/>
    <s v="6"/>
    <d v="2024-04-04T00:00:00"/>
    <m/>
    <m/>
    <n v="12"/>
    <n v="12"/>
    <n v="12"/>
    <n v="12"/>
    <s v="st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2046Rodando"/>
  </r>
  <r>
    <x v="61"/>
    <x v="61"/>
    <x v="1"/>
    <x v="3"/>
    <m/>
    <s v="Aeolus"/>
    <s v="445/65R22.5"/>
    <s v="AGC28"/>
    <s v="AGC28"/>
    <x v="0"/>
    <n v="16.5"/>
    <n v="110"/>
    <m/>
    <m/>
    <m/>
    <m/>
    <m/>
    <s v="RE"/>
    <d v="2024-04-04T00:00:00"/>
    <m/>
    <m/>
    <n v="10"/>
    <n v="10"/>
    <n v="10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204RERodando"/>
  </r>
  <r>
    <x v="61"/>
    <x v="61"/>
    <x v="1"/>
    <x v="4"/>
    <m/>
    <s v="Michelin"/>
    <s v="295/80R22.5"/>
    <s v="Reencauche"/>
    <s v="MDE"/>
    <x v="1"/>
    <n v="22"/>
    <n v="110"/>
    <m/>
    <m/>
    <m/>
    <m/>
    <m/>
    <s v="RT"/>
    <d v="2024-04-04T00:00:00"/>
    <m/>
    <m/>
    <n v="7"/>
    <n v="7"/>
    <n v="8"/>
    <n v="7"/>
    <s v="st"/>
    <n v="15"/>
    <n v="6"/>
    <n v="6"/>
    <n v="0.72727272727272729"/>
    <n v="0.68181818181818188"/>
    <n v="4.5454545454545414E-2"/>
    <m/>
    <m/>
    <s v=""/>
    <s v=""/>
    <s v=""/>
    <s v=""/>
    <s v=""/>
    <s v=""/>
    <s v=""/>
    <s v=""/>
    <s v=""/>
    <s v=""/>
    <x v="0"/>
    <m/>
    <m/>
    <s v="SR-204RTRodando"/>
  </r>
  <r>
    <x v="62"/>
    <x v="62"/>
    <x v="0"/>
    <x v="0"/>
    <m/>
    <s v="Goodyear"/>
    <s v="295/80R22.5"/>
    <s v="KMAX S"/>
    <s v="KMAX S"/>
    <x v="0"/>
    <n v="15.8"/>
    <n v="100"/>
    <m/>
    <m/>
    <m/>
    <m/>
    <m/>
    <s v="1"/>
    <d v="2024-04-03T00:00:00"/>
    <m/>
    <m/>
    <n v="9"/>
    <n v="11"/>
    <n v="9"/>
    <n v="9"/>
    <s v="st"/>
    <n v="6.8000000000000007"/>
    <n v="6"/>
    <n v="6"/>
    <n v="0.620253164556962"/>
    <n v="0.43037974683544311"/>
    <n v="0.18987341772151889"/>
    <m/>
    <m/>
    <s v=""/>
    <s v=""/>
    <s v=""/>
    <s v=""/>
    <s v=""/>
    <s v=""/>
    <s v=""/>
    <s v=""/>
    <s v=""/>
    <s v=""/>
    <x v="0"/>
    <m/>
    <m/>
    <s v="TC-2041Rodando"/>
  </r>
  <r>
    <x v="62"/>
    <x v="62"/>
    <x v="0"/>
    <x v="0"/>
    <m/>
    <s v="Goodyear"/>
    <s v="295/80R22.5"/>
    <s v="KMAX S"/>
    <s v="KMAX S"/>
    <x v="0"/>
    <n v="15.8"/>
    <n v="100"/>
    <m/>
    <m/>
    <m/>
    <m/>
    <m/>
    <s v="2"/>
    <d v="2024-04-03T00:00:00"/>
    <m/>
    <m/>
    <n v="10"/>
    <n v="11"/>
    <n v="10"/>
    <n v="10"/>
    <s v="st"/>
    <n v="5.8000000000000007"/>
    <n v="6"/>
    <n v="6"/>
    <n v="0.620253164556962"/>
    <n v="0.36708860759493678"/>
    <n v="0.25316455696202522"/>
    <m/>
    <m/>
    <s v=""/>
    <s v=""/>
    <s v=""/>
    <s v=""/>
    <s v=""/>
    <s v=""/>
    <s v=""/>
    <s v=""/>
    <s v=""/>
    <s v=""/>
    <x v="0"/>
    <m/>
    <m/>
    <s v="TC-2042Rodando"/>
  </r>
  <r>
    <x v="62"/>
    <x v="62"/>
    <x v="0"/>
    <x v="1"/>
    <m/>
    <s v="Michelin"/>
    <s v="295/80R22.5"/>
    <s v="XMULTI2D"/>
    <s v="XMULTI2D"/>
    <x v="0"/>
    <n v="21.4"/>
    <n v="110"/>
    <m/>
    <m/>
    <m/>
    <m/>
    <m/>
    <s v="3"/>
    <d v="2024-04-03T00:00:00"/>
    <m/>
    <m/>
    <n v="19"/>
    <m/>
    <n v="19"/>
    <n v="19"/>
    <s v="st"/>
    <n v="2.3999999999999986"/>
    <n v="6"/>
    <n v="6"/>
    <n v="0.71962616822429903"/>
    <n v="0.11214953271028028"/>
    <n v="0.60747663551401876"/>
    <m/>
    <m/>
    <s v=""/>
    <s v=""/>
    <s v=""/>
    <s v=""/>
    <s v=""/>
    <s v=""/>
    <s v=""/>
    <s v=""/>
    <s v=""/>
    <s v=""/>
    <x v="0"/>
    <m/>
    <m/>
    <s v="TC-2043Rodando"/>
  </r>
  <r>
    <x v="62"/>
    <x v="62"/>
    <x v="0"/>
    <x v="1"/>
    <m/>
    <s v="Michelin"/>
    <s v="295/80R22.5"/>
    <s v="XMULTI2D"/>
    <s v="XMULTI2D"/>
    <x v="0"/>
    <n v="21.4"/>
    <n v="110"/>
    <m/>
    <m/>
    <m/>
    <m/>
    <m/>
    <s v="4"/>
    <d v="2024-04-03T00:00:00"/>
    <m/>
    <m/>
    <n v="19"/>
    <m/>
    <n v="19"/>
    <n v="19"/>
    <s v="st"/>
    <n v="2.3999999999999986"/>
    <n v="6"/>
    <n v="6"/>
    <n v="0.71962616822429903"/>
    <n v="0.11214953271028028"/>
    <n v="0.60747663551401876"/>
    <m/>
    <m/>
    <s v=""/>
    <s v=""/>
    <s v=""/>
    <s v=""/>
    <s v=""/>
    <s v=""/>
    <s v=""/>
    <s v=""/>
    <s v=""/>
    <s v=""/>
    <x v="0"/>
    <m/>
    <m/>
    <s v="TC-2044Rodando"/>
  </r>
  <r>
    <x v="62"/>
    <x v="62"/>
    <x v="0"/>
    <x v="1"/>
    <m/>
    <s v="Michelin"/>
    <s v="295/80R22.5"/>
    <s v="XMULTI2D"/>
    <s v="XMULTI2D"/>
    <x v="0"/>
    <n v="21.4"/>
    <n v="110"/>
    <m/>
    <m/>
    <m/>
    <m/>
    <m/>
    <s v="5"/>
    <d v="2024-04-03T00:00:00"/>
    <m/>
    <m/>
    <n v="19"/>
    <m/>
    <n v="19"/>
    <n v="19"/>
    <s v="st"/>
    <n v="2.3999999999999986"/>
    <n v="6"/>
    <n v="6"/>
    <n v="0.71962616822429903"/>
    <n v="0.11214953271028028"/>
    <n v="0.60747663551401876"/>
    <m/>
    <m/>
    <s v=""/>
    <s v=""/>
    <s v=""/>
    <s v=""/>
    <s v=""/>
    <s v=""/>
    <s v=""/>
    <s v=""/>
    <s v=""/>
    <s v=""/>
    <x v="0"/>
    <m/>
    <m/>
    <s v="TC-2045Rodando"/>
  </r>
  <r>
    <x v="62"/>
    <x v="62"/>
    <x v="0"/>
    <x v="1"/>
    <m/>
    <s v="Michelin"/>
    <s v="295/80R22.5"/>
    <s v="XMULTI2D"/>
    <s v="XMULTI2D"/>
    <x v="0"/>
    <n v="21.4"/>
    <n v="110"/>
    <m/>
    <m/>
    <m/>
    <m/>
    <m/>
    <s v="6"/>
    <d v="2024-04-03T00:00:00"/>
    <m/>
    <m/>
    <n v="19"/>
    <m/>
    <n v="19"/>
    <n v="19"/>
    <s v="st"/>
    <n v="2.3999999999999986"/>
    <n v="6"/>
    <n v="6"/>
    <n v="0.71962616822429903"/>
    <n v="0.11214953271028028"/>
    <n v="0.60747663551401876"/>
    <m/>
    <m/>
    <s v=""/>
    <s v=""/>
    <s v=""/>
    <s v=""/>
    <s v=""/>
    <s v=""/>
    <s v=""/>
    <s v=""/>
    <s v=""/>
    <s v=""/>
    <x v="0"/>
    <m/>
    <m/>
    <s v="TC-2046Rodando"/>
  </r>
  <r>
    <x v="62"/>
    <x v="62"/>
    <x v="0"/>
    <x v="1"/>
    <s v="1047"/>
    <s v="Goodyear"/>
    <s v="295/80R22.5"/>
    <s v="KMAXD"/>
    <s v="KMAXD"/>
    <x v="0"/>
    <n v="22.2"/>
    <n v="110"/>
    <m/>
    <m/>
    <m/>
    <m/>
    <m/>
    <s v="7"/>
    <d v="2024-04-03T00:00:00"/>
    <m/>
    <m/>
    <n v="18"/>
    <m/>
    <n v="18"/>
    <n v="18"/>
    <s v="st"/>
    <n v="4.1999999999999993"/>
    <n v="6"/>
    <n v="6"/>
    <n v="0.72972972972972971"/>
    <n v="0.18918918918918914"/>
    <n v="0.54054054054054057"/>
    <m/>
    <m/>
    <s v=""/>
    <s v=""/>
    <s v=""/>
    <s v=""/>
    <s v=""/>
    <s v=""/>
    <s v=""/>
    <s v=""/>
    <s v=""/>
    <s v=""/>
    <x v="0"/>
    <m/>
    <m/>
    <s v="TC-2047Rodando"/>
  </r>
  <r>
    <x v="62"/>
    <x v="62"/>
    <x v="0"/>
    <x v="1"/>
    <s v="1048"/>
    <s v="Goodyear"/>
    <s v="295/80R22.5"/>
    <s v="KMAXD"/>
    <s v="KMAXD"/>
    <x v="0"/>
    <n v="22.2"/>
    <n v="110"/>
    <m/>
    <m/>
    <m/>
    <m/>
    <m/>
    <s v="8"/>
    <d v="2024-04-03T00:00:00"/>
    <m/>
    <m/>
    <n v="18"/>
    <m/>
    <n v="18"/>
    <n v="18"/>
    <s v="st"/>
    <n v="4.1999999999999993"/>
    <n v="6"/>
    <n v="6"/>
    <n v="0.72972972972972971"/>
    <n v="0.18918918918918914"/>
    <n v="0.54054054054054057"/>
    <m/>
    <m/>
    <s v=""/>
    <s v=""/>
    <s v=""/>
    <s v=""/>
    <s v=""/>
    <s v=""/>
    <s v=""/>
    <s v=""/>
    <s v=""/>
    <s v=""/>
    <x v="0"/>
    <m/>
    <m/>
    <s v="TC-2048Rodando"/>
  </r>
  <r>
    <x v="62"/>
    <x v="62"/>
    <x v="0"/>
    <x v="1"/>
    <s v="1049"/>
    <s v="Goodyear"/>
    <s v="295/80R22.5"/>
    <s v="KMAXD"/>
    <s v="KMAXD"/>
    <x v="0"/>
    <n v="22.2"/>
    <n v="110"/>
    <m/>
    <m/>
    <m/>
    <m/>
    <m/>
    <s v="9"/>
    <d v="2024-04-03T00:00:00"/>
    <m/>
    <m/>
    <n v="18"/>
    <m/>
    <n v="18"/>
    <n v="18"/>
    <s v="st"/>
    <n v="4.1999999999999993"/>
    <n v="6"/>
    <n v="6"/>
    <n v="0.72972972972972971"/>
    <n v="0.18918918918918914"/>
    <n v="0.54054054054054057"/>
    <m/>
    <m/>
    <s v=""/>
    <s v=""/>
    <s v=""/>
    <s v=""/>
    <s v=""/>
    <s v=""/>
    <s v=""/>
    <s v=""/>
    <s v=""/>
    <s v=""/>
    <x v="0"/>
    <m/>
    <m/>
    <s v="TC-2049Rodando"/>
  </r>
  <r>
    <x v="62"/>
    <x v="62"/>
    <x v="0"/>
    <x v="1"/>
    <s v="1050"/>
    <s v="Goodyear"/>
    <s v="295/80R22.5"/>
    <s v="KMAXD"/>
    <s v="KMAXD"/>
    <x v="0"/>
    <n v="22.2"/>
    <n v="110"/>
    <m/>
    <m/>
    <m/>
    <m/>
    <m/>
    <s v="10"/>
    <d v="2024-04-03T00:00:00"/>
    <m/>
    <m/>
    <n v="18"/>
    <m/>
    <n v="18"/>
    <n v="18"/>
    <s v="st"/>
    <n v="4.1999999999999993"/>
    <n v="6"/>
    <n v="6"/>
    <n v="0.72972972972972971"/>
    <n v="0.18918918918918914"/>
    <n v="0.54054054054054057"/>
    <m/>
    <m/>
    <s v=""/>
    <s v=""/>
    <s v=""/>
    <s v=""/>
    <s v=""/>
    <s v=""/>
    <s v=""/>
    <s v=""/>
    <s v=""/>
    <s v=""/>
    <x v="0"/>
    <m/>
    <m/>
    <s v="TC-20410Rodando"/>
  </r>
  <r>
    <x v="63"/>
    <x v="63"/>
    <x v="0"/>
    <x v="0"/>
    <s v="206 1"/>
    <s v="Goodyear"/>
    <s v="295/80R22.5"/>
    <s v="KMAX S"/>
    <s v="KMAX S"/>
    <x v="0"/>
    <n v="15.8"/>
    <n v="100"/>
    <m/>
    <m/>
    <m/>
    <m/>
    <m/>
    <s v="1"/>
    <d v="2024-04-02T00:00:00"/>
    <m/>
    <m/>
    <n v="13"/>
    <n v="14"/>
    <n v="14"/>
    <n v="13"/>
    <s v="tm"/>
    <n v="2.8000000000000007"/>
    <n v="6"/>
    <n v="6"/>
    <n v="0.620253164556962"/>
    <n v="0.17721518987341778"/>
    <n v="0.44303797468354422"/>
    <m/>
    <m/>
    <s v=""/>
    <s v=""/>
    <s v=""/>
    <s v=""/>
    <s v=""/>
    <s v=""/>
    <s v=""/>
    <s v=""/>
    <s v=""/>
    <s v=""/>
    <x v="0"/>
    <m/>
    <m/>
    <s v="TC-2061Rodando"/>
  </r>
  <r>
    <x v="63"/>
    <x v="63"/>
    <x v="0"/>
    <x v="0"/>
    <s v="206 2"/>
    <s v="Goodyear"/>
    <s v="295/80R22.5"/>
    <s v="KMAX S"/>
    <s v="KMAX S"/>
    <x v="0"/>
    <n v="15.8"/>
    <n v="100"/>
    <m/>
    <m/>
    <m/>
    <m/>
    <m/>
    <s v="2"/>
    <d v="2024-04-02T00:00:00"/>
    <m/>
    <m/>
    <n v="13"/>
    <n v="14"/>
    <n v="14"/>
    <n v="13"/>
    <s v="st"/>
    <n v="2.8000000000000007"/>
    <n v="6"/>
    <n v="6"/>
    <n v="0.620253164556962"/>
    <n v="0.17721518987341778"/>
    <n v="0.44303797468354422"/>
    <m/>
    <m/>
    <s v=""/>
    <s v=""/>
    <s v=""/>
    <s v=""/>
    <s v=""/>
    <s v=""/>
    <s v=""/>
    <s v=""/>
    <s v=""/>
    <s v=""/>
    <x v="0"/>
    <m/>
    <m/>
    <s v="TC-2062Rodando"/>
  </r>
  <r>
    <x v="63"/>
    <x v="63"/>
    <x v="0"/>
    <x v="1"/>
    <s v="206 3"/>
    <s v="Michelin"/>
    <s v="295/80R22.5"/>
    <s v="XMULTI2D"/>
    <s v="XMULTI2D"/>
    <x v="0"/>
    <n v="21.4"/>
    <n v="110"/>
    <m/>
    <m/>
    <m/>
    <m/>
    <m/>
    <s v="3"/>
    <d v="2024-04-02T00:00:00"/>
    <m/>
    <m/>
    <n v="20"/>
    <m/>
    <n v="20"/>
    <n v="20"/>
    <s v="tm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TC-2063Rodando"/>
  </r>
  <r>
    <x v="63"/>
    <x v="63"/>
    <x v="0"/>
    <x v="1"/>
    <s v="206 4"/>
    <s v="Michelin"/>
    <s v="295/80R22.5"/>
    <s v="XMULTI2D"/>
    <s v="XMULTI2D"/>
    <x v="0"/>
    <n v="21.4"/>
    <n v="110"/>
    <m/>
    <m/>
    <m/>
    <m/>
    <m/>
    <s v="4"/>
    <d v="2024-04-02T00:00:00"/>
    <m/>
    <m/>
    <n v="20"/>
    <m/>
    <n v="20"/>
    <n v="20"/>
    <s v="tm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TC-2064Rodando"/>
  </r>
  <r>
    <x v="63"/>
    <x v="63"/>
    <x v="0"/>
    <x v="1"/>
    <s v="206 5"/>
    <s v="Michelin"/>
    <s v="295/80R22.5"/>
    <s v="XMULTI2D"/>
    <s v="XMULTI2D"/>
    <x v="0"/>
    <n v="21.4"/>
    <n v="110"/>
    <m/>
    <m/>
    <m/>
    <m/>
    <m/>
    <s v="5"/>
    <d v="2024-04-02T00:00:00"/>
    <m/>
    <m/>
    <n v="20"/>
    <m/>
    <n v="20"/>
    <n v="20"/>
    <s v="tm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TC-2065Rodando"/>
  </r>
  <r>
    <x v="63"/>
    <x v="63"/>
    <x v="0"/>
    <x v="1"/>
    <s v="206 6"/>
    <s v="Michelin"/>
    <s v="295/80R22.5"/>
    <s v="XMULTI2D"/>
    <s v="XMULTI2D"/>
    <x v="0"/>
    <n v="21.4"/>
    <n v="110"/>
    <m/>
    <m/>
    <m/>
    <m/>
    <m/>
    <s v="6"/>
    <d v="2024-04-02T00:00:00"/>
    <m/>
    <m/>
    <n v="20"/>
    <m/>
    <n v="20"/>
    <n v="20"/>
    <s v="tm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TC-2066Rodando"/>
  </r>
  <r>
    <x v="63"/>
    <x v="63"/>
    <x v="0"/>
    <x v="1"/>
    <s v="206 7"/>
    <s v="Michelin"/>
    <s v="295/80R22.5"/>
    <s v="XMULTI2D"/>
    <s v="XMULTI2D"/>
    <x v="0"/>
    <n v="21.4"/>
    <n v="110"/>
    <m/>
    <m/>
    <m/>
    <m/>
    <m/>
    <s v="7"/>
    <d v="2024-04-02T00:00:00"/>
    <m/>
    <m/>
    <n v="19"/>
    <m/>
    <n v="19"/>
    <n v="19"/>
    <s v="tm"/>
    <n v="2.3999999999999986"/>
    <n v="6"/>
    <n v="6"/>
    <n v="0.71962616822429903"/>
    <n v="0.11214953271028028"/>
    <n v="0.60747663551401876"/>
    <m/>
    <m/>
    <s v=""/>
    <s v=""/>
    <s v=""/>
    <s v=""/>
    <s v=""/>
    <s v=""/>
    <s v=""/>
    <s v=""/>
    <s v=""/>
    <s v=""/>
    <x v="0"/>
    <m/>
    <m/>
    <s v="TC-2067Rodando"/>
  </r>
  <r>
    <x v="63"/>
    <x v="63"/>
    <x v="0"/>
    <x v="1"/>
    <s v="206 8"/>
    <s v="Michelin"/>
    <s v="295/80R22.5"/>
    <s v="XMULTI2D"/>
    <s v="XMULTI2D"/>
    <x v="0"/>
    <n v="21.4"/>
    <n v="110"/>
    <m/>
    <m/>
    <m/>
    <m/>
    <m/>
    <s v="8"/>
    <d v="2024-04-02T00:00:00"/>
    <m/>
    <m/>
    <n v="19"/>
    <m/>
    <n v="19"/>
    <n v="19"/>
    <s v="tm"/>
    <n v="2.3999999999999986"/>
    <n v="6"/>
    <n v="6"/>
    <n v="0.71962616822429903"/>
    <n v="0.11214953271028028"/>
    <n v="0.60747663551401876"/>
    <m/>
    <m/>
    <s v=""/>
    <s v=""/>
    <s v=""/>
    <s v=""/>
    <s v=""/>
    <s v=""/>
    <s v=""/>
    <s v=""/>
    <s v=""/>
    <s v=""/>
    <x v="0"/>
    <m/>
    <m/>
    <s v="TC-2068Rodando"/>
  </r>
  <r>
    <x v="63"/>
    <x v="63"/>
    <x v="0"/>
    <x v="1"/>
    <s v="206 9"/>
    <s v="Michelin"/>
    <s v="295/80R22.5"/>
    <s v="XMULTI2D"/>
    <s v="XMULTI2D"/>
    <x v="0"/>
    <n v="21.4"/>
    <n v="110"/>
    <m/>
    <m/>
    <m/>
    <m/>
    <m/>
    <s v="9"/>
    <d v="2024-04-02T00:00:00"/>
    <m/>
    <m/>
    <n v="19"/>
    <m/>
    <n v="19"/>
    <n v="19"/>
    <s v="tm"/>
    <n v="2.3999999999999986"/>
    <n v="6"/>
    <n v="6"/>
    <n v="0.71962616822429903"/>
    <n v="0.11214953271028028"/>
    <n v="0.60747663551401876"/>
    <m/>
    <m/>
    <s v=""/>
    <s v=""/>
    <s v=""/>
    <s v=""/>
    <s v=""/>
    <s v=""/>
    <s v=""/>
    <s v=""/>
    <s v=""/>
    <s v=""/>
    <x v="0"/>
    <m/>
    <m/>
    <s v="TC-2069Rodando"/>
  </r>
  <r>
    <x v="63"/>
    <x v="63"/>
    <x v="0"/>
    <x v="1"/>
    <s v="206 10"/>
    <s v="Michelin"/>
    <s v="295/80R22.5"/>
    <s v="XMULTI2D"/>
    <s v="XMULTI2D"/>
    <x v="0"/>
    <n v="21.4"/>
    <n v="110"/>
    <m/>
    <m/>
    <m/>
    <m/>
    <m/>
    <s v="10"/>
    <d v="2024-04-02T00:00:00"/>
    <m/>
    <m/>
    <n v="19"/>
    <m/>
    <n v="19"/>
    <n v="19"/>
    <s v="tm"/>
    <n v="2.3999999999999986"/>
    <n v="6"/>
    <n v="6"/>
    <n v="0.71962616822429903"/>
    <n v="0.11214953271028028"/>
    <n v="0.60747663551401876"/>
    <m/>
    <m/>
    <s v=""/>
    <s v=""/>
    <s v=""/>
    <s v=""/>
    <s v=""/>
    <s v=""/>
    <s v=""/>
    <s v=""/>
    <s v=""/>
    <s v=""/>
    <x v="0"/>
    <m/>
    <m/>
    <s v="TC-20610Rodando"/>
  </r>
  <r>
    <x v="64"/>
    <x v="64"/>
    <x v="1"/>
    <x v="2"/>
    <m/>
    <s v="Aeolus"/>
    <s v="445/65R22.5"/>
    <s v="AGC28"/>
    <s v="AGC28"/>
    <x v="0"/>
    <n v="16.5"/>
    <n v="110"/>
    <m/>
    <m/>
    <m/>
    <m/>
    <m/>
    <s v="1"/>
    <d v="2024-04-04T00:00:00"/>
    <m/>
    <m/>
    <n v="11"/>
    <n v="11"/>
    <n v="11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2021Rodando"/>
  </r>
  <r>
    <x v="64"/>
    <x v="64"/>
    <x v="1"/>
    <x v="2"/>
    <m/>
    <s v="Aeolus"/>
    <s v="445/65R22.5"/>
    <s v="AGC28"/>
    <s v="AGC28"/>
    <x v="0"/>
    <n v="16.5"/>
    <n v="110"/>
    <m/>
    <m/>
    <m/>
    <m/>
    <m/>
    <s v="2"/>
    <d v="2024-04-04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2022Rodando"/>
  </r>
  <r>
    <x v="64"/>
    <x v="64"/>
    <x v="1"/>
    <x v="2"/>
    <s v="2023"/>
    <s v="Aeolus"/>
    <s v="445/65R22.5"/>
    <s v="AGC28"/>
    <s v="AGC28"/>
    <x v="0"/>
    <n v="16.5"/>
    <n v="110"/>
    <m/>
    <m/>
    <m/>
    <m/>
    <m/>
    <s v="3"/>
    <d v="2024-04-04T00:00:00"/>
    <m/>
    <m/>
    <n v="10"/>
    <n v="10"/>
    <n v="10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2023Rodando"/>
  </r>
  <r>
    <x v="64"/>
    <x v="64"/>
    <x v="1"/>
    <x v="2"/>
    <s v="2024"/>
    <s v="Michelin"/>
    <s v="425/65R22.5"/>
    <s v="XZY3"/>
    <s v="XZY3"/>
    <x v="0"/>
    <n v="0"/>
    <n v="110"/>
    <m/>
    <m/>
    <m/>
    <m/>
    <m/>
    <s v="4"/>
    <d v="2024-04-04T00:00:00"/>
    <m/>
    <m/>
    <n v="14"/>
    <n v="14"/>
    <n v="14"/>
    <n v="14"/>
    <s v="tm"/>
    <n v="-14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2024Rodando"/>
  </r>
  <r>
    <x v="64"/>
    <x v="64"/>
    <x v="1"/>
    <x v="2"/>
    <s v="2025"/>
    <s v="Aeolus"/>
    <s v="445/65R22.5"/>
    <s v="AGC28"/>
    <s v="AGC28"/>
    <x v="0"/>
    <n v="16.5"/>
    <n v="110"/>
    <m/>
    <m/>
    <m/>
    <m/>
    <m/>
    <s v="5"/>
    <d v="2024-04-04T00:00:00"/>
    <m/>
    <m/>
    <n v="12"/>
    <n v="12"/>
    <n v="12"/>
    <n v="12"/>
    <s v="st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2025Rodando"/>
  </r>
  <r>
    <x v="64"/>
    <x v="64"/>
    <x v="1"/>
    <x v="2"/>
    <s v="2026"/>
    <s v="Aeolus"/>
    <s v="445/65R22.5"/>
    <s v="AGC28"/>
    <s v="AGC28"/>
    <x v="0"/>
    <n v="16.5"/>
    <n v="110"/>
    <m/>
    <m/>
    <m/>
    <m/>
    <m/>
    <s v="6"/>
    <d v="2024-04-04T00:00:00"/>
    <m/>
    <m/>
    <n v="11"/>
    <n v="11"/>
    <n v="11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2026Rodando"/>
  </r>
  <r>
    <x v="64"/>
    <x v="64"/>
    <x v="1"/>
    <x v="3"/>
    <m/>
    <s v="Goodyear"/>
    <s v="445/65R22.5"/>
    <s v="Reencauche"/>
    <s v="LZY3"/>
    <x v="1"/>
    <n v="19"/>
    <n v="110"/>
    <m/>
    <m/>
    <m/>
    <m/>
    <m/>
    <s v="RE"/>
    <d v="2024-04-04T00:00:00"/>
    <m/>
    <m/>
    <n v="17"/>
    <n v="17"/>
    <n v="17"/>
    <n v="17"/>
    <s v="st"/>
    <n v="2"/>
    <n v="6"/>
    <n v="6"/>
    <n v="0.68421052631578949"/>
    <n v="0.10526315789473684"/>
    <n v="0.57894736842105265"/>
    <m/>
    <m/>
    <s v=""/>
    <s v=""/>
    <s v=""/>
    <s v=""/>
    <s v=""/>
    <s v=""/>
    <s v=""/>
    <s v=""/>
    <s v=""/>
    <s v=""/>
    <x v="0"/>
    <m/>
    <m/>
    <s v="SR-202RERodando"/>
  </r>
  <r>
    <x v="64"/>
    <x v="64"/>
    <x v="1"/>
    <x v="4"/>
    <s v="213895057"/>
    <s v="Michelin"/>
    <s v="295/80R22.5"/>
    <s v="XMULTI+Z"/>
    <s v="XMULTI+Z"/>
    <x v="0"/>
    <n v="16"/>
    <n v="100"/>
    <m/>
    <m/>
    <m/>
    <m/>
    <m/>
    <s v="RT"/>
    <d v="2024-04-04T00:00:00"/>
    <m/>
    <m/>
    <n v="13"/>
    <n v="13"/>
    <n v="13"/>
    <n v="13"/>
    <s v="st"/>
    <n v="3"/>
    <n v="6"/>
    <n v="6"/>
    <n v="0.625"/>
    <n v="0.1875"/>
    <n v="0.4375"/>
    <m/>
    <m/>
    <s v=""/>
    <s v=""/>
    <s v=""/>
    <s v=""/>
    <s v=""/>
    <s v=""/>
    <s v=""/>
    <s v=""/>
    <s v=""/>
    <s v=""/>
    <x v="0"/>
    <m/>
    <m/>
    <s v="SR-202RTRodando"/>
  </r>
  <r>
    <x v="65"/>
    <x v="65"/>
    <x v="0"/>
    <x v="0"/>
    <m/>
    <s v="Michelin"/>
    <s v="295/80R22.5"/>
    <s v="XMULTI+Z"/>
    <s v="XMULTI+Z"/>
    <x v="0"/>
    <n v="16"/>
    <n v="100"/>
    <m/>
    <m/>
    <m/>
    <m/>
    <m/>
    <s v="1"/>
    <d v="2024-04-04T00:00:00"/>
    <m/>
    <m/>
    <n v="15"/>
    <n v="15"/>
    <n v="15"/>
    <n v="15"/>
    <s v="tm"/>
    <n v="1"/>
    <n v="6"/>
    <n v="6"/>
    <n v="0.625"/>
    <n v="6.25E-2"/>
    <n v="0.5625"/>
    <m/>
    <m/>
    <s v=""/>
    <s v=""/>
    <s v=""/>
    <s v=""/>
    <s v=""/>
    <s v=""/>
    <s v=""/>
    <s v=""/>
    <s v=""/>
    <s v=""/>
    <x v="0"/>
    <m/>
    <m/>
    <s v="TC-2161Rodando"/>
  </r>
  <r>
    <x v="65"/>
    <x v="65"/>
    <x v="0"/>
    <x v="0"/>
    <m/>
    <s v="Michelin"/>
    <s v="295/80R22.5"/>
    <s v="XMULTI+Z"/>
    <s v="XMULTI+Z"/>
    <x v="0"/>
    <n v="16"/>
    <n v="100"/>
    <m/>
    <m/>
    <m/>
    <m/>
    <m/>
    <s v="2"/>
    <d v="2024-04-04T00:00:00"/>
    <m/>
    <m/>
    <n v="15"/>
    <n v="15"/>
    <n v="15"/>
    <n v="15"/>
    <s v="tm"/>
    <n v="1"/>
    <n v="6"/>
    <n v="6"/>
    <n v="0.625"/>
    <n v="6.25E-2"/>
    <n v="0.5625"/>
    <m/>
    <m/>
    <s v=""/>
    <s v=""/>
    <s v=""/>
    <s v=""/>
    <s v=""/>
    <s v=""/>
    <s v=""/>
    <s v=""/>
    <s v=""/>
    <s v=""/>
    <x v="0"/>
    <m/>
    <m/>
    <s v="TC-2162Rodando"/>
  </r>
  <r>
    <x v="65"/>
    <x v="65"/>
    <x v="0"/>
    <x v="1"/>
    <m/>
    <s v="Continental"/>
    <s v="295/80R22.5"/>
    <s v="Reencauche"/>
    <s v="MDE"/>
    <x v="1"/>
    <n v="22"/>
    <n v="110"/>
    <m/>
    <m/>
    <m/>
    <m/>
    <m/>
    <s v="3"/>
    <d v="2024-04-04T00:00:00"/>
    <m/>
    <m/>
    <n v="9"/>
    <m/>
    <n v="10"/>
    <n v="9"/>
    <s v="st"/>
    <n v="13"/>
    <n v="6"/>
    <n v="6"/>
    <n v="0.72727272727272729"/>
    <n v="0.59090909090909083"/>
    <n v="0.13636363636363646"/>
    <m/>
    <m/>
    <s v=""/>
    <s v=""/>
    <s v=""/>
    <s v=""/>
    <s v=""/>
    <s v=""/>
    <s v=""/>
    <s v=""/>
    <s v=""/>
    <s v=""/>
    <x v="0"/>
    <m/>
    <m/>
    <s v="TC-2163Rodando"/>
  </r>
  <r>
    <x v="65"/>
    <x v="65"/>
    <x v="0"/>
    <x v="1"/>
    <m/>
    <s v="Continental"/>
    <s v="295/80R22.5"/>
    <s v="Reencauche"/>
    <s v="MDE"/>
    <x v="1"/>
    <n v="22"/>
    <n v="110"/>
    <m/>
    <m/>
    <m/>
    <m/>
    <m/>
    <s v="4"/>
    <d v="2024-04-04T00:00:00"/>
    <m/>
    <m/>
    <n v="9"/>
    <m/>
    <n v="9"/>
    <n v="9"/>
    <s v="st"/>
    <n v="13"/>
    <n v="6"/>
    <n v="6"/>
    <n v="0.72727272727272729"/>
    <n v="0.59090909090909083"/>
    <n v="0.13636363636363646"/>
    <m/>
    <m/>
    <s v=""/>
    <s v=""/>
    <s v=""/>
    <s v=""/>
    <s v=""/>
    <s v=""/>
    <s v=""/>
    <s v=""/>
    <s v=""/>
    <s v=""/>
    <x v="0"/>
    <m/>
    <m/>
    <s v="TC-2164Rodando"/>
  </r>
  <r>
    <x v="65"/>
    <x v="65"/>
    <x v="0"/>
    <x v="1"/>
    <m/>
    <s v="Continental"/>
    <s v="295/80R22.5"/>
    <s v="Reencauche"/>
    <s v="MDE"/>
    <x v="1"/>
    <n v="22"/>
    <n v="110"/>
    <m/>
    <m/>
    <m/>
    <m/>
    <m/>
    <s v="5"/>
    <d v="2024-04-04T00:00:00"/>
    <m/>
    <m/>
    <n v="10"/>
    <m/>
    <n v="9"/>
    <n v="9"/>
    <s v="st"/>
    <n v="13"/>
    <n v="6"/>
    <n v="6"/>
    <n v="0.72727272727272729"/>
    <n v="0.59090909090909083"/>
    <n v="0.13636363636363646"/>
    <m/>
    <m/>
    <s v=""/>
    <s v=""/>
    <s v=""/>
    <s v=""/>
    <s v=""/>
    <s v=""/>
    <s v=""/>
    <s v=""/>
    <s v=""/>
    <s v=""/>
    <x v="0"/>
    <m/>
    <m/>
    <s v="TC-2165Rodando"/>
  </r>
  <r>
    <x v="65"/>
    <x v="65"/>
    <x v="0"/>
    <x v="1"/>
    <m/>
    <s v="Continental"/>
    <s v="295/80R22.5"/>
    <s v="Reencauche"/>
    <s v="MDE"/>
    <x v="1"/>
    <n v="22"/>
    <n v="110"/>
    <m/>
    <m/>
    <m/>
    <m/>
    <m/>
    <s v="6"/>
    <d v="2024-04-04T00:00:00"/>
    <m/>
    <m/>
    <n v="9"/>
    <m/>
    <n v="10"/>
    <n v="9"/>
    <s v="st"/>
    <n v="13"/>
    <n v="6"/>
    <n v="6"/>
    <n v="0.72727272727272729"/>
    <n v="0.59090909090909083"/>
    <n v="0.13636363636363646"/>
    <m/>
    <m/>
    <s v=""/>
    <s v=""/>
    <s v=""/>
    <s v=""/>
    <s v=""/>
    <s v=""/>
    <s v=""/>
    <s v=""/>
    <s v=""/>
    <s v=""/>
    <x v="0"/>
    <m/>
    <m/>
    <s v="TC-2166Rodando"/>
  </r>
  <r>
    <x v="65"/>
    <x v="65"/>
    <x v="0"/>
    <x v="1"/>
    <s v="23040030"/>
    <s v="Goodyear"/>
    <s v="295/80R22.5"/>
    <s v="KMAXD"/>
    <s v="KMAXD"/>
    <x v="0"/>
    <n v="22.2"/>
    <n v="110"/>
    <m/>
    <m/>
    <m/>
    <m/>
    <m/>
    <s v="7"/>
    <d v="2024-04-04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2167Rodando"/>
  </r>
  <r>
    <x v="65"/>
    <x v="65"/>
    <x v="0"/>
    <x v="1"/>
    <m/>
    <s v="Goodyear"/>
    <s v="295/80R22.5"/>
    <s v="KMAXD"/>
    <s v="KMAXD"/>
    <x v="0"/>
    <n v="22.2"/>
    <n v="110"/>
    <m/>
    <m/>
    <m/>
    <m/>
    <m/>
    <s v="8"/>
    <d v="2024-04-04T00:00:00"/>
    <m/>
    <m/>
    <n v="17"/>
    <m/>
    <n v="17"/>
    <n v="17"/>
    <s v="st"/>
    <n v="5.1999999999999993"/>
    <n v="6"/>
    <n v="6"/>
    <n v="0.72972972972972971"/>
    <n v="0.23423423423423417"/>
    <n v="0.49549549549549554"/>
    <m/>
    <m/>
    <s v=""/>
    <s v=""/>
    <s v=""/>
    <s v=""/>
    <s v=""/>
    <s v=""/>
    <s v=""/>
    <s v=""/>
    <s v=""/>
    <s v=""/>
    <x v="0"/>
    <m/>
    <m/>
    <s v="TC-2168Rodando"/>
  </r>
  <r>
    <x v="65"/>
    <x v="65"/>
    <x v="0"/>
    <x v="1"/>
    <m/>
    <s v="Goodyear"/>
    <s v="295/80R22.5"/>
    <s v="KMAXD"/>
    <s v="KMAXD"/>
    <x v="0"/>
    <n v="22.2"/>
    <n v="110"/>
    <m/>
    <m/>
    <m/>
    <m/>
    <m/>
    <s v="9"/>
    <d v="2024-04-04T00:00:00"/>
    <m/>
    <m/>
    <n v="16"/>
    <m/>
    <n v="17"/>
    <n v="16"/>
    <s v="st"/>
    <n v="6.1999999999999993"/>
    <n v="6"/>
    <n v="6"/>
    <n v="0.72972972972972971"/>
    <n v="0.2792792792792792"/>
    <n v="0.45045045045045051"/>
    <m/>
    <m/>
    <s v=""/>
    <s v=""/>
    <s v=""/>
    <s v=""/>
    <s v=""/>
    <s v=""/>
    <s v=""/>
    <s v=""/>
    <s v=""/>
    <s v=""/>
    <x v="0"/>
    <m/>
    <m/>
    <s v="TC-2169Rodando"/>
  </r>
  <r>
    <x v="65"/>
    <x v="65"/>
    <x v="0"/>
    <x v="1"/>
    <s v="23040018"/>
    <s v="Goodyear"/>
    <s v="295/80R22.5"/>
    <s v="KMAXD"/>
    <s v="KMAXD"/>
    <x v="0"/>
    <n v="22.2"/>
    <n v="110"/>
    <m/>
    <m/>
    <m/>
    <m/>
    <m/>
    <s v="10"/>
    <d v="2024-04-04T00:00:00"/>
    <m/>
    <m/>
    <n v="16"/>
    <m/>
    <n v="17"/>
    <n v="16"/>
    <s v="st"/>
    <n v="6.1999999999999993"/>
    <n v="6"/>
    <n v="6"/>
    <n v="0.72972972972972971"/>
    <n v="0.2792792792792792"/>
    <n v="0.45045045045045051"/>
    <m/>
    <m/>
    <s v=""/>
    <s v=""/>
    <s v=""/>
    <s v=""/>
    <s v=""/>
    <s v=""/>
    <s v=""/>
    <s v=""/>
    <s v=""/>
    <s v=""/>
    <x v="0"/>
    <m/>
    <m/>
    <s v="TC-21610Rodando"/>
  </r>
  <r>
    <x v="66"/>
    <x v="66"/>
    <x v="0"/>
    <x v="0"/>
    <m/>
    <s v="Aplus"/>
    <s v="295/80R22.5"/>
    <s v="S205"/>
    <s v="S205"/>
    <x v="0"/>
    <n v="0"/>
    <n v="100"/>
    <m/>
    <m/>
    <m/>
    <m/>
    <m/>
    <s v="1"/>
    <d v="2024-04-04T00:00:00"/>
    <m/>
    <m/>
    <n v="4"/>
    <n v="7"/>
    <n v="7"/>
    <n v="4"/>
    <s v="st"/>
    <n v="-4"/>
    <n v="6"/>
    <n v="4"/>
    <s v=""/>
    <s v=""/>
    <s v=""/>
    <m/>
    <m/>
    <s v=""/>
    <s v=""/>
    <s v=""/>
    <s v=""/>
    <s v=""/>
    <s v=""/>
    <s v=""/>
    <s v=""/>
    <s v=""/>
    <s v=""/>
    <x v="0"/>
    <m/>
    <m/>
    <s v="TC-2141Rodando"/>
  </r>
  <r>
    <x v="66"/>
    <x v="66"/>
    <x v="0"/>
    <x v="0"/>
    <m/>
    <s v="Aplus"/>
    <s v="295/80R22.5"/>
    <s v="S205"/>
    <s v="S205"/>
    <x v="0"/>
    <n v="0"/>
    <n v="100"/>
    <m/>
    <m/>
    <m/>
    <m/>
    <m/>
    <s v="2"/>
    <d v="2024-04-04T00:00:00"/>
    <m/>
    <m/>
    <n v="8"/>
    <n v="10"/>
    <n v="9"/>
    <n v="8"/>
    <s v="st"/>
    <n v="-8"/>
    <n v="6"/>
    <n v="6"/>
    <s v=""/>
    <s v=""/>
    <s v=""/>
    <m/>
    <m/>
    <s v=""/>
    <s v=""/>
    <s v=""/>
    <s v=""/>
    <s v=""/>
    <s v=""/>
    <s v=""/>
    <s v=""/>
    <s v=""/>
    <s v=""/>
    <x v="0"/>
    <m/>
    <m/>
    <s v="TC-2142Rodando"/>
  </r>
  <r>
    <x v="66"/>
    <x v="66"/>
    <x v="0"/>
    <x v="1"/>
    <m/>
    <s v="Blackhawk"/>
    <s v="295/80R22.5"/>
    <s v="BDR81"/>
    <s v="BDR81"/>
    <x v="0"/>
    <n v="0"/>
    <n v="110"/>
    <m/>
    <m/>
    <m/>
    <m/>
    <m/>
    <s v="3"/>
    <d v="2024-04-04T00:00:00"/>
    <m/>
    <m/>
    <n v="11"/>
    <n v="11"/>
    <n v="11"/>
    <n v="11"/>
    <s v="st"/>
    <n v="-11"/>
    <n v="6"/>
    <n v="6"/>
    <s v=""/>
    <s v=""/>
    <s v=""/>
    <m/>
    <m/>
    <s v=""/>
    <s v=""/>
    <s v=""/>
    <s v=""/>
    <s v=""/>
    <s v=""/>
    <s v=""/>
    <s v=""/>
    <s v=""/>
    <s v=""/>
    <x v="0"/>
    <m/>
    <m/>
    <s v="TC-2143Rodando"/>
  </r>
  <r>
    <x v="66"/>
    <x v="66"/>
    <x v="0"/>
    <x v="1"/>
    <m/>
    <s v="Blackhawk"/>
    <s v="295/80R22.5"/>
    <s v="BDR81"/>
    <s v="BDR81"/>
    <x v="0"/>
    <n v="0"/>
    <n v="110"/>
    <m/>
    <m/>
    <m/>
    <m/>
    <m/>
    <s v="4"/>
    <d v="2024-04-04T00:00:00"/>
    <m/>
    <m/>
    <n v="11"/>
    <n v="11"/>
    <n v="11"/>
    <n v="11"/>
    <s v="st"/>
    <n v="-11"/>
    <n v="6"/>
    <n v="6"/>
    <s v=""/>
    <s v=""/>
    <s v=""/>
    <m/>
    <m/>
    <s v=""/>
    <s v=""/>
    <s v=""/>
    <s v=""/>
    <s v=""/>
    <s v=""/>
    <s v=""/>
    <s v=""/>
    <s v=""/>
    <s v=""/>
    <x v="0"/>
    <m/>
    <m/>
    <s v="TC-2144Rodando"/>
  </r>
  <r>
    <x v="66"/>
    <x v="66"/>
    <x v="0"/>
    <x v="1"/>
    <m/>
    <s v="Blackhawk"/>
    <s v="295/80R22.5"/>
    <s v="BDR81"/>
    <s v="BDR81"/>
    <x v="0"/>
    <n v="0"/>
    <n v="110"/>
    <m/>
    <m/>
    <m/>
    <m/>
    <m/>
    <s v="5"/>
    <d v="2024-04-04T00:00:00"/>
    <m/>
    <m/>
    <n v="9"/>
    <n v="9"/>
    <n v="9"/>
    <n v="9"/>
    <s v="st"/>
    <n v="-9"/>
    <n v="6"/>
    <n v="6"/>
    <s v=""/>
    <s v=""/>
    <s v=""/>
    <m/>
    <m/>
    <s v=""/>
    <s v=""/>
    <s v=""/>
    <s v=""/>
    <s v=""/>
    <s v=""/>
    <s v=""/>
    <s v=""/>
    <s v=""/>
    <s v=""/>
    <x v="0"/>
    <m/>
    <m/>
    <s v="TC-2145Rodando"/>
  </r>
  <r>
    <x v="66"/>
    <x v="66"/>
    <x v="0"/>
    <x v="1"/>
    <m/>
    <s v="Blackhawk"/>
    <s v="295/80R22.5"/>
    <s v="BDR81"/>
    <s v="BDR81"/>
    <x v="0"/>
    <n v="0"/>
    <n v="110"/>
    <m/>
    <m/>
    <m/>
    <m/>
    <m/>
    <s v="6"/>
    <d v="2024-04-04T00:00:00"/>
    <m/>
    <m/>
    <n v="9"/>
    <n v="9"/>
    <n v="9"/>
    <n v="9"/>
    <s v="st"/>
    <n v="-9"/>
    <n v="6"/>
    <n v="6"/>
    <s v=""/>
    <s v=""/>
    <s v=""/>
    <m/>
    <m/>
    <s v=""/>
    <s v=""/>
    <s v=""/>
    <s v=""/>
    <s v=""/>
    <s v=""/>
    <s v=""/>
    <s v=""/>
    <s v=""/>
    <s v=""/>
    <x v="0"/>
    <m/>
    <m/>
    <s v="TC-2146Rodando"/>
  </r>
  <r>
    <x v="66"/>
    <x v="66"/>
    <x v="0"/>
    <x v="1"/>
    <m/>
    <s v="Blackhawk"/>
    <s v="295/80R22.5"/>
    <s v="BDR81"/>
    <s v="BDR81"/>
    <x v="0"/>
    <n v="0"/>
    <n v="110"/>
    <m/>
    <m/>
    <m/>
    <m/>
    <m/>
    <s v="7"/>
    <d v="2024-04-04T00:00:00"/>
    <m/>
    <m/>
    <n v="13"/>
    <n v="13"/>
    <n v="13"/>
    <n v="13"/>
    <s v="st"/>
    <n v="-13"/>
    <n v="6"/>
    <n v="6"/>
    <s v=""/>
    <s v=""/>
    <s v=""/>
    <m/>
    <m/>
    <s v=""/>
    <s v=""/>
    <s v=""/>
    <s v=""/>
    <s v=""/>
    <s v=""/>
    <s v=""/>
    <s v=""/>
    <s v=""/>
    <s v=""/>
    <x v="0"/>
    <m/>
    <m/>
    <s v="TC-2147Rodando"/>
  </r>
  <r>
    <x v="66"/>
    <x v="66"/>
    <x v="0"/>
    <x v="1"/>
    <m/>
    <s v="Blackhawk"/>
    <s v="295/80R22.5"/>
    <s v="BDR81"/>
    <s v="BDR81"/>
    <x v="0"/>
    <n v="0"/>
    <n v="110"/>
    <m/>
    <m/>
    <m/>
    <m/>
    <m/>
    <s v="8"/>
    <d v="2024-04-04T00:00:00"/>
    <m/>
    <m/>
    <n v="13"/>
    <n v="13"/>
    <n v="13"/>
    <n v="13"/>
    <s v="st"/>
    <n v="-13"/>
    <n v="6"/>
    <n v="6"/>
    <s v=""/>
    <s v=""/>
    <s v=""/>
    <m/>
    <m/>
    <s v=""/>
    <s v=""/>
    <s v=""/>
    <s v=""/>
    <s v=""/>
    <s v=""/>
    <s v=""/>
    <s v=""/>
    <s v=""/>
    <s v=""/>
    <x v="0"/>
    <m/>
    <m/>
    <s v="TC-2148Rodando"/>
  </r>
  <r>
    <x v="66"/>
    <x v="66"/>
    <x v="0"/>
    <x v="1"/>
    <m/>
    <s v="Blackhawk"/>
    <s v="295/80R22.5"/>
    <s v="BDR81"/>
    <s v="BDR81"/>
    <x v="0"/>
    <n v="0"/>
    <n v="110"/>
    <m/>
    <m/>
    <m/>
    <m/>
    <m/>
    <s v="9"/>
    <d v="2024-04-04T00:00:00"/>
    <m/>
    <m/>
    <n v="10"/>
    <n v="10"/>
    <n v="10"/>
    <n v="10"/>
    <s v="st"/>
    <n v="-10"/>
    <n v="6"/>
    <n v="6"/>
    <s v=""/>
    <s v=""/>
    <s v=""/>
    <m/>
    <m/>
    <s v=""/>
    <s v=""/>
    <s v=""/>
    <s v=""/>
    <s v=""/>
    <s v=""/>
    <s v=""/>
    <s v=""/>
    <s v=""/>
    <s v=""/>
    <x v="0"/>
    <m/>
    <m/>
    <s v="TC-2149Rodando"/>
  </r>
  <r>
    <x v="66"/>
    <x v="66"/>
    <x v="0"/>
    <x v="1"/>
    <m/>
    <s v="Blackhawk"/>
    <s v="295/80R22.5"/>
    <s v="BDR81"/>
    <s v="BDR81"/>
    <x v="0"/>
    <n v="0"/>
    <n v="110"/>
    <m/>
    <m/>
    <m/>
    <m/>
    <m/>
    <s v="10"/>
    <d v="2024-04-04T00:00:00"/>
    <m/>
    <m/>
    <n v="9"/>
    <n v="9"/>
    <n v="9"/>
    <n v="9"/>
    <s v="st"/>
    <n v="-9"/>
    <n v="6"/>
    <n v="6"/>
    <s v=""/>
    <s v=""/>
    <s v=""/>
    <m/>
    <m/>
    <s v=""/>
    <s v=""/>
    <s v=""/>
    <s v=""/>
    <s v=""/>
    <s v=""/>
    <s v=""/>
    <s v=""/>
    <s v=""/>
    <s v=""/>
    <x v="0"/>
    <m/>
    <m/>
    <s v="TC-21410Rodando"/>
  </r>
  <r>
    <x v="67"/>
    <x v="67"/>
    <x v="1"/>
    <x v="2"/>
    <m/>
    <s v="Aeolus"/>
    <s v="445/65R22.5"/>
    <s v="AGC28"/>
    <s v="AGC28"/>
    <x v="0"/>
    <n v="16.5"/>
    <n v="110"/>
    <m/>
    <m/>
    <m/>
    <m/>
    <m/>
    <s v="1"/>
    <d v="2024-04-04T00:00:00"/>
    <m/>
    <m/>
    <n v="13"/>
    <n v="13"/>
    <n v="14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2141Rodando"/>
  </r>
  <r>
    <x v="67"/>
    <x v="67"/>
    <x v="1"/>
    <x v="2"/>
    <m/>
    <s v="Jinyu"/>
    <s v="425/65R22.5"/>
    <s v="Reencauche"/>
    <s v="LZY3"/>
    <x v="4"/>
    <n v="19"/>
    <n v="110"/>
    <m/>
    <m/>
    <m/>
    <m/>
    <m/>
    <s v="2"/>
    <d v="2024-04-04T00:00:00"/>
    <m/>
    <m/>
    <n v="18"/>
    <n v="18"/>
    <n v="18"/>
    <n v="18"/>
    <s v="st"/>
    <n v="1"/>
    <n v="6"/>
    <n v="6"/>
    <n v="0.68421052631578949"/>
    <n v="5.2631578947368474E-2"/>
    <n v="0.63157894736842102"/>
    <m/>
    <m/>
    <s v=""/>
    <s v=""/>
    <s v=""/>
    <s v=""/>
    <s v=""/>
    <s v=""/>
    <s v=""/>
    <s v=""/>
    <s v=""/>
    <s v=""/>
    <x v="0"/>
    <m/>
    <m/>
    <s v="SR-2142Rodando"/>
  </r>
  <r>
    <x v="67"/>
    <x v="67"/>
    <x v="1"/>
    <x v="2"/>
    <m/>
    <s v="Jinyu"/>
    <s v="425/65R22.5"/>
    <s v="JA626"/>
    <s v="JA626"/>
    <x v="0"/>
    <n v="0"/>
    <n v="110"/>
    <m/>
    <m/>
    <m/>
    <m/>
    <m/>
    <s v="3"/>
    <d v="2024-04-04T00:00:00"/>
    <m/>
    <m/>
    <n v="10"/>
    <n v="9"/>
    <n v="9"/>
    <n v="9"/>
    <s v="st"/>
    <n v="-9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2143Rodando"/>
  </r>
  <r>
    <x v="67"/>
    <x v="67"/>
    <x v="1"/>
    <x v="2"/>
    <m/>
    <s v="Jinyu"/>
    <s v="425/65R22.5"/>
    <s v="JA626"/>
    <s v="JA626"/>
    <x v="0"/>
    <n v="0"/>
    <n v="110"/>
    <m/>
    <m/>
    <m/>
    <m/>
    <m/>
    <s v="4"/>
    <d v="2024-04-04T00:00:00"/>
    <m/>
    <m/>
    <n v="11"/>
    <n v="11"/>
    <n v="11"/>
    <n v="11"/>
    <s v="st"/>
    <n v="-11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2144Rodando"/>
  </r>
  <r>
    <x v="67"/>
    <x v="67"/>
    <x v="1"/>
    <x v="2"/>
    <m/>
    <s v="Blackhawk"/>
    <s v="425/65R22.5"/>
    <s v="BTM26"/>
    <s v="BTM26"/>
    <x v="0"/>
    <n v="0"/>
    <n v="110"/>
    <m/>
    <m/>
    <m/>
    <m/>
    <m/>
    <s v="5"/>
    <d v="2024-04-04T00:00:00"/>
    <m/>
    <m/>
    <n v="14"/>
    <n v="14"/>
    <n v="13"/>
    <n v="13"/>
    <s v="st"/>
    <n v="-13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2145Rodando"/>
  </r>
  <r>
    <x v="67"/>
    <x v="67"/>
    <x v="1"/>
    <x v="2"/>
    <m/>
    <s v="Blackhawk"/>
    <s v="425/65R22.5"/>
    <s v="BTM26"/>
    <s v="BTM26"/>
    <x v="0"/>
    <n v="0"/>
    <n v="110"/>
    <m/>
    <m/>
    <m/>
    <m/>
    <m/>
    <s v="6"/>
    <d v="2024-04-04T00:00:00"/>
    <m/>
    <m/>
    <n v="12"/>
    <n v="14"/>
    <n v="13"/>
    <n v="12"/>
    <s v="st"/>
    <n v="-12"/>
    <n v="6"/>
    <n v="6"/>
    <s v=""/>
    <s v=""/>
    <s v=""/>
    <m/>
    <m/>
    <s v=""/>
    <s v=""/>
    <s v=""/>
    <s v=""/>
    <s v=""/>
    <s v=""/>
    <s v=""/>
    <s v=""/>
    <s v=""/>
    <s v=""/>
    <x v="0"/>
    <m/>
    <m/>
    <s v="SR-2146Rodando"/>
  </r>
  <r>
    <x v="67"/>
    <x v="67"/>
    <x v="1"/>
    <x v="3"/>
    <m/>
    <s v="Goodyear"/>
    <s v="425/65R22.5"/>
    <s v="G296 MSA"/>
    <s v="G296 MSA"/>
    <x v="0"/>
    <n v="18.3"/>
    <n v="110"/>
    <m/>
    <m/>
    <m/>
    <m/>
    <m/>
    <s v="RE"/>
    <d v="2024-04-04T00:00:00"/>
    <m/>
    <m/>
    <n v="9"/>
    <n v="9"/>
    <n v="8"/>
    <n v="8"/>
    <s v="st"/>
    <n v="10.3"/>
    <n v="6"/>
    <n v="6"/>
    <n v="0.67213114754098369"/>
    <n v="0.56284153005464477"/>
    <n v="0.10928961748633892"/>
    <m/>
    <m/>
    <s v=""/>
    <s v=""/>
    <s v=""/>
    <s v=""/>
    <s v=""/>
    <s v=""/>
    <s v=""/>
    <s v=""/>
    <s v=""/>
    <s v=""/>
    <x v="0"/>
    <s v="Desgarro en banda de rodado"/>
    <m/>
    <s v="SR-214RERodando"/>
  </r>
  <r>
    <x v="67"/>
    <x v="67"/>
    <x v="1"/>
    <x v="4"/>
    <m/>
    <s v="Goodyear"/>
    <s v="295/80R22.5"/>
    <s v="KMAX EXTREME"/>
    <s v="KMAX EXTREME"/>
    <x v="0"/>
    <n v="17.5"/>
    <n v="100"/>
    <m/>
    <m/>
    <m/>
    <m/>
    <m/>
    <s v="RT"/>
    <d v="2024-04-04T00:00:00"/>
    <m/>
    <m/>
    <n v="6"/>
    <n v="8"/>
    <n v="7"/>
    <n v="6"/>
    <s v="st"/>
    <n v="11.5"/>
    <n v="6"/>
    <n v="6"/>
    <n v="0.65714285714285714"/>
    <n v="0.65714285714285714"/>
    <n v="0"/>
    <m/>
    <m/>
    <s v=""/>
    <s v=""/>
    <s v=""/>
    <s v=""/>
    <s v=""/>
    <s v=""/>
    <s v=""/>
    <s v=""/>
    <s v=""/>
    <s v=""/>
    <x v="0"/>
    <m/>
    <s v="Alineamiento"/>
    <s v="SR-214RTRodando"/>
  </r>
  <r>
    <x v="68"/>
    <x v="68"/>
    <x v="1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2"/>
    <n v="11"/>
    <n v="11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2221Rodando"/>
  </r>
  <r>
    <x v="68"/>
    <x v="68"/>
    <x v="1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8"/>
    <n v="8"/>
    <n v="8"/>
    <n v="8"/>
    <s v="st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2222Rodando"/>
  </r>
  <r>
    <x v="68"/>
    <x v="68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6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2223Rodando"/>
  </r>
  <r>
    <x v="68"/>
    <x v="68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2224Rodando"/>
  </r>
  <r>
    <x v="68"/>
    <x v="68"/>
    <x v="1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14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2225Rodando"/>
  </r>
  <r>
    <x v="68"/>
    <x v="68"/>
    <x v="1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226Rodando"/>
  </r>
  <r>
    <x v="68"/>
    <x v="68"/>
    <x v="1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SR-222RERodando"/>
  </r>
  <r>
    <x v="68"/>
    <x v="68"/>
    <x v="1"/>
    <x v="4"/>
    <m/>
    <s v="Michelin"/>
    <s v="295/80R22.5"/>
    <s v="XMULTI2D"/>
    <s v="XMULTI2D"/>
    <x v="0"/>
    <n v="21.4"/>
    <n v="110"/>
    <m/>
    <m/>
    <m/>
    <m/>
    <m/>
    <s v="RT"/>
    <d v="2024-04-03T00:00:00"/>
    <m/>
    <m/>
    <n v="17"/>
    <m/>
    <n v="17"/>
    <n v="17"/>
    <s v="st"/>
    <n v="4.3999999999999986"/>
    <n v="6"/>
    <n v="6"/>
    <n v="0.71962616822429903"/>
    <n v="0.20560747663551393"/>
    <n v="0.5140186915887851"/>
    <m/>
    <m/>
    <s v=""/>
    <s v=""/>
    <s v=""/>
    <s v=""/>
    <s v=""/>
    <s v=""/>
    <s v=""/>
    <s v=""/>
    <s v=""/>
    <s v=""/>
    <x v="0"/>
    <m/>
    <m/>
    <s v="SR-222RTRodando"/>
  </r>
  <r>
    <x v="69"/>
    <x v="69"/>
    <x v="0"/>
    <x v="0"/>
    <m/>
    <s v="Goodyear"/>
    <s v="295/80R22.5"/>
    <s v="KMAX S"/>
    <s v="KMAX S"/>
    <x v="0"/>
    <n v="15.8"/>
    <n v="100"/>
    <m/>
    <m/>
    <m/>
    <m/>
    <m/>
    <s v="1"/>
    <d v="2024-04-03T00:00:00"/>
    <m/>
    <m/>
    <n v="13"/>
    <n v="14"/>
    <n v="13"/>
    <n v="13"/>
    <s v="tp"/>
    <n v="2.8000000000000007"/>
    <n v="6"/>
    <n v="6"/>
    <n v="0.620253164556962"/>
    <n v="0.17721518987341778"/>
    <n v="0.44303797468354422"/>
    <m/>
    <m/>
    <s v=""/>
    <s v=""/>
    <s v=""/>
    <s v=""/>
    <s v=""/>
    <s v=""/>
    <s v=""/>
    <s v=""/>
    <s v=""/>
    <s v=""/>
    <x v="0"/>
    <m/>
    <m/>
    <s v="TC-2221Rodando"/>
  </r>
  <r>
    <x v="69"/>
    <x v="69"/>
    <x v="0"/>
    <x v="0"/>
    <m/>
    <s v="Goodyear"/>
    <s v="295/80R22.5"/>
    <s v="KMAX S"/>
    <s v="KMAX S"/>
    <x v="0"/>
    <n v="15.8"/>
    <n v="100"/>
    <m/>
    <m/>
    <m/>
    <m/>
    <m/>
    <s v="2"/>
    <d v="2024-04-03T00:00:00"/>
    <m/>
    <m/>
    <n v="12"/>
    <n v="13"/>
    <n v="12"/>
    <n v="12"/>
    <s v="tp"/>
    <n v="3.8000000000000007"/>
    <n v="6"/>
    <n v="6"/>
    <n v="0.620253164556962"/>
    <n v="0.24050632911392411"/>
    <n v="0.37974683544303789"/>
    <m/>
    <m/>
    <s v=""/>
    <s v=""/>
    <s v=""/>
    <s v=""/>
    <s v=""/>
    <s v=""/>
    <s v=""/>
    <s v=""/>
    <s v=""/>
    <s v=""/>
    <x v="0"/>
    <m/>
    <m/>
    <s v="TC-2222Rodando"/>
  </r>
  <r>
    <x v="69"/>
    <x v="69"/>
    <x v="0"/>
    <x v="1"/>
    <m/>
    <s v="Michelin"/>
    <s v="295/80R22.5"/>
    <s v="XMULTI2D"/>
    <s v="XMULTI2D"/>
    <x v="0"/>
    <n v="21.4"/>
    <n v="110"/>
    <m/>
    <m/>
    <m/>
    <m/>
    <m/>
    <s v="3"/>
    <d v="2024-04-03T00:00:00"/>
    <m/>
    <m/>
    <n v="8"/>
    <m/>
    <n v="9"/>
    <n v="8"/>
    <s v="tm"/>
    <n v="13.399999999999999"/>
    <n v="6"/>
    <n v="6"/>
    <n v="0.71962616822429903"/>
    <n v="0.62616822429906538"/>
    <n v="9.3457943925233655E-2"/>
    <m/>
    <m/>
    <s v=""/>
    <s v=""/>
    <s v=""/>
    <s v=""/>
    <s v=""/>
    <s v=""/>
    <s v=""/>
    <s v=""/>
    <s v=""/>
    <s v=""/>
    <x v="0"/>
    <m/>
    <m/>
    <s v="TC-2223Rodando"/>
  </r>
  <r>
    <x v="69"/>
    <x v="69"/>
    <x v="0"/>
    <x v="1"/>
    <m/>
    <s v="Michelin"/>
    <s v="295/80R22.5"/>
    <s v="XMULTI2D"/>
    <s v="XMULTI2D"/>
    <x v="0"/>
    <n v="21.4"/>
    <n v="110"/>
    <m/>
    <m/>
    <m/>
    <m/>
    <m/>
    <s v="4"/>
    <d v="2024-04-03T00:00:00"/>
    <m/>
    <m/>
    <n v="6"/>
    <m/>
    <n v="6"/>
    <n v="6"/>
    <s v="tm"/>
    <n v="15.399999999999999"/>
    <n v="6"/>
    <n v="6"/>
    <n v="0.71962616822429903"/>
    <n v="0.71962616822429903"/>
    <n v="0"/>
    <m/>
    <m/>
    <s v=""/>
    <s v=""/>
    <s v=""/>
    <s v=""/>
    <s v=""/>
    <s v=""/>
    <s v=""/>
    <s v=""/>
    <s v=""/>
    <s v=""/>
    <x v="0"/>
    <m/>
    <m/>
    <s v="TC-2224Rodando"/>
  </r>
  <r>
    <x v="69"/>
    <x v="69"/>
    <x v="0"/>
    <x v="1"/>
    <m/>
    <s v="Michelin"/>
    <s v="295/80R22.5"/>
    <s v="XMULTI2D"/>
    <s v="XMULTI2D"/>
    <x v="0"/>
    <n v="21.4"/>
    <n v="110"/>
    <m/>
    <m/>
    <m/>
    <m/>
    <m/>
    <s v="5"/>
    <d v="2024-04-03T00:00:00"/>
    <m/>
    <m/>
    <n v="6"/>
    <m/>
    <n v="8"/>
    <n v="6"/>
    <s v="tm"/>
    <n v="15.399999999999999"/>
    <n v="6"/>
    <n v="6"/>
    <n v="0.71962616822429903"/>
    <n v="0.71962616822429903"/>
    <n v="0"/>
    <m/>
    <m/>
    <s v=""/>
    <s v=""/>
    <s v=""/>
    <s v=""/>
    <s v=""/>
    <s v=""/>
    <s v=""/>
    <s v=""/>
    <s v=""/>
    <s v=""/>
    <x v="0"/>
    <m/>
    <m/>
    <s v="TC-2225Rodando"/>
  </r>
  <r>
    <x v="69"/>
    <x v="69"/>
    <x v="0"/>
    <x v="1"/>
    <m/>
    <s v="Michelin"/>
    <s v="295/80R22.5"/>
    <s v="XMULTI2D"/>
    <s v="XMULTI2D"/>
    <x v="0"/>
    <n v="21.4"/>
    <n v="110"/>
    <m/>
    <m/>
    <m/>
    <m/>
    <m/>
    <s v="6"/>
    <d v="2024-04-03T00:00:00"/>
    <m/>
    <m/>
    <n v="8"/>
    <m/>
    <n v="9"/>
    <n v="8"/>
    <s v="tm"/>
    <n v="13.399999999999999"/>
    <n v="6"/>
    <n v="6"/>
    <n v="0.71962616822429903"/>
    <n v="0.62616822429906538"/>
    <n v="9.3457943925233655E-2"/>
    <m/>
    <m/>
    <s v=""/>
    <s v=""/>
    <s v=""/>
    <s v=""/>
    <s v=""/>
    <s v=""/>
    <s v=""/>
    <s v=""/>
    <s v=""/>
    <s v=""/>
    <x v="0"/>
    <m/>
    <m/>
    <s v="TC-2226Rodando"/>
  </r>
  <r>
    <x v="69"/>
    <x v="69"/>
    <x v="0"/>
    <x v="1"/>
    <m/>
    <s v="Michelin"/>
    <s v="295/80R22.5"/>
    <s v="XMULTI2D"/>
    <s v="XMULTI2D"/>
    <x v="0"/>
    <n v="21.4"/>
    <n v="110"/>
    <m/>
    <m/>
    <m/>
    <m/>
    <m/>
    <s v="7"/>
    <d v="2024-04-03T00:00:00"/>
    <m/>
    <m/>
    <n v="9"/>
    <m/>
    <n v="9"/>
    <n v="9"/>
    <s v="tm"/>
    <n v="12.399999999999999"/>
    <n v="6"/>
    <n v="6"/>
    <n v="0.71962616822429903"/>
    <n v="0.57943925233644855"/>
    <n v="0.14018691588785048"/>
    <m/>
    <m/>
    <s v=""/>
    <s v=""/>
    <s v=""/>
    <s v=""/>
    <s v=""/>
    <s v=""/>
    <s v=""/>
    <s v=""/>
    <s v=""/>
    <s v=""/>
    <x v="0"/>
    <m/>
    <m/>
    <s v="TC-2227Rodando"/>
  </r>
  <r>
    <x v="69"/>
    <x v="69"/>
    <x v="0"/>
    <x v="1"/>
    <m/>
    <s v="Michelin"/>
    <s v="295/80R22.5"/>
    <s v="XMULTI2D"/>
    <s v="XMULTI2D"/>
    <x v="0"/>
    <n v="21.4"/>
    <n v="110"/>
    <m/>
    <m/>
    <m/>
    <m/>
    <m/>
    <s v="8"/>
    <d v="2024-04-03T00:00:00"/>
    <m/>
    <m/>
    <n v="9"/>
    <m/>
    <n v="9"/>
    <n v="9"/>
    <s v="tm"/>
    <n v="12.399999999999999"/>
    <n v="6"/>
    <n v="6"/>
    <n v="0.71962616822429903"/>
    <n v="0.57943925233644855"/>
    <n v="0.14018691588785048"/>
    <m/>
    <m/>
    <s v=""/>
    <s v=""/>
    <s v=""/>
    <s v=""/>
    <s v=""/>
    <s v=""/>
    <s v=""/>
    <s v=""/>
    <s v=""/>
    <s v=""/>
    <x v="0"/>
    <m/>
    <m/>
    <s v="TC-2228Rodando"/>
  </r>
  <r>
    <x v="69"/>
    <x v="69"/>
    <x v="0"/>
    <x v="1"/>
    <m/>
    <s v="Michelin"/>
    <s v="295/80R22.5"/>
    <s v="XMULTI2D"/>
    <s v="XMULTI2D"/>
    <x v="0"/>
    <n v="21.4"/>
    <n v="110"/>
    <m/>
    <m/>
    <m/>
    <m/>
    <m/>
    <s v="9"/>
    <d v="2024-04-03T00:00:00"/>
    <m/>
    <m/>
    <n v="9"/>
    <m/>
    <n v="11"/>
    <n v="9"/>
    <s v="tm"/>
    <n v="12.399999999999999"/>
    <n v="6"/>
    <n v="6"/>
    <n v="0.71962616822429903"/>
    <n v="0.57943925233644855"/>
    <n v="0.14018691588785048"/>
    <m/>
    <m/>
    <s v=""/>
    <s v=""/>
    <s v=""/>
    <s v=""/>
    <s v=""/>
    <s v=""/>
    <s v=""/>
    <s v=""/>
    <s v=""/>
    <s v=""/>
    <x v="0"/>
    <m/>
    <m/>
    <s v="TC-2229Rodando"/>
  </r>
  <r>
    <x v="69"/>
    <x v="69"/>
    <x v="0"/>
    <x v="1"/>
    <m/>
    <s v="Michelin"/>
    <s v="295/80R22.5"/>
    <s v="XMULTI2D"/>
    <s v="XMULTI2D"/>
    <x v="0"/>
    <n v="21.4"/>
    <n v="110"/>
    <m/>
    <m/>
    <m/>
    <m/>
    <m/>
    <s v="10"/>
    <d v="2024-04-03T00:00:00"/>
    <m/>
    <m/>
    <n v="9"/>
    <m/>
    <n v="9"/>
    <n v="9"/>
    <s v="st"/>
    <n v="12.399999999999999"/>
    <n v="6"/>
    <n v="6"/>
    <n v="0.71962616822429903"/>
    <n v="0.57943925233644855"/>
    <n v="0.14018691588785048"/>
    <m/>
    <m/>
    <s v=""/>
    <s v=""/>
    <s v=""/>
    <s v=""/>
    <s v=""/>
    <s v=""/>
    <s v=""/>
    <s v=""/>
    <s v=""/>
    <s v=""/>
    <x v="0"/>
    <m/>
    <m/>
    <s v="TC-22210Rodando"/>
  </r>
  <r>
    <x v="70"/>
    <x v="70"/>
    <x v="1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1"/>
    <n v="11"/>
    <n v="11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2241Rodando"/>
  </r>
  <r>
    <x v="70"/>
    <x v="70"/>
    <x v="1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12"/>
    <n v="11"/>
    <n v="12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2242Rodando"/>
  </r>
  <r>
    <x v="70"/>
    <x v="70"/>
    <x v="1"/>
    <x v="2"/>
    <s v="222"/>
    <s v="Aeolus"/>
    <s v="445/65R22.5"/>
    <s v="AGC28"/>
    <s v="AGC28"/>
    <x v="0"/>
    <n v="16.5"/>
    <n v="110"/>
    <m/>
    <m/>
    <m/>
    <m/>
    <m/>
    <s v="3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243Rodando"/>
  </r>
  <r>
    <x v="70"/>
    <x v="70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2244Rodando"/>
  </r>
  <r>
    <x v="70"/>
    <x v="70"/>
    <x v="1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12"/>
    <n v="12"/>
    <n v="12"/>
    <n v="12"/>
    <s v="tm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2245Rodando"/>
  </r>
  <r>
    <x v="70"/>
    <x v="70"/>
    <x v="1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12"/>
    <n v="12"/>
    <n v="12"/>
    <n v="12"/>
    <s v="tm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2246Rodando"/>
  </r>
  <r>
    <x v="70"/>
    <x v="70"/>
    <x v="1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SR-224RERodando"/>
  </r>
  <r>
    <x v="70"/>
    <x v="70"/>
    <x v="1"/>
    <x v="4"/>
    <m/>
    <s v="Michelin"/>
    <s v="295/80R22.5"/>
    <s v="XMULTI2D"/>
    <s v="XMULTI2D"/>
    <x v="0"/>
    <n v="21.4"/>
    <n v="110"/>
    <m/>
    <m/>
    <m/>
    <m/>
    <m/>
    <s v="RT"/>
    <d v="2024-04-03T00:00:00"/>
    <m/>
    <m/>
    <n v="21"/>
    <m/>
    <n v="21"/>
    <n v="21"/>
    <s v="st"/>
    <n v="0.39999999999999858"/>
    <n v="6"/>
    <n v="6"/>
    <n v="0.71962616822429903"/>
    <n v="1.869158878504662E-2"/>
    <n v="0.70093457943925241"/>
    <m/>
    <m/>
    <s v=""/>
    <s v=""/>
    <s v=""/>
    <s v=""/>
    <s v=""/>
    <s v=""/>
    <s v=""/>
    <s v=""/>
    <s v=""/>
    <s v=""/>
    <x v="0"/>
    <m/>
    <m/>
    <s v="SR-224RTRodando"/>
  </r>
  <r>
    <x v="71"/>
    <x v="71"/>
    <x v="0"/>
    <x v="0"/>
    <m/>
    <s v="Goodyear"/>
    <s v="295/80R22.5"/>
    <s v="KMAX S"/>
    <s v="KMAX S"/>
    <x v="0"/>
    <n v="15.8"/>
    <n v="100"/>
    <m/>
    <m/>
    <m/>
    <m/>
    <m/>
    <s v="1"/>
    <d v="2024-04-03T00:00:00"/>
    <m/>
    <m/>
    <n v="11"/>
    <n v="11"/>
    <n v="11"/>
    <n v="11"/>
    <s v="tm"/>
    <n v="4.8000000000000007"/>
    <n v="6"/>
    <n v="6"/>
    <n v="0.620253164556962"/>
    <n v="0.30379746835443044"/>
    <n v="0.31645569620253156"/>
    <m/>
    <m/>
    <s v=""/>
    <s v=""/>
    <s v=""/>
    <s v=""/>
    <s v=""/>
    <s v=""/>
    <s v=""/>
    <s v=""/>
    <s v=""/>
    <s v=""/>
    <x v="0"/>
    <m/>
    <m/>
    <s v="TC-2261Rodando"/>
  </r>
  <r>
    <x v="71"/>
    <x v="71"/>
    <x v="0"/>
    <x v="0"/>
    <m/>
    <s v="Goodyear"/>
    <s v="295/80R22.5"/>
    <s v="KMAX S"/>
    <s v="KMAX S"/>
    <x v="0"/>
    <n v="15.8"/>
    <n v="100"/>
    <m/>
    <m/>
    <m/>
    <m/>
    <m/>
    <s v="2"/>
    <d v="2024-04-03T00:00:00"/>
    <m/>
    <m/>
    <n v="14"/>
    <n v="14"/>
    <n v="14"/>
    <n v="14"/>
    <s v="tm"/>
    <n v="1.8000000000000007"/>
    <n v="6"/>
    <n v="6"/>
    <n v="0.620253164556962"/>
    <n v="0.11392405063291144"/>
    <n v="0.50632911392405056"/>
    <m/>
    <m/>
    <s v=""/>
    <s v=""/>
    <s v=""/>
    <s v=""/>
    <s v=""/>
    <s v=""/>
    <s v=""/>
    <s v=""/>
    <s v=""/>
    <s v=""/>
    <x v="0"/>
    <m/>
    <m/>
    <s v="TC-2262Rodando"/>
  </r>
  <r>
    <x v="71"/>
    <x v="71"/>
    <x v="0"/>
    <x v="1"/>
    <m/>
    <s v="Michelin"/>
    <s v="295/80R22.5"/>
    <s v="XMULTI2D"/>
    <s v="XMULTI2D"/>
    <x v="0"/>
    <n v="21.4"/>
    <n v="110"/>
    <m/>
    <m/>
    <m/>
    <m/>
    <m/>
    <s v="3"/>
    <d v="2024-04-03T00:00:00"/>
    <m/>
    <m/>
    <n v="11"/>
    <m/>
    <n v="11"/>
    <n v="11"/>
    <s v="tm"/>
    <n v="10.399999999999999"/>
    <n v="6"/>
    <n v="6"/>
    <n v="0.71962616822429903"/>
    <n v="0.4859813084112149"/>
    <n v="0.23364485981308414"/>
    <m/>
    <m/>
    <s v=""/>
    <s v=""/>
    <s v=""/>
    <s v=""/>
    <s v=""/>
    <s v=""/>
    <s v=""/>
    <s v=""/>
    <s v=""/>
    <s v=""/>
    <x v="0"/>
    <m/>
    <m/>
    <s v="TC-2263Rodando"/>
  </r>
  <r>
    <x v="71"/>
    <x v="71"/>
    <x v="0"/>
    <x v="1"/>
    <m/>
    <s v="Michelin"/>
    <s v="295/80R22.5"/>
    <s v="XMULTI2D"/>
    <s v="XMULTI2D"/>
    <x v="0"/>
    <n v="21.4"/>
    <n v="110"/>
    <m/>
    <m/>
    <m/>
    <m/>
    <m/>
    <s v="4"/>
    <d v="2024-04-03T00:00:00"/>
    <m/>
    <m/>
    <n v="9"/>
    <m/>
    <n v="9"/>
    <n v="9"/>
    <s v="st"/>
    <n v="12.399999999999999"/>
    <n v="6"/>
    <n v="6"/>
    <n v="0.71962616822429903"/>
    <n v="0.57943925233644855"/>
    <n v="0.14018691588785048"/>
    <m/>
    <m/>
    <s v=""/>
    <s v=""/>
    <s v=""/>
    <s v=""/>
    <s v=""/>
    <s v=""/>
    <s v=""/>
    <s v=""/>
    <s v=""/>
    <s v=""/>
    <x v="0"/>
    <m/>
    <m/>
    <s v="TC-2264Rodando"/>
  </r>
  <r>
    <x v="71"/>
    <x v="71"/>
    <x v="0"/>
    <x v="1"/>
    <m/>
    <s v="Michelin"/>
    <s v="295/80R22.5"/>
    <s v="XMULTI2D"/>
    <s v="XMULTI2D"/>
    <x v="0"/>
    <n v="21.4"/>
    <n v="110"/>
    <m/>
    <m/>
    <m/>
    <m/>
    <m/>
    <s v="5"/>
    <d v="2024-04-03T00:00:00"/>
    <m/>
    <m/>
    <n v="9"/>
    <m/>
    <n v="10"/>
    <n v="9"/>
    <s v="st"/>
    <n v="12.399999999999999"/>
    <n v="6"/>
    <n v="6"/>
    <n v="0.71962616822429903"/>
    <n v="0.57943925233644855"/>
    <n v="0.14018691588785048"/>
    <m/>
    <m/>
    <s v=""/>
    <s v=""/>
    <s v=""/>
    <s v=""/>
    <s v=""/>
    <s v=""/>
    <s v=""/>
    <s v=""/>
    <s v=""/>
    <s v=""/>
    <x v="0"/>
    <m/>
    <m/>
    <s v="TC-2265Rodando"/>
  </r>
  <r>
    <x v="71"/>
    <x v="71"/>
    <x v="0"/>
    <x v="1"/>
    <m/>
    <s v="Michelin"/>
    <s v="295/80R22.5"/>
    <s v="XMULTI2D"/>
    <s v="XMULTI2D"/>
    <x v="0"/>
    <n v="21.4"/>
    <n v="110"/>
    <m/>
    <m/>
    <m/>
    <m/>
    <m/>
    <s v="6"/>
    <d v="2024-04-03T00:00:00"/>
    <m/>
    <m/>
    <n v="11"/>
    <m/>
    <n v="11"/>
    <n v="11"/>
    <s v="tm"/>
    <n v="10.399999999999999"/>
    <n v="6"/>
    <n v="6"/>
    <n v="0.71962616822429903"/>
    <n v="0.4859813084112149"/>
    <n v="0.23364485981308414"/>
    <m/>
    <m/>
    <s v=""/>
    <s v=""/>
    <s v=""/>
    <s v=""/>
    <s v=""/>
    <s v=""/>
    <s v=""/>
    <s v=""/>
    <s v=""/>
    <s v=""/>
    <x v="0"/>
    <m/>
    <m/>
    <s v="TC-2266Rodando"/>
  </r>
  <r>
    <x v="71"/>
    <x v="71"/>
    <x v="0"/>
    <x v="1"/>
    <m/>
    <s v="Michelin"/>
    <s v="295/80R22.5"/>
    <s v="XMULTI2D"/>
    <s v="XMULTI2D"/>
    <x v="0"/>
    <n v="21.4"/>
    <n v="110"/>
    <m/>
    <m/>
    <m/>
    <m/>
    <m/>
    <s v="7"/>
    <d v="2024-04-03T00:00:00"/>
    <m/>
    <m/>
    <n v="18"/>
    <m/>
    <n v="19"/>
    <n v="18"/>
    <s v="st"/>
    <n v="3.3999999999999986"/>
    <n v="6"/>
    <n v="6"/>
    <n v="0.71962616822429903"/>
    <n v="0.1588785046728971"/>
    <n v="0.56074766355140193"/>
    <m/>
    <m/>
    <s v=""/>
    <s v=""/>
    <s v=""/>
    <s v=""/>
    <s v=""/>
    <s v=""/>
    <s v=""/>
    <s v=""/>
    <s v=""/>
    <s v=""/>
    <x v="0"/>
    <m/>
    <m/>
    <s v="TC-2267Rodando"/>
  </r>
  <r>
    <x v="71"/>
    <x v="71"/>
    <x v="0"/>
    <x v="1"/>
    <m/>
    <s v="Michelin"/>
    <s v="295/80R22.5"/>
    <s v="XMULTI2D"/>
    <s v="XMULTI2D"/>
    <x v="0"/>
    <n v="21.4"/>
    <n v="110"/>
    <m/>
    <m/>
    <m/>
    <m/>
    <m/>
    <s v="8"/>
    <d v="2024-04-03T00:00:00"/>
    <m/>
    <m/>
    <n v="19"/>
    <m/>
    <n v="19"/>
    <n v="19"/>
    <s v="tm"/>
    <n v="2.3999999999999986"/>
    <n v="6"/>
    <n v="6"/>
    <n v="0.71962616822429903"/>
    <n v="0.11214953271028028"/>
    <n v="0.60747663551401876"/>
    <m/>
    <m/>
    <s v=""/>
    <s v=""/>
    <s v=""/>
    <s v=""/>
    <s v=""/>
    <s v=""/>
    <s v=""/>
    <s v=""/>
    <s v=""/>
    <s v=""/>
    <x v="0"/>
    <m/>
    <m/>
    <s v="TC-2268Rodando"/>
  </r>
  <r>
    <x v="71"/>
    <x v="71"/>
    <x v="0"/>
    <x v="1"/>
    <m/>
    <s v="Michelin"/>
    <s v="295/80R22.5"/>
    <s v="XMULTI2D"/>
    <s v="XMULTI2D"/>
    <x v="0"/>
    <n v="21.4"/>
    <n v="110"/>
    <m/>
    <m/>
    <m/>
    <m/>
    <m/>
    <s v="9"/>
    <d v="2024-04-03T00:00:00"/>
    <m/>
    <m/>
    <n v="19"/>
    <m/>
    <n v="19"/>
    <n v="19"/>
    <s v="st"/>
    <n v="2.3999999999999986"/>
    <n v="6"/>
    <n v="6"/>
    <n v="0.71962616822429903"/>
    <n v="0.11214953271028028"/>
    <n v="0.60747663551401876"/>
    <m/>
    <m/>
    <s v=""/>
    <s v=""/>
    <s v=""/>
    <s v=""/>
    <s v=""/>
    <s v=""/>
    <s v=""/>
    <s v=""/>
    <s v=""/>
    <s v=""/>
    <x v="0"/>
    <m/>
    <m/>
    <s v="TC-2269Rodando"/>
  </r>
  <r>
    <x v="71"/>
    <x v="71"/>
    <x v="0"/>
    <x v="1"/>
    <m/>
    <s v="Michelin"/>
    <s v="295/80R22.5"/>
    <s v="XMULTI2D"/>
    <s v="XMULTI2D"/>
    <x v="0"/>
    <n v="21.4"/>
    <n v="110"/>
    <m/>
    <m/>
    <m/>
    <m/>
    <m/>
    <s v="10"/>
    <d v="2024-04-03T00:00:00"/>
    <m/>
    <m/>
    <n v="19"/>
    <m/>
    <n v="19"/>
    <n v="19"/>
    <s v="tm"/>
    <n v="2.3999999999999986"/>
    <n v="6"/>
    <n v="6"/>
    <n v="0.71962616822429903"/>
    <n v="0.11214953271028028"/>
    <n v="0.60747663551401876"/>
    <m/>
    <m/>
    <s v=""/>
    <s v=""/>
    <s v=""/>
    <s v=""/>
    <s v=""/>
    <s v=""/>
    <s v=""/>
    <s v=""/>
    <s v=""/>
    <s v=""/>
    <x v="0"/>
    <m/>
    <m/>
    <s v="TC-22610Rodando"/>
  </r>
  <r>
    <x v="72"/>
    <x v="72"/>
    <x v="0"/>
    <x v="0"/>
    <m/>
    <s v="Michelin"/>
    <s v="295/80R22.5"/>
    <s v="XMULTI+Z"/>
    <s v="XMULTI+Z"/>
    <x v="0"/>
    <n v="16"/>
    <n v="100"/>
    <m/>
    <m/>
    <m/>
    <m/>
    <m/>
    <s v="1"/>
    <d v="2024-04-02T00:00:00"/>
    <m/>
    <m/>
    <n v="3"/>
    <n v="5"/>
    <n v="6"/>
    <n v="3"/>
    <s v="tm"/>
    <n v="13"/>
    <n v="6"/>
    <n v="3"/>
    <n v="0.625"/>
    <n v="0.8125"/>
    <n v="-0.1875"/>
    <m/>
    <m/>
    <s v=""/>
    <s v=""/>
    <s v=""/>
    <s v=""/>
    <s v=""/>
    <s v=""/>
    <s v=""/>
    <s v=""/>
    <s v=""/>
    <s v=""/>
    <x v="0"/>
    <m/>
    <s v="Alineamiento"/>
    <s v="TC-2301Rodando"/>
  </r>
  <r>
    <x v="72"/>
    <x v="72"/>
    <x v="0"/>
    <x v="0"/>
    <m/>
    <s v="Michelin"/>
    <s v="295/80R22.5"/>
    <s v="XMULTI+Z"/>
    <s v="XMULTI+Z"/>
    <x v="0"/>
    <n v="16"/>
    <n v="100"/>
    <m/>
    <m/>
    <m/>
    <m/>
    <m/>
    <s v="2"/>
    <d v="2024-04-02T00:00:00"/>
    <m/>
    <m/>
    <n v="7"/>
    <n v="8"/>
    <n v="7"/>
    <n v="7"/>
    <s v="tm"/>
    <n v="9"/>
    <n v="6"/>
    <n v="6"/>
    <n v="0.625"/>
    <n v="0.5625"/>
    <n v="6.25E-2"/>
    <m/>
    <m/>
    <s v=""/>
    <s v=""/>
    <s v=""/>
    <s v=""/>
    <s v=""/>
    <s v=""/>
    <s v=""/>
    <s v=""/>
    <s v=""/>
    <s v=""/>
    <x v="0"/>
    <m/>
    <s v="Alineamiento"/>
    <s v="TC-2302Rodando"/>
  </r>
  <r>
    <x v="72"/>
    <x v="72"/>
    <x v="0"/>
    <x v="1"/>
    <m/>
    <s v="Michelin"/>
    <s v="295/80R22.5"/>
    <s v="XMULTI2D"/>
    <s v="XMULTI2D"/>
    <x v="0"/>
    <n v="21.4"/>
    <n v="110"/>
    <m/>
    <m/>
    <m/>
    <m/>
    <m/>
    <s v="3"/>
    <d v="2024-04-02T00:00:00"/>
    <m/>
    <m/>
    <n v="6"/>
    <m/>
    <n v="7"/>
    <n v="6"/>
    <s v="tm"/>
    <n v="15.399999999999999"/>
    <n v="6"/>
    <n v="6"/>
    <n v="0.71962616822429903"/>
    <n v="0.71962616822429903"/>
    <n v="0"/>
    <m/>
    <m/>
    <s v=""/>
    <s v=""/>
    <s v=""/>
    <s v=""/>
    <s v=""/>
    <s v=""/>
    <s v=""/>
    <s v=""/>
    <s v=""/>
    <s v=""/>
    <x v="0"/>
    <m/>
    <m/>
    <s v="TC-2303Rodando"/>
  </r>
  <r>
    <x v="72"/>
    <x v="72"/>
    <x v="0"/>
    <x v="1"/>
    <m/>
    <s v="Michelin"/>
    <s v="295/80R22.5"/>
    <s v="XMULTI2D"/>
    <s v="XMULTI2D"/>
    <x v="0"/>
    <n v="21.4"/>
    <n v="110"/>
    <m/>
    <m/>
    <m/>
    <m/>
    <m/>
    <s v="4"/>
    <d v="2024-04-02T00:00:00"/>
    <m/>
    <m/>
    <n v="6"/>
    <m/>
    <n v="8"/>
    <n v="6"/>
    <s v="tm"/>
    <n v="15.399999999999999"/>
    <n v="6"/>
    <n v="6"/>
    <n v="0.71962616822429903"/>
    <n v="0.71962616822429903"/>
    <n v="0"/>
    <m/>
    <m/>
    <s v=""/>
    <s v=""/>
    <s v=""/>
    <s v=""/>
    <s v=""/>
    <s v=""/>
    <s v=""/>
    <s v=""/>
    <s v=""/>
    <s v=""/>
    <x v="0"/>
    <m/>
    <m/>
    <s v="TC-2304Rodando"/>
  </r>
  <r>
    <x v="72"/>
    <x v="72"/>
    <x v="0"/>
    <x v="1"/>
    <m/>
    <s v="Michelin"/>
    <s v="295/80R22.5"/>
    <s v="XMULTI2D"/>
    <s v="XMULTI2D"/>
    <x v="0"/>
    <n v="21.4"/>
    <n v="110"/>
    <m/>
    <m/>
    <m/>
    <m/>
    <m/>
    <s v="5"/>
    <d v="2024-04-02T00:00:00"/>
    <m/>
    <m/>
    <n v="3"/>
    <m/>
    <n v="4"/>
    <n v="3"/>
    <s v="tm"/>
    <n v="18.399999999999999"/>
    <n v="6"/>
    <n v="3"/>
    <n v="0.71962616822429903"/>
    <n v="0.85981308411214952"/>
    <n v="-0.14018691588785048"/>
    <m/>
    <m/>
    <s v=""/>
    <s v=""/>
    <s v=""/>
    <s v=""/>
    <s v=""/>
    <s v=""/>
    <s v=""/>
    <s v=""/>
    <s v=""/>
    <s v=""/>
    <x v="0"/>
    <m/>
    <m/>
    <s v="TC-2305Rodando"/>
  </r>
  <r>
    <x v="72"/>
    <x v="72"/>
    <x v="0"/>
    <x v="1"/>
    <m/>
    <s v="Michelin"/>
    <s v="295/80R22.5"/>
    <s v="XMULTI2D"/>
    <s v="XMULTI2D"/>
    <x v="0"/>
    <n v="21.4"/>
    <n v="110"/>
    <m/>
    <m/>
    <m/>
    <m/>
    <m/>
    <s v="6"/>
    <d v="2024-04-02T00:00:00"/>
    <m/>
    <m/>
    <n v="6"/>
    <m/>
    <n v="5"/>
    <n v="5"/>
    <s v="tm"/>
    <n v="16.399999999999999"/>
    <n v="6"/>
    <n v="5"/>
    <n v="0.71962616822429903"/>
    <n v="0.76635514018691586"/>
    <n v="-4.6728971962616828E-2"/>
    <m/>
    <m/>
    <s v=""/>
    <s v=""/>
    <s v=""/>
    <s v=""/>
    <s v=""/>
    <s v=""/>
    <s v=""/>
    <s v=""/>
    <s v=""/>
    <s v=""/>
    <x v="0"/>
    <m/>
    <m/>
    <s v="TC-2306Rodando"/>
  </r>
  <r>
    <x v="72"/>
    <x v="72"/>
    <x v="0"/>
    <x v="1"/>
    <m/>
    <s v="Michelin"/>
    <s v="295/80R22.5"/>
    <s v="XMULTI2D"/>
    <s v="XMULTI2D"/>
    <x v="0"/>
    <n v="21.4"/>
    <n v="110"/>
    <m/>
    <m/>
    <m/>
    <m/>
    <m/>
    <s v="7"/>
    <d v="2024-04-02T00:00:00"/>
    <m/>
    <m/>
    <n v="7"/>
    <m/>
    <n v="8"/>
    <n v="7"/>
    <s v="tm"/>
    <n v="14.399999999999999"/>
    <n v="6"/>
    <n v="6"/>
    <n v="0.71962616822429903"/>
    <n v="0.67289719626168221"/>
    <n v="4.6728971962616828E-2"/>
    <m/>
    <m/>
    <s v=""/>
    <s v=""/>
    <s v=""/>
    <s v=""/>
    <s v=""/>
    <s v=""/>
    <s v=""/>
    <s v=""/>
    <s v=""/>
    <s v=""/>
    <x v="0"/>
    <m/>
    <m/>
    <s v="TC-2307Rodando"/>
  </r>
  <r>
    <x v="72"/>
    <x v="72"/>
    <x v="0"/>
    <x v="1"/>
    <m/>
    <s v="Michelin"/>
    <s v="295/80R22.5"/>
    <s v="XMULTI2D"/>
    <s v="XMULTI2D"/>
    <x v="0"/>
    <n v="21.4"/>
    <n v="110"/>
    <m/>
    <m/>
    <m/>
    <m/>
    <m/>
    <s v="8"/>
    <d v="2024-04-02T00:00:00"/>
    <m/>
    <m/>
    <n v="7"/>
    <m/>
    <n v="7"/>
    <n v="7"/>
    <s v="tm"/>
    <n v="14.399999999999999"/>
    <n v="6"/>
    <n v="6"/>
    <n v="0.71962616822429903"/>
    <n v="0.67289719626168221"/>
    <n v="4.6728971962616828E-2"/>
    <m/>
    <m/>
    <s v=""/>
    <s v=""/>
    <s v=""/>
    <s v=""/>
    <s v=""/>
    <s v=""/>
    <s v=""/>
    <s v=""/>
    <s v=""/>
    <s v=""/>
    <x v="0"/>
    <m/>
    <m/>
    <s v="TC-2308Rodando"/>
  </r>
  <r>
    <x v="72"/>
    <x v="72"/>
    <x v="0"/>
    <x v="1"/>
    <m/>
    <s v="Michelin"/>
    <s v="295/80R22.5"/>
    <s v="XMULTI2D"/>
    <s v="XMULTI2D"/>
    <x v="0"/>
    <n v="21.4"/>
    <n v="110"/>
    <m/>
    <m/>
    <m/>
    <m/>
    <m/>
    <s v="9"/>
    <d v="2024-04-02T00:00:00"/>
    <m/>
    <m/>
    <n v="7"/>
    <m/>
    <n v="8"/>
    <n v="7"/>
    <s v="tm"/>
    <n v="14.399999999999999"/>
    <n v="6"/>
    <n v="6"/>
    <n v="0.71962616822429903"/>
    <n v="0.67289719626168221"/>
    <n v="4.6728971962616828E-2"/>
    <m/>
    <m/>
    <s v=""/>
    <s v=""/>
    <s v=""/>
    <s v=""/>
    <s v=""/>
    <s v=""/>
    <s v=""/>
    <s v=""/>
    <s v=""/>
    <s v=""/>
    <x v="0"/>
    <m/>
    <m/>
    <s v="TC-2309Rodando"/>
  </r>
  <r>
    <x v="72"/>
    <x v="72"/>
    <x v="0"/>
    <x v="1"/>
    <m/>
    <s v="Michelin"/>
    <s v="295/80R22.5"/>
    <s v="XMULTI2D"/>
    <s v="XMULTI2D"/>
    <x v="0"/>
    <n v="21.4"/>
    <n v="110"/>
    <m/>
    <m/>
    <m/>
    <m/>
    <m/>
    <s v="10"/>
    <d v="2024-04-02T00:00:00"/>
    <m/>
    <m/>
    <n v="7"/>
    <m/>
    <n v="8"/>
    <n v="7"/>
    <s v="st"/>
    <n v="14.399999999999999"/>
    <n v="6"/>
    <n v="6"/>
    <n v="0.71962616822429903"/>
    <n v="0.67289719626168221"/>
    <n v="4.6728971962616828E-2"/>
    <m/>
    <m/>
    <s v=""/>
    <s v=""/>
    <s v=""/>
    <s v=""/>
    <s v=""/>
    <s v=""/>
    <s v=""/>
    <s v=""/>
    <s v=""/>
    <s v=""/>
    <x v="0"/>
    <m/>
    <m/>
    <s v="TC-23010Rodando"/>
  </r>
  <r>
    <x v="73"/>
    <x v="73"/>
    <x v="0"/>
    <x v="0"/>
    <m/>
    <s v="Michelin"/>
    <s v="295/80R22.5"/>
    <s v="XMULTI+Z"/>
    <s v="XMULTI+Z"/>
    <x v="0"/>
    <n v="16"/>
    <n v="100"/>
    <m/>
    <m/>
    <m/>
    <m/>
    <m/>
    <s v="1"/>
    <d v="2024-04-04T00:00:00"/>
    <m/>
    <m/>
    <n v="7"/>
    <n v="8"/>
    <n v="8"/>
    <n v="7"/>
    <s v="tm"/>
    <n v="9"/>
    <n v="6"/>
    <n v="6"/>
    <n v="0.625"/>
    <n v="0.5625"/>
    <n v="6.25E-2"/>
    <m/>
    <m/>
    <s v=""/>
    <s v=""/>
    <s v=""/>
    <s v=""/>
    <s v=""/>
    <s v=""/>
    <s v=""/>
    <s v=""/>
    <s v=""/>
    <s v=""/>
    <x v="0"/>
    <m/>
    <s v="Alineamiento"/>
    <s v="TC-2321Rodando"/>
  </r>
  <r>
    <x v="73"/>
    <x v="73"/>
    <x v="0"/>
    <x v="0"/>
    <m/>
    <s v="Michelin"/>
    <s v="295/80R22.5"/>
    <s v="XMULTI+Z"/>
    <s v="XMULTI+Z"/>
    <x v="0"/>
    <n v="16"/>
    <n v="100"/>
    <m/>
    <m/>
    <m/>
    <m/>
    <m/>
    <s v="2"/>
    <d v="2024-04-04T00:00:00"/>
    <m/>
    <m/>
    <n v="8"/>
    <n v="8"/>
    <n v="8"/>
    <n v="8"/>
    <s v="st"/>
    <n v="8"/>
    <n v="6"/>
    <n v="6"/>
    <n v="0.625"/>
    <n v="0.5"/>
    <n v="0.125"/>
    <m/>
    <m/>
    <s v=""/>
    <s v=""/>
    <s v=""/>
    <s v=""/>
    <s v=""/>
    <s v=""/>
    <s v=""/>
    <s v=""/>
    <s v=""/>
    <s v=""/>
    <x v="0"/>
    <m/>
    <m/>
    <s v="TC-2322Rodando"/>
  </r>
  <r>
    <x v="73"/>
    <x v="73"/>
    <x v="0"/>
    <x v="1"/>
    <m/>
    <s v="Michelin"/>
    <s v="295/80R22.5"/>
    <s v="XMULTI2D"/>
    <s v="XMULTI2D"/>
    <x v="0"/>
    <n v="21.4"/>
    <n v="110"/>
    <m/>
    <m/>
    <m/>
    <m/>
    <m/>
    <s v="3"/>
    <d v="2024-04-04T00:00:00"/>
    <m/>
    <m/>
    <n v="9"/>
    <m/>
    <n v="8"/>
    <n v="8"/>
    <s v="tm"/>
    <n v="13.399999999999999"/>
    <n v="6"/>
    <n v="6"/>
    <n v="0.71962616822429903"/>
    <n v="0.62616822429906538"/>
    <n v="9.3457943925233655E-2"/>
    <m/>
    <m/>
    <s v=""/>
    <s v=""/>
    <s v=""/>
    <s v=""/>
    <s v=""/>
    <s v=""/>
    <s v=""/>
    <s v=""/>
    <s v=""/>
    <s v=""/>
    <x v="0"/>
    <m/>
    <m/>
    <s v="TC-2323Rodando"/>
  </r>
  <r>
    <x v="73"/>
    <x v="73"/>
    <x v="0"/>
    <x v="1"/>
    <m/>
    <s v="Michelin"/>
    <s v="295/80R22.5"/>
    <s v="XMULTI2D"/>
    <s v="XMULTI2D"/>
    <x v="0"/>
    <n v="21.4"/>
    <n v="110"/>
    <m/>
    <m/>
    <m/>
    <m/>
    <m/>
    <s v="4"/>
    <d v="2024-04-04T00:00:00"/>
    <m/>
    <m/>
    <n v="8"/>
    <m/>
    <n v="9"/>
    <n v="8"/>
    <s v="tm"/>
    <n v="13.399999999999999"/>
    <n v="6"/>
    <n v="6"/>
    <n v="0.71962616822429903"/>
    <n v="0.62616822429906538"/>
    <n v="9.3457943925233655E-2"/>
    <m/>
    <m/>
    <s v=""/>
    <s v=""/>
    <s v=""/>
    <s v=""/>
    <s v=""/>
    <s v=""/>
    <s v=""/>
    <s v=""/>
    <s v=""/>
    <s v=""/>
    <x v="0"/>
    <m/>
    <m/>
    <s v="TC-2324Rodando"/>
  </r>
  <r>
    <x v="73"/>
    <x v="73"/>
    <x v="0"/>
    <x v="1"/>
    <m/>
    <s v="Michelin"/>
    <s v="295/80R22.5"/>
    <s v="XMULTI2D"/>
    <s v="XMULTI2D"/>
    <x v="0"/>
    <n v="21.4"/>
    <n v="110"/>
    <m/>
    <m/>
    <m/>
    <m/>
    <m/>
    <s v="5"/>
    <d v="2024-04-04T00:00:00"/>
    <m/>
    <m/>
    <n v="8"/>
    <m/>
    <n v="8"/>
    <n v="8"/>
    <s v="tm"/>
    <n v="13.399999999999999"/>
    <n v="6"/>
    <n v="6"/>
    <n v="0.71962616822429903"/>
    <n v="0.62616822429906538"/>
    <n v="9.3457943925233655E-2"/>
    <m/>
    <m/>
    <s v=""/>
    <s v=""/>
    <s v=""/>
    <s v=""/>
    <s v=""/>
    <s v=""/>
    <s v=""/>
    <s v=""/>
    <s v=""/>
    <s v=""/>
    <x v="0"/>
    <m/>
    <m/>
    <s v="TC-2325Rodando"/>
  </r>
  <r>
    <x v="73"/>
    <x v="73"/>
    <x v="0"/>
    <x v="1"/>
    <m/>
    <s v="Michelin"/>
    <s v="295/80R22.5"/>
    <s v="XMULTI2D"/>
    <s v="XMULTI2D"/>
    <x v="0"/>
    <n v="21.4"/>
    <n v="110"/>
    <m/>
    <m/>
    <m/>
    <m/>
    <m/>
    <s v="6"/>
    <d v="2024-04-04T00:00:00"/>
    <m/>
    <m/>
    <n v="7"/>
    <m/>
    <n v="8"/>
    <n v="7"/>
    <s v="tm"/>
    <n v="14.399999999999999"/>
    <n v="6"/>
    <n v="6"/>
    <n v="0.71962616822429903"/>
    <n v="0.67289719626168221"/>
    <n v="4.6728971962616828E-2"/>
    <m/>
    <m/>
    <s v=""/>
    <s v=""/>
    <s v=""/>
    <s v=""/>
    <s v=""/>
    <s v=""/>
    <s v=""/>
    <s v=""/>
    <s v=""/>
    <s v=""/>
    <x v="0"/>
    <m/>
    <m/>
    <s v="TC-2326Rodando"/>
  </r>
  <r>
    <x v="73"/>
    <x v="73"/>
    <x v="0"/>
    <x v="1"/>
    <m/>
    <s v="Michelin"/>
    <s v="295/80R22.5"/>
    <s v="XMULTI2D"/>
    <s v="XMULTI2D"/>
    <x v="0"/>
    <n v="21.4"/>
    <n v="110"/>
    <m/>
    <m/>
    <m/>
    <m/>
    <m/>
    <s v="7"/>
    <d v="2024-04-04T00:00:00"/>
    <m/>
    <m/>
    <n v="9"/>
    <m/>
    <n v="10"/>
    <n v="9"/>
    <s v="tm"/>
    <n v="12.399999999999999"/>
    <n v="6"/>
    <n v="6"/>
    <n v="0.71962616822429903"/>
    <n v="0.57943925233644855"/>
    <n v="0.14018691588785048"/>
    <m/>
    <m/>
    <s v=""/>
    <s v=""/>
    <s v=""/>
    <s v=""/>
    <s v=""/>
    <s v=""/>
    <s v=""/>
    <s v=""/>
    <s v=""/>
    <s v=""/>
    <x v="0"/>
    <m/>
    <m/>
    <s v="TC-2327Rodando"/>
  </r>
  <r>
    <x v="73"/>
    <x v="73"/>
    <x v="0"/>
    <x v="1"/>
    <m/>
    <s v="Michelin"/>
    <s v="295/80R22.5"/>
    <s v="XMULTI2D"/>
    <s v="XMULTI2D"/>
    <x v="0"/>
    <n v="21.4"/>
    <n v="110"/>
    <m/>
    <m/>
    <m/>
    <m/>
    <m/>
    <s v="8"/>
    <d v="2024-04-04T00:00:00"/>
    <m/>
    <m/>
    <n v="10"/>
    <m/>
    <n v="9"/>
    <n v="9"/>
    <s v="st"/>
    <n v="12.399999999999999"/>
    <n v="6"/>
    <n v="6"/>
    <n v="0.71962616822429903"/>
    <n v="0.57943925233644855"/>
    <n v="0.14018691588785048"/>
    <m/>
    <m/>
    <s v=""/>
    <s v=""/>
    <s v=""/>
    <s v=""/>
    <s v=""/>
    <s v=""/>
    <s v=""/>
    <s v=""/>
    <s v=""/>
    <s v=""/>
    <x v="0"/>
    <m/>
    <m/>
    <s v="TC-2328Rodando"/>
  </r>
  <r>
    <x v="73"/>
    <x v="73"/>
    <x v="0"/>
    <x v="1"/>
    <m/>
    <s v="Michelin"/>
    <s v="295/80R22.5"/>
    <s v="XMULTI2D"/>
    <s v="XMULTI2D"/>
    <x v="0"/>
    <n v="21.4"/>
    <n v="110"/>
    <m/>
    <m/>
    <m/>
    <m/>
    <m/>
    <s v="9"/>
    <d v="2024-04-04T00:00:00"/>
    <m/>
    <m/>
    <n v="8"/>
    <m/>
    <n v="8"/>
    <n v="8"/>
    <s v="st"/>
    <n v="13.399999999999999"/>
    <n v="6"/>
    <n v="6"/>
    <n v="0.71962616822429903"/>
    <n v="0.62616822429906538"/>
    <n v="9.3457943925233655E-2"/>
    <m/>
    <m/>
    <s v=""/>
    <s v=""/>
    <s v=""/>
    <s v=""/>
    <s v=""/>
    <s v=""/>
    <s v=""/>
    <s v=""/>
    <s v=""/>
    <s v=""/>
    <x v="0"/>
    <m/>
    <m/>
    <s v="TC-2329Rodando"/>
  </r>
  <r>
    <x v="73"/>
    <x v="73"/>
    <x v="0"/>
    <x v="1"/>
    <m/>
    <s v="Michelin"/>
    <s v="295/80R22.5"/>
    <s v="XMULTI2D"/>
    <s v="XMULTI2D"/>
    <x v="0"/>
    <n v="21.4"/>
    <n v="110"/>
    <m/>
    <m/>
    <m/>
    <m/>
    <m/>
    <s v="10"/>
    <d v="2024-04-04T00:00:00"/>
    <m/>
    <m/>
    <n v="8"/>
    <m/>
    <n v="8"/>
    <n v="8"/>
    <s v="tm"/>
    <n v="13.399999999999999"/>
    <n v="6"/>
    <n v="6"/>
    <n v="0.71962616822429903"/>
    <n v="0.62616822429906538"/>
    <n v="9.3457943925233655E-2"/>
    <m/>
    <m/>
    <s v=""/>
    <s v=""/>
    <s v=""/>
    <s v=""/>
    <s v=""/>
    <s v=""/>
    <s v=""/>
    <s v=""/>
    <s v=""/>
    <s v=""/>
    <x v="0"/>
    <m/>
    <m/>
    <s v="TC-23210Rodando"/>
  </r>
  <r>
    <x v="74"/>
    <x v="74"/>
    <x v="0"/>
    <x v="0"/>
    <m/>
    <s v="Michelin"/>
    <s v="295/80R22.5"/>
    <s v="XMULTI+Z"/>
    <s v="XMULTI+Z"/>
    <x v="0"/>
    <n v="16"/>
    <n v="100"/>
    <m/>
    <m/>
    <m/>
    <m/>
    <m/>
    <s v="1"/>
    <d v="2024-04-04T00:00:00"/>
    <m/>
    <m/>
    <n v="5"/>
    <n v="6"/>
    <n v="7"/>
    <n v="5"/>
    <s v="tm"/>
    <n v="11"/>
    <n v="6"/>
    <n v="5"/>
    <n v="0.625"/>
    <n v="0.6875"/>
    <n v="-6.25E-2"/>
    <m/>
    <m/>
    <s v=""/>
    <s v=""/>
    <s v=""/>
    <s v=""/>
    <s v=""/>
    <s v=""/>
    <s v=""/>
    <s v=""/>
    <s v=""/>
    <s v=""/>
    <x v="0"/>
    <m/>
    <s v="Alineamiento"/>
    <s v="TC-2361Rodando"/>
  </r>
  <r>
    <x v="74"/>
    <x v="74"/>
    <x v="0"/>
    <x v="0"/>
    <m/>
    <s v="Michelin"/>
    <s v="295/80R22.5"/>
    <s v="XMULTI+Z"/>
    <s v="XMULTI+Z"/>
    <x v="0"/>
    <n v="16"/>
    <n v="100"/>
    <m/>
    <m/>
    <m/>
    <m/>
    <m/>
    <s v="2"/>
    <d v="2024-04-04T00:00:00"/>
    <m/>
    <m/>
    <n v="8"/>
    <n v="8"/>
    <n v="8"/>
    <n v="8"/>
    <s v="tm"/>
    <n v="8"/>
    <n v="6"/>
    <n v="6"/>
    <n v="0.625"/>
    <n v="0.5"/>
    <n v="0.125"/>
    <m/>
    <m/>
    <s v=""/>
    <s v=""/>
    <s v=""/>
    <s v=""/>
    <s v=""/>
    <s v=""/>
    <s v=""/>
    <s v=""/>
    <s v=""/>
    <s v=""/>
    <x v="0"/>
    <m/>
    <m/>
    <s v="TC-2362Rodando"/>
  </r>
  <r>
    <x v="74"/>
    <x v="74"/>
    <x v="0"/>
    <x v="1"/>
    <m/>
    <s v="Michelin"/>
    <s v="295/80R22.5"/>
    <s v="XMULTI2D"/>
    <s v="XMULTI2D"/>
    <x v="0"/>
    <n v="21.4"/>
    <n v="110"/>
    <m/>
    <m/>
    <m/>
    <m/>
    <m/>
    <s v="3"/>
    <d v="2024-04-04T00:00:00"/>
    <m/>
    <m/>
    <n v="10"/>
    <m/>
    <n v="9"/>
    <n v="9"/>
    <s v="tm"/>
    <n v="12.399999999999999"/>
    <n v="6"/>
    <n v="6"/>
    <n v="0.71962616822429903"/>
    <n v="0.57943925233644855"/>
    <n v="0.14018691588785048"/>
    <m/>
    <m/>
    <s v=""/>
    <s v=""/>
    <s v=""/>
    <s v=""/>
    <s v=""/>
    <s v=""/>
    <s v=""/>
    <s v=""/>
    <s v=""/>
    <s v=""/>
    <x v="0"/>
    <m/>
    <m/>
    <s v="TC-2363Rodando"/>
  </r>
  <r>
    <x v="74"/>
    <x v="74"/>
    <x v="0"/>
    <x v="1"/>
    <m/>
    <s v="Michelin"/>
    <s v="295/80R22.5"/>
    <s v="XMULTI2D"/>
    <s v="XMULTI2D"/>
    <x v="0"/>
    <n v="21.4"/>
    <n v="110"/>
    <m/>
    <m/>
    <m/>
    <m/>
    <m/>
    <s v="4"/>
    <d v="2024-04-04T00:00:00"/>
    <m/>
    <m/>
    <n v="9"/>
    <m/>
    <n v="10"/>
    <n v="9"/>
    <s v="tm"/>
    <n v="12.399999999999999"/>
    <n v="6"/>
    <n v="6"/>
    <n v="0.71962616822429903"/>
    <n v="0.57943925233644855"/>
    <n v="0.14018691588785048"/>
    <m/>
    <m/>
    <s v=""/>
    <s v=""/>
    <s v=""/>
    <s v=""/>
    <s v=""/>
    <s v=""/>
    <s v=""/>
    <s v=""/>
    <s v=""/>
    <s v=""/>
    <x v="0"/>
    <m/>
    <m/>
    <s v="TC-2364Rodando"/>
  </r>
  <r>
    <x v="74"/>
    <x v="74"/>
    <x v="0"/>
    <x v="1"/>
    <m/>
    <s v="Michelin"/>
    <s v="295/80R22.5"/>
    <s v="XMULTI2D"/>
    <s v="XMULTI2D"/>
    <x v="0"/>
    <n v="21.4"/>
    <n v="110"/>
    <m/>
    <m/>
    <m/>
    <m/>
    <m/>
    <s v="5"/>
    <d v="2024-04-04T00:00:00"/>
    <m/>
    <m/>
    <n v="8"/>
    <m/>
    <n v="9"/>
    <n v="8"/>
    <s v="st"/>
    <n v="13.399999999999999"/>
    <n v="6"/>
    <n v="6"/>
    <n v="0.71962616822429903"/>
    <n v="0.62616822429906538"/>
    <n v="9.3457943925233655E-2"/>
    <m/>
    <m/>
    <s v=""/>
    <s v=""/>
    <s v=""/>
    <s v=""/>
    <s v=""/>
    <s v=""/>
    <s v=""/>
    <s v=""/>
    <s v=""/>
    <s v=""/>
    <x v="0"/>
    <m/>
    <m/>
    <s v="TC-2365Rodando"/>
  </r>
  <r>
    <x v="74"/>
    <x v="74"/>
    <x v="0"/>
    <x v="1"/>
    <m/>
    <s v="Michelin"/>
    <s v="295/80R22.5"/>
    <s v="XMULTI2D"/>
    <s v="XMULTI2D"/>
    <x v="0"/>
    <n v="21.4"/>
    <n v="110"/>
    <m/>
    <m/>
    <m/>
    <m/>
    <m/>
    <s v="6"/>
    <d v="2024-04-04T00:00:00"/>
    <m/>
    <m/>
    <n v="8"/>
    <m/>
    <n v="9"/>
    <n v="8"/>
    <s v="tm"/>
    <n v="13.399999999999999"/>
    <n v="6"/>
    <n v="6"/>
    <n v="0.71962616822429903"/>
    <n v="0.62616822429906538"/>
    <n v="9.3457943925233655E-2"/>
    <m/>
    <m/>
    <s v=""/>
    <s v=""/>
    <s v=""/>
    <s v=""/>
    <s v=""/>
    <s v=""/>
    <s v=""/>
    <s v=""/>
    <s v=""/>
    <s v=""/>
    <x v="0"/>
    <m/>
    <m/>
    <s v="TC-2366Rodando"/>
  </r>
  <r>
    <x v="74"/>
    <x v="74"/>
    <x v="0"/>
    <x v="1"/>
    <m/>
    <s v="Michelin"/>
    <s v="295/80R22.5"/>
    <s v="XMULTI2D"/>
    <s v="XMULTI2D"/>
    <x v="0"/>
    <n v="21.4"/>
    <n v="110"/>
    <m/>
    <m/>
    <m/>
    <m/>
    <m/>
    <s v="7"/>
    <d v="2024-04-04T00:00:00"/>
    <m/>
    <m/>
    <n v="8"/>
    <m/>
    <n v="7"/>
    <n v="7"/>
    <s v="tm"/>
    <n v="14.399999999999999"/>
    <n v="6"/>
    <n v="6"/>
    <n v="0.71962616822429903"/>
    <n v="0.67289719626168221"/>
    <n v="4.6728971962616828E-2"/>
    <m/>
    <m/>
    <s v=""/>
    <s v=""/>
    <s v=""/>
    <s v=""/>
    <s v=""/>
    <s v=""/>
    <s v=""/>
    <s v=""/>
    <s v=""/>
    <s v=""/>
    <x v="0"/>
    <m/>
    <m/>
    <s v="TC-2367Rodando"/>
  </r>
  <r>
    <x v="74"/>
    <x v="74"/>
    <x v="0"/>
    <x v="1"/>
    <m/>
    <s v="Michelin"/>
    <s v="295/80R22.5"/>
    <s v="XMULTI2D"/>
    <s v="XMULTI2D"/>
    <x v="0"/>
    <n v="21.4"/>
    <n v="110"/>
    <m/>
    <m/>
    <m/>
    <m/>
    <m/>
    <s v="8"/>
    <d v="2024-04-04T00:00:00"/>
    <m/>
    <m/>
    <n v="7"/>
    <m/>
    <n v="8"/>
    <n v="7"/>
    <s v="tm"/>
    <n v="14.399999999999999"/>
    <n v="6"/>
    <n v="6"/>
    <n v="0.71962616822429903"/>
    <n v="0.67289719626168221"/>
    <n v="4.6728971962616828E-2"/>
    <m/>
    <m/>
    <s v=""/>
    <s v=""/>
    <s v=""/>
    <s v=""/>
    <s v=""/>
    <s v=""/>
    <s v=""/>
    <s v=""/>
    <s v=""/>
    <s v=""/>
    <x v="0"/>
    <m/>
    <m/>
    <s v="TC-2368Rodando"/>
  </r>
  <r>
    <x v="74"/>
    <x v="74"/>
    <x v="0"/>
    <x v="1"/>
    <m/>
    <s v="Michelin"/>
    <s v="295/80R22.5"/>
    <s v="XMULTI2D"/>
    <s v="XMULTI2D"/>
    <x v="0"/>
    <n v="21.4"/>
    <n v="110"/>
    <m/>
    <m/>
    <m/>
    <m/>
    <m/>
    <s v="9"/>
    <d v="2024-04-04T00:00:00"/>
    <m/>
    <m/>
    <n v="6"/>
    <m/>
    <n v="8"/>
    <n v="6"/>
    <s v="st"/>
    <n v="15.399999999999999"/>
    <n v="6"/>
    <n v="6"/>
    <n v="0.71962616822429903"/>
    <n v="0.71962616822429903"/>
    <n v="0"/>
    <m/>
    <m/>
    <s v=""/>
    <s v=""/>
    <s v=""/>
    <s v=""/>
    <s v=""/>
    <s v=""/>
    <s v=""/>
    <s v=""/>
    <s v=""/>
    <s v=""/>
    <x v="0"/>
    <m/>
    <m/>
    <s v="TC-2369Rodando"/>
  </r>
  <r>
    <x v="74"/>
    <x v="74"/>
    <x v="0"/>
    <x v="1"/>
    <m/>
    <s v="Michelin"/>
    <s v="295/80R22.5"/>
    <s v="XMULTI2D"/>
    <s v="XMULTI2D"/>
    <x v="0"/>
    <n v="21.4"/>
    <n v="110"/>
    <m/>
    <m/>
    <m/>
    <m/>
    <m/>
    <s v="10"/>
    <d v="2024-04-04T00:00:00"/>
    <m/>
    <m/>
    <n v="6"/>
    <m/>
    <n v="8"/>
    <n v="6"/>
    <s v="tm"/>
    <n v="15.399999999999999"/>
    <n v="6"/>
    <n v="6"/>
    <n v="0.71962616822429903"/>
    <n v="0.71962616822429903"/>
    <n v="0"/>
    <m/>
    <m/>
    <s v=""/>
    <s v=""/>
    <s v=""/>
    <s v=""/>
    <s v=""/>
    <s v=""/>
    <s v=""/>
    <s v=""/>
    <s v=""/>
    <s v=""/>
    <x v="0"/>
    <m/>
    <m/>
    <s v="TC-23610Rodando"/>
  </r>
  <r>
    <x v="75"/>
    <x v="75"/>
    <x v="0"/>
    <x v="0"/>
    <m/>
    <s v="Michelin"/>
    <s v="295/80R22.5"/>
    <s v="XMULTI+Z"/>
    <s v="XMULTI+Z"/>
    <x v="0"/>
    <n v="16"/>
    <n v="100"/>
    <m/>
    <m/>
    <m/>
    <m/>
    <m/>
    <s v="1"/>
    <d v="2024-04-03T00:00:00"/>
    <m/>
    <m/>
    <n v="8"/>
    <n v="10"/>
    <n v="10"/>
    <n v="8"/>
    <s v="st"/>
    <n v="8"/>
    <n v="6"/>
    <n v="6"/>
    <n v="0.625"/>
    <n v="0.5"/>
    <n v="0.125"/>
    <m/>
    <m/>
    <s v=""/>
    <s v=""/>
    <s v=""/>
    <s v=""/>
    <s v=""/>
    <s v=""/>
    <s v=""/>
    <s v=""/>
    <s v=""/>
    <s v=""/>
    <x v="0"/>
    <m/>
    <s v="Alineamiento"/>
    <s v="TC-2561Rodando"/>
  </r>
  <r>
    <x v="75"/>
    <x v="75"/>
    <x v="0"/>
    <x v="0"/>
    <m/>
    <s v="Michelin"/>
    <s v="295/80R22.5"/>
    <s v="XMULTI+Z"/>
    <s v="XMULTI+Z"/>
    <x v="0"/>
    <n v="16"/>
    <n v="100"/>
    <m/>
    <m/>
    <m/>
    <m/>
    <m/>
    <s v="2"/>
    <d v="2024-04-03T00:00:00"/>
    <m/>
    <m/>
    <n v="7"/>
    <n v="8"/>
    <n v="10"/>
    <n v="7"/>
    <s v="st"/>
    <n v="9"/>
    <n v="6"/>
    <n v="6"/>
    <n v="0.625"/>
    <n v="0.5625"/>
    <n v="6.25E-2"/>
    <m/>
    <m/>
    <s v=""/>
    <s v=""/>
    <s v=""/>
    <s v=""/>
    <s v=""/>
    <s v=""/>
    <s v=""/>
    <s v=""/>
    <s v=""/>
    <s v=""/>
    <x v="0"/>
    <m/>
    <s v="Alineamiento"/>
    <s v="TC-2562Rodando"/>
  </r>
  <r>
    <x v="75"/>
    <x v="75"/>
    <x v="0"/>
    <x v="1"/>
    <m/>
    <s v="Michelin"/>
    <s v="295/80R22.5"/>
    <s v="XMULTI2D"/>
    <s v="XMULTI2D"/>
    <x v="0"/>
    <n v="21.4"/>
    <n v="110"/>
    <m/>
    <m/>
    <m/>
    <m/>
    <m/>
    <s v="3"/>
    <d v="2024-04-03T00:00:00"/>
    <m/>
    <m/>
    <n v="13"/>
    <m/>
    <n v="14"/>
    <n v="13"/>
    <s v="tm"/>
    <n v="8.3999999999999986"/>
    <n v="6"/>
    <n v="6"/>
    <n v="0.71962616822429903"/>
    <n v="0.39252336448598124"/>
    <n v="0.32710280373831779"/>
    <m/>
    <m/>
    <s v=""/>
    <s v=""/>
    <s v=""/>
    <s v=""/>
    <s v=""/>
    <s v=""/>
    <s v=""/>
    <s v=""/>
    <s v=""/>
    <s v=""/>
    <x v="0"/>
    <m/>
    <m/>
    <s v="TC-2563Rodando"/>
  </r>
  <r>
    <x v="75"/>
    <x v="75"/>
    <x v="0"/>
    <x v="1"/>
    <m/>
    <s v="Michelin"/>
    <s v="295/80R22.5"/>
    <s v="XMULTI2D"/>
    <s v="XMULTI2D"/>
    <x v="0"/>
    <n v="21.4"/>
    <n v="110"/>
    <m/>
    <m/>
    <m/>
    <m/>
    <m/>
    <s v="4"/>
    <d v="2024-04-03T00:00:00"/>
    <m/>
    <m/>
    <n v="13"/>
    <m/>
    <n v="13"/>
    <n v="13"/>
    <s v="tm"/>
    <n v="8.3999999999999986"/>
    <n v="6"/>
    <n v="6"/>
    <n v="0.71962616822429903"/>
    <n v="0.39252336448598124"/>
    <n v="0.32710280373831779"/>
    <m/>
    <m/>
    <s v=""/>
    <s v=""/>
    <s v=""/>
    <s v=""/>
    <s v=""/>
    <s v=""/>
    <s v=""/>
    <s v=""/>
    <s v=""/>
    <s v=""/>
    <x v="0"/>
    <m/>
    <s v="Alineamiento"/>
    <s v="TC-2564Rodando"/>
  </r>
  <r>
    <x v="75"/>
    <x v="75"/>
    <x v="0"/>
    <x v="1"/>
    <m/>
    <s v="Michelin"/>
    <s v="295/80R22.5"/>
    <s v="XMULTI2D"/>
    <s v="XMULTI2D"/>
    <x v="0"/>
    <n v="21.4"/>
    <n v="110"/>
    <m/>
    <m/>
    <m/>
    <m/>
    <m/>
    <s v="5"/>
    <d v="2024-04-03T00:00:00"/>
    <m/>
    <m/>
    <n v="14"/>
    <m/>
    <n v="13"/>
    <n v="13"/>
    <s v="st"/>
    <n v="8.3999999999999986"/>
    <n v="6"/>
    <n v="6"/>
    <n v="0.71962616822429903"/>
    <n v="0.39252336448598124"/>
    <n v="0.32710280373831779"/>
    <m/>
    <m/>
    <s v=""/>
    <s v=""/>
    <s v=""/>
    <s v=""/>
    <s v=""/>
    <s v=""/>
    <s v=""/>
    <s v=""/>
    <s v=""/>
    <s v=""/>
    <x v="0"/>
    <m/>
    <m/>
    <s v="TC-2565Rodando"/>
  </r>
  <r>
    <x v="75"/>
    <x v="75"/>
    <x v="0"/>
    <x v="1"/>
    <m/>
    <s v="Michelin"/>
    <s v="295/80R22.5"/>
    <s v="XMULTI2D"/>
    <s v="XMULTI2D"/>
    <x v="0"/>
    <n v="21.4"/>
    <n v="110"/>
    <m/>
    <m/>
    <m/>
    <m/>
    <m/>
    <s v="6"/>
    <d v="2024-04-03T00:00:00"/>
    <m/>
    <m/>
    <n v="13"/>
    <m/>
    <n v="13"/>
    <n v="13"/>
    <s v="tm"/>
    <n v="8.3999999999999986"/>
    <n v="6"/>
    <n v="6"/>
    <n v="0.71962616822429903"/>
    <n v="0.39252336448598124"/>
    <n v="0.32710280373831779"/>
    <m/>
    <m/>
    <s v=""/>
    <s v=""/>
    <s v=""/>
    <s v=""/>
    <s v=""/>
    <s v=""/>
    <s v=""/>
    <s v=""/>
    <s v=""/>
    <s v=""/>
    <x v="0"/>
    <m/>
    <m/>
    <s v="TC-2566Rodando"/>
  </r>
  <r>
    <x v="75"/>
    <x v="75"/>
    <x v="0"/>
    <x v="1"/>
    <m/>
    <s v="Michelin"/>
    <s v="295/80R22.5"/>
    <s v="XMULTI2D"/>
    <s v="XMULTI2D"/>
    <x v="0"/>
    <n v="21.4"/>
    <n v="110"/>
    <m/>
    <m/>
    <m/>
    <m/>
    <m/>
    <s v="7"/>
    <d v="2024-04-03T00:00:00"/>
    <m/>
    <m/>
    <n v="13"/>
    <m/>
    <n v="13"/>
    <n v="13"/>
    <s v="tm"/>
    <n v="8.3999999999999986"/>
    <n v="6"/>
    <n v="6"/>
    <n v="0.71962616822429903"/>
    <n v="0.39252336448598124"/>
    <n v="0.32710280373831779"/>
    <m/>
    <m/>
    <s v=""/>
    <s v=""/>
    <s v=""/>
    <s v=""/>
    <s v=""/>
    <s v=""/>
    <s v=""/>
    <s v=""/>
    <s v=""/>
    <s v=""/>
    <x v="0"/>
    <m/>
    <m/>
    <s v="TC-2567Rodando"/>
  </r>
  <r>
    <x v="75"/>
    <x v="75"/>
    <x v="0"/>
    <x v="1"/>
    <m/>
    <s v="Michelin"/>
    <s v="295/80R22.5"/>
    <s v="XMULTI2D"/>
    <s v="XMULTI2D"/>
    <x v="0"/>
    <n v="21.4"/>
    <n v="110"/>
    <m/>
    <m/>
    <m/>
    <m/>
    <m/>
    <s v="8"/>
    <d v="2024-04-03T00:00:00"/>
    <m/>
    <m/>
    <n v="12"/>
    <m/>
    <n v="12"/>
    <n v="12"/>
    <s v="tm"/>
    <n v="9.3999999999999986"/>
    <n v="6"/>
    <n v="6"/>
    <n v="0.71962616822429903"/>
    <n v="0.43925233644859807"/>
    <n v="0.28037383177570097"/>
    <m/>
    <m/>
    <s v=""/>
    <s v=""/>
    <s v=""/>
    <s v=""/>
    <s v=""/>
    <s v=""/>
    <s v=""/>
    <s v=""/>
    <s v=""/>
    <s v=""/>
    <x v="0"/>
    <m/>
    <s v="Alineamiento"/>
    <s v="TC-2568Rodando"/>
  </r>
  <r>
    <x v="75"/>
    <x v="75"/>
    <x v="0"/>
    <x v="1"/>
    <m/>
    <s v="Michelin"/>
    <s v="295/80R22.5"/>
    <s v="XMULTI2D"/>
    <s v="XMULTI2D"/>
    <x v="0"/>
    <n v="21.4"/>
    <n v="110"/>
    <m/>
    <m/>
    <m/>
    <m/>
    <m/>
    <s v="9"/>
    <d v="2024-04-03T00:00:00"/>
    <m/>
    <m/>
    <n v="12"/>
    <m/>
    <n v="12"/>
    <n v="12"/>
    <s v="st"/>
    <n v="9.3999999999999986"/>
    <n v="6"/>
    <n v="6"/>
    <n v="0.71962616822429903"/>
    <n v="0.43925233644859807"/>
    <n v="0.28037383177570097"/>
    <m/>
    <m/>
    <s v=""/>
    <s v=""/>
    <s v=""/>
    <s v=""/>
    <s v=""/>
    <s v=""/>
    <s v=""/>
    <s v=""/>
    <s v=""/>
    <s v=""/>
    <x v="0"/>
    <m/>
    <m/>
    <s v="TC-2569Rodando"/>
  </r>
  <r>
    <x v="75"/>
    <x v="75"/>
    <x v="0"/>
    <x v="1"/>
    <m/>
    <s v="Michelin"/>
    <s v="295/80R22.5"/>
    <s v="XMULTI2D"/>
    <s v="XMULTI2D"/>
    <x v="0"/>
    <n v="21.4"/>
    <n v="110"/>
    <m/>
    <m/>
    <m/>
    <m/>
    <m/>
    <s v="10"/>
    <d v="2024-04-03T00:00:00"/>
    <m/>
    <m/>
    <n v="12"/>
    <m/>
    <n v="12"/>
    <n v="12"/>
    <s v="tm"/>
    <n v="9.3999999999999986"/>
    <n v="6"/>
    <n v="6"/>
    <n v="0.71962616822429903"/>
    <n v="0.43925233644859807"/>
    <n v="0.28037383177570097"/>
    <m/>
    <m/>
    <s v=""/>
    <s v=""/>
    <s v=""/>
    <s v=""/>
    <s v=""/>
    <s v=""/>
    <s v=""/>
    <s v=""/>
    <s v=""/>
    <s v=""/>
    <x v="0"/>
    <m/>
    <m/>
    <s v="TC-25610Rodando"/>
  </r>
  <r>
    <x v="76"/>
    <x v="76"/>
    <x v="1"/>
    <x v="2"/>
    <m/>
    <s v="Aeolus"/>
    <s v="445/65R22.5"/>
    <s v="AGC28"/>
    <s v="AGC28"/>
    <x v="0"/>
    <n v="16.5"/>
    <n v="110"/>
    <m/>
    <m/>
    <m/>
    <m/>
    <m/>
    <s v="1"/>
    <d v="2024-04-04T00:00:00"/>
    <m/>
    <m/>
    <n v="10"/>
    <n v="10"/>
    <n v="10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2281Rodando"/>
  </r>
  <r>
    <x v="76"/>
    <x v="76"/>
    <x v="1"/>
    <x v="2"/>
    <m/>
    <s v="Aeolus"/>
    <s v="445/65R22.5"/>
    <s v="AGC28"/>
    <s v="AGC28"/>
    <x v="0"/>
    <n v="16.5"/>
    <n v="110"/>
    <m/>
    <m/>
    <m/>
    <m/>
    <m/>
    <s v="2"/>
    <d v="2024-04-04T00:00:00"/>
    <m/>
    <m/>
    <n v="10"/>
    <n v="10"/>
    <n v="10"/>
    <n v="10"/>
    <s v="tm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2282Rodando"/>
  </r>
  <r>
    <x v="76"/>
    <x v="76"/>
    <x v="1"/>
    <x v="2"/>
    <m/>
    <s v="Aeolus"/>
    <s v="445/65R22.5"/>
    <s v="AGC28"/>
    <s v="AGC28"/>
    <x v="0"/>
    <n v="16.5"/>
    <n v="110"/>
    <m/>
    <m/>
    <m/>
    <m/>
    <m/>
    <s v="3"/>
    <d v="2024-04-04T00:00:00"/>
    <m/>
    <m/>
    <n v="10"/>
    <n v="9"/>
    <n v="9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2283Rodando"/>
  </r>
  <r>
    <x v="76"/>
    <x v="76"/>
    <x v="1"/>
    <x v="2"/>
    <m/>
    <s v="Aeolus"/>
    <s v="445/65R22.5"/>
    <s v="AGC28"/>
    <s v="AGC28"/>
    <x v="0"/>
    <n v="16.5"/>
    <n v="110"/>
    <m/>
    <m/>
    <m/>
    <m/>
    <m/>
    <s v="4"/>
    <d v="2024-04-04T00:00:00"/>
    <m/>
    <m/>
    <n v="9"/>
    <n v="9"/>
    <n v="9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2284Rodando"/>
  </r>
  <r>
    <x v="76"/>
    <x v="76"/>
    <x v="1"/>
    <x v="2"/>
    <m/>
    <s v="Aeolus"/>
    <s v="445/65R22.5"/>
    <s v="AGC28"/>
    <s v="AGC28"/>
    <x v="0"/>
    <n v="16.5"/>
    <n v="110"/>
    <m/>
    <m/>
    <m/>
    <m/>
    <m/>
    <s v="5"/>
    <d v="2024-04-04T00:00:00"/>
    <m/>
    <m/>
    <n v="10"/>
    <n v="10"/>
    <n v="10"/>
    <n v="10"/>
    <s v="tm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2285Rodando"/>
  </r>
  <r>
    <x v="76"/>
    <x v="76"/>
    <x v="1"/>
    <x v="2"/>
    <m/>
    <s v="Aeolus"/>
    <s v="445/65R22.5"/>
    <s v="AGC28"/>
    <s v="AGC28"/>
    <x v="0"/>
    <n v="16.5"/>
    <n v="110"/>
    <m/>
    <m/>
    <m/>
    <m/>
    <m/>
    <s v="6"/>
    <d v="2024-04-04T00:00:00"/>
    <m/>
    <m/>
    <n v="11"/>
    <n v="11"/>
    <n v="11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2286Rodando"/>
  </r>
  <r>
    <x v="76"/>
    <x v="76"/>
    <x v="1"/>
    <x v="3"/>
    <m/>
    <s v="Aeolus"/>
    <s v="445/65R22.5"/>
    <s v="AGC28"/>
    <s v="AGC28"/>
    <x v="0"/>
    <n v="16.5"/>
    <n v="110"/>
    <m/>
    <m/>
    <m/>
    <m/>
    <m/>
    <s v="RE"/>
    <d v="2024-04-04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SR-228RERodando"/>
  </r>
  <r>
    <x v="76"/>
    <x v="76"/>
    <x v="1"/>
    <x v="4"/>
    <m/>
    <s v="Michelin"/>
    <s v="295/80R22.5"/>
    <s v="XMULTI2D"/>
    <s v="XMULTI2D"/>
    <x v="0"/>
    <n v="21.4"/>
    <n v="110"/>
    <m/>
    <m/>
    <m/>
    <m/>
    <m/>
    <s v="RT"/>
    <d v="2024-04-04T00:00:00"/>
    <m/>
    <m/>
    <n v="20"/>
    <m/>
    <n v="20"/>
    <n v="20"/>
    <s v="tm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SR-228RTRodando"/>
  </r>
  <r>
    <x v="77"/>
    <x v="77"/>
    <x v="0"/>
    <x v="0"/>
    <m/>
    <s v="Michelin"/>
    <s v="295/80R22.5"/>
    <s v="XMULTI+Z"/>
    <s v="XMULTI+Z"/>
    <x v="0"/>
    <n v="16"/>
    <n v="100"/>
    <m/>
    <m/>
    <m/>
    <m/>
    <m/>
    <s v="1"/>
    <d v="2024-04-03T00:00:00"/>
    <m/>
    <m/>
    <n v="8"/>
    <n v="8"/>
    <n v="6"/>
    <n v="6"/>
    <s v="tm"/>
    <n v="10"/>
    <n v="6"/>
    <n v="6"/>
    <n v="0.625"/>
    <n v="0.625"/>
    <n v="0"/>
    <m/>
    <m/>
    <s v=""/>
    <s v=""/>
    <s v=""/>
    <s v=""/>
    <s v=""/>
    <s v=""/>
    <s v=""/>
    <s v=""/>
    <s v=""/>
    <s v=""/>
    <x v="0"/>
    <m/>
    <s v="Alineamiento"/>
    <s v="TC-2581Rodando"/>
  </r>
  <r>
    <x v="77"/>
    <x v="77"/>
    <x v="0"/>
    <x v="0"/>
    <m/>
    <s v="Michelin"/>
    <s v="295/80R22.5"/>
    <s v="XMULTI+Z"/>
    <s v="XMULTI+Z"/>
    <x v="0"/>
    <n v="16"/>
    <n v="100"/>
    <m/>
    <m/>
    <m/>
    <m/>
    <m/>
    <s v="2"/>
    <d v="2024-04-03T00:00:00"/>
    <m/>
    <m/>
    <n v="9"/>
    <n v="9"/>
    <n v="9"/>
    <n v="9"/>
    <s v="tm"/>
    <n v="7"/>
    <n v="6"/>
    <n v="6"/>
    <n v="0.625"/>
    <n v="0.4375"/>
    <n v="0.1875"/>
    <m/>
    <m/>
    <s v=""/>
    <s v=""/>
    <s v=""/>
    <s v=""/>
    <s v=""/>
    <s v=""/>
    <s v=""/>
    <s v=""/>
    <s v=""/>
    <s v=""/>
    <x v="0"/>
    <m/>
    <s v="Alineamiento"/>
    <s v="TC-2582Rodando"/>
  </r>
  <r>
    <x v="77"/>
    <x v="77"/>
    <x v="0"/>
    <x v="1"/>
    <m/>
    <s v="Michelin"/>
    <s v="295/80R22.5"/>
    <s v="XMULTI2D"/>
    <s v="XMULTI2D"/>
    <x v="0"/>
    <n v="21.4"/>
    <n v="110"/>
    <m/>
    <m/>
    <m/>
    <m/>
    <m/>
    <s v="3"/>
    <d v="2024-04-03T00:00:00"/>
    <m/>
    <m/>
    <n v="13"/>
    <m/>
    <n v="14"/>
    <n v="13"/>
    <s v="tm"/>
    <n v="8.3999999999999986"/>
    <n v="6"/>
    <n v="6"/>
    <n v="0.71962616822429903"/>
    <n v="0.39252336448598124"/>
    <n v="0.32710280373831779"/>
    <m/>
    <m/>
    <s v=""/>
    <s v=""/>
    <s v=""/>
    <s v=""/>
    <s v=""/>
    <s v=""/>
    <s v=""/>
    <s v=""/>
    <s v=""/>
    <s v=""/>
    <x v="0"/>
    <m/>
    <m/>
    <s v="TC-2583Rodando"/>
  </r>
  <r>
    <x v="77"/>
    <x v="77"/>
    <x v="0"/>
    <x v="1"/>
    <m/>
    <s v="Michelin"/>
    <s v="295/80R22.5"/>
    <s v="XMULTI2D"/>
    <s v="XMULTI2D"/>
    <x v="0"/>
    <n v="21.4"/>
    <n v="110"/>
    <m/>
    <m/>
    <m/>
    <m/>
    <m/>
    <s v="4"/>
    <d v="2024-04-03T00:00:00"/>
    <m/>
    <m/>
    <n v="13"/>
    <m/>
    <n v="13"/>
    <n v="13"/>
    <s v="tm"/>
    <n v="8.3999999999999986"/>
    <n v="6"/>
    <n v="6"/>
    <n v="0.71962616822429903"/>
    <n v="0.39252336448598124"/>
    <n v="0.32710280373831779"/>
    <m/>
    <m/>
    <s v=""/>
    <s v=""/>
    <s v=""/>
    <s v=""/>
    <s v=""/>
    <s v=""/>
    <s v=""/>
    <s v=""/>
    <s v=""/>
    <s v=""/>
    <x v="0"/>
    <m/>
    <m/>
    <s v="TC-2584Rodando"/>
  </r>
  <r>
    <x v="77"/>
    <x v="77"/>
    <x v="0"/>
    <x v="1"/>
    <m/>
    <s v="Michelin"/>
    <s v="295/80R22.5"/>
    <s v="XMULTI2D"/>
    <s v="XMULTI2D"/>
    <x v="0"/>
    <n v="21.4"/>
    <n v="110"/>
    <m/>
    <m/>
    <m/>
    <m/>
    <m/>
    <s v="5"/>
    <d v="2024-04-03T00:00:00"/>
    <m/>
    <m/>
    <n v="12"/>
    <m/>
    <n v="13"/>
    <n v="12"/>
    <s v="st"/>
    <n v="9.3999999999999986"/>
    <n v="6"/>
    <n v="6"/>
    <n v="0.71962616822429903"/>
    <n v="0.43925233644859807"/>
    <n v="0.28037383177570097"/>
    <m/>
    <m/>
    <s v=""/>
    <s v=""/>
    <s v=""/>
    <s v=""/>
    <s v=""/>
    <s v=""/>
    <s v=""/>
    <s v=""/>
    <s v=""/>
    <s v=""/>
    <x v="0"/>
    <m/>
    <m/>
    <s v="TC-2585Rodando"/>
  </r>
  <r>
    <x v="77"/>
    <x v="77"/>
    <x v="0"/>
    <x v="1"/>
    <m/>
    <s v="Michelin"/>
    <s v="295/80R22.5"/>
    <s v="XMULTI2D"/>
    <s v="XMULTI2D"/>
    <x v="0"/>
    <n v="21.4"/>
    <n v="110"/>
    <m/>
    <m/>
    <m/>
    <m/>
    <m/>
    <s v="6"/>
    <d v="2024-04-03T00:00:00"/>
    <m/>
    <m/>
    <n v="12"/>
    <m/>
    <n v="13"/>
    <n v="12"/>
    <s v="st"/>
    <n v="9.3999999999999986"/>
    <n v="6"/>
    <n v="6"/>
    <n v="0.71962616822429903"/>
    <n v="0.43925233644859807"/>
    <n v="0.28037383177570097"/>
    <m/>
    <m/>
    <s v=""/>
    <s v=""/>
    <s v=""/>
    <s v=""/>
    <s v=""/>
    <s v=""/>
    <s v=""/>
    <s v=""/>
    <s v=""/>
    <s v=""/>
    <x v="0"/>
    <m/>
    <m/>
    <s v="TC-2586Rodando"/>
  </r>
  <r>
    <x v="77"/>
    <x v="77"/>
    <x v="0"/>
    <x v="1"/>
    <m/>
    <s v="Michelin"/>
    <s v="295/80R22.5"/>
    <s v="XMULTI2D"/>
    <s v="XMULTI2D"/>
    <x v="0"/>
    <n v="21.4"/>
    <n v="110"/>
    <m/>
    <m/>
    <m/>
    <m/>
    <m/>
    <s v="7"/>
    <d v="2024-04-03T00:00:00"/>
    <m/>
    <m/>
    <n v="12"/>
    <m/>
    <n v="12"/>
    <n v="12"/>
    <s v="st"/>
    <n v="9.3999999999999986"/>
    <n v="6"/>
    <n v="6"/>
    <n v="0.71962616822429903"/>
    <n v="0.43925233644859807"/>
    <n v="0.28037383177570097"/>
    <m/>
    <m/>
    <s v=""/>
    <s v=""/>
    <s v=""/>
    <s v=""/>
    <s v=""/>
    <s v=""/>
    <s v=""/>
    <s v=""/>
    <s v=""/>
    <s v=""/>
    <x v="0"/>
    <m/>
    <m/>
    <s v="TC-2587Rodando"/>
  </r>
  <r>
    <x v="77"/>
    <x v="77"/>
    <x v="0"/>
    <x v="1"/>
    <m/>
    <s v="Michelin"/>
    <s v="295/80R22.5"/>
    <s v="XMULTI2D"/>
    <s v="XMULTI2D"/>
    <x v="0"/>
    <n v="21.4"/>
    <n v="110"/>
    <m/>
    <m/>
    <m/>
    <m/>
    <m/>
    <s v="8"/>
    <d v="2024-04-03T00:00:00"/>
    <m/>
    <m/>
    <n v="12"/>
    <m/>
    <n v="12"/>
    <n v="12"/>
    <s v="st"/>
    <n v="9.3999999999999986"/>
    <n v="6"/>
    <n v="6"/>
    <n v="0.71962616822429903"/>
    <n v="0.43925233644859807"/>
    <n v="0.28037383177570097"/>
    <m/>
    <m/>
    <s v=""/>
    <s v=""/>
    <s v=""/>
    <s v=""/>
    <s v=""/>
    <s v=""/>
    <s v=""/>
    <s v=""/>
    <s v=""/>
    <s v=""/>
    <x v="0"/>
    <m/>
    <m/>
    <s v="TC-2588Rodando"/>
  </r>
  <r>
    <x v="77"/>
    <x v="77"/>
    <x v="0"/>
    <x v="1"/>
    <m/>
    <s v="Michelin"/>
    <s v="295/80R22.5"/>
    <s v="XMULTI2D"/>
    <s v="XMULTI2D"/>
    <x v="0"/>
    <n v="21.4"/>
    <n v="110"/>
    <m/>
    <m/>
    <m/>
    <m/>
    <m/>
    <s v="9"/>
    <d v="2024-04-03T00:00:00"/>
    <m/>
    <m/>
    <n v="10"/>
    <m/>
    <n v="11"/>
    <n v="10"/>
    <s v="st"/>
    <n v="11.399999999999999"/>
    <n v="6"/>
    <n v="6"/>
    <n v="0.71962616822429903"/>
    <n v="0.53271028037383172"/>
    <n v="0.18691588785046731"/>
    <m/>
    <m/>
    <s v=""/>
    <s v=""/>
    <s v=""/>
    <s v=""/>
    <s v=""/>
    <s v=""/>
    <s v=""/>
    <s v=""/>
    <s v=""/>
    <s v=""/>
    <x v="0"/>
    <m/>
    <m/>
    <s v="TC-2589Rodando"/>
  </r>
  <r>
    <x v="77"/>
    <x v="77"/>
    <x v="0"/>
    <x v="1"/>
    <m/>
    <s v="Michelin"/>
    <s v="295/80R22.5"/>
    <s v="XMULTI2D"/>
    <s v="XMULTI2D"/>
    <x v="0"/>
    <n v="21.4"/>
    <n v="110"/>
    <m/>
    <m/>
    <m/>
    <m/>
    <m/>
    <s v="10"/>
    <d v="2024-04-03T00:00:00"/>
    <m/>
    <m/>
    <n v="10"/>
    <m/>
    <n v="11"/>
    <n v="10"/>
    <s v="tm"/>
    <n v="11.399999999999999"/>
    <n v="6"/>
    <n v="6"/>
    <n v="0.71962616822429903"/>
    <n v="0.53271028037383172"/>
    <n v="0.18691588785046731"/>
    <m/>
    <m/>
    <s v=""/>
    <s v=""/>
    <s v=""/>
    <s v=""/>
    <s v=""/>
    <s v=""/>
    <s v=""/>
    <s v=""/>
    <s v=""/>
    <s v=""/>
    <x v="0"/>
    <m/>
    <m/>
    <s v="TC-25810Rodando"/>
  </r>
  <r>
    <x v="78"/>
    <x v="78"/>
    <x v="0"/>
    <x v="0"/>
    <m/>
    <s v="Michelin"/>
    <s v="295/80R22.5"/>
    <s v="XMULTI+Z"/>
    <s v="XMULTI+Z"/>
    <x v="0"/>
    <n v="16"/>
    <n v="100"/>
    <m/>
    <m/>
    <m/>
    <m/>
    <m/>
    <s v="1"/>
    <d v="2024-04-02T00:00:00"/>
    <m/>
    <m/>
    <n v="10"/>
    <n v="10"/>
    <n v="10"/>
    <n v="10"/>
    <s v="st"/>
    <n v="6"/>
    <n v="6"/>
    <n v="6"/>
    <n v="0.625"/>
    <n v="0.375"/>
    <n v="0.25"/>
    <m/>
    <m/>
    <s v=""/>
    <s v=""/>
    <s v=""/>
    <s v=""/>
    <s v=""/>
    <s v=""/>
    <s v=""/>
    <s v=""/>
    <s v=""/>
    <s v=""/>
    <x v="0"/>
    <m/>
    <m/>
    <s v="TC-2541Rodando"/>
  </r>
  <r>
    <x v="78"/>
    <x v="78"/>
    <x v="0"/>
    <x v="0"/>
    <m/>
    <s v="Michelin"/>
    <s v="295/80R22.5"/>
    <s v="XMULTI+Z"/>
    <s v="XMULTI+Z"/>
    <x v="0"/>
    <n v="16"/>
    <n v="100"/>
    <m/>
    <m/>
    <m/>
    <m/>
    <m/>
    <s v="2"/>
    <d v="2024-04-02T00:00:00"/>
    <m/>
    <m/>
    <n v="7"/>
    <n v="9"/>
    <n v="10"/>
    <n v="7"/>
    <s v="st"/>
    <n v="9"/>
    <n v="6"/>
    <n v="6"/>
    <n v="0.625"/>
    <n v="0.5625"/>
    <n v="6.25E-2"/>
    <m/>
    <m/>
    <s v=""/>
    <s v=""/>
    <s v=""/>
    <s v=""/>
    <s v=""/>
    <s v=""/>
    <s v=""/>
    <s v=""/>
    <s v=""/>
    <s v=""/>
    <x v="0"/>
    <m/>
    <s v="Alineamiento"/>
    <s v="TC-2542Rodando"/>
  </r>
  <r>
    <x v="78"/>
    <x v="78"/>
    <x v="0"/>
    <x v="1"/>
    <m/>
    <s v="Michelin"/>
    <s v="295/80R22.5"/>
    <s v="XMULTI2D"/>
    <s v="XMULTI2D"/>
    <x v="0"/>
    <n v="21.4"/>
    <n v="110"/>
    <m/>
    <m/>
    <m/>
    <m/>
    <m/>
    <s v="3"/>
    <d v="2024-04-02T00:00:00"/>
    <m/>
    <m/>
    <n v="14"/>
    <m/>
    <n v="14"/>
    <n v="14"/>
    <s v="tm"/>
    <n v="7.3999999999999986"/>
    <n v="6"/>
    <n v="6"/>
    <n v="0.71962616822429903"/>
    <n v="0.34579439252336441"/>
    <n v="0.37383177570093462"/>
    <m/>
    <m/>
    <s v=""/>
    <s v=""/>
    <s v=""/>
    <s v=""/>
    <s v=""/>
    <s v=""/>
    <s v=""/>
    <s v=""/>
    <s v=""/>
    <s v=""/>
    <x v="0"/>
    <m/>
    <m/>
    <s v="TC-2543Rodando"/>
  </r>
  <r>
    <x v="78"/>
    <x v="78"/>
    <x v="0"/>
    <x v="1"/>
    <m/>
    <s v="Michelin"/>
    <s v="295/80R22.5"/>
    <s v="XMULTI2D"/>
    <s v="XMULTI2D"/>
    <x v="0"/>
    <n v="21.4"/>
    <n v="110"/>
    <m/>
    <m/>
    <m/>
    <m/>
    <m/>
    <s v="4"/>
    <d v="2024-04-02T00:00:00"/>
    <m/>
    <m/>
    <n v="14"/>
    <m/>
    <n v="13"/>
    <n v="13"/>
    <s v="st"/>
    <n v="8.3999999999999986"/>
    <n v="6"/>
    <n v="6"/>
    <n v="0.71962616822429903"/>
    <n v="0.39252336448598124"/>
    <n v="0.32710280373831779"/>
    <m/>
    <m/>
    <s v=""/>
    <s v=""/>
    <s v=""/>
    <s v=""/>
    <s v=""/>
    <s v=""/>
    <s v=""/>
    <s v=""/>
    <s v=""/>
    <s v=""/>
    <x v="0"/>
    <m/>
    <m/>
    <s v="TC-2544Rodando"/>
  </r>
  <r>
    <x v="78"/>
    <x v="78"/>
    <x v="0"/>
    <x v="1"/>
    <m/>
    <s v="Michelin"/>
    <s v="295/80R22.5"/>
    <s v="XMULTI2D"/>
    <s v="XMULTI2D"/>
    <x v="0"/>
    <n v="21.4"/>
    <n v="110"/>
    <m/>
    <m/>
    <m/>
    <m/>
    <m/>
    <s v="5"/>
    <d v="2024-04-02T00:00:00"/>
    <m/>
    <m/>
    <n v="14"/>
    <m/>
    <n v="13"/>
    <n v="13"/>
    <s v="st"/>
    <n v="8.3999999999999986"/>
    <n v="6"/>
    <n v="6"/>
    <n v="0.71962616822429903"/>
    <n v="0.39252336448598124"/>
    <n v="0.32710280373831779"/>
    <m/>
    <m/>
    <s v=""/>
    <s v=""/>
    <s v=""/>
    <s v=""/>
    <s v=""/>
    <s v=""/>
    <s v=""/>
    <s v=""/>
    <s v=""/>
    <s v=""/>
    <x v="0"/>
    <m/>
    <m/>
    <s v="TC-2545Rodando"/>
  </r>
  <r>
    <x v="78"/>
    <x v="78"/>
    <x v="0"/>
    <x v="1"/>
    <m/>
    <s v="Michelin"/>
    <s v="295/80R22.5"/>
    <s v="XMULTI2D"/>
    <s v="XMULTI2D"/>
    <x v="0"/>
    <n v="21.4"/>
    <n v="110"/>
    <m/>
    <m/>
    <m/>
    <m/>
    <m/>
    <s v="6"/>
    <d v="2024-04-02T00:00:00"/>
    <m/>
    <m/>
    <n v="14"/>
    <m/>
    <n v="13"/>
    <n v="13"/>
    <s v="tm"/>
    <n v="8.3999999999999986"/>
    <n v="6"/>
    <n v="6"/>
    <n v="0.71962616822429903"/>
    <n v="0.39252336448598124"/>
    <n v="0.32710280373831779"/>
    <m/>
    <m/>
    <s v=""/>
    <s v=""/>
    <s v=""/>
    <s v=""/>
    <s v=""/>
    <s v=""/>
    <s v=""/>
    <s v=""/>
    <s v=""/>
    <s v=""/>
    <x v="0"/>
    <m/>
    <m/>
    <s v="TC-2546Rodando"/>
  </r>
  <r>
    <x v="78"/>
    <x v="78"/>
    <x v="0"/>
    <x v="1"/>
    <m/>
    <s v="Michelin"/>
    <s v="295/80R22.5"/>
    <s v="XMULTI2D"/>
    <s v="XMULTI2D"/>
    <x v="0"/>
    <n v="21.4"/>
    <n v="110"/>
    <m/>
    <m/>
    <m/>
    <m/>
    <m/>
    <s v="7"/>
    <d v="2024-04-02T00:00:00"/>
    <m/>
    <m/>
    <n v="13"/>
    <m/>
    <n v="13"/>
    <n v="13"/>
    <s v="tp"/>
    <n v="8.3999999999999986"/>
    <n v="6"/>
    <n v="6"/>
    <n v="0.71962616822429903"/>
    <n v="0.39252336448598124"/>
    <n v="0.32710280373831779"/>
    <m/>
    <m/>
    <s v=""/>
    <s v=""/>
    <s v=""/>
    <s v=""/>
    <s v=""/>
    <s v=""/>
    <s v=""/>
    <s v=""/>
    <s v=""/>
    <s v=""/>
    <x v="0"/>
    <m/>
    <m/>
    <s v="TC-2547Rodando"/>
  </r>
  <r>
    <x v="78"/>
    <x v="78"/>
    <x v="0"/>
    <x v="1"/>
    <m/>
    <s v="Michelin"/>
    <s v="295/80R22.5"/>
    <s v="XMULTI2D"/>
    <s v="XMULTI2D"/>
    <x v="0"/>
    <n v="21.4"/>
    <n v="110"/>
    <m/>
    <m/>
    <m/>
    <m/>
    <m/>
    <s v="8"/>
    <d v="2024-04-02T00:00:00"/>
    <m/>
    <m/>
    <n v="13"/>
    <m/>
    <n v="13"/>
    <n v="13"/>
    <s v="st"/>
    <n v="8.3999999999999986"/>
    <n v="6"/>
    <n v="6"/>
    <n v="0.71962616822429903"/>
    <n v="0.39252336448598124"/>
    <n v="0.32710280373831779"/>
    <m/>
    <m/>
    <s v=""/>
    <s v=""/>
    <s v=""/>
    <s v=""/>
    <s v=""/>
    <s v=""/>
    <s v=""/>
    <s v=""/>
    <s v=""/>
    <s v=""/>
    <x v="0"/>
    <m/>
    <m/>
    <s v="TC-2548Rodando"/>
  </r>
  <r>
    <x v="78"/>
    <x v="78"/>
    <x v="0"/>
    <x v="1"/>
    <m/>
    <s v="Michelin"/>
    <s v="295/80R22.5"/>
    <s v="XMULTI2D"/>
    <s v="XMULTI2D"/>
    <x v="0"/>
    <n v="21.4"/>
    <n v="110"/>
    <m/>
    <m/>
    <m/>
    <m/>
    <m/>
    <s v="9"/>
    <d v="2024-04-02T00:00:00"/>
    <m/>
    <m/>
    <n v="14"/>
    <m/>
    <n v="13"/>
    <n v="13"/>
    <s v="st"/>
    <n v="8.3999999999999986"/>
    <n v="6"/>
    <n v="6"/>
    <n v="0.71962616822429903"/>
    <n v="0.39252336448598124"/>
    <n v="0.32710280373831779"/>
    <m/>
    <m/>
    <s v=""/>
    <s v=""/>
    <s v=""/>
    <s v=""/>
    <s v=""/>
    <s v=""/>
    <s v=""/>
    <s v=""/>
    <s v=""/>
    <s v=""/>
    <x v="0"/>
    <m/>
    <m/>
    <s v="TC-2549Rodando"/>
  </r>
  <r>
    <x v="78"/>
    <x v="78"/>
    <x v="0"/>
    <x v="1"/>
    <m/>
    <s v="Michelin"/>
    <s v="295/80R22.5"/>
    <s v="XMULTI2D"/>
    <s v="XMULTI2D"/>
    <x v="0"/>
    <n v="21.4"/>
    <n v="110"/>
    <m/>
    <m/>
    <m/>
    <m/>
    <m/>
    <s v="10"/>
    <d v="2024-04-02T00:00:00"/>
    <m/>
    <m/>
    <n v="14"/>
    <m/>
    <n v="13"/>
    <n v="13"/>
    <s v="tm"/>
    <n v="8.3999999999999986"/>
    <n v="6"/>
    <n v="6"/>
    <n v="0.71962616822429903"/>
    <n v="0.39252336448598124"/>
    <n v="0.32710280373831779"/>
    <m/>
    <m/>
    <s v=""/>
    <s v=""/>
    <s v=""/>
    <s v=""/>
    <s v=""/>
    <s v=""/>
    <s v=""/>
    <s v=""/>
    <s v=""/>
    <s v=""/>
    <x v="0"/>
    <m/>
    <m/>
    <s v="TC-25410Rodando"/>
  </r>
  <r>
    <x v="79"/>
    <x v="79"/>
    <x v="0"/>
    <x v="0"/>
    <m/>
    <s v="Michelin"/>
    <s v="295/80R22.5"/>
    <s v="XMULTI+Z"/>
    <s v="XMULTI+Z"/>
    <x v="0"/>
    <n v="16"/>
    <n v="100"/>
    <m/>
    <m/>
    <m/>
    <m/>
    <m/>
    <s v="1"/>
    <d v="2024-04-03T00:00:00"/>
    <m/>
    <m/>
    <n v="8"/>
    <n v="8"/>
    <n v="9"/>
    <n v="8"/>
    <s v="st"/>
    <n v="8"/>
    <n v="6"/>
    <n v="6"/>
    <n v="0.625"/>
    <n v="0.5"/>
    <n v="0.125"/>
    <m/>
    <m/>
    <s v=""/>
    <s v=""/>
    <s v=""/>
    <s v=""/>
    <s v=""/>
    <s v=""/>
    <s v=""/>
    <s v=""/>
    <s v=""/>
    <s v=""/>
    <x v="0"/>
    <m/>
    <m/>
    <s v="TC-2481Rodando"/>
  </r>
  <r>
    <x v="79"/>
    <x v="79"/>
    <x v="0"/>
    <x v="0"/>
    <m/>
    <s v="Michelin"/>
    <s v="295/80R22.5"/>
    <s v="XMULTI+Z"/>
    <s v="XMULTI+Z"/>
    <x v="0"/>
    <n v="16"/>
    <n v="100"/>
    <m/>
    <m/>
    <m/>
    <m/>
    <m/>
    <s v="2"/>
    <d v="2024-04-03T00:00:00"/>
    <m/>
    <m/>
    <n v="6"/>
    <n v="7"/>
    <n v="8"/>
    <n v="6"/>
    <s v="st"/>
    <n v="10"/>
    <n v="6"/>
    <n v="6"/>
    <n v="0.625"/>
    <n v="0.625"/>
    <n v="0"/>
    <m/>
    <m/>
    <s v=""/>
    <s v=""/>
    <s v=""/>
    <s v=""/>
    <s v=""/>
    <s v=""/>
    <s v=""/>
    <s v=""/>
    <s v=""/>
    <s v=""/>
    <x v="0"/>
    <m/>
    <s v="Alineamiento"/>
    <s v="TC-2482Rodando"/>
  </r>
  <r>
    <x v="79"/>
    <x v="79"/>
    <x v="0"/>
    <x v="1"/>
    <m/>
    <s v="Michelin"/>
    <s v="295/80R22.5"/>
    <s v="XMULTI2D"/>
    <s v="XMULTI2D"/>
    <x v="0"/>
    <n v="21.4"/>
    <n v="110"/>
    <m/>
    <m/>
    <m/>
    <m/>
    <m/>
    <s v="3"/>
    <d v="2024-04-03T00:00:00"/>
    <m/>
    <m/>
    <n v="11"/>
    <m/>
    <n v="12"/>
    <n v="11"/>
    <s v="st"/>
    <n v="10.399999999999999"/>
    <n v="6"/>
    <n v="6"/>
    <n v="0.71962616822429903"/>
    <n v="0.4859813084112149"/>
    <n v="0.23364485981308414"/>
    <m/>
    <m/>
    <s v=""/>
    <s v=""/>
    <s v=""/>
    <s v=""/>
    <s v=""/>
    <s v=""/>
    <s v=""/>
    <s v=""/>
    <s v=""/>
    <s v=""/>
    <x v="0"/>
    <m/>
    <m/>
    <s v="TC-2483Rodando"/>
  </r>
  <r>
    <x v="79"/>
    <x v="79"/>
    <x v="0"/>
    <x v="1"/>
    <m/>
    <s v="Michelin"/>
    <s v="295/80R22.5"/>
    <s v="XMULTI2D"/>
    <s v="XMULTI2D"/>
    <x v="0"/>
    <n v="21.4"/>
    <n v="110"/>
    <m/>
    <m/>
    <m/>
    <m/>
    <m/>
    <s v="4"/>
    <d v="2024-04-03T00:00:00"/>
    <m/>
    <m/>
    <n v="12"/>
    <m/>
    <n v="11"/>
    <n v="11"/>
    <s v="st"/>
    <n v="10.399999999999999"/>
    <n v="6"/>
    <n v="6"/>
    <n v="0.71962616822429903"/>
    <n v="0.4859813084112149"/>
    <n v="0.23364485981308414"/>
    <m/>
    <m/>
    <s v=""/>
    <s v=""/>
    <s v=""/>
    <s v=""/>
    <s v=""/>
    <s v=""/>
    <s v=""/>
    <s v=""/>
    <s v=""/>
    <s v=""/>
    <x v="0"/>
    <m/>
    <m/>
    <s v="TC-2484Rodando"/>
  </r>
  <r>
    <x v="79"/>
    <x v="79"/>
    <x v="0"/>
    <x v="1"/>
    <m/>
    <s v="Michelin"/>
    <s v="295/80R22.5"/>
    <s v="XMULTI2D"/>
    <s v="XMULTI2D"/>
    <x v="0"/>
    <n v="21.4"/>
    <n v="110"/>
    <m/>
    <m/>
    <m/>
    <m/>
    <m/>
    <s v="5"/>
    <d v="2024-04-03T00:00:00"/>
    <m/>
    <m/>
    <n v="12"/>
    <m/>
    <n v="11"/>
    <n v="11"/>
    <s v="st"/>
    <n v="10.399999999999999"/>
    <n v="6"/>
    <n v="6"/>
    <n v="0.71962616822429903"/>
    <n v="0.4859813084112149"/>
    <n v="0.23364485981308414"/>
    <m/>
    <m/>
    <s v=""/>
    <s v=""/>
    <s v=""/>
    <s v=""/>
    <s v=""/>
    <s v=""/>
    <s v=""/>
    <s v=""/>
    <s v=""/>
    <s v=""/>
    <x v="0"/>
    <m/>
    <m/>
    <s v="TC-2485Rodando"/>
  </r>
  <r>
    <x v="79"/>
    <x v="79"/>
    <x v="0"/>
    <x v="1"/>
    <m/>
    <s v="Michelin"/>
    <s v="295/80R22.5"/>
    <s v="XMULTI2D"/>
    <s v="XMULTI2D"/>
    <x v="0"/>
    <n v="21.4"/>
    <n v="110"/>
    <m/>
    <m/>
    <m/>
    <m/>
    <m/>
    <s v="6"/>
    <d v="2024-04-03T00:00:00"/>
    <m/>
    <m/>
    <n v="12"/>
    <m/>
    <n v="12"/>
    <n v="12"/>
    <s v="st"/>
    <n v="9.3999999999999986"/>
    <n v="6"/>
    <n v="6"/>
    <n v="0.71962616822429903"/>
    <n v="0.43925233644859807"/>
    <n v="0.28037383177570097"/>
    <m/>
    <m/>
    <s v=""/>
    <s v=""/>
    <s v=""/>
    <s v=""/>
    <s v=""/>
    <s v=""/>
    <s v=""/>
    <s v=""/>
    <s v=""/>
    <s v=""/>
    <x v="0"/>
    <m/>
    <m/>
    <s v="TC-2486Rodando"/>
  </r>
  <r>
    <x v="79"/>
    <x v="79"/>
    <x v="0"/>
    <x v="1"/>
    <m/>
    <s v="Michelin"/>
    <s v="295/80R22.5"/>
    <s v="XMULTI2D"/>
    <s v="XMULTI2D"/>
    <x v="0"/>
    <n v="21.4"/>
    <n v="110"/>
    <m/>
    <m/>
    <m/>
    <m/>
    <m/>
    <s v="7"/>
    <d v="2024-04-03T00:00:00"/>
    <m/>
    <m/>
    <n v="11"/>
    <m/>
    <n v="12"/>
    <n v="11"/>
    <s v="st"/>
    <n v="10.399999999999999"/>
    <n v="6"/>
    <n v="6"/>
    <n v="0.71962616822429903"/>
    <n v="0.4859813084112149"/>
    <n v="0.23364485981308414"/>
    <m/>
    <m/>
    <s v=""/>
    <s v=""/>
    <s v=""/>
    <s v=""/>
    <s v=""/>
    <s v=""/>
    <s v=""/>
    <s v=""/>
    <s v=""/>
    <s v=""/>
    <x v="0"/>
    <m/>
    <m/>
    <s v="TC-2487Rodando"/>
  </r>
  <r>
    <x v="79"/>
    <x v="79"/>
    <x v="0"/>
    <x v="1"/>
    <m/>
    <s v="Michelin"/>
    <s v="295/80R22.5"/>
    <s v="XMULTI2D"/>
    <s v="XMULTI2D"/>
    <x v="0"/>
    <n v="21.4"/>
    <n v="110"/>
    <m/>
    <m/>
    <m/>
    <m/>
    <m/>
    <s v="8"/>
    <d v="2024-04-03T00:00:00"/>
    <m/>
    <m/>
    <n v="12"/>
    <m/>
    <n v="11"/>
    <n v="11"/>
    <s v="st"/>
    <n v="10.399999999999999"/>
    <n v="6"/>
    <n v="6"/>
    <n v="0.71962616822429903"/>
    <n v="0.4859813084112149"/>
    <n v="0.23364485981308414"/>
    <m/>
    <m/>
    <s v=""/>
    <s v=""/>
    <s v=""/>
    <s v=""/>
    <s v=""/>
    <s v=""/>
    <s v=""/>
    <s v=""/>
    <s v=""/>
    <s v=""/>
    <x v="0"/>
    <m/>
    <m/>
    <s v="TC-2488Rodando"/>
  </r>
  <r>
    <x v="79"/>
    <x v="79"/>
    <x v="0"/>
    <x v="1"/>
    <m/>
    <s v="Michelin"/>
    <s v="295/80R22.5"/>
    <s v="XMULTI2D"/>
    <s v="XMULTI2D"/>
    <x v="0"/>
    <n v="21.4"/>
    <n v="110"/>
    <m/>
    <m/>
    <m/>
    <m/>
    <m/>
    <s v="9"/>
    <d v="2024-04-03T00:00:00"/>
    <m/>
    <m/>
    <n v="8"/>
    <m/>
    <n v="9"/>
    <n v="8"/>
    <s v="st"/>
    <n v="13.399999999999999"/>
    <n v="6"/>
    <n v="6"/>
    <n v="0.71962616822429903"/>
    <n v="0.62616822429906538"/>
    <n v="9.3457943925233655E-2"/>
    <m/>
    <m/>
    <s v=""/>
    <s v=""/>
    <s v=""/>
    <s v=""/>
    <s v=""/>
    <s v=""/>
    <s v=""/>
    <s v=""/>
    <s v=""/>
    <s v=""/>
    <x v="0"/>
    <m/>
    <m/>
    <s v="TC-2489Rodando"/>
  </r>
  <r>
    <x v="79"/>
    <x v="79"/>
    <x v="0"/>
    <x v="1"/>
    <m/>
    <s v="Michelin"/>
    <s v="295/80R22.5"/>
    <s v="XMULTI2D"/>
    <s v="XMULTI2D"/>
    <x v="0"/>
    <n v="21.4"/>
    <n v="110"/>
    <m/>
    <m/>
    <m/>
    <m/>
    <m/>
    <s v="10"/>
    <d v="2024-04-03T00:00:00"/>
    <m/>
    <m/>
    <n v="8"/>
    <m/>
    <n v="9"/>
    <n v="8"/>
    <s v="st"/>
    <n v="13.399999999999999"/>
    <n v="6"/>
    <n v="6"/>
    <n v="0.71962616822429903"/>
    <n v="0.62616822429906538"/>
    <n v="9.3457943925233655E-2"/>
    <m/>
    <m/>
    <s v=""/>
    <s v=""/>
    <s v=""/>
    <s v=""/>
    <s v=""/>
    <s v=""/>
    <s v=""/>
    <s v=""/>
    <s v=""/>
    <s v=""/>
    <x v="0"/>
    <m/>
    <m/>
    <s v="TC-24810Rodando"/>
  </r>
  <r>
    <x v="80"/>
    <x v="80"/>
    <x v="1"/>
    <x v="2"/>
    <m/>
    <s v="Aeolus"/>
    <s v="445/65R22.5"/>
    <s v="Reencauche"/>
    <s v="LZY3"/>
    <x v="1"/>
    <n v="20"/>
    <n v="110"/>
    <m/>
    <m/>
    <m/>
    <m/>
    <m/>
    <s v="1"/>
    <d v="2024-04-02T00:00:00"/>
    <m/>
    <m/>
    <n v="20"/>
    <n v="20"/>
    <n v="20"/>
    <n v="20"/>
    <s v="st"/>
    <n v="0"/>
    <n v="6"/>
    <n v="6"/>
    <n v="0.7"/>
    <n v="0"/>
    <n v="0.7"/>
    <m/>
    <m/>
    <s v=""/>
    <s v=""/>
    <s v=""/>
    <s v=""/>
    <s v=""/>
    <s v=""/>
    <s v=""/>
    <s v=""/>
    <s v=""/>
    <s v=""/>
    <x v="0"/>
    <m/>
    <m/>
    <s v="SR-2401Rodando"/>
  </r>
  <r>
    <x v="80"/>
    <x v="80"/>
    <x v="1"/>
    <x v="2"/>
    <m/>
    <s v="Aeolus"/>
    <s v="445/65R22.5"/>
    <s v="Reencauche"/>
    <s v="LZY3"/>
    <x v="1"/>
    <n v="20"/>
    <n v="110"/>
    <m/>
    <m/>
    <m/>
    <m/>
    <m/>
    <s v="2"/>
    <d v="2024-04-02T00:00:00"/>
    <m/>
    <m/>
    <n v="19"/>
    <n v="19"/>
    <n v="19"/>
    <n v="19"/>
    <s v="st"/>
    <n v="1"/>
    <n v="6"/>
    <n v="6"/>
    <n v="0.7"/>
    <n v="5.0000000000000044E-2"/>
    <n v="0.64999999999999991"/>
    <m/>
    <m/>
    <s v=""/>
    <s v=""/>
    <s v=""/>
    <s v=""/>
    <s v=""/>
    <s v=""/>
    <s v=""/>
    <s v=""/>
    <s v=""/>
    <s v=""/>
    <x v="0"/>
    <m/>
    <m/>
    <s v="SR-2402Rodando"/>
  </r>
  <r>
    <x v="80"/>
    <x v="80"/>
    <x v="1"/>
    <x v="2"/>
    <m/>
    <s v="Aeolus"/>
    <s v="445/65R22.5"/>
    <s v="AGC28"/>
    <s v="AGC28"/>
    <x v="0"/>
    <n v="16.5"/>
    <n v="110"/>
    <m/>
    <m/>
    <m/>
    <m/>
    <m/>
    <s v="3"/>
    <d v="2024-04-02T00:00:00"/>
    <m/>
    <m/>
    <n v="10"/>
    <n v="9"/>
    <n v="10"/>
    <n v="9"/>
    <s v="st"/>
    <n v="7.5"/>
    <n v="6"/>
    <n v="6"/>
    <n v="0.63636363636363635"/>
    <n v="0.45454545454545459"/>
    <n v="0.18181818181818177"/>
    <m/>
    <m/>
    <s v=""/>
    <s v=""/>
    <s v=""/>
    <s v=""/>
    <s v=""/>
    <s v=""/>
    <s v=""/>
    <s v=""/>
    <s v=""/>
    <s v=""/>
    <x v="0"/>
    <m/>
    <m/>
    <s v="SR-2403Rodando"/>
  </r>
  <r>
    <x v="80"/>
    <x v="80"/>
    <x v="1"/>
    <x v="2"/>
    <m/>
    <s v="Aeolus"/>
    <s v="445/65R22.5"/>
    <s v="AGC28"/>
    <s v="AGC28"/>
    <x v="0"/>
    <n v="16.5"/>
    <n v="110"/>
    <m/>
    <m/>
    <m/>
    <m/>
    <m/>
    <s v="4"/>
    <d v="2024-04-02T00:00:00"/>
    <m/>
    <m/>
    <n v="10"/>
    <n v="10"/>
    <n v="11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2404Rodando"/>
  </r>
  <r>
    <x v="80"/>
    <x v="80"/>
    <x v="1"/>
    <x v="2"/>
    <m/>
    <s v="Aeolus"/>
    <s v="445/65R22.5"/>
    <s v="AGC28"/>
    <s v="AGC28"/>
    <x v="0"/>
    <n v="16.5"/>
    <n v="110"/>
    <m/>
    <m/>
    <m/>
    <m/>
    <m/>
    <s v="5"/>
    <d v="2024-04-02T00:00:00"/>
    <m/>
    <m/>
    <n v="14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2405Rodando"/>
  </r>
  <r>
    <x v="80"/>
    <x v="80"/>
    <x v="1"/>
    <x v="2"/>
    <m/>
    <s v="Aeolus"/>
    <s v="445/65R22.5"/>
    <s v="AGC28"/>
    <s v="AGC28"/>
    <x v="0"/>
    <n v="16.5"/>
    <n v="110"/>
    <m/>
    <m/>
    <m/>
    <m/>
    <m/>
    <s v="6"/>
    <d v="2024-04-02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406Rodando"/>
  </r>
  <r>
    <x v="80"/>
    <x v="80"/>
    <x v="1"/>
    <x v="3"/>
    <m/>
    <s v="Aeolus"/>
    <s v="445/65R22.5"/>
    <s v="AGC28"/>
    <s v="AGC28"/>
    <x v="0"/>
    <n v="16.5"/>
    <n v="110"/>
    <m/>
    <m/>
    <m/>
    <m/>
    <m/>
    <s v="RE"/>
    <d v="2024-04-02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240RERodando"/>
  </r>
  <r>
    <x v="80"/>
    <x v="80"/>
    <x v="1"/>
    <x v="4"/>
    <m/>
    <s v="Michelin"/>
    <s v="295/80R22.5"/>
    <s v="XMULTI2D"/>
    <s v="XMULTI2D"/>
    <x v="0"/>
    <n v="21.4"/>
    <n v="110"/>
    <m/>
    <m/>
    <m/>
    <m/>
    <m/>
    <s v="RT"/>
    <d v="2024-04-02T00:00:00"/>
    <m/>
    <m/>
    <n v="20"/>
    <m/>
    <n v="20"/>
    <n v="20"/>
    <s v="st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SR-240RTRodando"/>
  </r>
  <r>
    <x v="81"/>
    <x v="81"/>
    <x v="0"/>
    <x v="0"/>
    <m/>
    <s v="Michelin"/>
    <s v="295/80R22.5"/>
    <s v="XMULTI+Z"/>
    <s v="XMULTI+Z"/>
    <x v="0"/>
    <n v="16"/>
    <n v="100"/>
    <m/>
    <m/>
    <m/>
    <m/>
    <m/>
    <s v="1"/>
    <d v="2024-04-04T00:00:00"/>
    <m/>
    <m/>
    <n v="7"/>
    <n v="8"/>
    <n v="9"/>
    <n v="7"/>
    <s v="tm"/>
    <n v="9"/>
    <n v="6"/>
    <n v="6"/>
    <n v="0.625"/>
    <n v="0.5625"/>
    <n v="6.25E-2"/>
    <m/>
    <m/>
    <s v=""/>
    <s v=""/>
    <s v=""/>
    <s v=""/>
    <s v=""/>
    <s v=""/>
    <s v=""/>
    <s v=""/>
    <s v=""/>
    <s v=""/>
    <x v="0"/>
    <m/>
    <m/>
    <s v="TC-2461Rodando"/>
  </r>
  <r>
    <x v="81"/>
    <x v="81"/>
    <x v="0"/>
    <x v="0"/>
    <m/>
    <s v="Michelin"/>
    <s v="295/80R22.5"/>
    <s v="XMULTI+Z"/>
    <s v="XMULTI+Z"/>
    <x v="0"/>
    <n v="16"/>
    <n v="100"/>
    <m/>
    <m/>
    <m/>
    <m/>
    <m/>
    <s v="2"/>
    <d v="2024-04-04T00:00:00"/>
    <m/>
    <m/>
    <n v="9"/>
    <n v="9"/>
    <n v="9"/>
    <n v="9"/>
    <s v="tm"/>
    <n v="7"/>
    <n v="6"/>
    <n v="6"/>
    <n v="0.625"/>
    <n v="0.4375"/>
    <n v="0.1875"/>
    <m/>
    <m/>
    <s v=""/>
    <s v=""/>
    <s v=""/>
    <s v=""/>
    <s v=""/>
    <s v=""/>
    <s v=""/>
    <s v=""/>
    <s v=""/>
    <s v=""/>
    <x v="0"/>
    <m/>
    <m/>
    <s v="TC-2462Rodando"/>
  </r>
  <r>
    <x v="81"/>
    <x v="81"/>
    <x v="0"/>
    <x v="1"/>
    <m/>
    <s v="Michelin"/>
    <s v="295/80R22.5"/>
    <s v="XMULTI2D"/>
    <s v="XMULTI2D"/>
    <x v="0"/>
    <n v="21.4"/>
    <n v="110"/>
    <m/>
    <m/>
    <m/>
    <m/>
    <m/>
    <s v="3"/>
    <d v="2024-04-04T00:00:00"/>
    <m/>
    <m/>
    <n v="12"/>
    <m/>
    <n v="12"/>
    <n v="12"/>
    <s v="tm"/>
    <n v="9.3999999999999986"/>
    <n v="6"/>
    <n v="6"/>
    <n v="0.71962616822429903"/>
    <n v="0.43925233644859807"/>
    <n v="0.28037383177570097"/>
    <m/>
    <m/>
    <s v=""/>
    <s v=""/>
    <s v=""/>
    <s v=""/>
    <s v=""/>
    <s v=""/>
    <s v=""/>
    <s v=""/>
    <s v=""/>
    <s v=""/>
    <x v="0"/>
    <m/>
    <m/>
    <s v="TC-2463Rodando"/>
  </r>
  <r>
    <x v="81"/>
    <x v="81"/>
    <x v="0"/>
    <x v="1"/>
    <m/>
    <s v="Michelin"/>
    <s v="295/80R22.5"/>
    <s v="XMULTI2D"/>
    <s v="XMULTI2D"/>
    <x v="0"/>
    <n v="21.4"/>
    <n v="110"/>
    <m/>
    <m/>
    <m/>
    <m/>
    <m/>
    <s v="4"/>
    <d v="2024-04-04T00:00:00"/>
    <m/>
    <m/>
    <n v="12"/>
    <m/>
    <n v="12"/>
    <n v="12"/>
    <s v="tm"/>
    <n v="9.3999999999999986"/>
    <n v="6"/>
    <n v="6"/>
    <n v="0.71962616822429903"/>
    <n v="0.43925233644859807"/>
    <n v="0.28037383177570097"/>
    <m/>
    <m/>
    <s v=""/>
    <s v=""/>
    <s v=""/>
    <s v=""/>
    <s v=""/>
    <s v=""/>
    <s v=""/>
    <s v=""/>
    <s v=""/>
    <s v=""/>
    <x v="0"/>
    <m/>
    <m/>
    <s v="TC-2464Rodando"/>
  </r>
  <r>
    <x v="81"/>
    <x v="81"/>
    <x v="0"/>
    <x v="1"/>
    <m/>
    <s v="Michelin"/>
    <s v="295/80R22.5"/>
    <s v="XMULTI2D"/>
    <s v="XMULTI2D"/>
    <x v="0"/>
    <n v="21.4"/>
    <n v="110"/>
    <m/>
    <m/>
    <m/>
    <m/>
    <m/>
    <s v="5"/>
    <d v="2024-04-04T00:00:00"/>
    <m/>
    <m/>
    <n v="12"/>
    <m/>
    <n v="12"/>
    <n v="12"/>
    <s v="st"/>
    <n v="9.3999999999999986"/>
    <n v="6"/>
    <n v="6"/>
    <n v="0.71962616822429903"/>
    <n v="0.43925233644859807"/>
    <n v="0.28037383177570097"/>
    <m/>
    <m/>
    <s v=""/>
    <s v=""/>
    <s v=""/>
    <s v=""/>
    <s v=""/>
    <s v=""/>
    <s v=""/>
    <s v=""/>
    <s v=""/>
    <s v=""/>
    <x v="0"/>
    <m/>
    <m/>
    <s v="TC-2465Rodando"/>
  </r>
  <r>
    <x v="81"/>
    <x v="81"/>
    <x v="0"/>
    <x v="1"/>
    <m/>
    <s v="Michelin"/>
    <s v="295/80R22.5"/>
    <s v="XMULTI2D"/>
    <s v="XMULTI2D"/>
    <x v="0"/>
    <n v="21.4"/>
    <n v="110"/>
    <m/>
    <m/>
    <m/>
    <m/>
    <m/>
    <s v="6"/>
    <d v="2024-04-04T00:00:00"/>
    <m/>
    <m/>
    <n v="12"/>
    <m/>
    <n v="12"/>
    <n v="12"/>
    <s v="tm"/>
    <n v="9.3999999999999986"/>
    <n v="6"/>
    <n v="6"/>
    <n v="0.71962616822429903"/>
    <n v="0.43925233644859807"/>
    <n v="0.28037383177570097"/>
    <m/>
    <m/>
    <s v=""/>
    <s v=""/>
    <s v=""/>
    <s v=""/>
    <s v=""/>
    <s v=""/>
    <s v=""/>
    <s v=""/>
    <s v=""/>
    <s v=""/>
    <x v="0"/>
    <m/>
    <m/>
    <s v="TC-2466Rodando"/>
  </r>
  <r>
    <x v="81"/>
    <x v="81"/>
    <x v="0"/>
    <x v="1"/>
    <m/>
    <s v="Michelin"/>
    <s v="295/80R22.5"/>
    <s v="XMULTI2D"/>
    <s v="XMULTI2D"/>
    <x v="0"/>
    <n v="21.4"/>
    <n v="110"/>
    <m/>
    <m/>
    <m/>
    <m/>
    <m/>
    <s v="7"/>
    <d v="2024-04-04T00:00:00"/>
    <m/>
    <m/>
    <n v="10"/>
    <m/>
    <n v="10"/>
    <n v="10"/>
    <s v="tm"/>
    <n v="11.399999999999999"/>
    <n v="6"/>
    <n v="6"/>
    <n v="0.71962616822429903"/>
    <n v="0.53271028037383172"/>
    <n v="0.18691588785046731"/>
    <m/>
    <m/>
    <s v=""/>
    <s v=""/>
    <s v=""/>
    <s v=""/>
    <s v=""/>
    <s v=""/>
    <s v=""/>
    <s v=""/>
    <s v=""/>
    <s v=""/>
    <x v="0"/>
    <m/>
    <m/>
    <s v="TC-2467Rodando"/>
  </r>
  <r>
    <x v="81"/>
    <x v="81"/>
    <x v="0"/>
    <x v="1"/>
    <m/>
    <s v="Michelin"/>
    <s v="295/80R22.5"/>
    <s v="XMULTI2D"/>
    <s v="XMULTI2D"/>
    <x v="0"/>
    <n v="21.4"/>
    <n v="110"/>
    <m/>
    <m/>
    <m/>
    <m/>
    <m/>
    <s v="8"/>
    <d v="2024-04-04T00:00:00"/>
    <m/>
    <m/>
    <n v="10"/>
    <m/>
    <n v="10"/>
    <n v="10"/>
    <s v="tm"/>
    <n v="11.399999999999999"/>
    <n v="6"/>
    <n v="6"/>
    <n v="0.71962616822429903"/>
    <n v="0.53271028037383172"/>
    <n v="0.18691588785046731"/>
    <m/>
    <m/>
    <s v=""/>
    <s v=""/>
    <s v=""/>
    <s v=""/>
    <s v=""/>
    <s v=""/>
    <s v=""/>
    <s v=""/>
    <s v=""/>
    <s v=""/>
    <x v="0"/>
    <m/>
    <m/>
    <s v="TC-2468Rodando"/>
  </r>
  <r>
    <x v="81"/>
    <x v="81"/>
    <x v="0"/>
    <x v="1"/>
    <m/>
    <s v="Michelin"/>
    <s v="295/80R22.5"/>
    <s v="XMULTI2D"/>
    <s v="XMULTI2D"/>
    <x v="0"/>
    <n v="21.4"/>
    <n v="110"/>
    <m/>
    <m/>
    <m/>
    <m/>
    <m/>
    <s v="9"/>
    <d v="2024-04-04T00:00:00"/>
    <m/>
    <m/>
    <n v="10"/>
    <m/>
    <n v="10"/>
    <n v="10"/>
    <s v="tm"/>
    <n v="11.399999999999999"/>
    <n v="6"/>
    <n v="6"/>
    <n v="0.71962616822429903"/>
    <n v="0.53271028037383172"/>
    <n v="0.18691588785046731"/>
    <m/>
    <m/>
    <s v=""/>
    <s v=""/>
    <s v=""/>
    <s v=""/>
    <s v=""/>
    <s v=""/>
    <s v=""/>
    <s v=""/>
    <s v=""/>
    <s v=""/>
    <x v="0"/>
    <m/>
    <m/>
    <s v="TC-2469Rodando"/>
  </r>
  <r>
    <x v="81"/>
    <x v="81"/>
    <x v="0"/>
    <x v="1"/>
    <m/>
    <s v="Michelin"/>
    <s v="295/80R22.5"/>
    <s v="XMULTI2D"/>
    <s v="XMULTI2D"/>
    <x v="0"/>
    <n v="21.4"/>
    <n v="110"/>
    <m/>
    <m/>
    <m/>
    <m/>
    <m/>
    <s v="10"/>
    <d v="2024-04-04T00:00:00"/>
    <m/>
    <m/>
    <n v="10"/>
    <m/>
    <n v="10"/>
    <n v="10"/>
    <s v="tm"/>
    <n v="11.399999999999999"/>
    <n v="6"/>
    <n v="6"/>
    <n v="0.71962616822429903"/>
    <n v="0.53271028037383172"/>
    <n v="0.18691588785046731"/>
    <m/>
    <m/>
    <s v=""/>
    <s v=""/>
    <s v=""/>
    <s v=""/>
    <s v=""/>
    <s v=""/>
    <s v=""/>
    <s v=""/>
    <s v=""/>
    <s v=""/>
    <x v="0"/>
    <m/>
    <m/>
    <s v="TC-24610Rodando"/>
  </r>
  <r>
    <x v="82"/>
    <x v="82"/>
    <x v="1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2"/>
    <n v="12"/>
    <n v="12"/>
    <n v="12"/>
    <s v="tm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2441Rodando"/>
  </r>
  <r>
    <x v="82"/>
    <x v="82"/>
    <x v="1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12"/>
    <n v="12"/>
    <n v="12"/>
    <n v="12"/>
    <s v="tm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2442Rodando"/>
  </r>
  <r>
    <x v="82"/>
    <x v="82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2"/>
    <n v="12"/>
    <n v="12"/>
    <n v="12"/>
    <s v="tm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2443Rodando"/>
  </r>
  <r>
    <x v="82"/>
    <x v="82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0"/>
    <n v="10"/>
    <n v="10"/>
    <n v="10"/>
    <s v="tm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2444Rodando"/>
  </r>
  <r>
    <x v="82"/>
    <x v="82"/>
    <x v="1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15"/>
    <n v="15"/>
    <n v="15"/>
    <n v="15"/>
    <s v="tm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2445Rodando"/>
  </r>
  <r>
    <x v="82"/>
    <x v="82"/>
    <x v="1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15"/>
    <n v="15"/>
    <n v="15"/>
    <n v="15"/>
    <s v="tm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2446Rodando"/>
  </r>
  <r>
    <x v="82"/>
    <x v="82"/>
    <x v="1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16"/>
    <n v="16"/>
    <n v="16"/>
    <n v="16"/>
    <s v="tm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SR-244RERodando"/>
  </r>
  <r>
    <x v="82"/>
    <x v="82"/>
    <x v="1"/>
    <x v="4"/>
    <m/>
    <s v="Michelin"/>
    <s v="295/80R22.5"/>
    <s v="XMULTI2D"/>
    <s v="XMULTI2D"/>
    <x v="0"/>
    <n v="21.4"/>
    <n v="110"/>
    <m/>
    <m/>
    <m/>
    <m/>
    <m/>
    <s v="RT"/>
    <d v="2024-04-03T00:00:00"/>
    <m/>
    <m/>
    <n v="20"/>
    <m/>
    <n v="20"/>
    <n v="20"/>
    <s v="st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SR-244RTRodando"/>
  </r>
  <r>
    <x v="83"/>
    <x v="83"/>
    <x v="1"/>
    <x v="2"/>
    <m/>
    <s v="Aeolus"/>
    <s v="445/65R22.5"/>
    <s v="AGC28"/>
    <s v="AGC28"/>
    <x v="0"/>
    <n v="16.5"/>
    <n v="110"/>
    <m/>
    <m/>
    <m/>
    <m/>
    <m/>
    <s v="1"/>
    <d v="2024-04-04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SR-2261Rodando"/>
  </r>
  <r>
    <x v="83"/>
    <x v="83"/>
    <x v="1"/>
    <x v="2"/>
    <m/>
    <s v="Aeolus"/>
    <s v="445/65R22.5"/>
    <s v="AGC28"/>
    <s v="AGC28"/>
    <x v="0"/>
    <n v="16.5"/>
    <n v="110"/>
    <m/>
    <m/>
    <m/>
    <m/>
    <m/>
    <s v="2"/>
    <d v="2024-04-04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2262Rodando"/>
  </r>
  <r>
    <x v="83"/>
    <x v="83"/>
    <x v="1"/>
    <x v="2"/>
    <m/>
    <s v="Aeolus"/>
    <s v="445/65R22.5"/>
    <s v="AGC28"/>
    <s v="AGC28"/>
    <x v="0"/>
    <n v="16.5"/>
    <n v="110"/>
    <m/>
    <m/>
    <m/>
    <m/>
    <m/>
    <s v="3"/>
    <d v="2024-04-04T00:00:00"/>
    <m/>
    <m/>
    <n v="12"/>
    <n v="12"/>
    <n v="12"/>
    <n v="12"/>
    <s v="tm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2263Rodando"/>
  </r>
  <r>
    <x v="83"/>
    <x v="83"/>
    <x v="1"/>
    <x v="2"/>
    <m/>
    <s v="Aeolus"/>
    <s v="445/65R22.5"/>
    <s v="AGC28"/>
    <s v="AGC28"/>
    <x v="0"/>
    <n v="16.5"/>
    <n v="110"/>
    <m/>
    <m/>
    <m/>
    <m/>
    <m/>
    <s v="4"/>
    <d v="2024-04-04T00:00:00"/>
    <m/>
    <m/>
    <n v="11"/>
    <n v="11"/>
    <n v="11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2264Rodando"/>
  </r>
  <r>
    <x v="83"/>
    <x v="83"/>
    <x v="1"/>
    <x v="2"/>
    <m/>
    <s v="Continental"/>
    <s v="445/65R22.5"/>
    <s v="HTC1"/>
    <s v="HTC1"/>
    <x v="0"/>
    <n v="18"/>
    <n v="110"/>
    <m/>
    <m/>
    <m/>
    <m/>
    <m/>
    <s v="5"/>
    <d v="2024-04-04T00:00:00"/>
    <m/>
    <m/>
    <n v="14"/>
    <n v="16"/>
    <n v="14"/>
    <n v="14"/>
    <s v="st"/>
    <n v="4"/>
    <n v="6"/>
    <n v="6"/>
    <n v="0.66666666666666674"/>
    <n v="0.22222222222222221"/>
    <n v="0.44444444444444453"/>
    <m/>
    <m/>
    <s v=""/>
    <s v=""/>
    <s v=""/>
    <s v=""/>
    <s v=""/>
    <s v=""/>
    <s v=""/>
    <s v=""/>
    <s v=""/>
    <s v=""/>
    <x v="0"/>
    <m/>
    <m/>
    <s v="SR-2265Rodando"/>
  </r>
  <r>
    <x v="83"/>
    <x v="83"/>
    <x v="1"/>
    <x v="2"/>
    <m/>
    <s v="Continental"/>
    <s v="445/65R22.5"/>
    <s v="HTC1"/>
    <s v="HTC1"/>
    <x v="0"/>
    <n v="18"/>
    <n v="110"/>
    <m/>
    <m/>
    <m/>
    <m/>
    <m/>
    <s v="6"/>
    <d v="2024-04-04T00:00:00"/>
    <m/>
    <m/>
    <n v="15"/>
    <n v="16"/>
    <n v="15"/>
    <n v="15"/>
    <s v="st"/>
    <n v="3"/>
    <n v="6"/>
    <n v="6"/>
    <n v="0.66666666666666674"/>
    <n v="0.16666666666666663"/>
    <n v="0.50000000000000011"/>
    <m/>
    <m/>
    <s v=""/>
    <s v=""/>
    <s v=""/>
    <s v=""/>
    <s v=""/>
    <s v=""/>
    <s v=""/>
    <s v=""/>
    <s v=""/>
    <s v=""/>
    <x v="0"/>
    <m/>
    <m/>
    <s v="SR-2266Rodando"/>
  </r>
  <r>
    <x v="83"/>
    <x v="83"/>
    <x v="1"/>
    <x v="3"/>
    <m/>
    <s v="Aeolus"/>
    <s v="445/65R22.5"/>
    <s v="AGC28"/>
    <s v="AGC28"/>
    <x v="0"/>
    <n v="16.5"/>
    <n v="110"/>
    <m/>
    <m/>
    <m/>
    <m/>
    <m/>
    <s v="RE"/>
    <d v="2024-04-04T00:00:00"/>
    <m/>
    <m/>
    <n v="13"/>
    <n v="13"/>
    <n v="13"/>
    <n v="13"/>
    <s v="st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226RERodando"/>
  </r>
  <r>
    <x v="83"/>
    <x v="83"/>
    <x v="1"/>
    <x v="4"/>
    <m/>
    <s v="Michelin"/>
    <s v="295/80R22.5"/>
    <s v="XMULTI2D"/>
    <s v="XMULTI2D"/>
    <x v="0"/>
    <n v="21.4"/>
    <n v="110"/>
    <m/>
    <m/>
    <m/>
    <m/>
    <m/>
    <s v="RT"/>
    <d v="2024-04-04T00:00:00"/>
    <m/>
    <m/>
    <n v="20"/>
    <m/>
    <n v="20"/>
    <n v="20"/>
    <s v="st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SR-226RTRodando"/>
  </r>
  <r>
    <x v="84"/>
    <x v="84"/>
    <x v="1"/>
    <x v="2"/>
    <m/>
    <s v="Aeolus"/>
    <s v="445/65R22.5"/>
    <s v="AGC28"/>
    <s v="AGC28"/>
    <x v="0"/>
    <n v="16.5"/>
    <n v="110"/>
    <m/>
    <m/>
    <m/>
    <m/>
    <m/>
    <s v="1"/>
    <d v="2024-04-04T00:00:00"/>
    <m/>
    <m/>
    <n v="12"/>
    <n v="12"/>
    <n v="12"/>
    <n v="12"/>
    <s v="tm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2321Rodando"/>
  </r>
  <r>
    <x v="84"/>
    <x v="84"/>
    <x v="1"/>
    <x v="2"/>
    <m/>
    <s v="Aeolus"/>
    <s v="445/65R22.5"/>
    <s v="AGC28"/>
    <s v="AGC28"/>
    <x v="0"/>
    <n v="16.5"/>
    <n v="110"/>
    <m/>
    <m/>
    <m/>
    <m/>
    <m/>
    <s v="2"/>
    <d v="2024-04-04T00:00:00"/>
    <m/>
    <m/>
    <n v="13"/>
    <n v="13"/>
    <n v="13"/>
    <n v="13"/>
    <s v="tm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2322Rodando"/>
  </r>
  <r>
    <x v="84"/>
    <x v="84"/>
    <x v="1"/>
    <x v="2"/>
    <m/>
    <s v="Aeolus"/>
    <s v="445/65R22.5"/>
    <s v="AGC28"/>
    <s v="AGC28"/>
    <x v="0"/>
    <n v="16.5"/>
    <n v="110"/>
    <m/>
    <m/>
    <m/>
    <m/>
    <m/>
    <s v="3"/>
    <d v="2024-04-04T00:00:00"/>
    <m/>
    <m/>
    <n v="11"/>
    <n v="11"/>
    <n v="11"/>
    <n v="11"/>
    <s v="tm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2323Rodando"/>
  </r>
  <r>
    <x v="84"/>
    <x v="84"/>
    <x v="1"/>
    <x v="2"/>
    <m/>
    <s v="Aeolus"/>
    <s v="445/65R22.5"/>
    <s v="AGC28"/>
    <s v="AGC28"/>
    <x v="0"/>
    <n v="16.5"/>
    <n v="110"/>
    <m/>
    <m/>
    <m/>
    <m/>
    <m/>
    <s v="4"/>
    <d v="2024-04-04T00:00:00"/>
    <m/>
    <m/>
    <n v="12"/>
    <n v="12"/>
    <n v="12"/>
    <n v="12"/>
    <s v="tm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2324Rodando"/>
  </r>
  <r>
    <x v="84"/>
    <x v="84"/>
    <x v="1"/>
    <x v="2"/>
    <m/>
    <s v="Aeolus"/>
    <s v="445/65R22.5"/>
    <s v="AGC28"/>
    <s v="AGC28"/>
    <x v="0"/>
    <n v="16.5"/>
    <n v="110"/>
    <m/>
    <m/>
    <m/>
    <m/>
    <m/>
    <s v="5"/>
    <d v="2024-04-04T00:00:00"/>
    <m/>
    <m/>
    <n v="14"/>
    <n v="14"/>
    <n v="14"/>
    <n v="14"/>
    <s v="tm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325Rodando"/>
  </r>
  <r>
    <x v="84"/>
    <x v="84"/>
    <x v="1"/>
    <x v="2"/>
    <m/>
    <s v="Aeolus"/>
    <s v="445/65R22.5"/>
    <s v="AGC28"/>
    <s v="AGC28"/>
    <x v="0"/>
    <n v="16.5"/>
    <n v="110"/>
    <m/>
    <m/>
    <m/>
    <m/>
    <m/>
    <s v="6"/>
    <d v="2024-04-04T00:00:00"/>
    <m/>
    <m/>
    <n v="13"/>
    <n v="13"/>
    <n v="13"/>
    <n v="13"/>
    <s v="tm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m/>
    <s v="SR-2326Rodando"/>
  </r>
  <r>
    <x v="84"/>
    <x v="84"/>
    <x v="1"/>
    <x v="3"/>
    <m/>
    <s v="Aeolus"/>
    <s v="445/65R22.5"/>
    <s v="AGC28"/>
    <s v="AGC28"/>
    <x v="0"/>
    <n v="16.5"/>
    <n v="110"/>
    <m/>
    <m/>
    <m/>
    <m/>
    <m/>
    <s v="RE"/>
    <d v="2024-04-04T00:00:00"/>
    <m/>
    <m/>
    <n v="16"/>
    <n v="16"/>
    <n v="16"/>
    <n v="16"/>
    <s v="tm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SR-232RERodando"/>
  </r>
  <r>
    <x v="84"/>
    <x v="84"/>
    <x v="1"/>
    <x v="4"/>
    <m/>
    <s v="Michelin"/>
    <s v="295/80R22.5"/>
    <s v="XMULTI2D"/>
    <s v="XMULTI2D"/>
    <x v="0"/>
    <n v="21.4"/>
    <n v="110"/>
    <m/>
    <m/>
    <m/>
    <m/>
    <m/>
    <s v="RT"/>
    <d v="2024-04-04T00:00:00"/>
    <m/>
    <m/>
    <n v="21"/>
    <m/>
    <n v="21"/>
    <n v="21"/>
    <s v="tm"/>
    <n v="0.39999999999999858"/>
    <n v="6"/>
    <n v="6"/>
    <n v="0.71962616822429903"/>
    <n v="1.869158878504662E-2"/>
    <n v="0.70093457943925241"/>
    <m/>
    <m/>
    <s v=""/>
    <s v=""/>
    <s v=""/>
    <s v=""/>
    <s v=""/>
    <s v=""/>
    <s v=""/>
    <s v=""/>
    <s v=""/>
    <s v=""/>
    <x v="0"/>
    <m/>
    <m/>
    <s v="SR-232RTRodando"/>
  </r>
  <r>
    <x v="85"/>
    <x v="85"/>
    <x v="1"/>
    <x v="2"/>
    <m/>
    <s v="Aeolus"/>
    <s v="445/65R22.5"/>
    <s v="AGC28"/>
    <s v="AGC28"/>
    <x v="0"/>
    <n v="16.5"/>
    <n v="110"/>
    <m/>
    <m/>
    <m/>
    <m/>
    <m/>
    <s v="1"/>
    <d v="2024-04-04T00:00:00"/>
    <m/>
    <m/>
    <n v="14"/>
    <n v="14"/>
    <n v="14"/>
    <n v="14"/>
    <s v="tm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381Rodando"/>
  </r>
  <r>
    <x v="85"/>
    <x v="85"/>
    <x v="1"/>
    <x v="2"/>
    <m/>
    <s v="Aeolus"/>
    <s v="445/65R22.5"/>
    <s v="AGC28"/>
    <s v="AGC28"/>
    <x v="0"/>
    <n v="16.5"/>
    <n v="110"/>
    <m/>
    <m/>
    <m/>
    <m/>
    <m/>
    <s v="2"/>
    <d v="2024-04-04T00:00:00"/>
    <m/>
    <m/>
    <n v="10"/>
    <n v="8"/>
    <n v="9"/>
    <n v="8"/>
    <s v="tm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2382Rodando"/>
  </r>
  <r>
    <x v="85"/>
    <x v="85"/>
    <x v="1"/>
    <x v="2"/>
    <m/>
    <s v="Aeolus"/>
    <s v="445/65R22.5"/>
    <s v="AGC28"/>
    <s v="AGC28"/>
    <x v="0"/>
    <n v="16.5"/>
    <n v="110"/>
    <m/>
    <m/>
    <m/>
    <m/>
    <m/>
    <s v="3"/>
    <d v="2024-04-04T00:00:00"/>
    <m/>
    <m/>
    <n v="11"/>
    <n v="10"/>
    <n v="11"/>
    <n v="10"/>
    <s v="tm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2383Rodando"/>
  </r>
  <r>
    <x v="85"/>
    <x v="85"/>
    <x v="1"/>
    <x v="2"/>
    <m/>
    <s v="Aeolus"/>
    <s v="445/65R22.5"/>
    <s v="AGC28"/>
    <s v="AGC28"/>
    <x v="0"/>
    <n v="16.5"/>
    <n v="110"/>
    <m/>
    <m/>
    <m/>
    <m/>
    <m/>
    <s v="4"/>
    <d v="2024-04-04T00:00:00"/>
    <m/>
    <m/>
    <n v="10"/>
    <n v="8"/>
    <n v="9"/>
    <n v="8"/>
    <s v="tm"/>
    <n v="8.5"/>
    <n v="6"/>
    <n v="6"/>
    <n v="0.63636363636363635"/>
    <n v="0.51515151515151514"/>
    <n v="0.12121212121212122"/>
    <m/>
    <m/>
    <s v=""/>
    <s v=""/>
    <s v=""/>
    <s v=""/>
    <s v=""/>
    <s v=""/>
    <s v=""/>
    <s v=""/>
    <s v=""/>
    <s v=""/>
    <x v="0"/>
    <m/>
    <m/>
    <s v="SR-2384Rodando"/>
  </r>
  <r>
    <x v="85"/>
    <x v="85"/>
    <x v="1"/>
    <x v="2"/>
    <m/>
    <s v="Aeolus"/>
    <s v="445/65R22.5"/>
    <s v="AGC28"/>
    <s v="AGC28"/>
    <x v="0"/>
    <n v="16.5"/>
    <n v="110"/>
    <m/>
    <m/>
    <m/>
    <m/>
    <m/>
    <s v="5"/>
    <d v="2024-04-04T00:00:00"/>
    <m/>
    <m/>
    <n v="11"/>
    <n v="10"/>
    <n v="11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2385Rodando"/>
  </r>
  <r>
    <x v="85"/>
    <x v="85"/>
    <x v="1"/>
    <x v="2"/>
    <m/>
    <s v="Aeolus"/>
    <s v="445/65R22.5"/>
    <s v="AGC28"/>
    <s v="AGC28"/>
    <x v="0"/>
    <n v="16.5"/>
    <n v="110"/>
    <m/>
    <m/>
    <m/>
    <m/>
    <m/>
    <s v="6"/>
    <d v="2024-04-04T00:00:00"/>
    <m/>
    <m/>
    <n v="11"/>
    <n v="11"/>
    <n v="11"/>
    <n v="11"/>
    <s v="tm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2386Rodando"/>
  </r>
  <r>
    <x v="85"/>
    <x v="85"/>
    <x v="1"/>
    <x v="3"/>
    <m/>
    <s v="Aeolus"/>
    <s v="445/65R22.5"/>
    <s v="AGC28"/>
    <s v="AGC28"/>
    <x v="0"/>
    <n v="16.5"/>
    <n v="110"/>
    <m/>
    <m/>
    <m/>
    <m/>
    <m/>
    <s v="RE"/>
    <d v="2024-04-04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238RERodando"/>
  </r>
  <r>
    <x v="85"/>
    <x v="85"/>
    <x v="1"/>
    <x v="4"/>
    <m/>
    <s v="Michelin"/>
    <s v="295/80R22.5"/>
    <s v="XMULTI2D"/>
    <s v="XMULTI2D"/>
    <x v="0"/>
    <n v="21.4"/>
    <n v="110"/>
    <m/>
    <m/>
    <m/>
    <m/>
    <m/>
    <s v="RT"/>
    <d v="2024-04-04T00:00:00"/>
    <m/>
    <m/>
    <n v="20"/>
    <m/>
    <n v="20"/>
    <n v="20"/>
    <s v="tm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SR-238RTRodando"/>
  </r>
  <r>
    <x v="86"/>
    <x v="86"/>
    <x v="0"/>
    <x v="0"/>
    <m/>
    <s v="Michelin"/>
    <s v="295/80R22.5"/>
    <s v="XMULTI+Z"/>
    <s v="XMULTI+Z"/>
    <x v="0"/>
    <n v="16"/>
    <n v="100"/>
    <m/>
    <m/>
    <m/>
    <m/>
    <m/>
    <s v="1"/>
    <d v="2024-04-03T00:00:00"/>
    <m/>
    <m/>
    <n v="9"/>
    <n v="9"/>
    <n v="10"/>
    <n v="9"/>
    <s v="tm"/>
    <n v="7"/>
    <n v="6"/>
    <n v="6"/>
    <n v="0.625"/>
    <n v="0.4375"/>
    <n v="0.1875"/>
    <m/>
    <m/>
    <s v=""/>
    <s v=""/>
    <s v=""/>
    <s v=""/>
    <s v=""/>
    <s v=""/>
    <s v=""/>
    <s v=""/>
    <s v=""/>
    <s v=""/>
    <x v="0"/>
    <m/>
    <m/>
    <s v="TC-2421Rodando"/>
  </r>
  <r>
    <x v="86"/>
    <x v="86"/>
    <x v="0"/>
    <x v="0"/>
    <m/>
    <s v="Michelin"/>
    <s v="295/80R22.5"/>
    <s v="XMULTI+Z"/>
    <s v="XMULTI+Z"/>
    <x v="0"/>
    <n v="16"/>
    <n v="100"/>
    <m/>
    <m/>
    <m/>
    <m/>
    <m/>
    <s v="2"/>
    <d v="2024-04-03T00:00:00"/>
    <m/>
    <m/>
    <n v="10"/>
    <n v="10"/>
    <n v="7"/>
    <n v="7"/>
    <s v="tm"/>
    <n v="9"/>
    <n v="6"/>
    <n v="6"/>
    <n v="0.625"/>
    <n v="0.5625"/>
    <n v="6.25E-2"/>
    <m/>
    <m/>
    <s v=""/>
    <s v=""/>
    <s v=""/>
    <s v=""/>
    <s v=""/>
    <s v=""/>
    <s v=""/>
    <s v=""/>
    <s v=""/>
    <s v=""/>
    <x v="0"/>
    <m/>
    <s v="Alineamiento"/>
    <s v="TC-2422Rodando"/>
  </r>
  <r>
    <x v="86"/>
    <x v="86"/>
    <x v="0"/>
    <x v="1"/>
    <m/>
    <s v="Michelin"/>
    <s v="295/80R22.5"/>
    <s v="XMULTI2D"/>
    <s v="XMULTI2D"/>
    <x v="0"/>
    <n v="21.4"/>
    <n v="110"/>
    <m/>
    <m/>
    <m/>
    <m/>
    <m/>
    <s v="3"/>
    <d v="2024-04-03T00:00:00"/>
    <m/>
    <m/>
    <n v="11"/>
    <m/>
    <n v="12"/>
    <n v="11"/>
    <s v="tm"/>
    <n v="10.399999999999999"/>
    <n v="6"/>
    <n v="6"/>
    <n v="0.71962616822429903"/>
    <n v="0.4859813084112149"/>
    <n v="0.23364485981308414"/>
    <m/>
    <m/>
    <s v=""/>
    <s v=""/>
    <s v=""/>
    <s v=""/>
    <s v=""/>
    <s v=""/>
    <s v=""/>
    <s v=""/>
    <s v=""/>
    <s v=""/>
    <x v="0"/>
    <m/>
    <m/>
    <s v="TC-2423Rodando"/>
  </r>
  <r>
    <x v="86"/>
    <x v="86"/>
    <x v="0"/>
    <x v="1"/>
    <m/>
    <s v="Michelin"/>
    <s v="295/80R22.5"/>
    <s v="XMULTI2D"/>
    <s v="XMULTI2D"/>
    <x v="0"/>
    <n v="21.4"/>
    <n v="110"/>
    <m/>
    <m/>
    <m/>
    <m/>
    <m/>
    <s v="4"/>
    <d v="2024-04-03T00:00:00"/>
    <m/>
    <m/>
    <n v="11"/>
    <m/>
    <n v="12"/>
    <n v="11"/>
    <s v="tm"/>
    <n v="10.399999999999999"/>
    <n v="6"/>
    <n v="6"/>
    <n v="0.71962616822429903"/>
    <n v="0.4859813084112149"/>
    <n v="0.23364485981308414"/>
    <m/>
    <m/>
    <s v=""/>
    <s v=""/>
    <s v=""/>
    <s v=""/>
    <s v=""/>
    <s v=""/>
    <s v=""/>
    <s v=""/>
    <s v=""/>
    <s v=""/>
    <x v="0"/>
    <m/>
    <m/>
    <s v="TC-2424Rodando"/>
  </r>
  <r>
    <x v="86"/>
    <x v="86"/>
    <x v="0"/>
    <x v="1"/>
    <m/>
    <s v="Michelin"/>
    <s v="295/80R22.5"/>
    <s v="XMULTI2D"/>
    <s v="XMULTI2D"/>
    <x v="0"/>
    <n v="21.4"/>
    <n v="110"/>
    <m/>
    <m/>
    <m/>
    <m/>
    <m/>
    <s v="5"/>
    <d v="2024-04-03T00:00:00"/>
    <m/>
    <m/>
    <n v="11"/>
    <m/>
    <n v="12"/>
    <n v="11"/>
    <s v="tm"/>
    <n v="10.399999999999999"/>
    <n v="6"/>
    <n v="6"/>
    <n v="0.71962616822429903"/>
    <n v="0.4859813084112149"/>
    <n v="0.23364485981308414"/>
    <m/>
    <m/>
    <s v=""/>
    <s v=""/>
    <s v=""/>
    <s v=""/>
    <s v=""/>
    <s v=""/>
    <s v=""/>
    <s v=""/>
    <s v=""/>
    <s v=""/>
    <x v="0"/>
    <m/>
    <m/>
    <s v="TC-2425Rodando"/>
  </r>
  <r>
    <x v="86"/>
    <x v="86"/>
    <x v="0"/>
    <x v="1"/>
    <m/>
    <s v="Michelin"/>
    <s v="295/80R22.5"/>
    <s v="XMULTI2D"/>
    <s v="XMULTI2D"/>
    <x v="0"/>
    <n v="21.4"/>
    <n v="110"/>
    <m/>
    <m/>
    <m/>
    <m/>
    <m/>
    <s v="6"/>
    <d v="2024-04-03T00:00:00"/>
    <m/>
    <m/>
    <n v="11"/>
    <m/>
    <n v="12"/>
    <n v="11"/>
    <s v="tm"/>
    <n v="10.399999999999999"/>
    <n v="6"/>
    <n v="6"/>
    <n v="0.71962616822429903"/>
    <n v="0.4859813084112149"/>
    <n v="0.23364485981308414"/>
    <m/>
    <m/>
    <s v=""/>
    <s v=""/>
    <s v=""/>
    <s v=""/>
    <s v=""/>
    <s v=""/>
    <s v=""/>
    <s v=""/>
    <s v=""/>
    <s v=""/>
    <x v="0"/>
    <m/>
    <m/>
    <s v="TC-2426Rodando"/>
  </r>
  <r>
    <x v="86"/>
    <x v="86"/>
    <x v="0"/>
    <x v="1"/>
    <m/>
    <s v="Michelin"/>
    <s v="295/80R22.5"/>
    <s v="XMULTI2D"/>
    <s v="XMULTI2D"/>
    <x v="0"/>
    <n v="21.4"/>
    <n v="110"/>
    <m/>
    <m/>
    <m/>
    <m/>
    <m/>
    <s v="7"/>
    <d v="2024-04-03T00:00:00"/>
    <m/>
    <m/>
    <n v="11"/>
    <m/>
    <n v="12"/>
    <n v="11"/>
    <s v="tm"/>
    <n v="10.399999999999999"/>
    <n v="6"/>
    <n v="6"/>
    <n v="0.71962616822429903"/>
    <n v="0.4859813084112149"/>
    <n v="0.23364485981308414"/>
    <m/>
    <m/>
    <s v=""/>
    <s v=""/>
    <s v=""/>
    <s v=""/>
    <s v=""/>
    <s v=""/>
    <s v=""/>
    <s v=""/>
    <s v=""/>
    <s v=""/>
    <x v="0"/>
    <m/>
    <m/>
    <s v="TC-2427Rodando"/>
  </r>
  <r>
    <x v="86"/>
    <x v="86"/>
    <x v="0"/>
    <x v="1"/>
    <m/>
    <s v="Michelin"/>
    <s v="295/80R22.5"/>
    <s v="XMULTI2D"/>
    <s v="XMULTI2D"/>
    <x v="0"/>
    <n v="21.4"/>
    <n v="110"/>
    <m/>
    <m/>
    <m/>
    <m/>
    <m/>
    <s v="8"/>
    <d v="2024-04-03T00:00:00"/>
    <m/>
    <m/>
    <n v="11"/>
    <m/>
    <n v="12"/>
    <n v="11"/>
    <s v="tm"/>
    <n v="10.399999999999999"/>
    <n v="6"/>
    <n v="6"/>
    <n v="0.71962616822429903"/>
    <n v="0.4859813084112149"/>
    <n v="0.23364485981308414"/>
    <m/>
    <m/>
    <s v=""/>
    <s v=""/>
    <s v=""/>
    <s v=""/>
    <s v=""/>
    <s v=""/>
    <s v=""/>
    <s v=""/>
    <s v=""/>
    <s v=""/>
    <x v="0"/>
    <m/>
    <m/>
    <s v="TC-2428Rodando"/>
  </r>
  <r>
    <x v="86"/>
    <x v="86"/>
    <x v="0"/>
    <x v="1"/>
    <m/>
    <s v="Michelin"/>
    <s v="295/80R22.5"/>
    <s v="XMULTI2D"/>
    <s v="XMULTI2D"/>
    <x v="0"/>
    <n v="21.4"/>
    <n v="110"/>
    <m/>
    <m/>
    <m/>
    <m/>
    <m/>
    <s v="9"/>
    <d v="2024-04-03T00:00:00"/>
    <m/>
    <m/>
    <n v="11"/>
    <m/>
    <n v="12"/>
    <n v="11"/>
    <s v="tm"/>
    <n v="10.399999999999999"/>
    <n v="6"/>
    <n v="6"/>
    <n v="0.71962616822429903"/>
    <n v="0.4859813084112149"/>
    <n v="0.23364485981308414"/>
    <m/>
    <m/>
    <s v=""/>
    <s v=""/>
    <s v=""/>
    <s v=""/>
    <s v=""/>
    <s v=""/>
    <s v=""/>
    <s v=""/>
    <s v=""/>
    <s v=""/>
    <x v="0"/>
    <m/>
    <m/>
    <s v="TC-2429Rodando"/>
  </r>
  <r>
    <x v="86"/>
    <x v="86"/>
    <x v="0"/>
    <x v="1"/>
    <m/>
    <s v="Michelin"/>
    <s v="295/80R22.5"/>
    <s v="XMULTI2D"/>
    <s v="XMULTI2D"/>
    <x v="0"/>
    <n v="21.4"/>
    <n v="110"/>
    <m/>
    <m/>
    <m/>
    <m/>
    <m/>
    <s v="10"/>
    <d v="2024-04-03T00:00:00"/>
    <m/>
    <m/>
    <n v="11"/>
    <m/>
    <n v="12"/>
    <n v="11"/>
    <s v="tm"/>
    <n v="10.399999999999999"/>
    <n v="6"/>
    <n v="6"/>
    <n v="0.71962616822429903"/>
    <n v="0.4859813084112149"/>
    <n v="0.23364485981308414"/>
    <m/>
    <m/>
    <s v=""/>
    <s v=""/>
    <s v=""/>
    <s v=""/>
    <s v=""/>
    <s v=""/>
    <s v=""/>
    <s v=""/>
    <s v=""/>
    <s v=""/>
    <x v="0"/>
    <m/>
    <m/>
    <s v="TC-24210Rodando"/>
  </r>
  <r>
    <x v="87"/>
    <x v="87"/>
    <x v="1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2"/>
    <n v="11"/>
    <n v="12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2341Rodando"/>
  </r>
  <r>
    <x v="87"/>
    <x v="87"/>
    <x v="1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11"/>
    <n v="11"/>
    <n v="12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2342Rodando"/>
  </r>
  <r>
    <x v="87"/>
    <x v="87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2"/>
    <n v="12"/>
    <n v="12"/>
    <n v="12"/>
    <s v="tm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2343Rodando"/>
  </r>
  <r>
    <x v="87"/>
    <x v="87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1"/>
    <n v="11"/>
    <n v="11"/>
    <n v="11"/>
    <s v="tm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2344Rodando"/>
  </r>
  <r>
    <x v="87"/>
    <x v="87"/>
    <x v="1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6"/>
    <n v="7"/>
    <n v="8"/>
    <n v="6"/>
    <s v="st"/>
    <n v="10.5"/>
    <n v="6"/>
    <n v="6"/>
    <n v="0.63636363636363635"/>
    <n v="0.63636363636363635"/>
    <n v="0"/>
    <m/>
    <m/>
    <s v=""/>
    <s v=""/>
    <s v=""/>
    <s v=""/>
    <s v=""/>
    <s v=""/>
    <s v=""/>
    <s v=""/>
    <s v=""/>
    <s v=""/>
    <x v="0"/>
    <m/>
    <m/>
    <s v="SR-2345Rodando"/>
  </r>
  <r>
    <x v="87"/>
    <x v="87"/>
    <x v="1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6"/>
    <n v="6"/>
    <n v="6"/>
    <n v="6"/>
    <s v="tm"/>
    <n v="10.5"/>
    <n v="6"/>
    <n v="6"/>
    <n v="0.63636363636363635"/>
    <n v="0.63636363636363635"/>
    <n v="0"/>
    <m/>
    <m/>
    <s v=""/>
    <s v=""/>
    <s v=""/>
    <s v=""/>
    <s v=""/>
    <s v=""/>
    <s v=""/>
    <s v=""/>
    <s v=""/>
    <s v=""/>
    <x v="0"/>
    <m/>
    <m/>
    <s v="SR-2346Rodando"/>
  </r>
  <r>
    <x v="87"/>
    <x v="87"/>
    <x v="1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16"/>
    <n v="16"/>
    <n v="16"/>
    <n v="16"/>
    <s v="tm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SR-234RERodando"/>
  </r>
  <r>
    <x v="87"/>
    <x v="87"/>
    <x v="1"/>
    <x v="4"/>
    <m/>
    <s v="Michelin"/>
    <s v="295/80R22.5"/>
    <s v="XMULTI2D"/>
    <s v="XMULTI2D"/>
    <x v="0"/>
    <n v="21.4"/>
    <n v="110"/>
    <m/>
    <m/>
    <m/>
    <m/>
    <m/>
    <s v="RT"/>
    <d v="2024-04-03T00:00:00"/>
    <m/>
    <m/>
    <n v="21"/>
    <m/>
    <n v="21"/>
    <n v="21"/>
    <s v="tm"/>
    <n v="0.39999999999999858"/>
    <n v="6"/>
    <n v="6"/>
    <n v="0.71962616822429903"/>
    <n v="1.869158878504662E-2"/>
    <n v="0.70093457943925241"/>
    <m/>
    <m/>
    <s v=""/>
    <s v=""/>
    <s v=""/>
    <s v=""/>
    <s v=""/>
    <s v=""/>
    <s v=""/>
    <s v=""/>
    <s v=""/>
    <s v=""/>
    <x v="0"/>
    <m/>
    <m/>
    <s v="SR-234RTRodando"/>
  </r>
  <r>
    <x v="88"/>
    <x v="88"/>
    <x v="2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2"/>
    <n v="11"/>
    <n v="12"/>
    <n v="11"/>
    <s v="tm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PT-081Rodando"/>
  </r>
  <r>
    <x v="88"/>
    <x v="88"/>
    <x v="2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12"/>
    <n v="11"/>
    <n v="12"/>
    <n v="11"/>
    <s v="tm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PT-082Rodando"/>
  </r>
  <r>
    <x v="88"/>
    <x v="88"/>
    <x v="2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3"/>
    <n v="12"/>
    <n v="12"/>
    <n v="12"/>
    <s v="tm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PT-083Rodando"/>
  </r>
  <r>
    <x v="88"/>
    <x v="88"/>
    <x v="2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3"/>
    <n v="12"/>
    <n v="13"/>
    <n v="12"/>
    <s v="st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PT-084Rodando"/>
  </r>
  <r>
    <x v="88"/>
    <x v="88"/>
    <x v="2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11"/>
    <n v="10"/>
    <n v="11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PT-085Rodando"/>
  </r>
  <r>
    <x v="88"/>
    <x v="88"/>
    <x v="2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8"/>
    <n v="6"/>
    <n v="7"/>
    <n v="6"/>
    <s v="tm"/>
    <n v="10.5"/>
    <n v="6"/>
    <n v="6"/>
    <n v="0.63636363636363635"/>
    <n v="0.63636363636363635"/>
    <n v="0"/>
    <m/>
    <m/>
    <s v=""/>
    <s v=""/>
    <s v=""/>
    <s v=""/>
    <s v=""/>
    <s v=""/>
    <s v=""/>
    <s v=""/>
    <s v=""/>
    <s v=""/>
    <x v="0"/>
    <m/>
    <m/>
    <s v="PT-086Rodando"/>
  </r>
  <r>
    <x v="88"/>
    <x v="88"/>
    <x v="2"/>
    <x v="3"/>
    <m/>
    <s v="Michelin"/>
    <s v="425/65R22.5"/>
    <s v="XZY3"/>
    <s v="XZY3"/>
    <x v="0"/>
    <n v="0"/>
    <n v="110"/>
    <m/>
    <m/>
    <m/>
    <m/>
    <m/>
    <s v="RE"/>
    <d v="2024-04-03T00:00:00"/>
    <m/>
    <m/>
    <n v="10"/>
    <n v="10"/>
    <n v="10"/>
    <n v="10"/>
    <s v="st"/>
    <n v="-10"/>
    <n v="6"/>
    <n v="6"/>
    <s v=""/>
    <s v=""/>
    <s v=""/>
    <m/>
    <m/>
    <s v=""/>
    <s v=""/>
    <s v=""/>
    <s v=""/>
    <s v=""/>
    <s v=""/>
    <s v=""/>
    <s v=""/>
    <s v=""/>
    <s v=""/>
    <x v="0"/>
    <m/>
    <m/>
    <s v="PT-08RERodando"/>
  </r>
  <r>
    <x v="88"/>
    <x v="88"/>
    <x v="2"/>
    <x v="4"/>
    <m/>
    <s v="Michelin"/>
    <s v="295/80R22.5"/>
    <s v="Reencauche"/>
    <s v="MDE"/>
    <x v="1"/>
    <n v="22"/>
    <n v="110"/>
    <m/>
    <m/>
    <m/>
    <m/>
    <m/>
    <s v="RT"/>
    <d v="2024-04-03T00:00:00"/>
    <m/>
    <m/>
    <n v="21"/>
    <m/>
    <n v="21"/>
    <n v="21"/>
    <s v="st"/>
    <n v="1"/>
    <n v="6"/>
    <n v="6"/>
    <n v="0.72727272727272729"/>
    <n v="4.5454545454545414E-2"/>
    <n v="0.68181818181818188"/>
    <m/>
    <m/>
    <s v=""/>
    <s v=""/>
    <s v=""/>
    <s v=""/>
    <s v=""/>
    <s v=""/>
    <s v=""/>
    <s v=""/>
    <s v=""/>
    <s v=""/>
    <x v="0"/>
    <m/>
    <m/>
    <s v="PT-08RTRodando"/>
  </r>
  <r>
    <x v="89"/>
    <x v="89"/>
    <x v="1"/>
    <x v="2"/>
    <m/>
    <s v="Aeolus"/>
    <s v="445/65R22.5"/>
    <s v="AGC28"/>
    <s v="AGC28"/>
    <x v="0"/>
    <n v="16.5"/>
    <n v="110"/>
    <m/>
    <m/>
    <m/>
    <m/>
    <m/>
    <s v="1"/>
    <d v="2024-04-02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SR-2461Rodando"/>
  </r>
  <r>
    <x v="89"/>
    <x v="89"/>
    <x v="1"/>
    <x v="2"/>
    <m/>
    <s v="Aeolus"/>
    <s v="445/65R22.5"/>
    <s v="AGC28"/>
    <s v="AGC28"/>
    <x v="0"/>
    <n v="16.5"/>
    <n v="110"/>
    <m/>
    <m/>
    <m/>
    <m/>
    <m/>
    <s v="2"/>
    <d v="2024-04-02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462Rodando"/>
  </r>
  <r>
    <x v="89"/>
    <x v="89"/>
    <x v="1"/>
    <x v="2"/>
    <m/>
    <s v="Aeolus"/>
    <s v="445/65R22.5"/>
    <s v="AGC28"/>
    <s v="AGC28"/>
    <x v="0"/>
    <n v="16.5"/>
    <n v="110"/>
    <m/>
    <m/>
    <m/>
    <m/>
    <m/>
    <s v="3"/>
    <d v="2024-04-02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463Rodando"/>
  </r>
  <r>
    <x v="89"/>
    <x v="89"/>
    <x v="1"/>
    <x v="2"/>
    <m/>
    <s v="Aeolus"/>
    <s v="445/65R22.5"/>
    <s v="AGC28"/>
    <s v="AGC28"/>
    <x v="0"/>
    <n v="16.5"/>
    <n v="110"/>
    <m/>
    <m/>
    <m/>
    <m/>
    <m/>
    <s v="4"/>
    <d v="2024-04-02T00:00:00"/>
    <m/>
    <m/>
    <n v="14"/>
    <n v="14"/>
    <n v="14"/>
    <n v="14"/>
    <s v="tm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464Rodando"/>
  </r>
  <r>
    <x v="89"/>
    <x v="89"/>
    <x v="1"/>
    <x v="2"/>
    <m/>
    <s v="Aeolus"/>
    <s v="445/65R22.5"/>
    <s v="AGC28"/>
    <s v="AGC28"/>
    <x v="0"/>
    <n v="16.5"/>
    <n v="110"/>
    <m/>
    <m/>
    <m/>
    <m/>
    <m/>
    <s v="5"/>
    <d v="2024-04-02T00:00:00"/>
    <m/>
    <m/>
    <n v="12"/>
    <n v="12"/>
    <n v="12"/>
    <n v="12"/>
    <s v="st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2465Rodando"/>
  </r>
  <r>
    <x v="89"/>
    <x v="89"/>
    <x v="1"/>
    <x v="2"/>
    <m/>
    <s v="Aeolus"/>
    <s v="445/65R22.5"/>
    <s v="AGC28"/>
    <s v="AGC28"/>
    <x v="0"/>
    <n v="16.5"/>
    <n v="110"/>
    <m/>
    <m/>
    <m/>
    <m/>
    <m/>
    <s v="6"/>
    <d v="2024-04-02T00:00:00"/>
    <m/>
    <m/>
    <n v="12"/>
    <n v="12"/>
    <n v="12"/>
    <n v="12"/>
    <s v="tm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2466Rodando"/>
  </r>
  <r>
    <x v="89"/>
    <x v="89"/>
    <x v="1"/>
    <x v="3"/>
    <m/>
    <s v="Aeolus"/>
    <s v="445/65R22.5"/>
    <s v="AGC28"/>
    <s v="AGC28"/>
    <x v="0"/>
    <n v="16.5"/>
    <n v="110"/>
    <m/>
    <m/>
    <m/>
    <m/>
    <m/>
    <s v="RE"/>
    <d v="2024-04-02T00:00:00"/>
    <m/>
    <m/>
    <n v="16"/>
    <n v="16"/>
    <n v="16"/>
    <n v="16"/>
    <s v="tm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SR-246RERodando"/>
  </r>
  <r>
    <x v="89"/>
    <x v="89"/>
    <x v="1"/>
    <x v="4"/>
    <m/>
    <s v="Michelin"/>
    <s v="295/80R22.5"/>
    <s v="XMULTI2D"/>
    <s v="XMULTI2D"/>
    <x v="0"/>
    <n v="21.4"/>
    <n v="110"/>
    <m/>
    <m/>
    <m/>
    <m/>
    <m/>
    <s v="RT"/>
    <d v="2024-04-02T00:00:00"/>
    <m/>
    <m/>
    <n v="20"/>
    <m/>
    <n v="20"/>
    <n v="20"/>
    <s v="tm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SR-246RTRodando"/>
  </r>
  <r>
    <x v="90"/>
    <x v="90"/>
    <x v="1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521Rodando"/>
  </r>
  <r>
    <x v="90"/>
    <x v="90"/>
    <x v="1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14"/>
    <n v="14"/>
    <n v="14"/>
    <n v="14"/>
    <s v="tm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522Rodando"/>
  </r>
  <r>
    <x v="90"/>
    <x v="90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523Rodando"/>
  </r>
  <r>
    <x v="90"/>
    <x v="90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4"/>
    <n v="14"/>
    <n v="14"/>
    <n v="14"/>
    <s v="tm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524Rodando"/>
  </r>
  <r>
    <x v="90"/>
    <x v="90"/>
    <x v="1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12"/>
    <n v="12"/>
    <n v="12"/>
    <n v="12"/>
    <s v="tm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2525Rodando"/>
  </r>
  <r>
    <x v="90"/>
    <x v="90"/>
    <x v="1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11"/>
    <n v="11"/>
    <n v="11"/>
    <n v="11"/>
    <s v="tm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2526Rodando"/>
  </r>
  <r>
    <x v="90"/>
    <x v="90"/>
    <x v="1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16"/>
    <n v="16"/>
    <n v="16"/>
    <n v="16"/>
    <s v="tm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SR-252RERodando"/>
  </r>
  <r>
    <x v="90"/>
    <x v="90"/>
    <x v="1"/>
    <x v="4"/>
    <m/>
    <s v="Michelin"/>
    <s v="295/80R22.5"/>
    <s v="XMULTI2D"/>
    <s v="XMULTI2D"/>
    <x v="0"/>
    <n v="21.4"/>
    <n v="110"/>
    <m/>
    <m/>
    <m/>
    <m/>
    <m/>
    <s v="RT"/>
    <d v="2024-04-03T00:00:00"/>
    <m/>
    <m/>
    <n v="21"/>
    <m/>
    <n v="21"/>
    <n v="21"/>
    <s v="st"/>
    <n v="0.39999999999999858"/>
    <n v="6"/>
    <n v="6"/>
    <n v="0.71962616822429903"/>
    <n v="1.869158878504662E-2"/>
    <n v="0.70093457943925241"/>
    <m/>
    <m/>
    <s v=""/>
    <s v=""/>
    <s v=""/>
    <s v=""/>
    <s v=""/>
    <s v=""/>
    <s v=""/>
    <s v=""/>
    <s v=""/>
    <s v=""/>
    <x v="0"/>
    <m/>
    <m/>
    <s v="SR-252RTRodando"/>
  </r>
  <r>
    <x v="91"/>
    <x v="91"/>
    <x v="1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4"/>
    <n v="14"/>
    <n v="14"/>
    <n v="14"/>
    <s v="tm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481Rodando"/>
  </r>
  <r>
    <x v="91"/>
    <x v="91"/>
    <x v="1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482Rodando"/>
  </r>
  <r>
    <x v="91"/>
    <x v="91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483Rodando"/>
  </r>
  <r>
    <x v="91"/>
    <x v="91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4"/>
    <n v="14"/>
    <n v="14"/>
    <n v="14"/>
    <s v="tm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484Rodando"/>
  </r>
  <r>
    <x v="91"/>
    <x v="91"/>
    <x v="1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11"/>
    <n v="10"/>
    <n v="10"/>
    <n v="10"/>
    <s v="st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2485Rodando"/>
  </r>
  <r>
    <x v="91"/>
    <x v="91"/>
    <x v="1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10"/>
    <n v="10"/>
    <n v="10"/>
    <n v="10"/>
    <s v="tm"/>
    <n v="6.5"/>
    <n v="6"/>
    <n v="6"/>
    <n v="0.63636363636363635"/>
    <n v="0.39393939393939392"/>
    <n v="0.24242424242424243"/>
    <m/>
    <m/>
    <s v=""/>
    <s v=""/>
    <s v=""/>
    <s v=""/>
    <s v=""/>
    <s v=""/>
    <s v=""/>
    <s v=""/>
    <s v=""/>
    <s v=""/>
    <x v="0"/>
    <m/>
    <m/>
    <s v="SR-2486Rodando"/>
  </r>
  <r>
    <x v="91"/>
    <x v="91"/>
    <x v="1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SR-248RERodando"/>
  </r>
  <r>
    <x v="91"/>
    <x v="91"/>
    <x v="1"/>
    <x v="4"/>
    <m/>
    <s v="Michelin"/>
    <s v="295/80R22.5"/>
    <s v="XMULTI2D"/>
    <s v="XMULTI2D"/>
    <x v="0"/>
    <n v="21.4"/>
    <n v="110"/>
    <m/>
    <m/>
    <m/>
    <m/>
    <m/>
    <s v="RT"/>
    <d v="2024-04-03T00:00:00"/>
    <m/>
    <m/>
    <n v="20"/>
    <m/>
    <n v="20"/>
    <n v="20"/>
    <s v="tm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SR-248RTRodando"/>
  </r>
  <r>
    <x v="92"/>
    <x v="92"/>
    <x v="1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501Rodando"/>
  </r>
  <r>
    <x v="92"/>
    <x v="92"/>
    <x v="1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502Rodando"/>
  </r>
  <r>
    <x v="92"/>
    <x v="92"/>
    <x v="1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3"/>
    <n v="12"/>
    <n v="13"/>
    <n v="12"/>
    <s v="st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m/>
    <s v="SR-2503Rodando"/>
  </r>
  <r>
    <x v="92"/>
    <x v="92"/>
    <x v="1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4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SR-2504Rodando"/>
  </r>
  <r>
    <x v="92"/>
    <x v="92"/>
    <x v="1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12"/>
    <n v="11"/>
    <n v="12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2505Rodando"/>
  </r>
  <r>
    <x v="92"/>
    <x v="92"/>
    <x v="1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11"/>
    <n v="11"/>
    <n v="12"/>
    <n v="11"/>
    <s v="st"/>
    <n v="5.5"/>
    <n v="6"/>
    <n v="6"/>
    <n v="0.63636363636363635"/>
    <n v="0.33333333333333337"/>
    <n v="0.30303030303030298"/>
    <m/>
    <m/>
    <s v=""/>
    <s v=""/>
    <s v=""/>
    <s v=""/>
    <s v=""/>
    <s v=""/>
    <s v=""/>
    <s v=""/>
    <s v=""/>
    <s v=""/>
    <x v="0"/>
    <m/>
    <m/>
    <s v="SR-2506Rodando"/>
  </r>
  <r>
    <x v="92"/>
    <x v="92"/>
    <x v="1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SR-250RERodando"/>
  </r>
  <r>
    <x v="92"/>
    <x v="92"/>
    <x v="1"/>
    <x v="4"/>
    <m/>
    <s v="Michelin"/>
    <s v="295/80R22.5"/>
    <s v="XMULTI2D"/>
    <s v="XMULTI2D"/>
    <x v="0"/>
    <n v="21.4"/>
    <n v="110"/>
    <m/>
    <m/>
    <m/>
    <m/>
    <m/>
    <s v="RT"/>
    <d v="2024-04-03T00:00:00"/>
    <m/>
    <m/>
    <n v="20"/>
    <m/>
    <n v="20"/>
    <n v="20"/>
    <s v="tm"/>
    <n v="1.3999999999999986"/>
    <n v="6"/>
    <n v="6"/>
    <n v="0.71962616822429903"/>
    <n v="6.5420560747663448E-2"/>
    <n v="0.65420560747663559"/>
    <m/>
    <m/>
    <s v=""/>
    <s v=""/>
    <s v=""/>
    <s v=""/>
    <s v=""/>
    <s v=""/>
    <s v=""/>
    <s v=""/>
    <s v=""/>
    <s v=""/>
    <x v="0"/>
    <m/>
    <m/>
    <s v="SR-250RTRodando"/>
  </r>
  <r>
    <x v="93"/>
    <x v="93"/>
    <x v="0"/>
    <x v="0"/>
    <m/>
    <s v="Michelin"/>
    <s v="295/80R22.5"/>
    <s v="XMULTI+Z"/>
    <s v="XMULTI+Z"/>
    <x v="0"/>
    <n v="16"/>
    <n v="100"/>
    <m/>
    <m/>
    <m/>
    <m/>
    <m/>
    <n v="1"/>
    <d v="2024-04-03T00:00:00"/>
    <m/>
    <m/>
    <n v="11"/>
    <n v="12"/>
    <n v="12"/>
    <n v="11"/>
    <s v="st"/>
    <n v="5"/>
    <n v="6"/>
    <n v="6"/>
    <n v="0.625"/>
    <n v="0.3125"/>
    <n v="0.3125"/>
    <m/>
    <m/>
    <s v=""/>
    <s v=""/>
    <s v=""/>
    <s v=""/>
    <s v=""/>
    <s v=""/>
    <s v=""/>
    <s v=""/>
    <s v=""/>
    <s v=""/>
    <x v="0"/>
    <m/>
    <m/>
    <s v="TC-2641Rodando"/>
  </r>
  <r>
    <x v="93"/>
    <x v="93"/>
    <x v="0"/>
    <x v="0"/>
    <m/>
    <s v="Michelin"/>
    <s v="295/80R22.5"/>
    <s v="XMULTI+Z"/>
    <s v="XMULTI+Z"/>
    <x v="0"/>
    <n v="16"/>
    <n v="100"/>
    <m/>
    <m/>
    <m/>
    <m/>
    <m/>
    <n v="2"/>
    <d v="2024-04-03T00:00:00"/>
    <m/>
    <m/>
    <n v="11"/>
    <n v="12"/>
    <n v="12"/>
    <n v="11"/>
    <s v="st"/>
    <n v="5"/>
    <n v="6"/>
    <n v="6"/>
    <n v="0.625"/>
    <n v="0.3125"/>
    <n v="0.3125"/>
    <m/>
    <m/>
    <s v=""/>
    <s v=""/>
    <s v=""/>
    <s v=""/>
    <s v=""/>
    <s v=""/>
    <s v=""/>
    <s v=""/>
    <s v=""/>
    <s v=""/>
    <x v="0"/>
    <m/>
    <m/>
    <s v="TC-2642Rodando"/>
  </r>
  <r>
    <x v="93"/>
    <x v="93"/>
    <x v="0"/>
    <x v="1"/>
    <m/>
    <s v="Michelin"/>
    <s v="295/80R22.5"/>
    <s v="XMULTI2D"/>
    <s v="XMULTI2D"/>
    <x v="0"/>
    <n v="21.4"/>
    <n v="110"/>
    <m/>
    <m/>
    <m/>
    <m/>
    <m/>
    <n v="3"/>
    <d v="2024-04-03T00:00:00"/>
    <m/>
    <m/>
    <n v="16"/>
    <m/>
    <n v="16"/>
    <n v="16"/>
    <s v="st"/>
    <n v="5.3999999999999986"/>
    <n v="6"/>
    <n v="6"/>
    <n v="0.71962616822429903"/>
    <n v="0.25233644859813076"/>
    <n v="0.46728971962616828"/>
    <m/>
    <m/>
    <s v=""/>
    <s v=""/>
    <s v=""/>
    <s v=""/>
    <s v=""/>
    <s v=""/>
    <s v=""/>
    <s v=""/>
    <s v=""/>
    <s v=""/>
    <x v="0"/>
    <m/>
    <m/>
    <s v="TC-2643Rodando"/>
  </r>
  <r>
    <x v="93"/>
    <x v="93"/>
    <x v="0"/>
    <x v="1"/>
    <m/>
    <s v="Michelin"/>
    <s v="295/80R22.5"/>
    <s v="XMULTI2D"/>
    <s v="XMULTI2D"/>
    <x v="0"/>
    <n v="21.4"/>
    <n v="110"/>
    <m/>
    <m/>
    <m/>
    <m/>
    <m/>
    <n v="4"/>
    <d v="2024-04-03T00:00:00"/>
    <m/>
    <m/>
    <n v="16"/>
    <m/>
    <n v="16"/>
    <n v="16"/>
    <s v="st"/>
    <n v="5.3999999999999986"/>
    <n v="6"/>
    <n v="6"/>
    <n v="0.71962616822429903"/>
    <n v="0.25233644859813076"/>
    <n v="0.46728971962616828"/>
    <m/>
    <m/>
    <s v=""/>
    <s v=""/>
    <s v=""/>
    <s v=""/>
    <s v=""/>
    <s v=""/>
    <s v=""/>
    <s v=""/>
    <s v=""/>
    <s v=""/>
    <x v="0"/>
    <m/>
    <m/>
    <s v="TC-2644Rodando"/>
  </r>
  <r>
    <x v="93"/>
    <x v="93"/>
    <x v="0"/>
    <x v="1"/>
    <m/>
    <s v="Michelin"/>
    <s v="295/80R22.5"/>
    <s v="XMULTI2D"/>
    <s v="XMULTI2D"/>
    <x v="0"/>
    <n v="21.4"/>
    <n v="110"/>
    <m/>
    <m/>
    <m/>
    <m/>
    <m/>
    <n v="5"/>
    <d v="2024-04-03T00:00:00"/>
    <m/>
    <m/>
    <n v="16"/>
    <m/>
    <n v="16"/>
    <n v="16"/>
    <s v="st"/>
    <n v="5.3999999999999986"/>
    <n v="6"/>
    <n v="6"/>
    <n v="0.71962616822429903"/>
    <n v="0.25233644859813076"/>
    <n v="0.46728971962616828"/>
    <m/>
    <m/>
    <s v=""/>
    <s v=""/>
    <s v=""/>
    <s v=""/>
    <s v=""/>
    <s v=""/>
    <s v=""/>
    <s v=""/>
    <s v=""/>
    <s v=""/>
    <x v="0"/>
    <m/>
    <m/>
    <s v="TC-2645Rodando"/>
  </r>
  <r>
    <x v="93"/>
    <x v="93"/>
    <x v="0"/>
    <x v="1"/>
    <m/>
    <s v="Michelin"/>
    <s v="295/80R22.5"/>
    <s v="XMULTI2D"/>
    <s v="XMULTI2D"/>
    <x v="0"/>
    <n v="21.4"/>
    <n v="110"/>
    <m/>
    <m/>
    <m/>
    <m/>
    <m/>
    <n v="6"/>
    <d v="2024-04-03T00:00:00"/>
    <m/>
    <m/>
    <n v="16"/>
    <m/>
    <n v="16"/>
    <n v="16"/>
    <s v="st"/>
    <n v="5.3999999999999986"/>
    <n v="6"/>
    <n v="6"/>
    <n v="0.71962616822429903"/>
    <n v="0.25233644859813076"/>
    <n v="0.46728971962616828"/>
    <m/>
    <m/>
    <s v=""/>
    <s v=""/>
    <s v=""/>
    <s v=""/>
    <s v=""/>
    <s v=""/>
    <s v=""/>
    <s v=""/>
    <s v=""/>
    <s v=""/>
    <x v="0"/>
    <m/>
    <m/>
    <s v="TC-2646Rodando"/>
  </r>
  <r>
    <x v="93"/>
    <x v="93"/>
    <x v="0"/>
    <x v="1"/>
    <m/>
    <s v="Michelin"/>
    <s v="295/80R22.5"/>
    <s v="XMULTI2D"/>
    <s v="XMULTI2D"/>
    <x v="0"/>
    <n v="21.4"/>
    <n v="110"/>
    <m/>
    <m/>
    <m/>
    <m/>
    <m/>
    <n v="7"/>
    <d v="2024-04-03T00:00:00"/>
    <m/>
    <m/>
    <n v="15"/>
    <m/>
    <n v="16"/>
    <n v="15"/>
    <s v="st"/>
    <n v="6.3999999999999986"/>
    <n v="6"/>
    <n v="6"/>
    <n v="0.71962616822429903"/>
    <n v="0.29906542056074759"/>
    <n v="0.42056074766355145"/>
    <m/>
    <m/>
    <s v=""/>
    <s v=""/>
    <s v=""/>
    <s v=""/>
    <s v=""/>
    <s v=""/>
    <s v=""/>
    <s v=""/>
    <s v=""/>
    <s v=""/>
    <x v="0"/>
    <m/>
    <m/>
    <s v="TC-2647Rodando"/>
  </r>
  <r>
    <x v="93"/>
    <x v="93"/>
    <x v="0"/>
    <x v="1"/>
    <m/>
    <s v="Michelin"/>
    <s v="295/80R22.5"/>
    <s v="XMULTI2D"/>
    <s v="XMULTI2D"/>
    <x v="0"/>
    <n v="21.4"/>
    <n v="110"/>
    <m/>
    <m/>
    <m/>
    <m/>
    <m/>
    <n v="8"/>
    <d v="2024-04-03T00:00:00"/>
    <m/>
    <m/>
    <n v="15"/>
    <m/>
    <n v="16"/>
    <n v="15"/>
    <s v="st"/>
    <n v="6.3999999999999986"/>
    <n v="6"/>
    <n v="6"/>
    <n v="0.71962616822429903"/>
    <n v="0.29906542056074759"/>
    <n v="0.42056074766355145"/>
    <m/>
    <m/>
    <s v=""/>
    <s v=""/>
    <s v=""/>
    <s v=""/>
    <s v=""/>
    <s v=""/>
    <s v=""/>
    <s v=""/>
    <s v=""/>
    <s v=""/>
    <x v="0"/>
    <m/>
    <m/>
    <s v="TC-2648Rodando"/>
  </r>
  <r>
    <x v="93"/>
    <x v="93"/>
    <x v="0"/>
    <x v="1"/>
    <m/>
    <s v="Michelin"/>
    <s v="295/80R22.5"/>
    <s v="XMULTI2D"/>
    <s v="XMULTI2D"/>
    <x v="0"/>
    <n v="21.4"/>
    <n v="110"/>
    <m/>
    <m/>
    <m/>
    <m/>
    <m/>
    <n v="9"/>
    <d v="2024-04-03T00:00:00"/>
    <m/>
    <m/>
    <n v="15"/>
    <m/>
    <n v="16"/>
    <n v="15"/>
    <s v="st"/>
    <n v="6.3999999999999986"/>
    <n v="6"/>
    <n v="6"/>
    <n v="0.71962616822429903"/>
    <n v="0.29906542056074759"/>
    <n v="0.42056074766355145"/>
    <m/>
    <m/>
    <s v=""/>
    <s v=""/>
    <s v=""/>
    <s v=""/>
    <s v=""/>
    <s v=""/>
    <s v=""/>
    <s v=""/>
    <s v=""/>
    <s v=""/>
    <x v="0"/>
    <m/>
    <m/>
    <s v="TC-2649Rodando"/>
  </r>
  <r>
    <x v="93"/>
    <x v="93"/>
    <x v="0"/>
    <x v="1"/>
    <m/>
    <s v="Michelin"/>
    <s v="295/80R22.5"/>
    <s v="XMULTI2D"/>
    <s v="XMULTI2D"/>
    <x v="0"/>
    <n v="21.4"/>
    <n v="110"/>
    <m/>
    <m/>
    <m/>
    <m/>
    <m/>
    <n v="10"/>
    <d v="2024-04-03T00:00:00"/>
    <m/>
    <m/>
    <n v="15"/>
    <m/>
    <n v="16"/>
    <n v="15"/>
    <s v="st"/>
    <n v="6.3999999999999986"/>
    <n v="6"/>
    <n v="6"/>
    <n v="0.71962616822429903"/>
    <n v="0.29906542056074759"/>
    <n v="0.42056074766355145"/>
    <m/>
    <m/>
    <s v=""/>
    <s v=""/>
    <s v=""/>
    <s v=""/>
    <s v=""/>
    <s v=""/>
    <s v=""/>
    <s v=""/>
    <s v=""/>
    <s v=""/>
    <x v="0"/>
    <m/>
    <m/>
    <s v="TC-26410Rodando"/>
  </r>
  <r>
    <x v="94"/>
    <x v="94"/>
    <x v="2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6"/>
    <n v="16"/>
    <n v="16"/>
    <n v="16"/>
    <s v="tm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51Rodando"/>
  </r>
  <r>
    <x v="94"/>
    <x v="94"/>
    <x v="2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52Rodando"/>
  </r>
  <r>
    <x v="94"/>
    <x v="94"/>
    <x v="2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6"/>
    <n v="16"/>
    <n v="16"/>
    <n v="16"/>
    <s v="tm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53Rodando"/>
  </r>
  <r>
    <x v="94"/>
    <x v="94"/>
    <x v="2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54Rodando"/>
  </r>
  <r>
    <x v="94"/>
    <x v="94"/>
    <x v="2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55Rodando"/>
  </r>
  <r>
    <x v="94"/>
    <x v="94"/>
    <x v="2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56Rodando"/>
  </r>
  <r>
    <x v="94"/>
    <x v="94"/>
    <x v="2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5RERodando"/>
  </r>
  <r>
    <x v="94"/>
    <x v="94"/>
    <x v="2"/>
    <x v="4"/>
    <m/>
    <s v="Continental"/>
    <s v="295/80R22.5"/>
    <s v="HD3"/>
    <s v="HD3"/>
    <x v="0"/>
    <n v="0"/>
    <n v="110"/>
    <m/>
    <m/>
    <m/>
    <m/>
    <m/>
    <s v="RT"/>
    <d v="2024-04-03T00:00:00"/>
    <m/>
    <m/>
    <n v="10"/>
    <n v="7"/>
    <n v="6"/>
    <n v="6"/>
    <s v="st"/>
    <n v="-6"/>
    <n v="6"/>
    <n v="6"/>
    <s v=""/>
    <s v=""/>
    <s v=""/>
    <m/>
    <m/>
    <s v=""/>
    <s v=""/>
    <s v=""/>
    <s v=""/>
    <s v=""/>
    <s v=""/>
    <s v=""/>
    <s v=""/>
    <s v=""/>
    <s v=""/>
    <x v="0"/>
    <m/>
    <s v="Alineamiento"/>
    <s v="PT-15RTRodando"/>
  </r>
  <r>
    <x v="95"/>
    <x v="95"/>
    <x v="2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31Rodando"/>
  </r>
  <r>
    <x v="95"/>
    <x v="95"/>
    <x v="2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16"/>
    <n v="16"/>
    <n v="16"/>
    <n v="16"/>
    <s v="tm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32Rodando"/>
  </r>
  <r>
    <x v="95"/>
    <x v="95"/>
    <x v="2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33Rodando"/>
  </r>
  <r>
    <x v="95"/>
    <x v="95"/>
    <x v="2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6"/>
    <n v="16"/>
    <n v="16"/>
    <n v="16"/>
    <s v="tm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34Rodando"/>
  </r>
  <r>
    <x v="95"/>
    <x v="95"/>
    <x v="2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35Rodando"/>
  </r>
  <r>
    <x v="95"/>
    <x v="95"/>
    <x v="2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36Rodando"/>
  </r>
  <r>
    <x v="95"/>
    <x v="95"/>
    <x v="2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16"/>
    <n v="16"/>
    <n v="16"/>
    <n v="16"/>
    <s v="tm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3RERodando"/>
  </r>
  <r>
    <x v="96"/>
    <x v="96"/>
    <x v="2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PT-171Rodando"/>
  </r>
  <r>
    <x v="96"/>
    <x v="96"/>
    <x v="2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15"/>
    <n v="15"/>
    <n v="15"/>
    <n v="15"/>
    <s v="tm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PT-172Rodando"/>
  </r>
  <r>
    <x v="96"/>
    <x v="96"/>
    <x v="2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PT-173Rodando"/>
  </r>
  <r>
    <x v="96"/>
    <x v="96"/>
    <x v="2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5"/>
    <n v="15"/>
    <n v="15"/>
    <n v="15"/>
    <s v="tm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PT-174Rodando"/>
  </r>
  <r>
    <x v="96"/>
    <x v="96"/>
    <x v="2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15"/>
    <n v="15"/>
    <n v="15"/>
    <n v="15"/>
    <s v="st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PT-175Rodando"/>
  </r>
  <r>
    <x v="96"/>
    <x v="96"/>
    <x v="2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15"/>
    <n v="15"/>
    <n v="15"/>
    <n v="15"/>
    <s v="tm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PT-176Rodando"/>
  </r>
  <r>
    <x v="96"/>
    <x v="96"/>
    <x v="2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16"/>
    <n v="16"/>
    <n v="16"/>
    <n v="16"/>
    <s v="st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7RERodando"/>
  </r>
  <r>
    <x v="97"/>
    <x v="97"/>
    <x v="2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6"/>
    <n v="16"/>
    <n v="16"/>
    <n v="16"/>
    <s v="tm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61Rodando"/>
  </r>
  <r>
    <x v="97"/>
    <x v="97"/>
    <x v="2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16"/>
    <n v="16"/>
    <n v="16"/>
    <n v="16"/>
    <s v="tm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62Rodando"/>
  </r>
  <r>
    <x v="97"/>
    <x v="97"/>
    <x v="2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6"/>
    <n v="16"/>
    <n v="16"/>
    <n v="16"/>
    <s v="tm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63Rodando"/>
  </r>
  <r>
    <x v="97"/>
    <x v="97"/>
    <x v="2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6"/>
    <n v="16"/>
    <n v="16"/>
    <n v="16"/>
    <s v="tm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64Rodando"/>
  </r>
  <r>
    <x v="97"/>
    <x v="97"/>
    <x v="2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16"/>
    <n v="16"/>
    <n v="16"/>
    <n v="16"/>
    <s v="tm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65Rodando"/>
  </r>
  <r>
    <x v="97"/>
    <x v="97"/>
    <x v="2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16"/>
    <n v="16"/>
    <n v="16"/>
    <n v="16"/>
    <s v="tm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66Rodando"/>
  </r>
  <r>
    <x v="97"/>
    <x v="97"/>
    <x v="2"/>
    <x v="3"/>
    <m/>
    <s v="Aeolus"/>
    <s v="445/65R22.5"/>
    <s v="AGC28"/>
    <s v="AGC28"/>
    <x v="0"/>
    <n v="16.5"/>
    <n v="110"/>
    <m/>
    <m/>
    <m/>
    <m/>
    <m/>
    <s v="RE"/>
    <d v="2024-04-03T00:00:00"/>
    <m/>
    <m/>
    <n v="16"/>
    <n v="16"/>
    <n v="16"/>
    <n v="16"/>
    <s v="tm"/>
    <n v="0.5"/>
    <n v="6"/>
    <n v="6"/>
    <n v="0.63636363636363635"/>
    <n v="3.0303030303030276E-2"/>
    <n v="0.60606060606060608"/>
    <m/>
    <m/>
    <s v=""/>
    <s v=""/>
    <s v=""/>
    <s v=""/>
    <s v=""/>
    <s v=""/>
    <s v=""/>
    <s v=""/>
    <s v=""/>
    <s v=""/>
    <x v="0"/>
    <m/>
    <m/>
    <s v="PT-16RERodando"/>
  </r>
  <r>
    <x v="98"/>
    <x v="98"/>
    <x v="2"/>
    <x v="2"/>
    <m/>
    <s v="Aeolus"/>
    <s v="445/65R22.5"/>
    <s v="AGC28"/>
    <s v="AGC28"/>
    <x v="0"/>
    <n v="16.5"/>
    <n v="110"/>
    <m/>
    <m/>
    <m/>
    <m/>
    <m/>
    <s v="1"/>
    <d v="2024-04-03T00:00:00"/>
    <m/>
    <m/>
    <n v="15"/>
    <n v="14"/>
    <n v="14"/>
    <n v="14"/>
    <s v="st"/>
    <n v="2.5"/>
    <n v="6"/>
    <n v="6"/>
    <n v="0.63636363636363635"/>
    <n v="0.15151515151515149"/>
    <n v="0.48484848484848486"/>
    <m/>
    <m/>
    <s v=""/>
    <s v=""/>
    <s v=""/>
    <s v=""/>
    <s v=""/>
    <s v=""/>
    <s v=""/>
    <s v=""/>
    <s v=""/>
    <s v=""/>
    <x v="0"/>
    <m/>
    <m/>
    <s v="PT-141Rodando"/>
  </r>
  <r>
    <x v="98"/>
    <x v="98"/>
    <x v="2"/>
    <x v="2"/>
    <m/>
    <s v="Aeolus"/>
    <s v="445/65R22.5"/>
    <s v="AGC28"/>
    <s v="AGC28"/>
    <x v="0"/>
    <n v="16.5"/>
    <n v="110"/>
    <m/>
    <m/>
    <m/>
    <m/>
    <m/>
    <s v="2"/>
    <d v="2024-04-03T00:00:00"/>
    <m/>
    <m/>
    <n v="15"/>
    <n v="15"/>
    <n v="15"/>
    <n v="15"/>
    <s v="tm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PT-142Rodando"/>
  </r>
  <r>
    <x v="98"/>
    <x v="98"/>
    <x v="2"/>
    <x v="2"/>
    <m/>
    <s v="Aeolus"/>
    <s v="445/65R22.5"/>
    <s v="AGC28"/>
    <s v="AGC28"/>
    <x v="0"/>
    <n v="16.5"/>
    <n v="110"/>
    <m/>
    <m/>
    <m/>
    <m/>
    <m/>
    <s v="3"/>
    <d v="2024-04-03T00:00:00"/>
    <m/>
    <m/>
    <n v="12"/>
    <n v="12"/>
    <n v="14"/>
    <n v="12"/>
    <s v="tm"/>
    <n v="4.5"/>
    <n v="6"/>
    <n v="6"/>
    <n v="0.63636363636363635"/>
    <n v="0.27272727272727271"/>
    <n v="0.36363636363636365"/>
    <m/>
    <m/>
    <s v=""/>
    <s v=""/>
    <s v=""/>
    <s v=""/>
    <s v=""/>
    <s v=""/>
    <s v=""/>
    <s v=""/>
    <s v=""/>
    <s v=""/>
    <x v="0"/>
    <m/>
    <s v="Alineamiento"/>
    <s v="PT-143Rodando"/>
  </r>
  <r>
    <x v="98"/>
    <x v="98"/>
    <x v="2"/>
    <x v="2"/>
    <m/>
    <s v="Aeolus"/>
    <s v="445/65R22.5"/>
    <s v="AGC28"/>
    <s v="AGC28"/>
    <x v="0"/>
    <n v="16.5"/>
    <n v="110"/>
    <m/>
    <m/>
    <m/>
    <m/>
    <m/>
    <s v="4"/>
    <d v="2024-04-03T00:00:00"/>
    <m/>
    <m/>
    <n v="14"/>
    <n v="13"/>
    <n v="14"/>
    <n v="13"/>
    <s v="tm"/>
    <n v="3.5"/>
    <n v="6"/>
    <n v="6"/>
    <n v="0.63636363636363635"/>
    <n v="0.21212121212121215"/>
    <n v="0.4242424242424242"/>
    <m/>
    <m/>
    <s v=""/>
    <s v=""/>
    <s v=""/>
    <s v=""/>
    <s v=""/>
    <s v=""/>
    <s v=""/>
    <s v=""/>
    <s v=""/>
    <s v=""/>
    <x v="0"/>
    <m/>
    <s v="Alineamiento"/>
    <s v="PT-144Rodando"/>
  </r>
  <r>
    <x v="98"/>
    <x v="98"/>
    <x v="2"/>
    <x v="2"/>
    <m/>
    <s v="Aeolus"/>
    <s v="445/65R22.5"/>
    <s v="AGC28"/>
    <s v="AGC28"/>
    <x v="0"/>
    <n v="16.5"/>
    <n v="110"/>
    <m/>
    <m/>
    <m/>
    <m/>
    <m/>
    <s v="5"/>
    <d v="2024-04-03T00:00:00"/>
    <m/>
    <m/>
    <n v="15"/>
    <n v="15"/>
    <n v="15"/>
    <n v="15"/>
    <s v="tm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PT-145Rodando"/>
  </r>
  <r>
    <x v="98"/>
    <x v="98"/>
    <x v="2"/>
    <x v="2"/>
    <m/>
    <s v="Aeolus"/>
    <s v="445/65R22.5"/>
    <s v="AGC28"/>
    <s v="AGC28"/>
    <x v="0"/>
    <n v="16.5"/>
    <n v="110"/>
    <m/>
    <m/>
    <m/>
    <m/>
    <m/>
    <s v="6"/>
    <d v="2024-04-03T00:00:00"/>
    <m/>
    <m/>
    <n v="15"/>
    <n v="15"/>
    <n v="15"/>
    <n v="15"/>
    <s v="tm"/>
    <n v="1.5"/>
    <n v="6"/>
    <n v="6"/>
    <n v="0.63636363636363635"/>
    <n v="9.0909090909090939E-2"/>
    <n v="0.54545454545454541"/>
    <m/>
    <m/>
    <s v=""/>
    <s v=""/>
    <s v=""/>
    <s v=""/>
    <s v=""/>
    <s v=""/>
    <s v=""/>
    <s v=""/>
    <s v=""/>
    <s v=""/>
    <x v="0"/>
    <m/>
    <m/>
    <s v="PT-146Rodando"/>
  </r>
  <r>
    <x v="99"/>
    <x v="99"/>
    <x v="2"/>
    <x v="2"/>
    <m/>
    <s v="Michelin"/>
    <s v="425/65R22.5"/>
    <s v="Reencauche"/>
    <s v="LZY3"/>
    <x v="1"/>
    <n v="19"/>
    <n v="110"/>
    <m/>
    <m/>
    <m/>
    <m/>
    <m/>
    <n v="1"/>
    <d v="2024-04-03T00:00:00"/>
    <m/>
    <m/>
    <n v="7"/>
    <n v="7"/>
    <n v="7"/>
    <n v="7"/>
    <s v="st"/>
    <n v="12"/>
    <n v="6"/>
    <n v="6"/>
    <n v="0.68421052631578949"/>
    <n v="0.63157894736842102"/>
    <n v="5.2631578947368474E-2"/>
    <m/>
    <m/>
    <s v=""/>
    <s v=""/>
    <s v=""/>
    <s v=""/>
    <s v=""/>
    <s v=""/>
    <s v=""/>
    <s v=""/>
    <s v=""/>
    <s v=""/>
    <x v="0"/>
    <m/>
    <m/>
    <s v="PT-031Rodando"/>
  </r>
  <r>
    <x v="99"/>
    <x v="99"/>
    <x v="2"/>
    <x v="2"/>
    <m/>
    <s v="Michelin"/>
    <s v="425/65R22.5"/>
    <s v="Reencauche"/>
    <s v="LZY3"/>
    <x v="1"/>
    <n v="19"/>
    <n v="110"/>
    <m/>
    <m/>
    <m/>
    <m/>
    <m/>
    <n v="2"/>
    <d v="2024-04-03T00:00:00"/>
    <m/>
    <m/>
    <n v="12"/>
    <n v="12"/>
    <n v="12"/>
    <n v="12"/>
    <s v="st"/>
    <n v="7"/>
    <n v="6"/>
    <n v="6"/>
    <n v="0.68421052631578949"/>
    <n v="0.36842105263157898"/>
    <n v="0.31578947368421051"/>
    <m/>
    <m/>
    <s v=""/>
    <s v=""/>
    <s v=""/>
    <s v=""/>
    <s v=""/>
    <s v=""/>
    <s v=""/>
    <s v=""/>
    <s v=""/>
    <s v=""/>
    <x v="0"/>
    <m/>
    <m/>
    <s v="PT-032Rodando"/>
  </r>
  <r>
    <x v="99"/>
    <x v="99"/>
    <x v="2"/>
    <x v="2"/>
    <m/>
    <s v="Chengshan"/>
    <s v="425/65R22.5"/>
    <s v="CAM211"/>
    <s v="CAM211"/>
    <x v="0"/>
    <n v="18"/>
    <n v="110"/>
    <m/>
    <m/>
    <m/>
    <m/>
    <m/>
    <n v="3"/>
    <d v="2024-04-03T00:00:00"/>
    <m/>
    <m/>
    <n v="18"/>
    <n v="17"/>
    <n v="18"/>
    <n v="17"/>
    <s v="st"/>
    <n v="1"/>
    <n v="6"/>
    <n v="6"/>
    <n v="0.66666666666666674"/>
    <n v="5.555555555555558E-2"/>
    <n v="0.61111111111111116"/>
    <m/>
    <m/>
    <s v=""/>
    <s v=""/>
    <s v=""/>
    <s v=""/>
    <s v=""/>
    <s v=""/>
    <s v=""/>
    <s v=""/>
    <s v=""/>
    <s v=""/>
    <x v="0"/>
    <m/>
    <m/>
    <s v="PT-033Rodando"/>
  </r>
  <r>
    <x v="99"/>
    <x v="99"/>
    <x v="2"/>
    <x v="2"/>
    <m/>
    <s v="Chengshan"/>
    <s v="425/65R22.5"/>
    <s v="CAM211"/>
    <s v="CAM211"/>
    <x v="0"/>
    <n v="18"/>
    <n v="110"/>
    <m/>
    <m/>
    <m/>
    <m/>
    <m/>
    <n v="4"/>
    <d v="2024-04-03T00:00:00"/>
    <m/>
    <m/>
    <n v="18"/>
    <n v="18"/>
    <n v="18"/>
    <n v="18"/>
    <s v="st"/>
    <n v="0"/>
    <n v="6"/>
    <n v="6"/>
    <n v="0.66666666666666674"/>
    <n v="0"/>
    <n v="0.66666666666666674"/>
    <m/>
    <m/>
    <s v=""/>
    <s v=""/>
    <s v=""/>
    <s v=""/>
    <s v=""/>
    <s v=""/>
    <s v=""/>
    <s v=""/>
    <s v=""/>
    <s v=""/>
    <x v="0"/>
    <m/>
    <m/>
    <s v="PT-034Rodando"/>
  </r>
  <r>
    <x v="99"/>
    <x v="99"/>
    <x v="2"/>
    <x v="2"/>
    <m/>
    <s v="Antyre"/>
    <s v="425/65R22.5"/>
    <s v="TB935"/>
    <s v="TB935"/>
    <x v="0"/>
    <n v="18"/>
    <n v="110"/>
    <m/>
    <m/>
    <m/>
    <m/>
    <m/>
    <n v="5"/>
    <d v="2024-04-03T00:00:00"/>
    <m/>
    <m/>
    <n v="8"/>
    <n v="8"/>
    <n v="9"/>
    <n v="8"/>
    <s v="st"/>
    <n v="10"/>
    <n v="6"/>
    <n v="6"/>
    <n v="0.66666666666666674"/>
    <n v="0.55555555555555558"/>
    <n v="0.11111111111111116"/>
    <m/>
    <m/>
    <s v=""/>
    <s v=""/>
    <s v=""/>
    <s v=""/>
    <s v=""/>
    <s v=""/>
    <s v=""/>
    <s v=""/>
    <s v=""/>
    <s v=""/>
    <x v="0"/>
    <m/>
    <m/>
    <s v="PT-035Rodando"/>
  </r>
  <r>
    <x v="99"/>
    <x v="99"/>
    <x v="2"/>
    <x v="2"/>
    <m/>
    <s v="Michelin"/>
    <s v="425/65R22.5"/>
    <s v="XZY3"/>
    <s v="XZY3"/>
    <x v="0"/>
    <n v="0"/>
    <n v="110"/>
    <m/>
    <m/>
    <m/>
    <m/>
    <m/>
    <n v="6"/>
    <d v="2024-04-03T00:00:00"/>
    <m/>
    <m/>
    <n v="7"/>
    <n v="6"/>
    <n v="7"/>
    <n v="6"/>
    <s v="st"/>
    <n v="-6"/>
    <n v="6"/>
    <n v="6"/>
    <s v=""/>
    <s v=""/>
    <s v=""/>
    <m/>
    <m/>
    <s v=""/>
    <s v=""/>
    <s v=""/>
    <s v=""/>
    <s v=""/>
    <s v=""/>
    <s v=""/>
    <s v=""/>
    <s v=""/>
    <s v=""/>
    <x v="0"/>
    <m/>
    <m/>
    <s v="PT-036Rodando"/>
  </r>
  <r>
    <x v="100"/>
    <x v="100"/>
    <x v="2"/>
    <x v="2"/>
    <m/>
    <s v="Michelin"/>
    <s v="425/65R22.5"/>
    <s v="Reencauche"/>
    <s v="LZY3"/>
    <x v="1"/>
    <n v="19"/>
    <n v="110"/>
    <m/>
    <m/>
    <m/>
    <m/>
    <m/>
    <n v="1"/>
    <d v="2024-04-03T00:00:00"/>
    <m/>
    <m/>
    <n v="8"/>
    <n v="7"/>
    <n v="8"/>
    <n v="7"/>
    <s v="st"/>
    <n v="12"/>
    <n v="6"/>
    <n v="6"/>
    <n v="0.68421052631578949"/>
    <n v="0.63157894736842102"/>
    <n v="5.2631578947368474E-2"/>
    <m/>
    <m/>
    <s v=""/>
    <s v=""/>
    <s v=""/>
    <s v=""/>
    <s v=""/>
    <s v=""/>
    <s v=""/>
    <s v=""/>
    <s v=""/>
    <s v=""/>
    <x v="0"/>
    <m/>
    <m/>
    <s v="PT-191Rodando"/>
  </r>
  <r>
    <x v="100"/>
    <x v="100"/>
    <x v="2"/>
    <x v="2"/>
    <m/>
    <s v="Michelin"/>
    <s v="425/65R22.5"/>
    <s v="Reencauche"/>
    <s v="LZY3"/>
    <x v="1"/>
    <n v="19"/>
    <n v="110"/>
    <m/>
    <m/>
    <m/>
    <m/>
    <m/>
    <n v="2"/>
    <d v="2024-04-03T00:00:00"/>
    <m/>
    <m/>
    <n v="3"/>
    <n v="0"/>
    <n v="2"/>
    <n v="0"/>
    <s v="st"/>
    <n v="19"/>
    <n v="6"/>
    <n v="0"/>
    <n v="0.68421052631578949"/>
    <n v="1"/>
    <n v="-0.31578947368421051"/>
    <m/>
    <m/>
    <s v=""/>
    <s v=""/>
    <s v=""/>
    <s v=""/>
    <s v=""/>
    <s v=""/>
    <s v=""/>
    <s v=""/>
    <s v=""/>
    <s v=""/>
    <x v="0"/>
    <m/>
    <m/>
    <s v="PT-192Rodando"/>
  </r>
  <r>
    <x v="100"/>
    <x v="100"/>
    <x v="2"/>
    <x v="2"/>
    <m/>
    <s v="Michelin"/>
    <s v="425/65R22.5"/>
    <s v="XZY3"/>
    <s v="XZY3"/>
    <x v="0"/>
    <n v="0"/>
    <n v="110"/>
    <m/>
    <m/>
    <m/>
    <m/>
    <m/>
    <n v="3"/>
    <d v="2024-04-03T00:00:00"/>
    <m/>
    <m/>
    <n v="10"/>
    <n v="9"/>
    <n v="10"/>
    <n v="9"/>
    <s v="st"/>
    <n v="-9"/>
    <n v="6"/>
    <n v="6"/>
    <s v=""/>
    <s v=""/>
    <s v=""/>
    <m/>
    <m/>
    <s v=""/>
    <s v=""/>
    <s v=""/>
    <s v=""/>
    <s v=""/>
    <s v=""/>
    <s v=""/>
    <s v=""/>
    <s v=""/>
    <s v=""/>
    <x v="0"/>
    <m/>
    <m/>
    <s v="PT-193Rodando"/>
  </r>
  <r>
    <x v="100"/>
    <x v="100"/>
    <x v="2"/>
    <x v="2"/>
    <m/>
    <s v="Michelin"/>
    <s v="425/65R22.5"/>
    <s v="Reencauche"/>
    <s v="LZY3"/>
    <x v="1"/>
    <n v="19"/>
    <n v="110"/>
    <m/>
    <m/>
    <m/>
    <m/>
    <m/>
    <n v="4"/>
    <d v="2024-04-03T00:00:00"/>
    <m/>
    <m/>
    <n v="6"/>
    <n v="4"/>
    <n v="6"/>
    <n v="4"/>
    <s v="st"/>
    <n v="15"/>
    <n v="6"/>
    <n v="4"/>
    <n v="0.68421052631578949"/>
    <n v="0.78947368421052633"/>
    <n v="-0.10526315789473684"/>
    <m/>
    <m/>
    <s v=""/>
    <s v=""/>
    <s v=""/>
    <s v=""/>
    <s v=""/>
    <s v=""/>
    <s v=""/>
    <s v=""/>
    <s v=""/>
    <s v=""/>
    <x v="0"/>
    <m/>
    <m/>
    <s v="PT-194Rodando"/>
  </r>
  <r>
    <x v="100"/>
    <x v="100"/>
    <x v="2"/>
    <x v="2"/>
    <m/>
    <s v="Michelin"/>
    <s v="425/65R22.5"/>
    <s v="Reencauche"/>
    <s v="LZY3"/>
    <x v="1"/>
    <n v="19"/>
    <n v="110"/>
    <m/>
    <m/>
    <m/>
    <m/>
    <m/>
    <n v="5"/>
    <d v="2024-04-03T00:00:00"/>
    <m/>
    <m/>
    <n v="6"/>
    <n v="6"/>
    <n v="6"/>
    <n v="6"/>
    <s v="st"/>
    <n v="13"/>
    <n v="6"/>
    <n v="6"/>
    <n v="0.68421052631578949"/>
    <n v="0.68421052631578949"/>
    <n v="0"/>
    <m/>
    <m/>
    <s v=""/>
    <s v=""/>
    <s v=""/>
    <s v=""/>
    <s v=""/>
    <s v=""/>
    <s v=""/>
    <s v=""/>
    <s v=""/>
    <s v=""/>
    <x v="0"/>
    <m/>
    <m/>
    <s v="PT-195Rodando"/>
  </r>
  <r>
    <x v="100"/>
    <x v="100"/>
    <x v="2"/>
    <x v="2"/>
    <m/>
    <s v="Michelin"/>
    <s v="425/65R22.5"/>
    <s v="XZY3"/>
    <s v="XZY3"/>
    <x v="0"/>
    <n v="0"/>
    <n v="110"/>
    <m/>
    <m/>
    <m/>
    <m/>
    <m/>
    <n v="6"/>
    <d v="2024-04-03T00:00:00"/>
    <m/>
    <m/>
    <n v="11"/>
    <n v="10"/>
    <n v="11"/>
    <n v="10"/>
    <s v="st"/>
    <n v="-10"/>
    <n v="6"/>
    <n v="6"/>
    <s v=""/>
    <s v=""/>
    <s v=""/>
    <m/>
    <m/>
    <s v=""/>
    <s v=""/>
    <s v=""/>
    <s v=""/>
    <s v=""/>
    <s v=""/>
    <s v=""/>
    <s v=""/>
    <s v=""/>
    <s v=""/>
    <x v="0"/>
    <m/>
    <m/>
    <s v="PT-196Rodando"/>
  </r>
  <r>
    <x v="101"/>
    <x v="101"/>
    <x v="2"/>
    <x v="2"/>
    <m/>
    <s v="Michelin"/>
    <s v="425/65R22.5"/>
    <s v="Reencauche"/>
    <s v="LZY3"/>
    <x v="1"/>
    <n v="19"/>
    <n v="110"/>
    <m/>
    <m/>
    <m/>
    <m/>
    <m/>
    <n v="1"/>
    <d v="2024-04-03T00:00:00"/>
    <m/>
    <m/>
    <n v="9"/>
    <n v="8"/>
    <n v="8"/>
    <n v="8"/>
    <s v="st"/>
    <n v="11"/>
    <n v="6"/>
    <n v="6"/>
    <n v="0.68421052631578949"/>
    <n v="0.57894736842105265"/>
    <n v="0.10526315789473684"/>
    <m/>
    <m/>
    <s v=""/>
    <s v=""/>
    <s v=""/>
    <s v=""/>
    <s v=""/>
    <s v=""/>
    <s v=""/>
    <s v=""/>
    <s v=""/>
    <s v=""/>
    <x v="0"/>
    <m/>
    <s v="Alineamiento"/>
    <s v="PT-181Rodando"/>
  </r>
  <r>
    <x v="101"/>
    <x v="101"/>
    <x v="2"/>
    <x v="2"/>
    <m/>
    <s v="Aeolus"/>
    <s v="445/65R22.5"/>
    <s v="AGC28"/>
    <s v="AGC28"/>
    <x v="0"/>
    <n v="16.5"/>
    <n v="110"/>
    <m/>
    <m/>
    <m/>
    <m/>
    <m/>
    <n v="2"/>
    <d v="2024-04-03T00:00:00"/>
    <m/>
    <m/>
    <n v="8"/>
    <n v="6"/>
    <n v="7"/>
    <n v="6"/>
    <s v="st"/>
    <n v="10.5"/>
    <n v="6"/>
    <n v="6"/>
    <n v="0.63636363636363635"/>
    <n v="0.63636363636363635"/>
    <n v="0"/>
    <m/>
    <m/>
    <s v=""/>
    <s v=""/>
    <s v=""/>
    <s v=""/>
    <s v=""/>
    <s v=""/>
    <s v=""/>
    <s v=""/>
    <s v=""/>
    <s v=""/>
    <x v="0"/>
    <s v="Desgarro en banda de rodado"/>
    <m/>
    <s v="PT-182Rodando"/>
  </r>
  <r>
    <x v="101"/>
    <x v="101"/>
    <x v="2"/>
    <x v="2"/>
    <m/>
    <s v="Aeolus"/>
    <s v="445/65R22.5"/>
    <s v="AGC28"/>
    <s v="AGC28"/>
    <x v="0"/>
    <n v="16.5"/>
    <n v="110"/>
    <m/>
    <m/>
    <m/>
    <m/>
    <m/>
    <n v="3"/>
    <d v="2024-04-03T00:00:00"/>
    <m/>
    <m/>
    <n v="8"/>
    <n v="7"/>
    <n v="8"/>
    <n v="7"/>
    <s v="st"/>
    <n v="9.5"/>
    <n v="6"/>
    <n v="6"/>
    <n v="0.63636363636363635"/>
    <n v="0.57575757575757569"/>
    <n v="6.0606060606060663E-2"/>
    <m/>
    <m/>
    <s v=""/>
    <s v=""/>
    <s v=""/>
    <s v=""/>
    <s v=""/>
    <s v=""/>
    <s v=""/>
    <s v=""/>
    <s v=""/>
    <s v=""/>
    <x v="0"/>
    <m/>
    <m/>
    <s v="PT-183Rodando"/>
  </r>
  <r>
    <x v="101"/>
    <x v="101"/>
    <x v="2"/>
    <x v="2"/>
    <m/>
    <s v="Aeolus"/>
    <s v="445/65R22.5"/>
    <s v="AGC28"/>
    <s v="AGC28"/>
    <x v="0"/>
    <n v="16.5"/>
    <n v="110"/>
    <m/>
    <m/>
    <m/>
    <m/>
    <m/>
    <n v="4"/>
    <d v="2024-04-03T00:00:00"/>
    <m/>
    <m/>
    <n v="7"/>
    <n v="6"/>
    <n v="7"/>
    <n v="6"/>
    <s v="st"/>
    <n v="10.5"/>
    <n v="6"/>
    <n v="6"/>
    <n v="0.63636363636363635"/>
    <n v="0.63636363636363635"/>
    <n v="0"/>
    <m/>
    <m/>
    <s v=""/>
    <s v=""/>
    <s v=""/>
    <s v=""/>
    <s v=""/>
    <s v=""/>
    <s v=""/>
    <s v=""/>
    <s v=""/>
    <s v=""/>
    <x v="0"/>
    <m/>
    <m/>
    <s v="PT-184Rodando"/>
  </r>
  <r>
    <x v="101"/>
    <x v="101"/>
    <x v="2"/>
    <x v="2"/>
    <m/>
    <s v="Michelin"/>
    <s v="425/65R22.5"/>
    <s v="Reencauche"/>
    <s v="LZY3"/>
    <x v="1"/>
    <n v="19"/>
    <n v="110"/>
    <m/>
    <m/>
    <m/>
    <m/>
    <m/>
    <n v="5"/>
    <d v="2024-04-03T00:00:00"/>
    <m/>
    <m/>
    <n v="12"/>
    <n v="12"/>
    <n v="12"/>
    <n v="12"/>
    <s v="st"/>
    <n v="7"/>
    <n v="6"/>
    <n v="6"/>
    <n v="0.68421052631578949"/>
    <n v="0.36842105263157898"/>
    <n v="0.31578947368421051"/>
    <m/>
    <m/>
    <s v=""/>
    <s v=""/>
    <s v=""/>
    <s v=""/>
    <s v=""/>
    <s v=""/>
    <s v=""/>
    <s v=""/>
    <s v=""/>
    <s v=""/>
    <x v="0"/>
    <m/>
    <m/>
    <s v="PT-185Rodando"/>
  </r>
  <r>
    <x v="101"/>
    <x v="101"/>
    <x v="2"/>
    <x v="2"/>
    <m/>
    <s v="Michelin"/>
    <s v="425/65R22.5"/>
    <s v="Reencauche"/>
    <s v="LZY3"/>
    <x v="1"/>
    <n v="19"/>
    <n v="110"/>
    <m/>
    <m/>
    <m/>
    <m/>
    <m/>
    <n v="6"/>
    <d v="2024-04-03T00:00:00"/>
    <m/>
    <m/>
    <n v="14"/>
    <n v="14"/>
    <n v="14"/>
    <n v="14"/>
    <s v="st"/>
    <n v="5"/>
    <n v="6"/>
    <n v="6"/>
    <n v="0.68421052631578949"/>
    <n v="0.26315789473684215"/>
    <n v="0.42105263157894735"/>
    <m/>
    <m/>
    <s v=""/>
    <s v=""/>
    <s v=""/>
    <s v=""/>
    <s v=""/>
    <s v=""/>
    <s v=""/>
    <s v=""/>
    <s v=""/>
    <s v=""/>
    <x v="0"/>
    <m/>
    <m/>
    <s v="PT-186Rodando"/>
  </r>
  <r>
    <x v="102"/>
    <x v="102"/>
    <x v="0"/>
    <x v="0"/>
    <m/>
    <s v="Michelin"/>
    <s v="295/80R22.5"/>
    <s v="XMULTI+Z"/>
    <s v="XMULTI+Z"/>
    <x v="0"/>
    <n v="16"/>
    <n v="100"/>
    <m/>
    <m/>
    <m/>
    <m/>
    <m/>
    <n v="1"/>
    <d v="2024-04-03T00:00:00"/>
    <m/>
    <m/>
    <n v="9"/>
    <n v="9"/>
    <n v="9"/>
    <n v="9"/>
    <s v="tm"/>
    <n v="7"/>
    <n v="6"/>
    <n v="6"/>
    <n v="0.625"/>
    <n v="0.4375"/>
    <n v="0.1875"/>
    <m/>
    <m/>
    <s v=""/>
    <s v=""/>
    <s v=""/>
    <s v=""/>
    <s v=""/>
    <s v=""/>
    <s v=""/>
    <s v=""/>
    <s v=""/>
    <s v=""/>
    <x v="0"/>
    <m/>
    <m/>
    <s v="TC-2621Rodando"/>
  </r>
  <r>
    <x v="102"/>
    <x v="102"/>
    <x v="0"/>
    <x v="0"/>
    <m/>
    <s v="Michelin"/>
    <s v="295/80R22.5"/>
    <s v="XMULTI+Z"/>
    <s v="XMULTI+Z"/>
    <x v="0"/>
    <n v="16"/>
    <n v="100"/>
    <m/>
    <m/>
    <m/>
    <m/>
    <m/>
    <n v="2"/>
    <d v="2024-04-03T00:00:00"/>
    <m/>
    <m/>
    <n v="12"/>
    <n v="12"/>
    <n v="12"/>
    <n v="12"/>
    <s v="tm"/>
    <n v="4"/>
    <n v="6"/>
    <n v="6"/>
    <n v="0.625"/>
    <n v="0.25"/>
    <n v="0.375"/>
    <m/>
    <m/>
    <s v=""/>
    <s v=""/>
    <s v=""/>
    <s v=""/>
    <s v=""/>
    <s v=""/>
    <s v=""/>
    <s v=""/>
    <s v=""/>
    <s v=""/>
    <x v="0"/>
    <m/>
    <m/>
    <s v="TC-2622Rodando"/>
  </r>
  <r>
    <x v="102"/>
    <x v="102"/>
    <x v="0"/>
    <x v="1"/>
    <m/>
    <s v="Michelin"/>
    <s v="295/80R22.5"/>
    <s v="XMULTI2D"/>
    <s v="XMULTI2D"/>
    <x v="0"/>
    <n v="21.4"/>
    <n v="110"/>
    <m/>
    <m/>
    <m/>
    <m/>
    <m/>
    <n v="3"/>
    <d v="2024-04-03T00:00:00"/>
    <m/>
    <m/>
    <n v="15"/>
    <m/>
    <n v="15"/>
    <n v="15"/>
    <s v="tm"/>
    <n v="6.3999999999999986"/>
    <n v="6"/>
    <n v="6"/>
    <n v="0.71962616822429903"/>
    <n v="0.29906542056074759"/>
    <n v="0.42056074766355145"/>
    <m/>
    <m/>
    <s v=""/>
    <s v=""/>
    <s v=""/>
    <s v=""/>
    <s v=""/>
    <s v=""/>
    <s v=""/>
    <s v=""/>
    <s v=""/>
    <s v=""/>
    <x v="0"/>
    <m/>
    <m/>
    <s v="TC-2623Rodando"/>
  </r>
  <r>
    <x v="102"/>
    <x v="102"/>
    <x v="0"/>
    <x v="1"/>
    <m/>
    <s v="Michelin"/>
    <s v="295/80R22.5"/>
    <s v="XMULTI2D"/>
    <s v="XMULTI2D"/>
    <x v="0"/>
    <n v="21.4"/>
    <n v="110"/>
    <m/>
    <m/>
    <m/>
    <m/>
    <m/>
    <n v="4"/>
    <d v="2024-04-03T00:00:00"/>
    <m/>
    <m/>
    <n v="15"/>
    <m/>
    <n v="15"/>
    <n v="15"/>
    <s v="tm"/>
    <n v="6.3999999999999986"/>
    <n v="6"/>
    <n v="6"/>
    <n v="0.71962616822429903"/>
    <n v="0.29906542056074759"/>
    <n v="0.42056074766355145"/>
    <m/>
    <m/>
    <s v=""/>
    <s v=""/>
    <s v=""/>
    <s v=""/>
    <s v=""/>
    <s v=""/>
    <s v=""/>
    <s v=""/>
    <s v=""/>
    <s v=""/>
    <x v="0"/>
    <m/>
    <m/>
    <s v="TC-2624Rodando"/>
  </r>
  <r>
    <x v="102"/>
    <x v="102"/>
    <x v="0"/>
    <x v="1"/>
    <m/>
    <s v="Michelin"/>
    <s v="295/80R22.5"/>
    <s v="XMULTI2D"/>
    <s v="XMULTI2D"/>
    <x v="0"/>
    <n v="21.4"/>
    <n v="110"/>
    <m/>
    <m/>
    <m/>
    <m/>
    <m/>
    <n v="5"/>
    <d v="2024-04-03T00:00:00"/>
    <m/>
    <m/>
    <n v="14"/>
    <m/>
    <n v="15"/>
    <n v="14"/>
    <s v="tm"/>
    <n v="7.3999999999999986"/>
    <n v="6"/>
    <n v="6"/>
    <n v="0.71962616822429903"/>
    <n v="0.34579439252336441"/>
    <n v="0.37383177570093462"/>
    <m/>
    <m/>
    <s v=""/>
    <s v=""/>
    <s v=""/>
    <s v=""/>
    <s v=""/>
    <s v=""/>
    <s v=""/>
    <s v=""/>
    <s v=""/>
    <s v=""/>
    <x v="0"/>
    <m/>
    <m/>
    <s v="TC-2625Rodando"/>
  </r>
  <r>
    <x v="102"/>
    <x v="102"/>
    <x v="0"/>
    <x v="1"/>
    <m/>
    <s v="Michelin"/>
    <s v="295/80R22.5"/>
    <s v="XMULTI2D"/>
    <s v="XMULTI2D"/>
    <x v="0"/>
    <n v="21.4"/>
    <n v="110"/>
    <m/>
    <m/>
    <m/>
    <m/>
    <m/>
    <n v="6"/>
    <d v="2024-04-03T00:00:00"/>
    <m/>
    <m/>
    <n v="15"/>
    <m/>
    <n v="14"/>
    <n v="14"/>
    <s v="tm"/>
    <n v="7.3999999999999986"/>
    <n v="6"/>
    <n v="6"/>
    <n v="0.71962616822429903"/>
    <n v="0.34579439252336441"/>
    <n v="0.37383177570093462"/>
    <m/>
    <m/>
    <s v=""/>
    <s v=""/>
    <s v=""/>
    <s v=""/>
    <s v=""/>
    <s v=""/>
    <s v=""/>
    <s v=""/>
    <s v=""/>
    <s v=""/>
    <x v="0"/>
    <m/>
    <m/>
    <s v="TC-2626Rodando"/>
  </r>
  <r>
    <x v="102"/>
    <x v="102"/>
    <x v="0"/>
    <x v="1"/>
    <m/>
    <s v="Michelin"/>
    <s v="295/80R22.5"/>
    <s v="XMULTI2D"/>
    <s v="XMULTI2D"/>
    <x v="0"/>
    <n v="21.4"/>
    <n v="110"/>
    <m/>
    <m/>
    <m/>
    <m/>
    <m/>
    <n v="7"/>
    <d v="2024-04-03T00:00:00"/>
    <m/>
    <m/>
    <n v="15"/>
    <m/>
    <n v="15"/>
    <n v="15"/>
    <s v="st"/>
    <n v="6.3999999999999986"/>
    <n v="6"/>
    <n v="6"/>
    <n v="0.71962616822429903"/>
    <n v="0.29906542056074759"/>
    <n v="0.42056074766355145"/>
    <m/>
    <m/>
    <s v=""/>
    <s v=""/>
    <s v=""/>
    <s v=""/>
    <s v=""/>
    <s v=""/>
    <s v=""/>
    <s v=""/>
    <s v=""/>
    <s v=""/>
    <x v="0"/>
    <m/>
    <m/>
    <s v="TC-2627Rodando"/>
  </r>
  <r>
    <x v="102"/>
    <x v="102"/>
    <x v="0"/>
    <x v="1"/>
    <m/>
    <s v="Michelin"/>
    <s v="295/80R22.5"/>
    <s v="XMULTI2D"/>
    <s v="XMULTI2D"/>
    <x v="0"/>
    <n v="21.4"/>
    <n v="110"/>
    <m/>
    <m/>
    <m/>
    <m/>
    <m/>
    <n v="8"/>
    <d v="2024-04-03T00:00:00"/>
    <m/>
    <m/>
    <n v="15"/>
    <m/>
    <n v="15"/>
    <n v="15"/>
    <s v="tm"/>
    <n v="6.3999999999999986"/>
    <n v="6"/>
    <n v="6"/>
    <n v="0.71962616822429903"/>
    <n v="0.29906542056074759"/>
    <n v="0.42056074766355145"/>
    <m/>
    <m/>
    <s v=""/>
    <s v=""/>
    <s v=""/>
    <s v=""/>
    <s v=""/>
    <s v=""/>
    <s v=""/>
    <s v=""/>
    <s v=""/>
    <s v=""/>
    <x v="0"/>
    <m/>
    <m/>
    <s v="TC-2628Rodando"/>
  </r>
  <r>
    <x v="102"/>
    <x v="102"/>
    <x v="0"/>
    <x v="1"/>
    <m/>
    <s v="Michelin"/>
    <s v="295/80R22.5"/>
    <s v="XMULTI2D"/>
    <s v="XMULTI2D"/>
    <x v="0"/>
    <n v="21.4"/>
    <n v="110"/>
    <m/>
    <m/>
    <m/>
    <m/>
    <m/>
    <n v="9"/>
    <d v="2024-04-03T00:00:00"/>
    <m/>
    <m/>
    <n v="14"/>
    <m/>
    <n v="15"/>
    <n v="14"/>
    <s v="tm"/>
    <n v="7.3999999999999986"/>
    <n v="6"/>
    <n v="6"/>
    <n v="0.71962616822429903"/>
    <n v="0.34579439252336441"/>
    <n v="0.37383177570093462"/>
    <m/>
    <m/>
    <s v=""/>
    <s v=""/>
    <s v=""/>
    <s v=""/>
    <s v=""/>
    <s v=""/>
    <s v=""/>
    <s v=""/>
    <s v=""/>
    <s v=""/>
    <x v="0"/>
    <m/>
    <m/>
    <s v="TC-2629Rodando"/>
  </r>
  <r>
    <x v="102"/>
    <x v="102"/>
    <x v="0"/>
    <x v="1"/>
    <m/>
    <s v="Michelin"/>
    <s v="295/80R22.5"/>
    <s v="XMULTI2D"/>
    <s v="XMULTI2D"/>
    <x v="0"/>
    <n v="21.4"/>
    <n v="110"/>
    <m/>
    <m/>
    <m/>
    <m/>
    <m/>
    <n v="10"/>
    <d v="2024-04-03T00:00:00"/>
    <m/>
    <m/>
    <n v="14"/>
    <m/>
    <n v="15"/>
    <n v="14"/>
    <s v="tm"/>
    <n v="7.3999999999999986"/>
    <n v="6"/>
    <n v="6"/>
    <n v="0.71962616822429903"/>
    <n v="0.34579439252336441"/>
    <n v="0.37383177570093462"/>
    <m/>
    <m/>
    <s v=""/>
    <s v=""/>
    <s v=""/>
    <s v=""/>
    <s v=""/>
    <s v=""/>
    <s v=""/>
    <s v=""/>
    <s v=""/>
    <s v=""/>
    <x v="0"/>
    <m/>
    <m/>
    <s v="TC-26210Rodando"/>
  </r>
  <r>
    <x v="103"/>
    <x v="103"/>
    <x v="0"/>
    <x v="0"/>
    <m/>
    <s v="Michelin"/>
    <s v="295/80R22.5"/>
    <s v="XMULTI+Z"/>
    <s v="XMULTI+Z"/>
    <x v="0"/>
    <n v="16"/>
    <n v="100"/>
    <m/>
    <m/>
    <m/>
    <m/>
    <m/>
    <n v="1"/>
    <d v="2024-04-03T00:00:00"/>
    <m/>
    <m/>
    <n v="11"/>
    <n v="12"/>
    <n v="12"/>
    <n v="11"/>
    <s v="tm"/>
    <n v="5"/>
    <n v="6"/>
    <n v="6"/>
    <n v="0.625"/>
    <n v="0.3125"/>
    <n v="0.3125"/>
    <m/>
    <m/>
    <s v=""/>
    <s v=""/>
    <s v=""/>
    <s v=""/>
    <s v=""/>
    <s v=""/>
    <s v=""/>
    <s v=""/>
    <s v=""/>
    <s v=""/>
    <x v="0"/>
    <m/>
    <m/>
    <s v="TC-2601Rodando"/>
  </r>
  <r>
    <x v="103"/>
    <x v="103"/>
    <x v="0"/>
    <x v="0"/>
    <m/>
    <s v="Michelin"/>
    <s v="295/80R22.5"/>
    <s v="XMULTI+Z"/>
    <s v="XMULTI+Z"/>
    <x v="0"/>
    <n v="16"/>
    <n v="100"/>
    <m/>
    <m/>
    <m/>
    <m/>
    <m/>
    <n v="2"/>
    <d v="2024-04-03T00:00:00"/>
    <m/>
    <m/>
    <n v="13"/>
    <n v="13"/>
    <n v="12"/>
    <n v="12"/>
    <s v="tm"/>
    <n v="4"/>
    <n v="6"/>
    <n v="6"/>
    <n v="0.625"/>
    <n v="0.25"/>
    <n v="0.375"/>
    <m/>
    <m/>
    <s v=""/>
    <s v=""/>
    <s v=""/>
    <s v=""/>
    <s v=""/>
    <s v=""/>
    <s v=""/>
    <s v=""/>
    <s v=""/>
    <s v=""/>
    <x v="0"/>
    <m/>
    <m/>
    <s v="TC-2602Rodando"/>
  </r>
  <r>
    <x v="103"/>
    <x v="103"/>
    <x v="0"/>
    <x v="1"/>
    <m/>
    <s v="Michelin"/>
    <s v="295/80R22.5"/>
    <s v="XMULTI2D"/>
    <s v="XMULTI2D"/>
    <x v="0"/>
    <n v="21.4"/>
    <n v="110"/>
    <m/>
    <m/>
    <m/>
    <m/>
    <m/>
    <n v="3"/>
    <d v="2024-04-03T00:00:00"/>
    <m/>
    <m/>
    <n v="15"/>
    <m/>
    <n v="15"/>
    <n v="15"/>
    <s v="tm"/>
    <n v="6.3999999999999986"/>
    <n v="6"/>
    <n v="6"/>
    <n v="0.71962616822429903"/>
    <n v="0.29906542056074759"/>
    <n v="0.42056074766355145"/>
    <m/>
    <m/>
    <s v=""/>
    <s v=""/>
    <s v=""/>
    <s v=""/>
    <s v=""/>
    <s v=""/>
    <s v=""/>
    <s v=""/>
    <s v=""/>
    <s v=""/>
    <x v="0"/>
    <m/>
    <m/>
    <s v="TC-2603Rodando"/>
  </r>
  <r>
    <x v="103"/>
    <x v="103"/>
    <x v="0"/>
    <x v="1"/>
    <m/>
    <s v="Michelin"/>
    <s v="295/80R22.5"/>
    <s v="XMULTI2D"/>
    <s v="XMULTI2D"/>
    <x v="0"/>
    <n v="21.4"/>
    <n v="110"/>
    <m/>
    <m/>
    <m/>
    <m/>
    <m/>
    <n v="4"/>
    <d v="2024-04-03T00:00:00"/>
    <m/>
    <m/>
    <n v="15"/>
    <m/>
    <n v="15"/>
    <n v="15"/>
    <s v="tm"/>
    <n v="6.3999999999999986"/>
    <n v="6"/>
    <n v="6"/>
    <n v="0.71962616822429903"/>
    <n v="0.29906542056074759"/>
    <n v="0.42056074766355145"/>
    <m/>
    <m/>
    <s v=""/>
    <s v=""/>
    <s v=""/>
    <s v=""/>
    <s v=""/>
    <s v=""/>
    <s v=""/>
    <s v=""/>
    <s v=""/>
    <s v=""/>
    <x v="0"/>
    <m/>
    <m/>
    <s v="TC-2604Rodando"/>
  </r>
  <r>
    <x v="103"/>
    <x v="103"/>
    <x v="0"/>
    <x v="1"/>
    <m/>
    <s v="Michelin"/>
    <s v="295/80R22.5"/>
    <s v="XMULTI2D"/>
    <s v="XMULTI2D"/>
    <x v="0"/>
    <n v="21.4"/>
    <n v="110"/>
    <m/>
    <m/>
    <m/>
    <m/>
    <m/>
    <n v="5"/>
    <d v="2024-04-03T00:00:00"/>
    <m/>
    <m/>
    <n v="15"/>
    <m/>
    <n v="15"/>
    <n v="15"/>
    <s v="tm"/>
    <n v="6.3999999999999986"/>
    <n v="6"/>
    <n v="6"/>
    <n v="0.71962616822429903"/>
    <n v="0.29906542056074759"/>
    <n v="0.42056074766355145"/>
    <m/>
    <m/>
    <s v=""/>
    <s v=""/>
    <s v=""/>
    <s v=""/>
    <s v=""/>
    <s v=""/>
    <s v=""/>
    <s v=""/>
    <s v=""/>
    <s v=""/>
    <x v="0"/>
    <m/>
    <m/>
    <s v="TC-2605Rodando"/>
  </r>
  <r>
    <x v="103"/>
    <x v="103"/>
    <x v="0"/>
    <x v="1"/>
    <m/>
    <s v="Michelin"/>
    <s v="295/80R22.5"/>
    <s v="XMULTI2D"/>
    <s v="XMULTI2D"/>
    <x v="0"/>
    <n v="21.4"/>
    <n v="110"/>
    <m/>
    <m/>
    <m/>
    <m/>
    <m/>
    <n v="6"/>
    <d v="2024-04-03T00:00:00"/>
    <m/>
    <m/>
    <n v="15"/>
    <m/>
    <n v="15"/>
    <n v="15"/>
    <s v="tm"/>
    <n v="6.3999999999999986"/>
    <n v="6"/>
    <n v="6"/>
    <n v="0.71962616822429903"/>
    <n v="0.29906542056074759"/>
    <n v="0.42056074766355145"/>
    <m/>
    <m/>
    <s v=""/>
    <s v=""/>
    <s v=""/>
    <s v=""/>
    <s v=""/>
    <s v=""/>
    <s v=""/>
    <s v=""/>
    <s v=""/>
    <s v=""/>
    <x v="0"/>
    <m/>
    <m/>
    <s v="TC-2606Rodando"/>
  </r>
  <r>
    <x v="103"/>
    <x v="103"/>
    <x v="0"/>
    <x v="1"/>
    <m/>
    <s v="Michelin"/>
    <s v="295/80R22.5"/>
    <s v="XMULTI2D"/>
    <s v="XMULTI2D"/>
    <x v="0"/>
    <n v="21.4"/>
    <n v="110"/>
    <m/>
    <m/>
    <m/>
    <m/>
    <m/>
    <n v="7"/>
    <d v="2024-04-03T00:00:00"/>
    <m/>
    <m/>
    <n v="15"/>
    <m/>
    <n v="15"/>
    <n v="15"/>
    <s v="tm"/>
    <n v="6.3999999999999986"/>
    <n v="6"/>
    <n v="6"/>
    <n v="0.71962616822429903"/>
    <n v="0.29906542056074759"/>
    <n v="0.42056074766355145"/>
    <m/>
    <m/>
    <s v=""/>
    <s v=""/>
    <s v=""/>
    <s v=""/>
    <s v=""/>
    <s v=""/>
    <s v=""/>
    <s v=""/>
    <s v=""/>
    <s v=""/>
    <x v="0"/>
    <m/>
    <m/>
    <s v="TC-2607Rodando"/>
  </r>
  <r>
    <x v="103"/>
    <x v="103"/>
    <x v="0"/>
    <x v="1"/>
    <m/>
    <s v="Michelin"/>
    <s v="295/80R22.5"/>
    <s v="XMULTI2D"/>
    <s v="XMULTI2D"/>
    <x v="0"/>
    <n v="21.4"/>
    <n v="110"/>
    <m/>
    <m/>
    <m/>
    <m/>
    <m/>
    <n v="8"/>
    <d v="2024-04-03T00:00:00"/>
    <m/>
    <m/>
    <n v="15"/>
    <m/>
    <n v="15"/>
    <n v="15"/>
    <s v="st"/>
    <n v="6.3999999999999986"/>
    <n v="6"/>
    <n v="6"/>
    <n v="0.71962616822429903"/>
    <n v="0.29906542056074759"/>
    <n v="0.42056074766355145"/>
    <m/>
    <m/>
    <s v=""/>
    <s v=""/>
    <s v=""/>
    <s v=""/>
    <s v=""/>
    <s v=""/>
    <s v=""/>
    <s v=""/>
    <s v=""/>
    <s v=""/>
    <x v="0"/>
    <m/>
    <m/>
    <s v="TC-2608Rodando"/>
  </r>
  <r>
    <x v="103"/>
    <x v="103"/>
    <x v="0"/>
    <x v="1"/>
    <m/>
    <s v="Michelin"/>
    <s v="295/80R22.5"/>
    <s v="XMULTI2D"/>
    <s v="XMULTI2D"/>
    <x v="0"/>
    <n v="21.4"/>
    <n v="110"/>
    <m/>
    <m/>
    <m/>
    <m/>
    <m/>
    <n v="9"/>
    <d v="2024-04-03T00:00:00"/>
    <m/>
    <m/>
    <n v="15"/>
    <m/>
    <n v="15"/>
    <n v="15"/>
    <s v="tm"/>
    <n v="6.3999999999999986"/>
    <n v="6"/>
    <n v="6"/>
    <n v="0.71962616822429903"/>
    <n v="0.29906542056074759"/>
    <n v="0.42056074766355145"/>
    <m/>
    <m/>
    <s v=""/>
    <s v=""/>
    <s v=""/>
    <s v=""/>
    <s v=""/>
    <s v=""/>
    <s v=""/>
    <s v=""/>
    <s v=""/>
    <s v=""/>
    <x v="0"/>
    <m/>
    <m/>
    <s v="TC-2609Rodando"/>
  </r>
  <r>
    <x v="103"/>
    <x v="103"/>
    <x v="0"/>
    <x v="1"/>
    <m/>
    <s v="Michelin"/>
    <s v="295/80R22.5"/>
    <s v="XMULTI2D"/>
    <s v="XMULTI2D"/>
    <x v="0"/>
    <n v="21.4"/>
    <n v="110"/>
    <m/>
    <m/>
    <m/>
    <m/>
    <m/>
    <n v="10"/>
    <d v="2024-04-03T00:00:00"/>
    <m/>
    <m/>
    <n v="15"/>
    <m/>
    <n v="15"/>
    <n v="15"/>
    <s v="tm"/>
    <n v="6.3999999999999986"/>
    <n v="6"/>
    <n v="6"/>
    <n v="0.71962616822429903"/>
    <n v="0.29906542056074759"/>
    <n v="0.42056074766355145"/>
    <m/>
    <m/>
    <s v=""/>
    <s v=""/>
    <s v=""/>
    <s v=""/>
    <s v=""/>
    <s v=""/>
    <s v=""/>
    <s v=""/>
    <s v=""/>
    <s v=""/>
    <x v="0"/>
    <m/>
    <m/>
    <s v="TC-26010Rodando"/>
  </r>
  <r>
    <x v="104"/>
    <x v="104"/>
    <x v="0"/>
    <x v="0"/>
    <m/>
    <s v="Michelin"/>
    <s v="295/80R22.5"/>
    <s v="XWORKSZ"/>
    <s v="XWORKSZ"/>
    <x v="0"/>
    <n v="18"/>
    <n v="100"/>
    <m/>
    <m/>
    <m/>
    <m/>
    <m/>
    <n v="1"/>
    <d v="2024-04-03T00:00:00"/>
    <m/>
    <m/>
    <n v="13"/>
    <n v="15"/>
    <n v="14"/>
    <n v="13"/>
    <s v="tm"/>
    <n v="5"/>
    <n v="6"/>
    <n v="6"/>
    <n v="0.66666666666666674"/>
    <n v="0.27777777777777779"/>
    <n v="0.38888888888888895"/>
    <m/>
    <m/>
    <s v=""/>
    <s v=""/>
    <s v=""/>
    <s v=""/>
    <s v=""/>
    <s v=""/>
    <s v=""/>
    <s v=""/>
    <s v=""/>
    <s v=""/>
    <x v="0"/>
    <m/>
    <s v="Alineamiento"/>
    <s v="TC-2681Rodando"/>
  </r>
  <r>
    <x v="104"/>
    <x v="104"/>
    <x v="0"/>
    <x v="0"/>
    <m/>
    <s v="Michelin"/>
    <s v="295/80R22.5"/>
    <s v="XWORKSZ"/>
    <s v="XWORKSZ"/>
    <x v="0"/>
    <n v="18"/>
    <n v="100"/>
    <m/>
    <m/>
    <m/>
    <m/>
    <m/>
    <n v="2"/>
    <d v="2024-04-03T00:00:00"/>
    <m/>
    <m/>
    <n v="14"/>
    <n v="14"/>
    <n v="14"/>
    <n v="14"/>
    <s v="tm"/>
    <n v="4"/>
    <n v="6"/>
    <n v="6"/>
    <n v="0.66666666666666674"/>
    <n v="0.22222222222222221"/>
    <n v="0.44444444444444453"/>
    <m/>
    <m/>
    <s v=""/>
    <s v=""/>
    <s v=""/>
    <s v=""/>
    <s v=""/>
    <s v=""/>
    <s v=""/>
    <s v=""/>
    <s v=""/>
    <s v=""/>
    <x v="0"/>
    <m/>
    <m/>
    <s v="TC-2682Rodando"/>
  </r>
  <r>
    <x v="104"/>
    <x v="104"/>
    <x v="0"/>
    <x v="1"/>
    <m/>
    <s v="Michelin"/>
    <s v="295/80R22.5"/>
    <s v="XWORKSD"/>
    <s v="XWORKSD"/>
    <x v="0"/>
    <n v="22"/>
    <n v="110"/>
    <m/>
    <m/>
    <m/>
    <m/>
    <m/>
    <n v="3"/>
    <d v="2024-04-03T00:00:00"/>
    <m/>
    <m/>
    <n v="15"/>
    <m/>
    <n v="15"/>
    <n v="15"/>
    <s v="tm"/>
    <n v="7"/>
    <n v="6"/>
    <n v="6"/>
    <n v="0.72727272727272729"/>
    <n v="0.31818181818181823"/>
    <n v="0.40909090909090906"/>
    <m/>
    <m/>
    <s v=""/>
    <s v=""/>
    <s v=""/>
    <s v=""/>
    <s v=""/>
    <s v=""/>
    <s v=""/>
    <s v=""/>
    <s v=""/>
    <s v=""/>
    <x v="0"/>
    <m/>
    <s v="Desgaste punta talón"/>
    <s v="TC-2683Rodando"/>
  </r>
  <r>
    <x v="104"/>
    <x v="104"/>
    <x v="0"/>
    <x v="1"/>
    <m/>
    <s v="Michelin"/>
    <s v="295/80R22.5"/>
    <s v="XWORKSD"/>
    <s v="XWORKSD"/>
    <x v="0"/>
    <n v="22"/>
    <n v="110"/>
    <m/>
    <m/>
    <m/>
    <m/>
    <m/>
    <n v="4"/>
    <d v="2024-04-03T00:00:00"/>
    <m/>
    <m/>
    <n v="15"/>
    <m/>
    <n v="15"/>
    <n v="15"/>
    <s v="tm"/>
    <n v="7"/>
    <n v="6"/>
    <n v="6"/>
    <n v="0.72727272727272729"/>
    <n v="0.31818181818181823"/>
    <n v="0.40909090909090906"/>
    <m/>
    <m/>
    <s v=""/>
    <s v=""/>
    <s v=""/>
    <s v=""/>
    <s v=""/>
    <s v=""/>
    <s v=""/>
    <s v=""/>
    <s v=""/>
    <s v=""/>
    <x v="0"/>
    <m/>
    <s v="Desgaste punta talón"/>
    <s v="TC-2684Rodando"/>
  </r>
  <r>
    <x v="104"/>
    <x v="104"/>
    <x v="0"/>
    <x v="1"/>
    <m/>
    <s v="Michelin"/>
    <s v="295/80R22.5"/>
    <s v="XWORKSD"/>
    <s v="XWORKSD"/>
    <x v="0"/>
    <n v="22"/>
    <n v="110"/>
    <m/>
    <m/>
    <m/>
    <m/>
    <m/>
    <n v="5"/>
    <d v="2024-04-03T00:00:00"/>
    <m/>
    <m/>
    <n v="15"/>
    <m/>
    <n v="15"/>
    <n v="15"/>
    <s v="tm"/>
    <n v="7"/>
    <n v="6"/>
    <n v="6"/>
    <n v="0.72727272727272729"/>
    <n v="0.31818181818181823"/>
    <n v="0.40909090909090906"/>
    <m/>
    <m/>
    <s v=""/>
    <s v=""/>
    <s v=""/>
    <s v=""/>
    <s v=""/>
    <s v=""/>
    <s v=""/>
    <s v=""/>
    <s v=""/>
    <s v=""/>
    <x v="0"/>
    <m/>
    <s v="Desgaste punta talón"/>
    <s v="TC-2685Rodando"/>
  </r>
  <r>
    <x v="104"/>
    <x v="104"/>
    <x v="0"/>
    <x v="1"/>
    <m/>
    <s v="Michelin"/>
    <s v="295/80R22.5"/>
    <s v="XWORKSD"/>
    <s v="XWORKSD"/>
    <x v="0"/>
    <n v="22"/>
    <n v="110"/>
    <m/>
    <m/>
    <m/>
    <m/>
    <m/>
    <n v="6"/>
    <d v="2024-04-03T00:00:00"/>
    <m/>
    <m/>
    <n v="15"/>
    <m/>
    <n v="15"/>
    <n v="15"/>
    <s v="tm"/>
    <n v="7"/>
    <n v="6"/>
    <n v="6"/>
    <n v="0.72727272727272729"/>
    <n v="0.31818181818181823"/>
    <n v="0.40909090909090906"/>
    <m/>
    <m/>
    <s v=""/>
    <s v=""/>
    <s v=""/>
    <s v=""/>
    <s v=""/>
    <s v=""/>
    <s v=""/>
    <s v=""/>
    <s v=""/>
    <s v=""/>
    <x v="0"/>
    <m/>
    <s v="Desgaste punta talón"/>
    <s v="TC-2686Rodando"/>
  </r>
  <r>
    <x v="104"/>
    <x v="104"/>
    <x v="0"/>
    <x v="1"/>
    <m/>
    <s v="Michelin"/>
    <s v="295/80R22.5"/>
    <s v="XWORKSD"/>
    <s v="XWORKSD"/>
    <x v="0"/>
    <n v="22"/>
    <n v="110"/>
    <m/>
    <m/>
    <m/>
    <m/>
    <m/>
    <n v="7"/>
    <d v="2024-04-03T00:00:00"/>
    <m/>
    <m/>
    <n v="15"/>
    <m/>
    <n v="15"/>
    <n v="15"/>
    <s v="tm"/>
    <n v="7"/>
    <n v="6"/>
    <n v="6"/>
    <n v="0.72727272727272729"/>
    <n v="0.31818181818181823"/>
    <n v="0.40909090909090906"/>
    <m/>
    <m/>
    <s v=""/>
    <s v=""/>
    <s v=""/>
    <s v=""/>
    <s v=""/>
    <s v=""/>
    <s v=""/>
    <s v=""/>
    <s v=""/>
    <s v=""/>
    <x v="0"/>
    <m/>
    <s v="Desgaste punta talón"/>
    <s v="TC-2687Rodando"/>
  </r>
  <r>
    <x v="104"/>
    <x v="104"/>
    <x v="0"/>
    <x v="1"/>
    <m/>
    <s v="Michelin"/>
    <s v="295/80R22.5"/>
    <s v="XWORKSD"/>
    <s v="XWORKSD"/>
    <x v="0"/>
    <n v="22"/>
    <n v="110"/>
    <m/>
    <m/>
    <m/>
    <m/>
    <m/>
    <n v="8"/>
    <d v="2024-04-03T00:00:00"/>
    <m/>
    <m/>
    <n v="15"/>
    <m/>
    <n v="15"/>
    <n v="15"/>
    <s v="tm"/>
    <n v="7"/>
    <n v="6"/>
    <n v="6"/>
    <n v="0.72727272727272729"/>
    <n v="0.31818181818181823"/>
    <n v="0.40909090909090906"/>
    <m/>
    <m/>
    <s v=""/>
    <s v=""/>
    <s v=""/>
    <s v=""/>
    <s v=""/>
    <s v=""/>
    <s v=""/>
    <s v=""/>
    <s v=""/>
    <s v=""/>
    <x v="0"/>
    <m/>
    <s v="Desgaste punta talón"/>
    <s v="TC-2688Rodando"/>
  </r>
  <r>
    <x v="104"/>
    <x v="104"/>
    <x v="0"/>
    <x v="1"/>
    <m/>
    <s v="Michelin"/>
    <s v="295/80R22.5"/>
    <s v="XWORKSD"/>
    <s v="XWORKSD"/>
    <x v="0"/>
    <n v="22"/>
    <n v="110"/>
    <m/>
    <m/>
    <m/>
    <m/>
    <m/>
    <n v="9"/>
    <d v="2024-04-03T00:00:00"/>
    <m/>
    <m/>
    <n v="15"/>
    <m/>
    <n v="15"/>
    <n v="15"/>
    <s v="tm"/>
    <n v="7"/>
    <n v="6"/>
    <n v="6"/>
    <n v="0.72727272727272729"/>
    <n v="0.31818181818181823"/>
    <n v="0.40909090909090906"/>
    <m/>
    <m/>
    <s v=""/>
    <s v=""/>
    <s v=""/>
    <s v=""/>
    <s v=""/>
    <s v=""/>
    <s v=""/>
    <s v=""/>
    <s v=""/>
    <s v=""/>
    <x v="0"/>
    <m/>
    <s v="Desgaste punta talón"/>
    <s v="TC-2689Rodando"/>
  </r>
  <r>
    <x v="104"/>
    <x v="104"/>
    <x v="0"/>
    <x v="1"/>
    <m/>
    <s v="Michelin"/>
    <s v="295/80R22.5"/>
    <s v="XWORKSD"/>
    <s v="XWORKSD"/>
    <x v="0"/>
    <n v="22"/>
    <n v="110"/>
    <m/>
    <m/>
    <m/>
    <m/>
    <m/>
    <n v="10"/>
    <d v="2024-04-03T00:00:00"/>
    <m/>
    <m/>
    <n v="15"/>
    <m/>
    <n v="15"/>
    <n v="15"/>
    <s v="tm"/>
    <n v="7"/>
    <n v="6"/>
    <n v="6"/>
    <n v="0.72727272727272729"/>
    <n v="0.31818181818181823"/>
    <n v="0.40909090909090906"/>
    <m/>
    <m/>
    <s v=""/>
    <s v=""/>
    <s v=""/>
    <s v=""/>
    <s v=""/>
    <s v=""/>
    <s v=""/>
    <s v=""/>
    <s v=""/>
    <s v=""/>
    <x v="0"/>
    <m/>
    <s v="Desgaste punta talón"/>
    <s v="TC-26810Rodando"/>
  </r>
  <r>
    <x v="105"/>
    <x v="105"/>
    <x v="0"/>
    <x v="0"/>
    <m/>
    <s v="Michelin"/>
    <s v="295/80R22.5"/>
    <s v="XWORKSZ"/>
    <s v="XWORKSZ"/>
    <x v="0"/>
    <n v="18"/>
    <n v="100"/>
    <m/>
    <m/>
    <m/>
    <m/>
    <m/>
    <n v="1"/>
    <d v="2024-04-03T00:00:00"/>
    <m/>
    <m/>
    <n v="14"/>
    <n v="16"/>
    <n v="15"/>
    <n v="14"/>
    <s v="tm"/>
    <n v="4"/>
    <n v="6"/>
    <n v="6"/>
    <n v="0.66666666666666674"/>
    <n v="0.22222222222222221"/>
    <n v="0.44444444444444453"/>
    <m/>
    <m/>
    <s v=""/>
    <s v=""/>
    <s v=""/>
    <s v=""/>
    <s v=""/>
    <s v=""/>
    <s v=""/>
    <s v=""/>
    <s v=""/>
    <s v=""/>
    <x v="0"/>
    <m/>
    <s v="Alineamiento"/>
    <s v="TC-2721Rodando"/>
  </r>
  <r>
    <x v="105"/>
    <x v="105"/>
    <x v="0"/>
    <x v="0"/>
    <m/>
    <s v="Michelin"/>
    <s v="295/80R22.5"/>
    <s v="XWORKSZ"/>
    <s v="XWORKSZ"/>
    <x v="0"/>
    <n v="18"/>
    <n v="100"/>
    <m/>
    <m/>
    <m/>
    <m/>
    <m/>
    <n v="2"/>
    <d v="2024-04-03T00:00:00"/>
    <m/>
    <m/>
    <n v="15"/>
    <n v="16"/>
    <n v="15"/>
    <n v="15"/>
    <s v="tm"/>
    <n v="3"/>
    <n v="6"/>
    <n v="6"/>
    <n v="0.66666666666666674"/>
    <n v="0.16666666666666663"/>
    <n v="0.50000000000000011"/>
    <m/>
    <m/>
    <s v=""/>
    <s v=""/>
    <s v=""/>
    <s v=""/>
    <s v=""/>
    <s v=""/>
    <s v=""/>
    <s v=""/>
    <s v=""/>
    <s v=""/>
    <x v="0"/>
    <m/>
    <s v="Alineamiento"/>
    <s v="TC-2722Rodando"/>
  </r>
  <r>
    <x v="105"/>
    <x v="105"/>
    <x v="0"/>
    <x v="1"/>
    <m/>
    <s v="Michelin"/>
    <s v="295/80R22.5"/>
    <s v="XWORKSD"/>
    <s v="XWORKSD"/>
    <x v="0"/>
    <n v="22"/>
    <n v="110"/>
    <m/>
    <m/>
    <m/>
    <m/>
    <m/>
    <n v="3"/>
    <d v="2024-04-03T00:00:00"/>
    <m/>
    <m/>
    <n v="15"/>
    <m/>
    <n v="16"/>
    <n v="15"/>
    <s v="tm"/>
    <n v="7"/>
    <n v="6"/>
    <n v="6"/>
    <n v="0.72727272727272729"/>
    <n v="0.31818181818181823"/>
    <n v="0.40909090909090906"/>
    <m/>
    <m/>
    <s v=""/>
    <s v=""/>
    <s v=""/>
    <s v=""/>
    <s v=""/>
    <s v=""/>
    <s v=""/>
    <s v=""/>
    <s v=""/>
    <s v=""/>
    <x v="0"/>
    <m/>
    <m/>
    <s v="TC-2723Rodando"/>
  </r>
  <r>
    <x v="105"/>
    <x v="105"/>
    <x v="0"/>
    <x v="1"/>
    <m/>
    <s v="Michelin"/>
    <s v="295/80R22.5"/>
    <s v="XWORKSD"/>
    <s v="XWORKSD"/>
    <x v="0"/>
    <n v="22"/>
    <n v="110"/>
    <m/>
    <m/>
    <m/>
    <m/>
    <m/>
    <n v="4"/>
    <d v="2024-04-03T00:00:00"/>
    <m/>
    <m/>
    <n v="15"/>
    <m/>
    <n v="16"/>
    <n v="15"/>
    <s v="tm"/>
    <n v="7"/>
    <n v="6"/>
    <n v="6"/>
    <n v="0.72727272727272729"/>
    <n v="0.31818181818181823"/>
    <n v="0.40909090909090906"/>
    <m/>
    <m/>
    <s v=""/>
    <s v=""/>
    <s v=""/>
    <s v=""/>
    <s v=""/>
    <s v=""/>
    <s v=""/>
    <s v=""/>
    <s v=""/>
    <s v=""/>
    <x v="0"/>
    <m/>
    <m/>
    <s v="TC-2724Rodando"/>
  </r>
  <r>
    <x v="105"/>
    <x v="105"/>
    <x v="0"/>
    <x v="1"/>
    <m/>
    <s v="Michelin"/>
    <s v="295/80R22.5"/>
    <s v="XWORKSD"/>
    <s v="XWORKSD"/>
    <x v="0"/>
    <n v="22"/>
    <n v="110"/>
    <m/>
    <m/>
    <m/>
    <m/>
    <m/>
    <n v="5"/>
    <d v="2024-04-03T00:00:00"/>
    <m/>
    <m/>
    <n v="15"/>
    <m/>
    <n v="16"/>
    <n v="15"/>
    <s v="tm"/>
    <n v="7"/>
    <n v="6"/>
    <n v="6"/>
    <n v="0.72727272727272729"/>
    <n v="0.31818181818181823"/>
    <n v="0.40909090909090906"/>
    <m/>
    <m/>
    <s v=""/>
    <s v=""/>
    <s v=""/>
    <s v=""/>
    <s v=""/>
    <s v=""/>
    <s v=""/>
    <s v=""/>
    <s v=""/>
    <s v=""/>
    <x v="0"/>
    <m/>
    <m/>
    <s v="TC-2725Rodando"/>
  </r>
  <r>
    <x v="105"/>
    <x v="105"/>
    <x v="0"/>
    <x v="1"/>
    <m/>
    <s v="Michelin"/>
    <s v="295/80R22.5"/>
    <s v="XWORKSD"/>
    <s v="XWORKSD"/>
    <x v="0"/>
    <n v="22"/>
    <n v="110"/>
    <m/>
    <m/>
    <m/>
    <m/>
    <m/>
    <n v="6"/>
    <d v="2024-04-03T00:00:00"/>
    <m/>
    <m/>
    <n v="15"/>
    <m/>
    <n v="16"/>
    <n v="15"/>
    <s v="tm"/>
    <n v="7"/>
    <n v="6"/>
    <n v="6"/>
    <n v="0.72727272727272729"/>
    <n v="0.31818181818181823"/>
    <n v="0.40909090909090906"/>
    <m/>
    <m/>
    <s v=""/>
    <s v=""/>
    <s v=""/>
    <s v=""/>
    <s v=""/>
    <s v=""/>
    <s v=""/>
    <s v=""/>
    <s v=""/>
    <s v=""/>
    <x v="0"/>
    <m/>
    <m/>
    <s v="TC-2726Rodando"/>
  </r>
  <r>
    <x v="105"/>
    <x v="105"/>
    <x v="0"/>
    <x v="1"/>
    <m/>
    <s v="Michelin"/>
    <s v="295/80R22.5"/>
    <s v="XWORKSD"/>
    <s v="XWORKSD"/>
    <x v="0"/>
    <n v="22"/>
    <n v="110"/>
    <m/>
    <m/>
    <m/>
    <m/>
    <m/>
    <n v="7"/>
    <d v="2024-04-03T00:00:00"/>
    <m/>
    <m/>
    <n v="16"/>
    <m/>
    <n v="16"/>
    <n v="16"/>
    <s v="tm"/>
    <n v="6"/>
    <n v="6"/>
    <n v="6"/>
    <n v="0.72727272727272729"/>
    <n v="0.27272727272727271"/>
    <n v="0.45454545454545459"/>
    <m/>
    <m/>
    <s v=""/>
    <s v=""/>
    <s v=""/>
    <s v=""/>
    <s v=""/>
    <s v=""/>
    <s v=""/>
    <s v=""/>
    <s v=""/>
    <s v=""/>
    <x v="0"/>
    <m/>
    <m/>
    <s v="TC-2727Rodando"/>
  </r>
  <r>
    <x v="105"/>
    <x v="105"/>
    <x v="0"/>
    <x v="1"/>
    <m/>
    <s v="Michelin"/>
    <s v="295/80R22.5"/>
    <s v="XWORKSD"/>
    <s v="XWORKSD"/>
    <x v="0"/>
    <n v="22"/>
    <n v="110"/>
    <m/>
    <m/>
    <m/>
    <m/>
    <m/>
    <n v="8"/>
    <d v="2024-04-03T00:00:00"/>
    <m/>
    <m/>
    <n v="16"/>
    <m/>
    <n v="16"/>
    <n v="16"/>
    <s v="tm"/>
    <n v="6"/>
    <n v="6"/>
    <n v="6"/>
    <n v="0.72727272727272729"/>
    <n v="0.27272727272727271"/>
    <n v="0.45454545454545459"/>
    <m/>
    <m/>
    <s v=""/>
    <s v=""/>
    <s v=""/>
    <s v=""/>
    <s v=""/>
    <s v=""/>
    <s v=""/>
    <s v=""/>
    <s v=""/>
    <s v=""/>
    <x v="0"/>
    <m/>
    <m/>
    <s v="TC-2728Rodando"/>
  </r>
  <r>
    <x v="105"/>
    <x v="105"/>
    <x v="0"/>
    <x v="1"/>
    <m/>
    <s v="Michelin"/>
    <s v="295/80R22.5"/>
    <s v="XWORKSD"/>
    <s v="XWORKSD"/>
    <x v="0"/>
    <n v="22"/>
    <n v="110"/>
    <m/>
    <m/>
    <m/>
    <m/>
    <m/>
    <n v="9"/>
    <d v="2024-04-03T00:00:00"/>
    <m/>
    <m/>
    <n v="16"/>
    <m/>
    <n v="16"/>
    <n v="16"/>
    <s v="tm"/>
    <n v="6"/>
    <n v="6"/>
    <n v="6"/>
    <n v="0.72727272727272729"/>
    <n v="0.27272727272727271"/>
    <n v="0.45454545454545459"/>
    <m/>
    <m/>
    <s v=""/>
    <s v=""/>
    <s v=""/>
    <s v=""/>
    <s v=""/>
    <s v=""/>
    <s v=""/>
    <s v=""/>
    <s v=""/>
    <s v=""/>
    <x v="0"/>
    <m/>
    <m/>
    <s v="TC-2729Rodando"/>
  </r>
  <r>
    <x v="105"/>
    <x v="105"/>
    <x v="0"/>
    <x v="1"/>
    <m/>
    <s v="Michelin"/>
    <s v="295/80R22.5"/>
    <s v="XWORKSD"/>
    <s v="XWORKSD"/>
    <x v="0"/>
    <n v="22"/>
    <n v="110"/>
    <m/>
    <m/>
    <m/>
    <m/>
    <m/>
    <n v="10"/>
    <d v="2024-04-03T00:00:00"/>
    <m/>
    <m/>
    <n v="16"/>
    <m/>
    <n v="16"/>
    <n v="16"/>
    <s v="tm"/>
    <n v="6"/>
    <n v="6"/>
    <n v="6"/>
    <n v="0.72727272727272729"/>
    <n v="0.27272727272727271"/>
    <n v="0.45454545454545459"/>
    <m/>
    <m/>
    <s v=""/>
    <s v=""/>
    <s v=""/>
    <s v=""/>
    <s v=""/>
    <s v=""/>
    <s v=""/>
    <s v=""/>
    <s v=""/>
    <s v=""/>
    <x v="0"/>
    <m/>
    <m/>
    <s v="TC-27210Rodando"/>
  </r>
  <r>
    <x v="106"/>
    <x v="106"/>
    <x v="3"/>
    <x v="0"/>
    <m/>
    <s v="Goodyear"/>
    <s v="325/95R24"/>
    <s v="OMNITRAC S"/>
    <s v="OMNITRAC S"/>
    <x v="0"/>
    <n v="0"/>
    <n v="110"/>
    <m/>
    <m/>
    <m/>
    <m/>
    <m/>
    <n v="1"/>
    <d v="2024-04-04T00:00:00"/>
    <m/>
    <m/>
    <n v="13"/>
    <n v="13"/>
    <n v="13"/>
    <n v="13"/>
    <s v="st"/>
    <n v="-13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21Rodando"/>
  </r>
  <r>
    <x v="106"/>
    <x v="106"/>
    <x v="3"/>
    <x v="0"/>
    <m/>
    <s v="Goodyear"/>
    <s v="325/95R24"/>
    <s v="OMNITRAC S"/>
    <s v="OMNITRAC S"/>
    <x v="0"/>
    <n v="0"/>
    <n v="110"/>
    <m/>
    <m/>
    <m/>
    <m/>
    <m/>
    <n v="2"/>
    <d v="2024-04-04T00:00:00"/>
    <m/>
    <m/>
    <n v="13"/>
    <n v="13"/>
    <n v="13"/>
    <n v="13"/>
    <s v="st"/>
    <n v="-13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22Rodando"/>
  </r>
  <r>
    <x v="106"/>
    <x v="106"/>
    <x v="3"/>
    <x v="1"/>
    <m/>
    <s v="Goodyear"/>
    <s v="12.00-24"/>
    <s v="STK"/>
    <s v="STK"/>
    <x v="0"/>
    <n v="0"/>
    <n v="100"/>
    <m/>
    <m/>
    <m/>
    <m/>
    <m/>
    <n v="3"/>
    <d v="2024-04-04T00:00:00"/>
    <m/>
    <m/>
    <n v="16"/>
    <m/>
    <n v="13"/>
    <n v="13"/>
    <s v="st"/>
    <n v="-13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23Rodando"/>
  </r>
  <r>
    <x v="106"/>
    <x v="106"/>
    <x v="3"/>
    <x v="1"/>
    <m/>
    <s v="Goodyear"/>
    <s v="12.00-24"/>
    <s v="STK"/>
    <s v="STK"/>
    <x v="0"/>
    <n v="0"/>
    <n v="100"/>
    <m/>
    <m/>
    <m/>
    <m/>
    <m/>
    <n v="4"/>
    <d v="2024-04-04T00:00:00"/>
    <m/>
    <m/>
    <n v="17"/>
    <m/>
    <n v="16"/>
    <n v="16"/>
    <s v="st"/>
    <n v="-16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24Rodando"/>
  </r>
  <r>
    <x v="106"/>
    <x v="106"/>
    <x v="3"/>
    <x v="1"/>
    <m/>
    <s v="Goodyear"/>
    <s v="12.00-24"/>
    <s v="STK"/>
    <s v="STK"/>
    <x v="0"/>
    <n v="0"/>
    <n v="100"/>
    <m/>
    <m/>
    <m/>
    <m/>
    <m/>
    <n v="5"/>
    <d v="2024-04-04T00:00:00"/>
    <m/>
    <m/>
    <n v="12"/>
    <m/>
    <n v="11"/>
    <n v="11"/>
    <s v="st"/>
    <n v="-11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25Rodando"/>
  </r>
  <r>
    <x v="106"/>
    <x v="106"/>
    <x v="3"/>
    <x v="1"/>
    <m/>
    <s v="Goodyear"/>
    <s v="12.00-24"/>
    <s v="STK"/>
    <s v="STK"/>
    <x v="0"/>
    <n v="0"/>
    <n v="100"/>
    <m/>
    <m/>
    <m/>
    <m/>
    <m/>
    <n v="6"/>
    <d v="2024-04-04T00:00:00"/>
    <m/>
    <m/>
    <n v="11"/>
    <m/>
    <n v="8"/>
    <n v="8"/>
    <s v="st"/>
    <n v="-8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26Rodando"/>
  </r>
  <r>
    <x v="106"/>
    <x v="106"/>
    <x v="3"/>
    <x v="1"/>
    <m/>
    <s v="Michelin"/>
    <s v="325/95R24"/>
    <s v="XFORCE"/>
    <s v="XFORCE"/>
    <x v="0"/>
    <n v="0"/>
    <n v="110"/>
    <m/>
    <m/>
    <m/>
    <m/>
    <m/>
    <n v="7"/>
    <d v="2024-04-04T00:00:00"/>
    <m/>
    <m/>
    <n v="21"/>
    <m/>
    <n v="21"/>
    <n v="21"/>
    <s v="st"/>
    <n v="-21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27Rodando"/>
  </r>
  <r>
    <x v="106"/>
    <x v="106"/>
    <x v="3"/>
    <x v="1"/>
    <m/>
    <s v="Michelin"/>
    <s v="325/95R24"/>
    <s v="XFORCE"/>
    <s v="XFORCE"/>
    <x v="0"/>
    <n v="0"/>
    <n v="110"/>
    <m/>
    <m/>
    <m/>
    <m/>
    <m/>
    <n v="8"/>
    <d v="2024-04-04T00:00:00"/>
    <m/>
    <m/>
    <n v="21"/>
    <m/>
    <n v="21"/>
    <n v="21"/>
    <s v="st"/>
    <n v="-21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28Rodando"/>
  </r>
  <r>
    <x v="106"/>
    <x v="106"/>
    <x v="3"/>
    <x v="1"/>
    <m/>
    <s v="Goodyear"/>
    <s v="325/95R24"/>
    <s v="OMNITRAC D"/>
    <s v="OMNITRAC D"/>
    <x v="0"/>
    <n v="0"/>
    <n v="110"/>
    <m/>
    <m/>
    <m/>
    <m/>
    <m/>
    <n v="9"/>
    <d v="2024-04-04T00:00:00"/>
    <m/>
    <m/>
    <n v="15"/>
    <m/>
    <n v="16"/>
    <n v="15"/>
    <s v="st"/>
    <n v="-15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29Rodando"/>
  </r>
  <r>
    <x v="106"/>
    <x v="106"/>
    <x v="3"/>
    <x v="1"/>
    <m/>
    <s v="Goodyear"/>
    <s v="325/95R24"/>
    <s v="OMNITRAC D"/>
    <s v="OMNITRAC D"/>
    <x v="0"/>
    <n v="0"/>
    <n v="110"/>
    <m/>
    <m/>
    <m/>
    <m/>
    <m/>
    <n v="10"/>
    <d v="2024-04-04T00:00:00"/>
    <m/>
    <m/>
    <n v="14"/>
    <m/>
    <n v="14"/>
    <n v="14"/>
    <s v="st"/>
    <n v="-14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210Rodando"/>
  </r>
  <r>
    <x v="107"/>
    <x v="107"/>
    <x v="3"/>
    <x v="0"/>
    <m/>
    <s v="Goodyear"/>
    <s v="325/95R24"/>
    <s v="OMNITRAC S"/>
    <s v="OMNITRAC S"/>
    <x v="0"/>
    <n v="0"/>
    <n v="110"/>
    <m/>
    <m/>
    <m/>
    <m/>
    <m/>
    <n v="1"/>
    <d v="2024-04-04T00:00:00"/>
    <m/>
    <m/>
    <n v="9"/>
    <n v="8"/>
    <n v="9"/>
    <n v="8"/>
    <s v="st"/>
    <n v="-8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31Rodando"/>
  </r>
  <r>
    <x v="107"/>
    <x v="107"/>
    <x v="3"/>
    <x v="0"/>
    <m/>
    <s v="Goodyear"/>
    <s v="325/95R24"/>
    <s v="OMNITRAC S"/>
    <s v="OMNITRAC S"/>
    <x v="0"/>
    <n v="0"/>
    <n v="110"/>
    <m/>
    <m/>
    <m/>
    <m/>
    <m/>
    <n v="2"/>
    <d v="2024-04-04T00:00:00"/>
    <m/>
    <m/>
    <n v="9"/>
    <n v="8"/>
    <n v="8"/>
    <n v="8"/>
    <s v="st"/>
    <n v="-8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32Rodando"/>
  </r>
  <r>
    <x v="107"/>
    <x v="107"/>
    <x v="3"/>
    <x v="1"/>
    <m/>
    <s v="Goodyear"/>
    <s v="12.00R24"/>
    <s v="G677 OTR"/>
    <s v="G677 OTR"/>
    <x v="0"/>
    <n v="0"/>
    <n v="110"/>
    <m/>
    <m/>
    <m/>
    <m/>
    <m/>
    <n v="3"/>
    <d v="2024-04-04T00:00:00"/>
    <m/>
    <m/>
    <n v="11"/>
    <m/>
    <n v="11"/>
    <n v="11"/>
    <s v="st"/>
    <n v="-11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33Rodando"/>
  </r>
  <r>
    <x v="107"/>
    <x v="107"/>
    <x v="3"/>
    <x v="1"/>
    <m/>
    <s v="Goodyear"/>
    <s v="12.00R24"/>
    <s v="G677 OTR"/>
    <s v="G677 OTR"/>
    <x v="0"/>
    <n v="0"/>
    <n v="110"/>
    <m/>
    <m/>
    <m/>
    <m/>
    <m/>
    <n v="4"/>
    <d v="2024-04-04T00:00:00"/>
    <m/>
    <m/>
    <n v="10"/>
    <m/>
    <n v="12"/>
    <n v="10"/>
    <s v="st"/>
    <n v="-10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34Rodando"/>
  </r>
  <r>
    <x v="107"/>
    <x v="107"/>
    <x v="3"/>
    <x v="1"/>
    <m/>
    <s v="Michelin"/>
    <s v="325/95R24"/>
    <s v="XFORCE"/>
    <s v="XFORCE"/>
    <x v="0"/>
    <n v="0"/>
    <n v="110"/>
    <m/>
    <m/>
    <m/>
    <m/>
    <m/>
    <n v="5"/>
    <d v="2024-04-04T00:00:00"/>
    <m/>
    <m/>
    <n v="25"/>
    <m/>
    <n v="25"/>
    <n v="25"/>
    <s v="st"/>
    <n v="-25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35Rodando"/>
  </r>
  <r>
    <x v="107"/>
    <x v="107"/>
    <x v="3"/>
    <x v="1"/>
    <m/>
    <s v="Michelin"/>
    <s v="325/95R24"/>
    <s v="XFORCE"/>
    <s v="XFORCE"/>
    <x v="0"/>
    <n v="0"/>
    <n v="110"/>
    <m/>
    <m/>
    <m/>
    <m/>
    <m/>
    <n v="6"/>
    <d v="2024-04-04T00:00:00"/>
    <m/>
    <m/>
    <n v="25"/>
    <m/>
    <n v="25"/>
    <n v="25"/>
    <s v="st"/>
    <n v="-25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36Rodando"/>
  </r>
  <r>
    <x v="107"/>
    <x v="107"/>
    <x v="3"/>
    <x v="1"/>
    <m/>
    <s v="Goodyear"/>
    <s v="12.00-24"/>
    <s v="STK"/>
    <s v="STK"/>
    <x v="0"/>
    <n v="0"/>
    <n v="100"/>
    <m/>
    <m/>
    <m/>
    <m/>
    <m/>
    <n v="7"/>
    <d v="2024-04-04T00:00:00"/>
    <m/>
    <m/>
    <n v="12"/>
    <m/>
    <n v="11"/>
    <n v="11"/>
    <s v="st"/>
    <n v="-11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37Rodando"/>
  </r>
  <r>
    <x v="107"/>
    <x v="107"/>
    <x v="3"/>
    <x v="1"/>
    <m/>
    <s v="Goodyear"/>
    <s v="12.00-24"/>
    <s v="STK"/>
    <s v="STK"/>
    <x v="0"/>
    <n v="0"/>
    <n v="100"/>
    <m/>
    <m/>
    <m/>
    <m/>
    <m/>
    <n v="8"/>
    <d v="2024-04-04T00:00:00"/>
    <m/>
    <m/>
    <n v="10"/>
    <m/>
    <n v="14"/>
    <n v="10"/>
    <s v="st"/>
    <n v="-10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38Rodando"/>
  </r>
  <r>
    <x v="107"/>
    <x v="107"/>
    <x v="3"/>
    <x v="1"/>
    <m/>
    <s v="Goodyear"/>
    <s v="12.00-24"/>
    <s v="STK"/>
    <s v="STK"/>
    <x v="0"/>
    <n v="0"/>
    <n v="100"/>
    <m/>
    <m/>
    <m/>
    <m/>
    <m/>
    <n v="9"/>
    <d v="2024-04-04T00:00:00"/>
    <m/>
    <m/>
    <n v="13"/>
    <m/>
    <n v="13"/>
    <n v="13"/>
    <s v="st"/>
    <n v="-13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39Rodando"/>
  </r>
  <r>
    <x v="107"/>
    <x v="107"/>
    <x v="3"/>
    <x v="1"/>
    <m/>
    <s v="Goodyear"/>
    <s v="12.00R24"/>
    <s v="G677 OTR"/>
    <s v="G677 OTR"/>
    <x v="0"/>
    <n v="0"/>
    <n v="110"/>
    <m/>
    <m/>
    <m/>
    <m/>
    <m/>
    <n v="10"/>
    <d v="2024-04-04T00:00:00"/>
    <m/>
    <m/>
    <n v="11"/>
    <m/>
    <n v="9"/>
    <n v="9"/>
    <s v="st"/>
    <n v="-9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310Rodando"/>
  </r>
  <r>
    <x v="108"/>
    <x v="108"/>
    <x v="3"/>
    <x v="0"/>
    <m/>
    <s v="Goodyear"/>
    <s v="325/95R24"/>
    <s v="OMNITRAC S"/>
    <s v="OMNITRAC S"/>
    <x v="0"/>
    <n v="0"/>
    <n v="110"/>
    <m/>
    <m/>
    <m/>
    <m/>
    <m/>
    <n v="1"/>
    <d v="2024-04-04T00:00:00"/>
    <m/>
    <m/>
    <n v="13"/>
    <n v="11"/>
    <n v="12"/>
    <n v="11"/>
    <s v="st"/>
    <n v="-11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61Rodando"/>
  </r>
  <r>
    <x v="108"/>
    <x v="108"/>
    <x v="3"/>
    <x v="0"/>
    <m/>
    <s v="Goodyear"/>
    <s v="325/95R24"/>
    <s v="OMNITRAC S"/>
    <s v="OMNITRAC S"/>
    <x v="0"/>
    <n v="0"/>
    <n v="110"/>
    <m/>
    <m/>
    <m/>
    <m/>
    <m/>
    <n v="2"/>
    <d v="2024-04-04T00:00:00"/>
    <m/>
    <m/>
    <n v="13"/>
    <n v="11"/>
    <n v="13"/>
    <n v="11"/>
    <s v="st"/>
    <n v="-11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62Rodando"/>
  </r>
  <r>
    <x v="108"/>
    <x v="108"/>
    <x v="3"/>
    <x v="1"/>
    <m/>
    <s v="Techking"/>
    <s v="12.00R24"/>
    <s v="ETOT II"/>
    <s v="ETOT II"/>
    <x v="0"/>
    <n v="0"/>
    <n v="110"/>
    <m/>
    <m/>
    <m/>
    <m/>
    <m/>
    <n v="3"/>
    <d v="2024-04-04T00:00:00"/>
    <m/>
    <m/>
    <n v="9"/>
    <m/>
    <n v="9"/>
    <n v="9"/>
    <s v="tp"/>
    <n v="-9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63Rodando"/>
  </r>
  <r>
    <x v="108"/>
    <x v="108"/>
    <x v="3"/>
    <x v="1"/>
    <m/>
    <s v="Techking"/>
    <s v="12.00R24"/>
    <s v="ETOT II"/>
    <s v="ETOT II"/>
    <x v="0"/>
    <n v="0"/>
    <n v="110"/>
    <m/>
    <m/>
    <m/>
    <m/>
    <m/>
    <n v="4"/>
    <d v="2024-04-04T00:00:00"/>
    <m/>
    <m/>
    <n v="9"/>
    <m/>
    <n v="11"/>
    <n v="9"/>
    <s v="st"/>
    <n v="-9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64Rodando"/>
  </r>
  <r>
    <x v="108"/>
    <x v="108"/>
    <x v="3"/>
    <x v="1"/>
    <m/>
    <s v="Techking"/>
    <s v="12.00R24"/>
    <s v="ETOT II"/>
    <s v="ETOT II"/>
    <x v="0"/>
    <n v="0"/>
    <n v="110"/>
    <m/>
    <m/>
    <m/>
    <m/>
    <m/>
    <n v="5"/>
    <d v="2024-04-04T00:00:00"/>
    <m/>
    <m/>
    <n v="6"/>
    <m/>
    <n v="8"/>
    <n v="6"/>
    <s v="st"/>
    <n v="-6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65Rodando"/>
  </r>
  <r>
    <x v="108"/>
    <x v="108"/>
    <x v="3"/>
    <x v="1"/>
    <m/>
    <s v="Goodyear"/>
    <s v="12.00R24"/>
    <s v="G677 OTR"/>
    <s v="G677 OTR"/>
    <x v="0"/>
    <n v="0"/>
    <n v="110"/>
    <m/>
    <m/>
    <m/>
    <m/>
    <m/>
    <n v="6"/>
    <d v="2024-04-04T00:00:00"/>
    <m/>
    <m/>
    <n v="4"/>
    <m/>
    <n v="5"/>
    <n v="4"/>
    <s v="st"/>
    <n v="-4"/>
    <n v="6"/>
    <n v="4"/>
    <s v=""/>
    <s v=""/>
    <s v=""/>
    <m/>
    <m/>
    <s v=""/>
    <s v=""/>
    <s v=""/>
    <s v=""/>
    <s v=""/>
    <s v=""/>
    <s v=""/>
    <s v=""/>
    <s v=""/>
    <s v=""/>
    <x v="0"/>
    <m/>
    <m/>
    <s v="VQ-366Rodando"/>
  </r>
  <r>
    <x v="108"/>
    <x v="108"/>
    <x v="3"/>
    <x v="1"/>
    <m/>
    <s v="Goodyear"/>
    <s v="12.00-24"/>
    <s v="STK"/>
    <s v="STK"/>
    <x v="0"/>
    <n v="0"/>
    <n v="100"/>
    <m/>
    <m/>
    <m/>
    <m/>
    <m/>
    <n v="7"/>
    <d v="2024-04-04T00:00:00"/>
    <m/>
    <m/>
    <n v="14"/>
    <m/>
    <n v="13"/>
    <n v="13"/>
    <s v="st"/>
    <n v="-13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67Rodando"/>
  </r>
  <r>
    <x v="108"/>
    <x v="108"/>
    <x v="3"/>
    <x v="1"/>
    <m/>
    <s v="Goodyear"/>
    <s v="12.00-24"/>
    <s v="STK"/>
    <s v="STK"/>
    <x v="0"/>
    <n v="0"/>
    <n v="100"/>
    <m/>
    <m/>
    <m/>
    <m/>
    <m/>
    <n v="8"/>
    <d v="2024-04-04T00:00:00"/>
    <m/>
    <m/>
    <n v="13"/>
    <m/>
    <n v="17"/>
    <n v="13"/>
    <s v="st"/>
    <n v="-13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68Rodando"/>
  </r>
  <r>
    <x v="108"/>
    <x v="108"/>
    <x v="3"/>
    <x v="1"/>
    <m/>
    <s v="Michelin"/>
    <s v="325/95R24"/>
    <s v="XFORCE"/>
    <s v="XFORCE"/>
    <x v="0"/>
    <n v="0"/>
    <n v="110"/>
    <m/>
    <m/>
    <m/>
    <m/>
    <m/>
    <n v="9"/>
    <d v="2024-04-04T00:00:00"/>
    <m/>
    <m/>
    <n v="26"/>
    <m/>
    <n v="26"/>
    <n v="26"/>
    <s v="st"/>
    <n v="-26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69Rodando"/>
  </r>
  <r>
    <x v="108"/>
    <x v="108"/>
    <x v="3"/>
    <x v="1"/>
    <m/>
    <s v="Michelin"/>
    <s v="325/95R24"/>
    <s v="XFORCE"/>
    <s v="XFORCE"/>
    <x v="0"/>
    <n v="0"/>
    <n v="110"/>
    <m/>
    <m/>
    <m/>
    <m/>
    <m/>
    <n v="10"/>
    <d v="2024-04-04T00:00:00"/>
    <m/>
    <m/>
    <n v="26"/>
    <m/>
    <n v="26"/>
    <n v="26"/>
    <s v="st"/>
    <n v="-26"/>
    <n v="6"/>
    <n v="6"/>
    <s v=""/>
    <s v=""/>
    <s v=""/>
    <m/>
    <m/>
    <s v=""/>
    <s v=""/>
    <s v=""/>
    <s v=""/>
    <s v=""/>
    <s v=""/>
    <s v=""/>
    <s v=""/>
    <s v=""/>
    <s v=""/>
    <x v="0"/>
    <m/>
    <m/>
    <s v="VQ-3610Rodan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4DDE3C-A5E0-428B-8198-AFC08D4D27B0}" name="TablaDinámica2" cacheId="1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4" indent="0" compact="0" compactData="0" multipleFieldFilters="0">
  <location ref="L5:M55" firstHeaderRow="1" firstDataRow="1" firstDataCol="2" rowPageCount="2" colPageCount="1"/>
  <pivotFields count="48">
    <pivotField axis="axisRow" compact="0" outline="0" showAll="0" defaultSubtotal="0">
      <items count="109">
        <item x="99"/>
        <item x="88"/>
        <item x="95"/>
        <item x="98"/>
        <item x="94"/>
        <item x="97"/>
        <item x="96"/>
        <item x="101"/>
        <item x="100"/>
        <item x="1"/>
        <item x="3"/>
        <item x="5"/>
        <item x="10"/>
        <item x="11"/>
        <item x="12"/>
        <item x="14"/>
        <item x="16"/>
        <item x="20"/>
        <item x="22"/>
        <item x="24"/>
        <item x="25"/>
        <item x="27"/>
        <item x="28"/>
        <item x="30"/>
        <item x="32"/>
        <item x="34"/>
        <item x="36"/>
        <item x="38"/>
        <item x="40"/>
        <item x="41"/>
        <item x="43"/>
        <item x="44"/>
        <item x="46"/>
        <item x="47"/>
        <item x="49"/>
        <item x="51"/>
        <item x="53"/>
        <item x="55"/>
        <item x="57"/>
        <item x="59"/>
        <item x="64"/>
        <item x="61"/>
        <item x="67"/>
        <item x="68"/>
        <item x="70"/>
        <item x="83"/>
        <item x="76"/>
        <item x="84"/>
        <item x="87"/>
        <item x="85"/>
        <item x="80"/>
        <item x="82"/>
        <item x="89"/>
        <item x="91"/>
        <item x="92"/>
        <item x="90"/>
        <item x="0"/>
        <item x="2"/>
        <item x="4"/>
        <item x="6"/>
        <item x="8"/>
        <item x="9"/>
        <item x="13"/>
        <item x="15"/>
        <item x="17"/>
        <item x="18"/>
        <item x="19"/>
        <item x="21"/>
        <item x="23"/>
        <item x="26"/>
        <item x="29"/>
        <item x="31"/>
        <item x="33"/>
        <item x="35"/>
        <item x="37"/>
        <item x="39"/>
        <item x="42"/>
        <item x="45"/>
        <item x="48"/>
        <item x="50"/>
        <item x="52"/>
        <item x="54"/>
        <item x="56"/>
        <item x="58"/>
        <item x="60"/>
        <item x="62"/>
        <item x="63"/>
        <item x="66"/>
        <item x="65"/>
        <item x="69"/>
        <item x="71"/>
        <item x="72"/>
        <item x="73"/>
        <item x="74"/>
        <item x="86"/>
        <item x="81"/>
        <item x="79"/>
        <item x="78"/>
        <item x="75"/>
        <item x="77"/>
        <item x="103"/>
        <item x="102"/>
        <item x="93"/>
        <item x="7"/>
        <item x="104"/>
        <item x="105"/>
        <item x="106"/>
        <item x="107"/>
        <item x="108"/>
      </items>
    </pivotField>
    <pivotField axis="axisRow" compact="0" outline="0" showAll="0">
      <items count="110">
        <item x="100"/>
        <item x="101"/>
        <item x="67"/>
        <item x="61"/>
        <item x="64"/>
        <item x="26"/>
        <item x="29"/>
        <item x="35"/>
        <item x="31"/>
        <item x="37"/>
        <item x="39"/>
        <item x="42"/>
        <item x="33"/>
        <item x="45"/>
        <item x="48"/>
        <item x="52"/>
        <item x="54"/>
        <item x="50"/>
        <item x="56"/>
        <item x="58"/>
        <item x="83"/>
        <item x="76"/>
        <item x="84"/>
        <item x="70"/>
        <item x="68"/>
        <item x="87"/>
        <item x="85"/>
        <item x="80"/>
        <item x="82"/>
        <item x="60"/>
        <item x="62"/>
        <item x="63"/>
        <item x="106"/>
        <item x="107"/>
        <item x="108"/>
        <item x="66"/>
        <item x="65"/>
        <item x="88"/>
        <item x="95"/>
        <item x="98"/>
        <item x="94"/>
        <item x="97"/>
        <item x="96"/>
        <item x="89"/>
        <item x="91"/>
        <item x="92"/>
        <item x="90"/>
        <item x="69"/>
        <item x="71"/>
        <item x="72"/>
        <item x="73"/>
        <item x="74"/>
        <item x="86"/>
        <item x="81"/>
        <item x="79"/>
        <item x="78"/>
        <item x="75"/>
        <item x="77"/>
        <item x="103"/>
        <item x="102"/>
        <item x="93"/>
        <item x="7"/>
        <item x="104"/>
        <item x="105"/>
        <item x="21"/>
        <item x="18"/>
        <item x="17"/>
        <item x="13"/>
        <item x="2"/>
        <item x="6"/>
        <item x="23"/>
        <item x="8"/>
        <item x="0"/>
        <item x="19"/>
        <item x="4"/>
        <item x="15"/>
        <item x="9"/>
        <item x="99"/>
        <item x="22"/>
        <item x="27"/>
        <item x="53"/>
        <item x="25"/>
        <item x="43"/>
        <item x="40"/>
        <item x="51"/>
        <item x="36"/>
        <item x="44"/>
        <item x="46"/>
        <item x="32"/>
        <item x="30"/>
        <item x="49"/>
        <item x="34"/>
        <item x="38"/>
        <item x="28"/>
        <item x="41"/>
        <item x="57"/>
        <item x="59"/>
        <item x="47"/>
        <item x="55"/>
        <item x="16"/>
        <item x="12"/>
        <item x="11"/>
        <item x="5"/>
        <item x="14"/>
        <item x="1"/>
        <item x="24"/>
        <item x="20"/>
        <item x="10"/>
        <item x="3"/>
        <item t="default"/>
      </items>
    </pivotField>
    <pivotField axis="axisPage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7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5">
        <item m="1" x="8"/>
        <item m="1" x="11"/>
        <item m="1" x="7"/>
        <item m="1" x="12"/>
        <item m="1" x="1"/>
        <item m="1" x="10"/>
        <item m="1" x="5"/>
        <item m="1" x="3"/>
        <item x="0"/>
        <item m="1" x="6"/>
        <item m="1" x="9"/>
        <item m="1" x="13"/>
        <item m="1" x="2"/>
        <item m="1" x="4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0"/>
    <field x="1"/>
  </rowFields>
  <rowItems count="50">
    <i>
      <x v="56"/>
      <x v="72"/>
    </i>
    <i>
      <x v="57"/>
      <x v="68"/>
    </i>
    <i>
      <x v="58"/>
      <x v="74"/>
    </i>
    <i>
      <x v="59"/>
      <x v="69"/>
    </i>
    <i>
      <x v="60"/>
      <x v="71"/>
    </i>
    <i>
      <x v="61"/>
      <x v="76"/>
    </i>
    <i>
      <x v="62"/>
      <x v="67"/>
    </i>
    <i>
      <x v="63"/>
      <x v="75"/>
    </i>
    <i>
      <x v="64"/>
      <x v="66"/>
    </i>
    <i>
      <x v="65"/>
      <x v="65"/>
    </i>
    <i>
      <x v="66"/>
      <x v="73"/>
    </i>
    <i>
      <x v="67"/>
      <x v="64"/>
    </i>
    <i>
      <x v="68"/>
      <x v="70"/>
    </i>
    <i>
      <x v="69"/>
      <x v="5"/>
    </i>
    <i>
      <x v="70"/>
      <x v="6"/>
    </i>
    <i>
      <x v="71"/>
      <x v="8"/>
    </i>
    <i>
      <x v="72"/>
      <x v="12"/>
    </i>
    <i>
      <x v="73"/>
      <x v="7"/>
    </i>
    <i>
      <x v="74"/>
      <x v="9"/>
    </i>
    <i>
      <x v="75"/>
      <x v="10"/>
    </i>
    <i>
      <x v="76"/>
      <x v="11"/>
    </i>
    <i>
      <x v="77"/>
      <x v="13"/>
    </i>
    <i>
      <x v="78"/>
      <x v="14"/>
    </i>
    <i>
      <x v="79"/>
      <x v="17"/>
    </i>
    <i>
      <x v="80"/>
      <x v="15"/>
    </i>
    <i>
      <x v="81"/>
      <x v="16"/>
    </i>
    <i>
      <x v="82"/>
      <x v="18"/>
    </i>
    <i>
      <x v="83"/>
      <x v="19"/>
    </i>
    <i>
      <x v="84"/>
      <x v="29"/>
    </i>
    <i>
      <x v="85"/>
      <x v="30"/>
    </i>
    <i>
      <x v="86"/>
      <x v="31"/>
    </i>
    <i>
      <x v="87"/>
      <x v="35"/>
    </i>
    <i>
      <x v="88"/>
      <x v="36"/>
    </i>
    <i>
      <x v="89"/>
      <x v="47"/>
    </i>
    <i>
      <x v="90"/>
      <x v="48"/>
    </i>
    <i>
      <x v="91"/>
      <x v="49"/>
    </i>
    <i>
      <x v="92"/>
      <x v="50"/>
    </i>
    <i>
      <x v="93"/>
      <x v="51"/>
    </i>
    <i>
      <x v="94"/>
      <x v="52"/>
    </i>
    <i>
      <x v="95"/>
      <x v="53"/>
    </i>
    <i>
      <x v="96"/>
      <x v="54"/>
    </i>
    <i>
      <x v="97"/>
      <x v="55"/>
    </i>
    <i>
      <x v="98"/>
      <x v="56"/>
    </i>
    <i>
      <x v="99"/>
      <x v="57"/>
    </i>
    <i>
      <x v="100"/>
      <x v="58"/>
    </i>
    <i>
      <x v="101"/>
      <x v="59"/>
    </i>
    <i>
      <x v="102"/>
      <x v="60"/>
    </i>
    <i>
      <x v="103"/>
      <x v="61"/>
    </i>
    <i>
      <x v="104"/>
      <x v="62"/>
    </i>
    <i>
      <x v="105"/>
      <x v="63"/>
    </i>
  </rowItems>
  <colItems count="1">
    <i/>
  </colItems>
  <pageFields count="2">
    <pageField fld="44" item="8" hier="-1"/>
    <pageField fld="2" item="2" hier="-1"/>
  </pageFields>
  <formats count="245">
    <format dxfId="597">
      <pivotArea type="all" dataOnly="0" outline="0" fieldPosition="0"/>
    </format>
    <format dxfId="596">
      <pivotArea field="0" type="button" dataOnly="0" labelOnly="1" outline="0" axis="axisRow" fieldPosition="0"/>
    </format>
    <format dxfId="595">
      <pivotArea field="1" type="button" dataOnly="0" labelOnly="1" outline="0" axis="axisRow" fieldPosition="1"/>
    </format>
    <format dxfId="594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93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92">
      <pivotArea dataOnly="0" labelOnly="1" outline="0" fieldPosition="0">
        <references count="1">
          <reference field="0" count="9">
            <x v="100"/>
            <x v="101"/>
            <x v="102"/>
            <x v="103"/>
            <x v="104"/>
            <x v="105"/>
            <x v="106"/>
            <x v="107"/>
            <x v="108"/>
          </reference>
        </references>
      </pivotArea>
    </format>
    <format dxfId="591">
      <pivotArea dataOnly="0" labelOnly="1" grandRow="1" outline="0" fieldPosition="0"/>
    </format>
    <format dxfId="590">
      <pivotArea dataOnly="0" labelOnly="1" outline="0" fieldPosition="0">
        <references count="2">
          <reference field="0" count="1" selected="0">
            <x v="0"/>
          </reference>
          <reference field="1" count="1">
            <x v="77"/>
          </reference>
        </references>
      </pivotArea>
    </format>
    <format dxfId="589">
      <pivotArea dataOnly="0" labelOnly="1" outline="0" fieldPosition="0">
        <references count="2">
          <reference field="0" count="1" selected="0">
            <x v="1"/>
          </reference>
          <reference field="1" count="1">
            <x v="37"/>
          </reference>
        </references>
      </pivotArea>
    </format>
    <format dxfId="588">
      <pivotArea dataOnly="0" labelOnly="1" outline="0" fieldPosition="0">
        <references count="2">
          <reference field="0" count="1" selected="0">
            <x v="2"/>
          </reference>
          <reference field="1" count="1">
            <x v="38"/>
          </reference>
        </references>
      </pivotArea>
    </format>
    <format dxfId="587">
      <pivotArea dataOnly="0" labelOnly="1" outline="0" fieldPosition="0">
        <references count="2">
          <reference field="0" count="1" selected="0">
            <x v="3"/>
          </reference>
          <reference field="1" count="1">
            <x v="39"/>
          </reference>
        </references>
      </pivotArea>
    </format>
    <format dxfId="586">
      <pivotArea dataOnly="0" labelOnly="1" outline="0" fieldPosition="0">
        <references count="2">
          <reference field="0" count="1" selected="0">
            <x v="4"/>
          </reference>
          <reference field="1" count="1">
            <x v="40"/>
          </reference>
        </references>
      </pivotArea>
    </format>
    <format dxfId="585">
      <pivotArea dataOnly="0" labelOnly="1" outline="0" fieldPosition="0">
        <references count="2">
          <reference field="0" count="1" selected="0">
            <x v="5"/>
          </reference>
          <reference field="1" count="1">
            <x v="41"/>
          </reference>
        </references>
      </pivotArea>
    </format>
    <format dxfId="584">
      <pivotArea dataOnly="0" labelOnly="1" outline="0" fieldPosition="0">
        <references count="2">
          <reference field="0" count="1" selected="0">
            <x v="6"/>
          </reference>
          <reference field="1" count="1">
            <x v="42"/>
          </reference>
        </references>
      </pivotArea>
    </format>
    <format dxfId="583">
      <pivotArea dataOnly="0" labelOnly="1" outline="0" fieldPosition="0">
        <references count="2">
          <reference field="0" count="1" selected="0">
            <x v="7"/>
          </reference>
          <reference field="1" count="1">
            <x v="1"/>
          </reference>
        </references>
      </pivotArea>
    </format>
    <format dxfId="582">
      <pivotArea dataOnly="0" labelOnly="1" outline="0" fieldPosition="0">
        <references count="2">
          <reference field="0" count="1" selected="0">
            <x v="8"/>
          </reference>
          <reference field="1" count="1">
            <x v="0"/>
          </reference>
        </references>
      </pivotArea>
    </format>
    <format dxfId="581">
      <pivotArea dataOnly="0" labelOnly="1" outline="0" fieldPosition="0">
        <references count="2">
          <reference field="0" count="1" selected="0">
            <x v="9"/>
          </reference>
          <reference field="1" count="1">
            <x v="104"/>
          </reference>
        </references>
      </pivotArea>
    </format>
    <format dxfId="580">
      <pivotArea dataOnly="0" labelOnly="1" outline="0" fieldPosition="0">
        <references count="2">
          <reference field="0" count="1" selected="0">
            <x v="10"/>
          </reference>
          <reference field="1" count="1">
            <x v="108"/>
          </reference>
        </references>
      </pivotArea>
    </format>
    <format dxfId="579">
      <pivotArea dataOnly="0" labelOnly="1" outline="0" fieldPosition="0">
        <references count="2">
          <reference field="0" count="1" selected="0">
            <x v="11"/>
          </reference>
          <reference field="1" count="1">
            <x v="102"/>
          </reference>
        </references>
      </pivotArea>
    </format>
    <format dxfId="578">
      <pivotArea dataOnly="0" labelOnly="1" outline="0" fieldPosition="0">
        <references count="2">
          <reference field="0" count="1" selected="0">
            <x v="12"/>
          </reference>
          <reference field="1" count="1">
            <x v="107"/>
          </reference>
        </references>
      </pivotArea>
    </format>
    <format dxfId="577">
      <pivotArea dataOnly="0" labelOnly="1" outline="0" fieldPosition="0">
        <references count="2">
          <reference field="0" count="1" selected="0">
            <x v="13"/>
          </reference>
          <reference field="1" count="1">
            <x v="101"/>
          </reference>
        </references>
      </pivotArea>
    </format>
    <format dxfId="576">
      <pivotArea dataOnly="0" labelOnly="1" outline="0" fieldPosition="0">
        <references count="2">
          <reference field="0" count="1" selected="0">
            <x v="14"/>
          </reference>
          <reference field="1" count="1">
            <x v="100"/>
          </reference>
        </references>
      </pivotArea>
    </format>
    <format dxfId="575">
      <pivotArea dataOnly="0" labelOnly="1" outline="0" fieldPosition="0">
        <references count="2">
          <reference field="0" count="1" selected="0">
            <x v="15"/>
          </reference>
          <reference field="1" count="1">
            <x v="103"/>
          </reference>
        </references>
      </pivotArea>
    </format>
    <format dxfId="574">
      <pivotArea dataOnly="0" labelOnly="1" outline="0" fieldPosition="0">
        <references count="2">
          <reference field="0" count="1" selected="0">
            <x v="16"/>
          </reference>
          <reference field="1" count="1">
            <x v="99"/>
          </reference>
        </references>
      </pivotArea>
    </format>
    <format dxfId="573">
      <pivotArea dataOnly="0" labelOnly="1" outline="0" fieldPosition="0">
        <references count="2">
          <reference field="0" count="1" selected="0">
            <x v="17"/>
          </reference>
          <reference field="1" count="1">
            <x v="106"/>
          </reference>
        </references>
      </pivotArea>
    </format>
    <format dxfId="572">
      <pivotArea dataOnly="0" labelOnly="1" outline="0" fieldPosition="0">
        <references count="2">
          <reference field="0" count="1" selected="0">
            <x v="18"/>
          </reference>
          <reference field="1" count="1">
            <x v="78"/>
          </reference>
        </references>
      </pivotArea>
    </format>
    <format dxfId="571">
      <pivotArea dataOnly="0" labelOnly="1" outline="0" fieldPosition="0">
        <references count="2">
          <reference field="0" count="1" selected="0">
            <x v="19"/>
          </reference>
          <reference field="1" count="1">
            <x v="105"/>
          </reference>
        </references>
      </pivotArea>
    </format>
    <format dxfId="570">
      <pivotArea dataOnly="0" labelOnly="1" outline="0" fieldPosition="0">
        <references count="2">
          <reference field="0" count="1" selected="0">
            <x v="20"/>
          </reference>
          <reference field="1" count="1">
            <x v="81"/>
          </reference>
        </references>
      </pivotArea>
    </format>
    <format dxfId="569">
      <pivotArea dataOnly="0" labelOnly="1" outline="0" fieldPosition="0">
        <references count="2">
          <reference field="0" count="1" selected="0">
            <x v="21"/>
          </reference>
          <reference field="1" count="1">
            <x v="79"/>
          </reference>
        </references>
      </pivotArea>
    </format>
    <format dxfId="568">
      <pivotArea dataOnly="0" labelOnly="1" outline="0" fieldPosition="0">
        <references count="2">
          <reference field="0" count="1" selected="0">
            <x v="22"/>
          </reference>
          <reference field="1" count="1">
            <x v="93"/>
          </reference>
        </references>
      </pivotArea>
    </format>
    <format dxfId="567">
      <pivotArea dataOnly="0" labelOnly="1" outline="0" fieldPosition="0">
        <references count="2">
          <reference field="0" count="1" selected="0">
            <x v="23"/>
          </reference>
          <reference field="1" count="1">
            <x v="89"/>
          </reference>
        </references>
      </pivotArea>
    </format>
    <format dxfId="566">
      <pivotArea dataOnly="0" labelOnly="1" outline="0" fieldPosition="0">
        <references count="2">
          <reference field="0" count="1" selected="0">
            <x v="24"/>
          </reference>
          <reference field="1" count="1">
            <x v="88"/>
          </reference>
        </references>
      </pivotArea>
    </format>
    <format dxfId="565">
      <pivotArea dataOnly="0" labelOnly="1" outline="0" fieldPosition="0">
        <references count="2">
          <reference field="0" count="1" selected="0">
            <x v="25"/>
          </reference>
          <reference field="1" count="1">
            <x v="91"/>
          </reference>
        </references>
      </pivotArea>
    </format>
    <format dxfId="564">
      <pivotArea dataOnly="0" labelOnly="1" outline="0" fieldPosition="0">
        <references count="2">
          <reference field="0" count="1" selected="0">
            <x v="26"/>
          </reference>
          <reference field="1" count="1">
            <x v="85"/>
          </reference>
        </references>
      </pivotArea>
    </format>
    <format dxfId="563">
      <pivotArea dataOnly="0" labelOnly="1" outline="0" fieldPosition="0">
        <references count="2">
          <reference field="0" count="1" selected="0">
            <x v="27"/>
          </reference>
          <reference field="1" count="1">
            <x v="92"/>
          </reference>
        </references>
      </pivotArea>
    </format>
    <format dxfId="562">
      <pivotArea dataOnly="0" labelOnly="1" outline="0" fieldPosition="0">
        <references count="2">
          <reference field="0" count="1" selected="0">
            <x v="28"/>
          </reference>
          <reference field="1" count="1">
            <x v="83"/>
          </reference>
        </references>
      </pivotArea>
    </format>
    <format dxfId="561">
      <pivotArea dataOnly="0" labelOnly="1" outline="0" fieldPosition="0">
        <references count="2">
          <reference field="0" count="1" selected="0">
            <x v="29"/>
          </reference>
          <reference field="1" count="1">
            <x v="94"/>
          </reference>
        </references>
      </pivotArea>
    </format>
    <format dxfId="560">
      <pivotArea dataOnly="0" labelOnly="1" outline="0" fieldPosition="0">
        <references count="2">
          <reference field="0" count="1" selected="0">
            <x v="30"/>
          </reference>
          <reference field="1" count="1">
            <x v="82"/>
          </reference>
        </references>
      </pivotArea>
    </format>
    <format dxfId="559">
      <pivotArea dataOnly="0" labelOnly="1" outline="0" fieldPosition="0">
        <references count="2">
          <reference field="0" count="1" selected="0">
            <x v="31"/>
          </reference>
          <reference field="1" count="1">
            <x v="86"/>
          </reference>
        </references>
      </pivotArea>
    </format>
    <format dxfId="558">
      <pivotArea dataOnly="0" labelOnly="1" outline="0" fieldPosition="0">
        <references count="2">
          <reference field="0" count="1" selected="0">
            <x v="32"/>
          </reference>
          <reference field="1" count="1">
            <x v="87"/>
          </reference>
        </references>
      </pivotArea>
    </format>
    <format dxfId="557">
      <pivotArea dataOnly="0" labelOnly="1" outline="0" fieldPosition="0">
        <references count="2">
          <reference field="0" count="1" selected="0">
            <x v="33"/>
          </reference>
          <reference field="1" count="1">
            <x v="97"/>
          </reference>
        </references>
      </pivotArea>
    </format>
    <format dxfId="556">
      <pivotArea dataOnly="0" labelOnly="1" outline="0" fieldPosition="0">
        <references count="2">
          <reference field="0" count="1" selected="0">
            <x v="34"/>
          </reference>
          <reference field="1" count="1">
            <x v="90"/>
          </reference>
        </references>
      </pivotArea>
    </format>
    <format dxfId="555">
      <pivotArea dataOnly="0" labelOnly="1" outline="0" fieldPosition="0">
        <references count="2">
          <reference field="0" count="1" selected="0">
            <x v="35"/>
          </reference>
          <reference field="1" count="1">
            <x v="84"/>
          </reference>
        </references>
      </pivotArea>
    </format>
    <format dxfId="554">
      <pivotArea dataOnly="0" labelOnly="1" outline="0" fieldPosition="0">
        <references count="2">
          <reference field="0" count="1" selected="0">
            <x v="36"/>
          </reference>
          <reference field="1" count="1">
            <x v="80"/>
          </reference>
        </references>
      </pivotArea>
    </format>
    <format dxfId="553">
      <pivotArea dataOnly="0" labelOnly="1" outline="0" fieldPosition="0">
        <references count="2">
          <reference field="0" count="1" selected="0">
            <x v="37"/>
          </reference>
          <reference field="1" count="1">
            <x v="98"/>
          </reference>
        </references>
      </pivotArea>
    </format>
    <format dxfId="552">
      <pivotArea dataOnly="0" labelOnly="1" outline="0" fieldPosition="0">
        <references count="2">
          <reference field="0" count="1" selected="0">
            <x v="38"/>
          </reference>
          <reference field="1" count="1">
            <x v="95"/>
          </reference>
        </references>
      </pivotArea>
    </format>
    <format dxfId="551">
      <pivotArea dataOnly="0" labelOnly="1" outline="0" fieldPosition="0">
        <references count="2">
          <reference field="0" count="1" selected="0">
            <x v="39"/>
          </reference>
          <reference field="1" count="1">
            <x v="96"/>
          </reference>
        </references>
      </pivotArea>
    </format>
    <format dxfId="550">
      <pivotArea dataOnly="0" labelOnly="1" outline="0" fieldPosition="0">
        <references count="2">
          <reference field="0" count="1" selected="0">
            <x v="40"/>
          </reference>
          <reference field="1" count="1">
            <x v="4"/>
          </reference>
        </references>
      </pivotArea>
    </format>
    <format dxfId="549">
      <pivotArea dataOnly="0" labelOnly="1" outline="0" fieldPosition="0">
        <references count="2">
          <reference field="0" count="1" selected="0">
            <x v="41"/>
          </reference>
          <reference field="1" count="1">
            <x v="3"/>
          </reference>
        </references>
      </pivotArea>
    </format>
    <format dxfId="548">
      <pivotArea dataOnly="0" labelOnly="1" outline="0" fieldPosition="0">
        <references count="2">
          <reference field="0" count="1" selected="0">
            <x v="42"/>
          </reference>
          <reference field="1" count="1">
            <x v="2"/>
          </reference>
        </references>
      </pivotArea>
    </format>
    <format dxfId="547">
      <pivotArea dataOnly="0" labelOnly="1" outline="0" fieldPosition="0">
        <references count="2">
          <reference field="0" count="1" selected="0">
            <x v="43"/>
          </reference>
          <reference field="1" count="1">
            <x v="24"/>
          </reference>
        </references>
      </pivotArea>
    </format>
    <format dxfId="546">
      <pivotArea dataOnly="0" labelOnly="1" outline="0" fieldPosition="0">
        <references count="2">
          <reference field="0" count="1" selected="0">
            <x v="44"/>
          </reference>
          <reference field="1" count="1">
            <x v="23"/>
          </reference>
        </references>
      </pivotArea>
    </format>
    <format dxfId="545">
      <pivotArea dataOnly="0" labelOnly="1" outline="0" fieldPosition="0">
        <references count="2">
          <reference field="0" count="1" selected="0">
            <x v="45"/>
          </reference>
          <reference field="1" count="1">
            <x v="20"/>
          </reference>
        </references>
      </pivotArea>
    </format>
    <format dxfId="544">
      <pivotArea dataOnly="0" labelOnly="1" outline="0" fieldPosition="0">
        <references count="2">
          <reference field="0" count="1" selected="0">
            <x v="46"/>
          </reference>
          <reference field="1" count="1">
            <x v="21"/>
          </reference>
        </references>
      </pivotArea>
    </format>
    <format dxfId="543">
      <pivotArea dataOnly="0" labelOnly="1" outline="0" fieldPosition="0">
        <references count="2">
          <reference field="0" count="1" selected="0">
            <x v="47"/>
          </reference>
          <reference field="1" count="1">
            <x v="22"/>
          </reference>
        </references>
      </pivotArea>
    </format>
    <format dxfId="542">
      <pivotArea dataOnly="0" labelOnly="1" outline="0" fieldPosition="0">
        <references count="2">
          <reference field="0" count="1" selected="0">
            <x v="48"/>
          </reference>
          <reference field="1" count="1">
            <x v="25"/>
          </reference>
        </references>
      </pivotArea>
    </format>
    <format dxfId="541">
      <pivotArea dataOnly="0" labelOnly="1" outline="0" fieldPosition="0">
        <references count="2">
          <reference field="0" count="1" selected="0">
            <x v="49"/>
          </reference>
          <reference field="1" count="1">
            <x v="26"/>
          </reference>
        </references>
      </pivotArea>
    </format>
    <format dxfId="540">
      <pivotArea dataOnly="0" labelOnly="1" outline="0" fieldPosition="0">
        <references count="2">
          <reference field="0" count="1" selected="0">
            <x v="50"/>
          </reference>
          <reference field="1" count="1">
            <x v="27"/>
          </reference>
        </references>
      </pivotArea>
    </format>
    <format dxfId="539">
      <pivotArea dataOnly="0" labelOnly="1" outline="0" fieldPosition="0">
        <references count="2">
          <reference field="0" count="1" selected="0">
            <x v="51"/>
          </reference>
          <reference field="1" count="1">
            <x v="28"/>
          </reference>
        </references>
      </pivotArea>
    </format>
    <format dxfId="538">
      <pivotArea dataOnly="0" labelOnly="1" outline="0" fieldPosition="0">
        <references count="2">
          <reference field="0" count="1" selected="0">
            <x v="52"/>
          </reference>
          <reference field="1" count="1">
            <x v="43"/>
          </reference>
        </references>
      </pivotArea>
    </format>
    <format dxfId="537">
      <pivotArea dataOnly="0" labelOnly="1" outline="0" fieldPosition="0">
        <references count="2">
          <reference field="0" count="1" selected="0">
            <x v="53"/>
          </reference>
          <reference field="1" count="1">
            <x v="44"/>
          </reference>
        </references>
      </pivotArea>
    </format>
    <format dxfId="536">
      <pivotArea dataOnly="0" labelOnly="1" outline="0" fieldPosition="0">
        <references count="2">
          <reference field="0" count="1" selected="0">
            <x v="54"/>
          </reference>
          <reference field="1" count="1">
            <x v="45"/>
          </reference>
        </references>
      </pivotArea>
    </format>
    <format dxfId="535">
      <pivotArea dataOnly="0" labelOnly="1" outline="0" fieldPosition="0">
        <references count="2">
          <reference field="0" count="1" selected="0">
            <x v="55"/>
          </reference>
          <reference field="1" count="1">
            <x v="46"/>
          </reference>
        </references>
      </pivotArea>
    </format>
    <format dxfId="534">
      <pivotArea dataOnly="0" labelOnly="1" outline="0" fieldPosition="0">
        <references count="2">
          <reference field="0" count="1" selected="0">
            <x v="56"/>
          </reference>
          <reference field="1" count="1">
            <x v="72"/>
          </reference>
        </references>
      </pivotArea>
    </format>
    <format dxfId="533">
      <pivotArea dataOnly="0" labelOnly="1" outline="0" fieldPosition="0">
        <references count="2">
          <reference field="0" count="1" selected="0">
            <x v="57"/>
          </reference>
          <reference field="1" count="1">
            <x v="68"/>
          </reference>
        </references>
      </pivotArea>
    </format>
    <format dxfId="532">
      <pivotArea dataOnly="0" labelOnly="1" outline="0" fieldPosition="0">
        <references count="2">
          <reference field="0" count="1" selected="0">
            <x v="58"/>
          </reference>
          <reference field="1" count="1">
            <x v="74"/>
          </reference>
        </references>
      </pivotArea>
    </format>
    <format dxfId="531">
      <pivotArea dataOnly="0" labelOnly="1" outline="0" fieldPosition="0">
        <references count="2">
          <reference field="0" count="1" selected="0">
            <x v="59"/>
          </reference>
          <reference field="1" count="1">
            <x v="69"/>
          </reference>
        </references>
      </pivotArea>
    </format>
    <format dxfId="530">
      <pivotArea dataOnly="0" labelOnly="1" outline="0" fieldPosition="0">
        <references count="2">
          <reference field="0" count="1" selected="0">
            <x v="60"/>
          </reference>
          <reference field="1" count="1">
            <x v="71"/>
          </reference>
        </references>
      </pivotArea>
    </format>
    <format dxfId="529">
      <pivotArea dataOnly="0" labelOnly="1" outline="0" fieldPosition="0">
        <references count="2">
          <reference field="0" count="1" selected="0">
            <x v="61"/>
          </reference>
          <reference field="1" count="1">
            <x v="76"/>
          </reference>
        </references>
      </pivotArea>
    </format>
    <format dxfId="528">
      <pivotArea dataOnly="0" labelOnly="1" outline="0" fieldPosition="0">
        <references count="2">
          <reference field="0" count="1" selected="0">
            <x v="62"/>
          </reference>
          <reference field="1" count="1">
            <x v="67"/>
          </reference>
        </references>
      </pivotArea>
    </format>
    <format dxfId="527">
      <pivotArea dataOnly="0" labelOnly="1" outline="0" fieldPosition="0">
        <references count="2">
          <reference field="0" count="1" selected="0">
            <x v="63"/>
          </reference>
          <reference field="1" count="1">
            <x v="75"/>
          </reference>
        </references>
      </pivotArea>
    </format>
    <format dxfId="526">
      <pivotArea dataOnly="0" labelOnly="1" outline="0" fieldPosition="0">
        <references count="2">
          <reference field="0" count="1" selected="0">
            <x v="64"/>
          </reference>
          <reference field="1" count="1">
            <x v="66"/>
          </reference>
        </references>
      </pivotArea>
    </format>
    <format dxfId="525">
      <pivotArea dataOnly="0" labelOnly="1" outline="0" fieldPosition="0">
        <references count="2">
          <reference field="0" count="1" selected="0">
            <x v="65"/>
          </reference>
          <reference field="1" count="1">
            <x v="65"/>
          </reference>
        </references>
      </pivotArea>
    </format>
    <format dxfId="524">
      <pivotArea dataOnly="0" labelOnly="1" outline="0" fieldPosition="0">
        <references count="2">
          <reference field="0" count="1" selected="0">
            <x v="66"/>
          </reference>
          <reference field="1" count="1">
            <x v="73"/>
          </reference>
        </references>
      </pivotArea>
    </format>
    <format dxfId="523">
      <pivotArea dataOnly="0" labelOnly="1" outline="0" fieldPosition="0">
        <references count="2">
          <reference field="0" count="1" selected="0">
            <x v="67"/>
          </reference>
          <reference field="1" count="1">
            <x v="64"/>
          </reference>
        </references>
      </pivotArea>
    </format>
    <format dxfId="522">
      <pivotArea dataOnly="0" labelOnly="1" outline="0" fieldPosition="0">
        <references count="2">
          <reference field="0" count="1" selected="0">
            <x v="68"/>
          </reference>
          <reference field="1" count="1">
            <x v="70"/>
          </reference>
        </references>
      </pivotArea>
    </format>
    <format dxfId="521">
      <pivotArea dataOnly="0" labelOnly="1" outline="0" fieldPosition="0">
        <references count="2">
          <reference field="0" count="1" selected="0">
            <x v="69"/>
          </reference>
          <reference field="1" count="1">
            <x v="5"/>
          </reference>
        </references>
      </pivotArea>
    </format>
    <format dxfId="520">
      <pivotArea dataOnly="0" labelOnly="1" outline="0" fieldPosition="0">
        <references count="2">
          <reference field="0" count="1" selected="0">
            <x v="70"/>
          </reference>
          <reference field="1" count="1">
            <x v="6"/>
          </reference>
        </references>
      </pivotArea>
    </format>
    <format dxfId="519">
      <pivotArea dataOnly="0" labelOnly="1" outline="0" fieldPosition="0">
        <references count="2">
          <reference field="0" count="1" selected="0">
            <x v="71"/>
          </reference>
          <reference field="1" count="1">
            <x v="8"/>
          </reference>
        </references>
      </pivotArea>
    </format>
    <format dxfId="518">
      <pivotArea dataOnly="0" labelOnly="1" outline="0" fieldPosition="0">
        <references count="2">
          <reference field="0" count="1" selected="0">
            <x v="72"/>
          </reference>
          <reference field="1" count="1">
            <x v="12"/>
          </reference>
        </references>
      </pivotArea>
    </format>
    <format dxfId="517">
      <pivotArea dataOnly="0" labelOnly="1" outline="0" fieldPosition="0">
        <references count="2">
          <reference field="0" count="1" selected="0">
            <x v="73"/>
          </reference>
          <reference field="1" count="1">
            <x v="7"/>
          </reference>
        </references>
      </pivotArea>
    </format>
    <format dxfId="516">
      <pivotArea dataOnly="0" labelOnly="1" outline="0" fieldPosition="0">
        <references count="2">
          <reference field="0" count="1" selected="0">
            <x v="74"/>
          </reference>
          <reference field="1" count="1">
            <x v="9"/>
          </reference>
        </references>
      </pivotArea>
    </format>
    <format dxfId="515">
      <pivotArea dataOnly="0" labelOnly="1" outline="0" fieldPosition="0">
        <references count="2">
          <reference field="0" count="1" selected="0">
            <x v="75"/>
          </reference>
          <reference field="1" count="1">
            <x v="10"/>
          </reference>
        </references>
      </pivotArea>
    </format>
    <format dxfId="514">
      <pivotArea dataOnly="0" labelOnly="1" outline="0" fieldPosition="0">
        <references count="2">
          <reference field="0" count="1" selected="0">
            <x v="76"/>
          </reference>
          <reference field="1" count="1">
            <x v="11"/>
          </reference>
        </references>
      </pivotArea>
    </format>
    <format dxfId="513">
      <pivotArea dataOnly="0" labelOnly="1" outline="0" fieldPosition="0">
        <references count="2">
          <reference field="0" count="1" selected="0">
            <x v="77"/>
          </reference>
          <reference field="1" count="1">
            <x v="13"/>
          </reference>
        </references>
      </pivotArea>
    </format>
    <format dxfId="512">
      <pivotArea dataOnly="0" labelOnly="1" outline="0" fieldPosition="0">
        <references count="2">
          <reference field="0" count="1" selected="0">
            <x v="78"/>
          </reference>
          <reference field="1" count="1">
            <x v="14"/>
          </reference>
        </references>
      </pivotArea>
    </format>
    <format dxfId="511">
      <pivotArea dataOnly="0" labelOnly="1" outline="0" fieldPosition="0">
        <references count="2">
          <reference field="0" count="1" selected="0">
            <x v="79"/>
          </reference>
          <reference field="1" count="1">
            <x v="17"/>
          </reference>
        </references>
      </pivotArea>
    </format>
    <format dxfId="510">
      <pivotArea dataOnly="0" labelOnly="1" outline="0" fieldPosition="0">
        <references count="2">
          <reference field="0" count="1" selected="0">
            <x v="80"/>
          </reference>
          <reference field="1" count="1">
            <x v="15"/>
          </reference>
        </references>
      </pivotArea>
    </format>
    <format dxfId="509">
      <pivotArea dataOnly="0" labelOnly="1" outline="0" fieldPosition="0">
        <references count="2">
          <reference field="0" count="1" selected="0">
            <x v="81"/>
          </reference>
          <reference field="1" count="1">
            <x v="16"/>
          </reference>
        </references>
      </pivotArea>
    </format>
    <format dxfId="508">
      <pivotArea dataOnly="0" labelOnly="1" outline="0" fieldPosition="0">
        <references count="2">
          <reference field="0" count="1" selected="0">
            <x v="82"/>
          </reference>
          <reference field="1" count="1">
            <x v="18"/>
          </reference>
        </references>
      </pivotArea>
    </format>
    <format dxfId="507">
      <pivotArea dataOnly="0" labelOnly="1" outline="0" fieldPosition="0">
        <references count="2">
          <reference field="0" count="1" selected="0">
            <x v="83"/>
          </reference>
          <reference field="1" count="1">
            <x v="19"/>
          </reference>
        </references>
      </pivotArea>
    </format>
    <format dxfId="506">
      <pivotArea dataOnly="0" labelOnly="1" outline="0" fieldPosition="0">
        <references count="2">
          <reference field="0" count="1" selected="0">
            <x v="84"/>
          </reference>
          <reference field="1" count="1">
            <x v="29"/>
          </reference>
        </references>
      </pivotArea>
    </format>
    <format dxfId="505">
      <pivotArea dataOnly="0" labelOnly="1" outline="0" fieldPosition="0">
        <references count="2">
          <reference field="0" count="1" selected="0">
            <x v="85"/>
          </reference>
          <reference field="1" count="1">
            <x v="30"/>
          </reference>
        </references>
      </pivotArea>
    </format>
    <format dxfId="504">
      <pivotArea dataOnly="0" labelOnly="1" outline="0" fieldPosition="0">
        <references count="2">
          <reference field="0" count="1" selected="0">
            <x v="86"/>
          </reference>
          <reference field="1" count="1">
            <x v="31"/>
          </reference>
        </references>
      </pivotArea>
    </format>
    <format dxfId="503">
      <pivotArea dataOnly="0" labelOnly="1" outline="0" fieldPosition="0">
        <references count="2">
          <reference field="0" count="1" selected="0">
            <x v="87"/>
          </reference>
          <reference field="1" count="1">
            <x v="35"/>
          </reference>
        </references>
      </pivotArea>
    </format>
    <format dxfId="502">
      <pivotArea dataOnly="0" labelOnly="1" outline="0" fieldPosition="0">
        <references count="2">
          <reference field="0" count="1" selected="0">
            <x v="88"/>
          </reference>
          <reference field="1" count="1">
            <x v="36"/>
          </reference>
        </references>
      </pivotArea>
    </format>
    <format dxfId="501">
      <pivotArea dataOnly="0" labelOnly="1" outline="0" fieldPosition="0">
        <references count="2">
          <reference field="0" count="1" selected="0">
            <x v="89"/>
          </reference>
          <reference field="1" count="1">
            <x v="47"/>
          </reference>
        </references>
      </pivotArea>
    </format>
    <format dxfId="500">
      <pivotArea dataOnly="0" labelOnly="1" outline="0" fieldPosition="0">
        <references count="2">
          <reference field="0" count="1" selected="0">
            <x v="90"/>
          </reference>
          <reference field="1" count="1">
            <x v="48"/>
          </reference>
        </references>
      </pivotArea>
    </format>
    <format dxfId="499">
      <pivotArea dataOnly="0" labelOnly="1" outline="0" fieldPosition="0">
        <references count="2">
          <reference field="0" count="1" selected="0">
            <x v="91"/>
          </reference>
          <reference field="1" count="1">
            <x v="49"/>
          </reference>
        </references>
      </pivotArea>
    </format>
    <format dxfId="498">
      <pivotArea dataOnly="0" labelOnly="1" outline="0" fieldPosition="0">
        <references count="2">
          <reference field="0" count="1" selected="0">
            <x v="92"/>
          </reference>
          <reference field="1" count="1">
            <x v="50"/>
          </reference>
        </references>
      </pivotArea>
    </format>
    <format dxfId="497">
      <pivotArea dataOnly="0" labelOnly="1" outline="0" fieldPosition="0">
        <references count="2">
          <reference field="0" count="1" selected="0">
            <x v="93"/>
          </reference>
          <reference field="1" count="1">
            <x v="51"/>
          </reference>
        </references>
      </pivotArea>
    </format>
    <format dxfId="496">
      <pivotArea dataOnly="0" labelOnly="1" outline="0" fieldPosition="0">
        <references count="2">
          <reference field="0" count="1" selected="0">
            <x v="94"/>
          </reference>
          <reference field="1" count="1">
            <x v="52"/>
          </reference>
        </references>
      </pivotArea>
    </format>
    <format dxfId="495">
      <pivotArea dataOnly="0" labelOnly="1" outline="0" fieldPosition="0">
        <references count="2">
          <reference field="0" count="1" selected="0">
            <x v="95"/>
          </reference>
          <reference field="1" count="1">
            <x v="53"/>
          </reference>
        </references>
      </pivotArea>
    </format>
    <format dxfId="494">
      <pivotArea dataOnly="0" labelOnly="1" outline="0" fieldPosition="0">
        <references count="2">
          <reference field="0" count="1" selected="0">
            <x v="96"/>
          </reference>
          <reference field="1" count="1">
            <x v="54"/>
          </reference>
        </references>
      </pivotArea>
    </format>
    <format dxfId="493">
      <pivotArea dataOnly="0" labelOnly="1" outline="0" fieldPosition="0">
        <references count="2">
          <reference field="0" count="1" selected="0">
            <x v="97"/>
          </reference>
          <reference field="1" count="1">
            <x v="55"/>
          </reference>
        </references>
      </pivotArea>
    </format>
    <format dxfId="492">
      <pivotArea dataOnly="0" labelOnly="1" outline="0" fieldPosition="0">
        <references count="2">
          <reference field="0" count="1" selected="0">
            <x v="98"/>
          </reference>
          <reference field="1" count="1">
            <x v="56"/>
          </reference>
        </references>
      </pivotArea>
    </format>
    <format dxfId="491">
      <pivotArea dataOnly="0" labelOnly="1" outline="0" fieldPosition="0">
        <references count="2">
          <reference field="0" count="1" selected="0">
            <x v="99"/>
          </reference>
          <reference field="1" count="1">
            <x v="57"/>
          </reference>
        </references>
      </pivotArea>
    </format>
    <format dxfId="490">
      <pivotArea dataOnly="0" labelOnly="1" outline="0" fieldPosition="0">
        <references count="2">
          <reference field="0" count="1" selected="0">
            <x v="100"/>
          </reference>
          <reference field="1" count="1">
            <x v="58"/>
          </reference>
        </references>
      </pivotArea>
    </format>
    <format dxfId="489">
      <pivotArea dataOnly="0" labelOnly="1" outline="0" fieldPosition="0">
        <references count="2">
          <reference field="0" count="1" selected="0">
            <x v="101"/>
          </reference>
          <reference field="1" count="1">
            <x v="59"/>
          </reference>
        </references>
      </pivotArea>
    </format>
    <format dxfId="488">
      <pivotArea dataOnly="0" labelOnly="1" outline="0" fieldPosition="0">
        <references count="2">
          <reference field="0" count="1" selected="0">
            <x v="102"/>
          </reference>
          <reference field="1" count="1">
            <x v="60"/>
          </reference>
        </references>
      </pivotArea>
    </format>
    <format dxfId="487">
      <pivotArea dataOnly="0" labelOnly="1" outline="0" fieldPosition="0">
        <references count="2">
          <reference field="0" count="1" selected="0">
            <x v="103"/>
          </reference>
          <reference field="1" count="1">
            <x v="61"/>
          </reference>
        </references>
      </pivotArea>
    </format>
    <format dxfId="486">
      <pivotArea dataOnly="0" labelOnly="1" outline="0" fieldPosition="0">
        <references count="2">
          <reference field="0" count="1" selected="0">
            <x v="104"/>
          </reference>
          <reference field="1" count="1">
            <x v="62"/>
          </reference>
        </references>
      </pivotArea>
    </format>
    <format dxfId="485">
      <pivotArea dataOnly="0" labelOnly="1" outline="0" fieldPosition="0">
        <references count="2">
          <reference field="0" count="1" selected="0">
            <x v="105"/>
          </reference>
          <reference field="1" count="1">
            <x v="63"/>
          </reference>
        </references>
      </pivotArea>
    </format>
    <format dxfId="484">
      <pivotArea dataOnly="0" labelOnly="1" outline="0" fieldPosition="0">
        <references count="2">
          <reference field="0" count="1" selected="0">
            <x v="106"/>
          </reference>
          <reference field="1" count="1">
            <x v="32"/>
          </reference>
        </references>
      </pivotArea>
    </format>
    <format dxfId="483">
      <pivotArea dataOnly="0" labelOnly="1" outline="0" fieldPosition="0">
        <references count="2">
          <reference field="0" count="1" selected="0">
            <x v="107"/>
          </reference>
          <reference field="1" count="1">
            <x v="33"/>
          </reference>
        </references>
      </pivotArea>
    </format>
    <format dxfId="482">
      <pivotArea dataOnly="0" labelOnly="1" outline="0" fieldPosition="0">
        <references count="2">
          <reference field="0" count="1" selected="0">
            <x v="108"/>
          </reference>
          <reference field="1" count="1">
            <x v="34"/>
          </reference>
        </references>
      </pivotArea>
    </format>
    <format dxfId="481">
      <pivotArea type="all" dataOnly="0" outline="0" fieldPosition="0"/>
    </format>
    <format dxfId="480">
      <pivotArea field="0" type="button" dataOnly="0" labelOnly="1" outline="0" axis="axisRow" fieldPosition="0"/>
    </format>
    <format dxfId="479">
      <pivotArea field="1" type="button" dataOnly="0" labelOnly="1" outline="0" axis="axisRow" fieldPosition="1"/>
    </format>
    <format dxfId="478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77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76">
      <pivotArea dataOnly="0" labelOnly="1" outline="0" fieldPosition="0">
        <references count="1">
          <reference field="0" count="9">
            <x v="100"/>
            <x v="101"/>
            <x v="102"/>
            <x v="103"/>
            <x v="104"/>
            <x v="105"/>
            <x v="106"/>
            <x v="107"/>
            <x v="108"/>
          </reference>
        </references>
      </pivotArea>
    </format>
    <format dxfId="475">
      <pivotArea dataOnly="0" labelOnly="1" grandRow="1" outline="0" fieldPosition="0"/>
    </format>
    <format dxfId="474">
      <pivotArea dataOnly="0" labelOnly="1" outline="0" fieldPosition="0">
        <references count="2">
          <reference field="0" count="1" selected="0">
            <x v="0"/>
          </reference>
          <reference field="1" count="1">
            <x v="77"/>
          </reference>
        </references>
      </pivotArea>
    </format>
    <format dxfId="473">
      <pivotArea dataOnly="0" labelOnly="1" outline="0" fieldPosition="0">
        <references count="2">
          <reference field="0" count="1" selected="0">
            <x v="1"/>
          </reference>
          <reference field="1" count="1">
            <x v="37"/>
          </reference>
        </references>
      </pivotArea>
    </format>
    <format dxfId="472">
      <pivotArea dataOnly="0" labelOnly="1" outline="0" fieldPosition="0">
        <references count="2">
          <reference field="0" count="1" selected="0">
            <x v="2"/>
          </reference>
          <reference field="1" count="1">
            <x v="38"/>
          </reference>
        </references>
      </pivotArea>
    </format>
    <format dxfId="471">
      <pivotArea dataOnly="0" labelOnly="1" outline="0" fieldPosition="0">
        <references count="2">
          <reference field="0" count="1" selected="0">
            <x v="3"/>
          </reference>
          <reference field="1" count="1">
            <x v="39"/>
          </reference>
        </references>
      </pivotArea>
    </format>
    <format dxfId="470">
      <pivotArea dataOnly="0" labelOnly="1" outline="0" fieldPosition="0">
        <references count="2">
          <reference field="0" count="1" selected="0">
            <x v="4"/>
          </reference>
          <reference field="1" count="1">
            <x v="40"/>
          </reference>
        </references>
      </pivotArea>
    </format>
    <format dxfId="469">
      <pivotArea dataOnly="0" labelOnly="1" outline="0" fieldPosition="0">
        <references count="2">
          <reference field="0" count="1" selected="0">
            <x v="5"/>
          </reference>
          <reference field="1" count="1">
            <x v="41"/>
          </reference>
        </references>
      </pivotArea>
    </format>
    <format dxfId="468">
      <pivotArea dataOnly="0" labelOnly="1" outline="0" fieldPosition="0">
        <references count="2">
          <reference field="0" count="1" selected="0">
            <x v="6"/>
          </reference>
          <reference field="1" count="1">
            <x v="42"/>
          </reference>
        </references>
      </pivotArea>
    </format>
    <format dxfId="467">
      <pivotArea dataOnly="0" labelOnly="1" outline="0" fieldPosition="0">
        <references count="2">
          <reference field="0" count="1" selected="0">
            <x v="7"/>
          </reference>
          <reference field="1" count="1">
            <x v="1"/>
          </reference>
        </references>
      </pivotArea>
    </format>
    <format dxfId="466">
      <pivotArea dataOnly="0" labelOnly="1" outline="0" fieldPosition="0">
        <references count="2">
          <reference field="0" count="1" selected="0">
            <x v="8"/>
          </reference>
          <reference field="1" count="1">
            <x v="0"/>
          </reference>
        </references>
      </pivotArea>
    </format>
    <format dxfId="465">
      <pivotArea dataOnly="0" labelOnly="1" outline="0" fieldPosition="0">
        <references count="2">
          <reference field="0" count="1" selected="0">
            <x v="9"/>
          </reference>
          <reference field="1" count="1">
            <x v="104"/>
          </reference>
        </references>
      </pivotArea>
    </format>
    <format dxfId="464">
      <pivotArea dataOnly="0" labelOnly="1" outline="0" fieldPosition="0">
        <references count="2">
          <reference field="0" count="1" selected="0">
            <x v="10"/>
          </reference>
          <reference field="1" count="1">
            <x v="108"/>
          </reference>
        </references>
      </pivotArea>
    </format>
    <format dxfId="463">
      <pivotArea dataOnly="0" labelOnly="1" outline="0" fieldPosition="0">
        <references count="2">
          <reference field="0" count="1" selected="0">
            <x v="11"/>
          </reference>
          <reference field="1" count="1">
            <x v="102"/>
          </reference>
        </references>
      </pivotArea>
    </format>
    <format dxfId="462">
      <pivotArea dataOnly="0" labelOnly="1" outline="0" fieldPosition="0">
        <references count="2">
          <reference field="0" count="1" selected="0">
            <x v="12"/>
          </reference>
          <reference field="1" count="1">
            <x v="107"/>
          </reference>
        </references>
      </pivotArea>
    </format>
    <format dxfId="461">
      <pivotArea dataOnly="0" labelOnly="1" outline="0" fieldPosition="0">
        <references count="2">
          <reference field="0" count="1" selected="0">
            <x v="13"/>
          </reference>
          <reference field="1" count="1">
            <x v="101"/>
          </reference>
        </references>
      </pivotArea>
    </format>
    <format dxfId="460">
      <pivotArea dataOnly="0" labelOnly="1" outline="0" fieldPosition="0">
        <references count="2">
          <reference field="0" count="1" selected="0">
            <x v="14"/>
          </reference>
          <reference field="1" count="1">
            <x v="100"/>
          </reference>
        </references>
      </pivotArea>
    </format>
    <format dxfId="459">
      <pivotArea dataOnly="0" labelOnly="1" outline="0" fieldPosition="0">
        <references count="2">
          <reference field="0" count="1" selected="0">
            <x v="15"/>
          </reference>
          <reference field="1" count="1">
            <x v="103"/>
          </reference>
        </references>
      </pivotArea>
    </format>
    <format dxfId="458">
      <pivotArea dataOnly="0" labelOnly="1" outline="0" fieldPosition="0">
        <references count="2">
          <reference field="0" count="1" selected="0">
            <x v="16"/>
          </reference>
          <reference field="1" count="1">
            <x v="99"/>
          </reference>
        </references>
      </pivotArea>
    </format>
    <format dxfId="457">
      <pivotArea dataOnly="0" labelOnly="1" outline="0" fieldPosition="0">
        <references count="2">
          <reference field="0" count="1" selected="0">
            <x v="17"/>
          </reference>
          <reference field="1" count="1">
            <x v="106"/>
          </reference>
        </references>
      </pivotArea>
    </format>
    <format dxfId="456">
      <pivotArea dataOnly="0" labelOnly="1" outline="0" fieldPosition="0">
        <references count="2">
          <reference field="0" count="1" selected="0">
            <x v="18"/>
          </reference>
          <reference field="1" count="1">
            <x v="78"/>
          </reference>
        </references>
      </pivotArea>
    </format>
    <format dxfId="455">
      <pivotArea dataOnly="0" labelOnly="1" outline="0" fieldPosition="0">
        <references count="2">
          <reference field="0" count="1" selected="0">
            <x v="19"/>
          </reference>
          <reference field="1" count="1">
            <x v="105"/>
          </reference>
        </references>
      </pivotArea>
    </format>
    <format dxfId="454">
      <pivotArea dataOnly="0" labelOnly="1" outline="0" fieldPosition="0">
        <references count="2">
          <reference field="0" count="1" selected="0">
            <x v="20"/>
          </reference>
          <reference field="1" count="1">
            <x v="81"/>
          </reference>
        </references>
      </pivotArea>
    </format>
    <format dxfId="453">
      <pivotArea dataOnly="0" labelOnly="1" outline="0" fieldPosition="0">
        <references count="2">
          <reference field="0" count="1" selected="0">
            <x v="21"/>
          </reference>
          <reference field="1" count="1">
            <x v="79"/>
          </reference>
        </references>
      </pivotArea>
    </format>
    <format dxfId="452">
      <pivotArea dataOnly="0" labelOnly="1" outline="0" fieldPosition="0">
        <references count="2">
          <reference field="0" count="1" selected="0">
            <x v="22"/>
          </reference>
          <reference field="1" count="1">
            <x v="93"/>
          </reference>
        </references>
      </pivotArea>
    </format>
    <format dxfId="451">
      <pivotArea dataOnly="0" labelOnly="1" outline="0" fieldPosition="0">
        <references count="2">
          <reference field="0" count="1" selected="0">
            <x v="23"/>
          </reference>
          <reference field="1" count="1">
            <x v="89"/>
          </reference>
        </references>
      </pivotArea>
    </format>
    <format dxfId="450">
      <pivotArea dataOnly="0" labelOnly="1" outline="0" fieldPosition="0">
        <references count="2">
          <reference field="0" count="1" selected="0">
            <x v="24"/>
          </reference>
          <reference field="1" count="1">
            <x v="88"/>
          </reference>
        </references>
      </pivotArea>
    </format>
    <format dxfId="449">
      <pivotArea dataOnly="0" labelOnly="1" outline="0" fieldPosition="0">
        <references count="2">
          <reference field="0" count="1" selected="0">
            <x v="25"/>
          </reference>
          <reference field="1" count="1">
            <x v="91"/>
          </reference>
        </references>
      </pivotArea>
    </format>
    <format dxfId="448">
      <pivotArea dataOnly="0" labelOnly="1" outline="0" fieldPosition="0">
        <references count="2">
          <reference field="0" count="1" selected="0">
            <x v="26"/>
          </reference>
          <reference field="1" count="1">
            <x v="85"/>
          </reference>
        </references>
      </pivotArea>
    </format>
    <format dxfId="447">
      <pivotArea dataOnly="0" labelOnly="1" outline="0" fieldPosition="0">
        <references count="2">
          <reference field="0" count="1" selected="0">
            <x v="27"/>
          </reference>
          <reference field="1" count="1">
            <x v="92"/>
          </reference>
        </references>
      </pivotArea>
    </format>
    <format dxfId="446">
      <pivotArea dataOnly="0" labelOnly="1" outline="0" fieldPosition="0">
        <references count="2">
          <reference field="0" count="1" selected="0">
            <x v="28"/>
          </reference>
          <reference field="1" count="1">
            <x v="83"/>
          </reference>
        </references>
      </pivotArea>
    </format>
    <format dxfId="445">
      <pivotArea dataOnly="0" labelOnly="1" outline="0" fieldPosition="0">
        <references count="2">
          <reference field="0" count="1" selected="0">
            <x v="29"/>
          </reference>
          <reference field="1" count="1">
            <x v="94"/>
          </reference>
        </references>
      </pivotArea>
    </format>
    <format dxfId="444">
      <pivotArea dataOnly="0" labelOnly="1" outline="0" fieldPosition="0">
        <references count="2">
          <reference field="0" count="1" selected="0">
            <x v="30"/>
          </reference>
          <reference field="1" count="1">
            <x v="82"/>
          </reference>
        </references>
      </pivotArea>
    </format>
    <format dxfId="443">
      <pivotArea dataOnly="0" labelOnly="1" outline="0" fieldPosition="0">
        <references count="2">
          <reference field="0" count="1" selected="0">
            <x v="31"/>
          </reference>
          <reference field="1" count="1">
            <x v="86"/>
          </reference>
        </references>
      </pivotArea>
    </format>
    <format dxfId="442">
      <pivotArea dataOnly="0" labelOnly="1" outline="0" fieldPosition="0">
        <references count="2">
          <reference field="0" count="1" selected="0">
            <x v="32"/>
          </reference>
          <reference field="1" count="1">
            <x v="87"/>
          </reference>
        </references>
      </pivotArea>
    </format>
    <format dxfId="441">
      <pivotArea dataOnly="0" labelOnly="1" outline="0" fieldPosition="0">
        <references count="2">
          <reference field="0" count="1" selected="0">
            <x v="33"/>
          </reference>
          <reference field="1" count="1">
            <x v="97"/>
          </reference>
        </references>
      </pivotArea>
    </format>
    <format dxfId="440">
      <pivotArea dataOnly="0" labelOnly="1" outline="0" fieldPosition="0">
        <references count="2">
          <reference field="0" count="1" selected="0">
            <x v="34"/>
          </reference>
          <reference field="1" count="1">
            <x v="90"/>
          </reference>
        </references>
      </pivotArea>
    </format>
    <format dxfId="439">
      <pivotArea dataOnly="0" labelOnly="1" outline="0" fieldPosition="0">
        <references count="2">
          <reference field="0" count="1" selected="0">
            <x v="35"/>
          </reference>
          <reference field="1" count="1">
            <x v="84"/>
          </reference>
        </references>
      </pivotArea>
    </format>
    <format dxfId="438">
      <pivotArea dataOnly="0" labelOnly="1" outline="0" fieldPosition="0">
        <references count="2">
          <reference field="0" count="1" selected="0">
            <x v="36"/>
          </reference>
          <reference field="1" count="1">
            <x v="80"/>
          </reference>
        </references>
      </pivotArea>
    </format>
    <format dxfId="437">
      <pivotArea dataOnly="0" labelOnly="1" outline="0" fieldPosition="0">
        <references count="2">
          <reference field="0" count="1" selected="0">
            <x v="37"/>
          </reference>
          <reference field="1" count="1">
            <x v="98"/>
          </reference>
        </references>
      </pivotArea>
    </format>
    <format dxfId="436">
      <pivotArea dataOnly="0" labelOnly="1" outline="0" fieldPosition="0">
        <references count="2">
          <reference field="0" count="1" selected="0">
            <x v="38"/>
          </reference>
          <reference field="1" count="1">
            <x v="95"/>
          </reference>
        </references>
      </pivotArea>
    </format>
    <format dxfId="435">
      <pivotArea dataOnly="0" labelOnly="1" outline="0" fieldPosition="0">
        <references count="2">
          <reference field="0" count="1" selected="0">
            <x v="39"/>
          </reference>
          <reference field="1" count="1">
            <x v="96"/>
          </reference>
        </references>
      </pivotArea>
    </format>
    <format dxfId="434">
      <pivotArea dataOnly="0" labelOnly="1" outline="0" fieldPosition="0">
        <references count="2">
          <reference field="0" count="1" selected="0">
            <x v="40"/>
          </reference>
          <reference field="1" count="1">
            <x v="4"/>
          </reference>
        </references>
      </pivotArea>
    </format>
    <format dxfId="433">
      <pivotArea dataOnly="0" labelOnly="1" outline="0" fieldPosition="0">
        <references count="2">
          <reference field="0" count="1" selected="0">
            <x v="41"/>
          </reference>
          <reference field="1" count="1">
            <x v="3"/>
          </reference>
        </references>
      </pivotArea>
    </format>
    <format dxfId="432">
      <pivotArea dataOnly="0" labelOnly="1" outline="0" fieldPosition="0">
        <references count="2">
          <reference field="0" count="1" selected="0">
            <x v="42"/>
          </reference>
          <reference field="1" count="1">
            <x v="2"/>
          </reference>
        </references>
      </pivotArea>
    </format>
    <format dxfId="431">
      <pivotArea dataOnly="0" labelOnly="1" outline="0" fieldPosition="0">
        <references count="2">
          <reference field="0" count="1" selected="0">
            <x v="43"/>
          </reference>
          <reference field="1" count="1">
            <x v="24"/>
          </reference>
        </references>
      </pivotArea>
    </format>
    <format dxfId="430">
      <pivotArea dataOnly="0" labelOnly="1" outline="0" fieldPosition="0">
        <references count="2">
          <reference field="0" count="1" selected="0">
            <x v="44"/>
          </reference>
          <reference field="1" count="1">
            <x v="23"/>
          </reference>
        </references>
      </pivotArea>
    </format>
    <format dxfId="429">
      <pivotArea dataOnly="0" labelOnly="1" outline="0" fieldPosition="0">
        <references count="2">
          <reference field="0" count="1" selected="0">
            <x v="45"/>
          </reference>
          <reference field="1" count="1">
            <x v="20"/>
          </reference>
        </references>
      </pivotArea>
    </format>
    <format dxfId="428">
      <pivotArea dataOnly="0" labelOnly="1" outline="0" fieldPosition="0">
        <references count="2">
          <reference field="0" count="1" selected="0">
            <x v="46"/>
          </reference>
          <reference field="1" count="1">
            <x v="21"/>
          </reference>
        </references>
      </pivotArea>
    </format>
    <format dxfId="427">
      <pivotArea dataOnly="0" labelOnly="1" outline="0" fieldPosition="0">
        <references count="2">
          <reference field="0" count="1" selected="0">
            <x v="47"/>
          </reference>
          <reference field="1" count="1">
            <x v="22"/>
          </reference>
        </references>
      </pivotArea>
    </format>
    <format dxfId="426">
      <pivotArea dataOnly="0" labelOnly="1" outline="0" fieldPosition="0">
        <references count="2">
          <reference field="0" count="1" selected="0">
            <x v="48"/>
          </reference>
          <reference field="1" count="1">
            <x v="25"/>
          </reference>
        </references>
      </pivotArea>
    </format>
    <format dxfId="425">
      <pivotArea dataOnly="0" labelOnly="1" outline="0" fieldPosition="0">
        <references count="2">
          <reference field="0" count="1" selected="0">
            <x v="49"/>
          </reference>
          <reference field="1" count="1">
            <x v="26"/>
          </reference>
        </references>
      </pivotArea>
    </format>
    <format dxfId="424">
      <pivotArea dataOnly="0" labelOnly="1" outline="0" fieldPosition="0">
        <references count="2">
          <reference field="0" count="1" selected="0">
            <x v="50"/>
          </reference>
          <reference field="1" count="1">
            <x v="27"/>
          </reference>
        </references>
      </pivotArea>
    </format>
    <format dxfId="423">
      <pivotArea dataOnly="0" labelOnly="1" outline="0" fieldPosition="0">
        <references count="2">
          <reference field="0" count="1" selected="0">
            <x v="51"/>
          </reference>
          <reference field="1" count="1">
            <x v="28"/>
          </reference>
        </references>
      </pivotArea>
    </format>
    <format dxfId="422">
      <pivotArea dataOnly="0" labelOnly="1" outline="0" fieldPosition="0">
        <references count="2">
          <reference field="0" count="1" selected="0">
            <x v="52"/>
          </reference>
          <reference field="1" count="1">
            <x v="43"/>
          </reference>
        </references>
      </pivotArea>
    </format>
    <format dxfId="421">
      <pivotArea dataOnly="0" labelOnly="1" outline="0" fieldPosition="0">
        <references count="2">
          <reference field="0" count="1" selected="0">
            <x v="53"/>
          </reference>
          <reference field="1" count="1">
            <x v="44"/>
          </reference>
        </references>
      </pivotArea>
    </format>
    <format dxfId="420">
      <pivotArea dataOnly="0" labelOnly="1" outline="0" fieldPosition="0">
        <references count="2">
          <reference field="0" count="1" selected="0">
            <x v="54"/>
          </reference>
          <reference field="1" count="1">
            <x v="45"/>
          </reference>
        </references>
      </pivotArea>
    </format>
    <format dxfId="419">
      <pivotArea dataOnly="0" labelOnly="1" outline="0" fieldPosition="0">
        <references count="2">
          <reference field="0" count="1" selected="0">
            <x v="55"/>
          </reference>
          <reference field="1" count="1">
            <x v="46"/>
          </reference>
        </references>
      </pivotArea>
    </format>
    <format dxfId="418">
      <pivotArea dataOnly="0" labelOnly="1" outline="0" fieldPosition="0">
        <references count="2">
          <reference field="0" count="1" selected="0">
            <x v="56"/>
          </reference>
          <reference field="1" count="1">
            <x v="72"/>
          </reference>
        </references>
      </pivotArea>
    </format>
    <format dxfId="417">
      <pivotArea dataOnly="0" labelOnly="1" outline="0" fieldPosition="0">
        <references count="2">
          <reference field="0" count="1" selected="0">
            <x v="57"/>
          </reference>
          <reference field="1" count="1">
            <x v="68"/>
          </reference>
        </references>
      </pivotArea>
    </format>
    <format dxfId="416">
      <pivotArea dataOnly="0" labelOnly="1" outline="0" fieldPosition="0">
        <references count="2">
          <reference field="0" count="1" selected="0">
            <x v="58"/>
          </reference>
          <reference field="1" count="1">
            <x v="74"/>
          </reference>
        </references>
      </pivotArea>
    </format>
    <format dxfId="415">
      <pivotArea dataOnly="0" labelOnly="1" outline="0" fieldPosition="0">
        <references count="2">
          <reference field="0" count="1" selected="0">
            <x v="59"/>
          </reference>
          <reference field="1" count="1">
            <x v="69"/>
          </reference>
        </references>
      </pivotArea>
    </format>
    <format dxfId="414">
      <pivotArea dataOnly="0" labelOnly="1" outline="0" fieldPosition="0">
        <references count="2">
          <reference field="0" count="1" selected="0">
            <x v="60"/>
          </reference>
          <reference field="1" count="1">
            <x v="71"/>
          </reference>
        </references>
      </pivotArea>
    </format>
    <format dxfId="413">
      <pivotArea dataOnly="0" labelOnly="1" outline="0" fieldPosition="0">
        <references count="2">
          <reference field="0" count="1" selected="0">
            <x v="61"/>
          </reference>
          <reference field="1" count="1">
            <x v="76"/>
          </reference>
        </references>
      </pivotArea>
    </format>
    <format dxfId="412">
      <pivotArea dataOnly="0" labelOnly="1" outline="0" fieldPosition="0">
        <references count="2">
          <reference field="0" count="1" selected="0">
            <x v="62"/>
          </reference>
          <reference field="1" count="1">
            <x v="67"/>
          </reference>
        </references>
      </pivotArea>
    </format>
    <format dxfId="411">
      <pivotArea dataOnly="0" labelOnly="1" outline="0" fieldPosition="0">
        <references count="2">
          <reference field="0" count="1" selected="0">
            <x v="63"/>
          </reference>
          <reference field="1" count="1">
            <x v="75"/>
          </reference>
        </references>
      </pivotArea>
    </format>
    <format dxfId="410">
      <pivotArea dataOnly="0" labelOnly="1" outline="0" fieldPosition="0">
        <references count="2">
          <reference field="0" count="1" selected="0">
            <x v="64"/>
          </reference>
          <reference field="1" count="1">
            <x v="66"/>
          </reference>
        </references>
      </pivotArea>
    </format>
    <format dxfId="409">
      <pivotArea dataOnly="0" labelOnly="1" outline="0" fieldPosition="0">
        <references count="2">
          <reference field="0" count="1" selected="0">
            <x v="65"/>
          </reference>
          <reference field="1" count="1">
            <x v="65"/>
          </reference>
        </references>
      </pivotArea>
    </format>
    <format dxfId="408">
      <pivotArea dataOnly="0" labelOnly="1" outline="0" fieldPosition="0">
        <references count="2">
          <reference field="0" count="1" selected="0">
            <x v="66"/>
          </reference>
          <reference field="1" count="1">
            <x v="73"/>
          </reference>
        </references>
      </pivotArea>
    </format>
    <format dxfId="407">
      <pivotArea dataOnly="0" labelOnly="1" outline="0" fieldPosition="0">
        <references count="2">
          <reference field="0" count="1" selected="0">
            <x v="67"/>
          </reference>
          <reference field="1" count="1">
            <x v="64"/>
          </reference>
        </references>
      </pivotArea>
    </format>
    <format dxfId="406">
      <pivotArea dataOnly="0" labelOnly="1" outline="0" fieldPosition="0">
        <references count="2">
          <reference field="0" count="1" selected="0">
            <x v="68"/>
          </reference>
          <reference field="1" count="1">
            <x v="70"/>
          </reference>
        </references>
      </pivotArea>
    </format>
    <format dxfId="405">
      <pivotArea dataOnly="0" labelOnly="1" outline="0" fieldPosition="0">
        <references count="2">
          <reference field="0" count="1" selected="0">
            <x v="69"/>
          </reference>
          <reference field="1" count="1">
            <x v="5"/>
          </reference>
        </references>
      </pivotArea>
    </format>
    <format dxfId="404">
      <pivotArea dataOnly="0" labelOnly="1" outline="0" fieldPosition="0">
        <references count="2">
          <reference field="0" count="1" selected="0">
            <x v="70"/>
          </reference>
          <reference field="1" count="1">
            <x v="6"/>
          </reference>
        </references>
      </pivotArea>
    </format>
    <format dxfId="403">
      <pivotArea dataOnly="0" labelOnly="1" outline="0" fieldPosition="0">
        <references count="2">
          <reference field="0" count="1" selected="0">
            <x v="71"/>
          </reference>
          <reference field="1" count="1">
            <x v="8"/>
          </reference>
        </references>
      </pivotArea>
    </format>
    <format dxfId="402">
      <pivotArea dataOnly="0" labelOnly="1" outline="0" fieldPosition="0">
        <references count="2">
          <reference field="0" count="1" selected="0">
            <x v="72"/>
          </reference>
          <reference field="1" count="1">
            <x v="12"/>
          </reference>
        </references>
      </pivotArea>
    </format>
    <format dxfId="401">
      <pivotArea dataOnly="0" labelOnly="1" outline="0" fieldPosition="0">
        <references count="2">
          <reference field="0" count="1" selected="0">
            <x v="73"/>
          </reference>
          <reference field="1" count="1">
            <x v="7"/>
          </reference>
        </references>
      </pivotArea>
    </format>
    <format dxfId="400">
      <pivotArea dataOnly="0" labelOnly="1" outline="0" fieldPosition="0">
        <references count="2">
          <reference field="0" count="1" selected="0">
            <x v="74"/>
          </reference>
          <reference field="1" count="1">
            <x v="9"/>
          </reference>
        </references>
      </pivotArea>
    </format>
    <format dxfId="399">
      <pivotArea dataOnly="0" labelOnly="1" outline="0" fieldPosition="0">
        <references count="2">
          <reference field="0" count="1" selected="0">
            <x v="75"/>
          </reference>
          <reference field="1" count="1">
            <x v="10"/>
          </reference>
        </references>
      </pivotArea>
    </format>
    <format dxfId="398">
      <pivotArea dataOnly="0" labelOnly="1" outline="0" fieldPosition="0">
        <references count="2">
          <reference field="0" count="1" selected="0">
            <x v="76"/>
          </reference>
          <reference field="1" count="1">
            <x v="11"/>
          </reference>
        </references>
      </pivotArea>
    </format>
    <format dxfId="397">
      <pivotArea dataOnly="0" labelOnly="1" outline="0" fieldPosition="0">
        <references count="2">
          <reference field="0" count="1" selected="0">
            <x v="77"/>
          </reference>
          <reference field="1" count="1">
            <x v="13"/>
          </reference>
        </references>
      </pivotArea>
    </format>
    <format dxfId="396">
      <pivotArea dataOnly="0" labelOnly="1" outline="0" fieldPosition="0">
        <references count="2">
          <reference field="0" count="1" selected="0">
            <x v="78"/>
          </reference>
          <reference field="1" count="1">
            <x v="14"/>
          </reference>
        </references>
      </pivotArea>
    </format>
    <format dxfId="395">
      <pivotArea dataOnly="0" labelOnly="1" outline="0" fieldPosition="0">
        <references count="2">
          <reference field="0" count="1" selected="0">
            <x v="79"/>
          </reference>
          <reference field="1" count="1">
            <x v="17"/>
          </reference>
        </references>
      </pivotArea>
    </format>
    <format dxfId="394">
      <pivotArea dataOnly="0" labelOnly="1" outline="0" fieldPosition="0">
        <references count="2">
          <reference field="0" count="1" selected="0">
            <x v="80"/>
          </reference>
          <reference field="1" count="1">
            <x v="15"/>
          </reference>
        </references>
      </pivotArea>
    </format>
    <format dxfId="393">
      <pivotArea dataOnly="0" labelOnly="1" outline="0" fieldPosition="0">
        <references count="2">
          <reference field="0" count="1" selected="0">
            <x v="81"/>
          </reference>
          <reference field="1" count="1">
            <x v="16"/>
          </reference>
        </references>
      </pivotArea>
    </format>
    <format dxfId="392">
      <pivotArea dataOnly="0" labelOnly="1" outline="0" fieldPosition="0">
        <references count="2">
          <reference field="0" count="1" selected="0">
            <x v="82"/>
          </reference>
          <reference field="1" count="1">
            <x v="18"/>
          </reference>
        </references>
      </pivotArea>
    </format>
    <format dxfId="391">
      <pivotArea dataOnly="0" labelOnly="1" outline="0" fieldPosition="0">
        <references count="2">
          <reference field="0" count="1" selected="0">
            <x v="83"/>
          </reference>
          <reference field="1" count="1">
            <x v="19"/>
          </reference>
        </references>
      </pivotArea>
    </format>
    <format dxfId="390">
      <pivotArea dataOnly="0" labelOnly="1" outline="0" fieldPosition="0">
        <references count="2">
          <reference field="0" count="1" selected="0">
            <x v="84"/>
          </reference>
          <reference field="1" count="1">
            <x v="29"/>
          </reference>
        </references>
      </pivotArea>
    </format>
    <format dxfId="389">
      <pivotArea dataOnly="0" labelOnly="1" outline="0" fieldPosition="0">
        <references count="2">
          <reference field="0" count="1" selected="0">
            <x v="85"/>
          </reference>
          <reference field="1" count="1">
            <x v="30"/>
          </reference>
        </references>
      </pivotArea>
    </format>
    <format dxfId="388">
      <pivotArea dataOnly="0" labelOnly="1" outline="0" fieldPosition="0">
        <references count="2">
          <reference field="0" count="1" selected="0">
            <x v="86"/>
          </reference>
          <reference field="1" count="1">
            <x v="31"/>
          </reference>
        </references>
      </pivotArea>
    </format>
    <format dxfId="387">
      <pivotArea dataOnly="0" labelOnly="1" outline="0" fieldPosition="0">
        <references count="2">
          <reference field="0" count="1" selected="0">
            <x v="87"/>
          </reference>
          <reference field="1" count="1">
            <x v="35"/>
          </reference>
        </references>
      </pivotArea>
    </format>
    <format dxfId="386">
      <pivotArea dataOnly="0" labelOnly="1" outline="0" fieldPosition="0">
        <references count="2">
          <reference field="0" count="1" selected="0">
            <x v="88"/>
          </reference>
          <reference field="1" count="1">
            <x v="36"/>
          </reference>
        </references>
      </pivotArea>
    </format>
    <format dxfId="385">
      <pivotArea dataOnly="0" labelOnly="1" outline="0" fieldPosition="0">
        <references count="2">
          <reference field="0" count="1" selected="0">
            <x v="89"/>
          </reference>
          <reference field="1" count="1">
            <x v="47"/>
          </reference>
        </references>
      </pivotArea>
    </format>
    <format dxfId="384">
      <pivotArea dataOnly="0" labelOnly="1" outline="0" fieldPosition="0">
        <references count="2">
          <reference field="0" count="1" selected="0">
            <x v="90"/>
          </reference>
          <reference field="1" count="1">
            <x v="48"/>
          </reference>
        </references>
      </pivotArea>
    </format>
    <format dxfId="383">
      <pivotArea dataOnly="0" labelOnly="1" outline="0" fieldPosition="0">
        <references count="2">
          <reference field="0" count="1" selected="0">
            <x v="91"/>
          </reference>
          <reference field="1" count="1">
            <x v="49"/>
          </reference>
        </references>
      </pivotArea>
    </format>
    <format dxfId="382">
      <pivotArea dataOnly="0" labelOnly="1" outline="0" fieldPosition="0">
        <references count="2">
          <reference field="0" count="1" selected="0">
            <x v="92"/>
          </reference>
          <reference field="1" count="1">
            <x v="50"/>
          </reference>
        </references>
      </pivotArea>
    </format>
    <format dxfId="381">
      <pivotArea dataOnly="0" labelOnly="1" outline="0" fieldPosition="0">
        <references count="2">
          <reference field="0" count="1" selected="0">
            <x v="93"/>
          </reference>
          <reference field="1" count="1">
            <x v="51"/>
          </reference>
        </references>
      </pivotArea>
    </format>
    <format dxfId="380">
      <pivotArea dataOnly="0" labelOnly="1" outline="0" fieldPosition="0">
        <references count="2">
          <reference field="0" count="1" selected="0">
            <x v="94"/>
          </reference>
          <reference field="1" count="1">
            <x v="52"/>
          </reference>
        </references>
      </pivotArea>
    </format>
    <format dxfId="379">
      <pivotArea dataOnly="0" labelOnly="1" outline="0" fieldPosition="0">
        <references count="2">
          <reference field="0" count="1" selected="0">
            <x v="95"/>
          </reference>
          <reference field="1" count="1">
            <x v="53"/>
          </reference>
        </references>
      </pivotArea>
    </format>
    <format dxfId="378">
      <pivotArea dataOnly="0" labelOnly="1" outline="0" fieldPosition="0">
        <references count="2">
          <reference field="0" count="1" selected="0">
            <x v="96"/>
          </reference>
          <reference field="1" count="1">
            <x v="54"/>
          </reference>
        </references>
      </pivotArea>
    </format>
    <format dxfId="377">
      <pivotArea dataOnly="0" labelOnly="1" outline="0" fieldPosition="0">
        <references count="2">
          <reference field="0" count="1" selected="0">
            <x v="97"/>
          </reference>
          <reference field="1" count="1">
            <x v="55"/>
          </reference>
        </references>
      </pivotArea>
    </format>
    <format dxfId="376">
      <pivotArea dataOnly="0" labelOnly="1" outline="0" fieldPosition="0">
        <references count="2">
          <reference field="0" count="1" selected="0">
            <x v="98"/>
          </reference>
          <reference field="1" count="1">
            <x v="56"/>
          </reference>
        </references>
      </pivotArea>
    </format>
    <format dxfId="375">
      <pivotArea dataOnly="0" labelOnly="1" outline="0" fieldPosition="0">
        <references count="2">
          <reference field="0" count="1" selected="0">
            <x v="99"/>
          </reference>
          <reference field="1" count="1">
            <x v="57"/>
          </reference>
        </references>
      </pivotArea>
    </format>
    <format dxfId="374">
      <pivotArea dataOnly="0" labelOnly="1" outline="0" fieldPosition="0">
        <references count="2">
          <reference field="0" count="1" selected="0">
            <x v="100"/>
          </reference>
          <reference field="1" count="1">
            <x v="58"/>
          </reference>
        </references>
      </pivotArea>
    </format>
    <format dxfId="373">
      <pivotArea dataOnly="0" labelOnly="1" outline="0" fieldPosition="0">
        <references count="2">
          <reference field="0" count="1" selected="0">
            <x v="101"/>
          </reference>
          <reference field="1" count="1">
            <x v="59"/>
          </reference>
        </references>
      </pivotArea>
    </format>
    <format dxfId="372">
      <pivotArea dataOnly="0" labelOnly="1" outline="0" fieldPosition="0">
        <references count="2">
          <reference field="0" count="1" selected="0">
            <x v="102"/>
          </reference>
          <reference field="1" count="1">
            <x v="60"/>
          </reference>
        </references>
      </pivotArea>
    </format>
    <format dxfId="371">
      <pivotArea dataOnly="0" labelOnly="1" outline="0" fieldPosition="0">
        <references count="2">
          <reference field="0" count="1" selected="0">
            <x v="103"/>
          </reference>
          <reference field="1" count="1">
            <x v="61"/>
          </reference>
        </references>
      </pivotArea>
    </format>
    <format dxfId="370">
      <pivotArea dataOnly="0" labelOnly="1" outline="0" fieldPosition="0">
        <references count="2">
          <reference field="0" count="1" selected="0">
            <x v="104"/>
          </reference>
          <reference field="1" count="1">
            <x v="62"/>
          </reference>
        </references>
      </pivotArea>
    </format>
    <format dxfId="369">
      <pivotArea dataOnly="0" labelOnly="1" outline="0" fieldPosition="0">
        <references count="2">
          <reference field="0" count="1" selected="0">
            <x v="105"/>
          </reference>
          <reference field="1" count="1">
            <x v="63"/>
          </reference>
        </references>
      </pivotArea>
    </format>
    <format dxfId="368">
      <pivotArea dataOnly="0" labelOnly="1" outline="0" fieldPosition="0">
        <references count="2">
          <reference field="0" count="1" selected="0">
            <x v="106"/>
          </reference>
          <reference field="1" count="1">
            <x v="32"/>
          </reference>
        </references>
      </pivotArea>
    </format>
    <format dxfId="367">
      <pivotArea dataOnly="0" labelOnly="1" outline="0" fieldPosition="0">
        <references count="2">
          <reference field="0" count="1" selected="0">
            <x v="107"/>
          </reference>
          <reference field="1" count="1">
            <x v="33"/>
          </reference>
        </references>
      </pivotArea>
    </format>
    <format dxfId="366">
      <pivotArea dataOnly="0" labelOnly="1" outline="0" fieldPosition="0">
        <references count="2">
          <reference field="0" count="1" selected="0">
            <x v="108"/>
          </reference>
          <reference field="1" count="1">
            <x v="34"/>
          </reference>
        </references>
      </pivotArea>
    </format>
    <format dxfId="365">
      <pivotArea field="0" type="button" dataOnly="0" labelOnly="1" outline="0" axis="axisRow" fieldPosition="0"/>
    </format>
    <format dxfId="364">
      <pivotArea dataOnly="0" labelOnly="1" outline="0" fieldPosition="0">
        <references count="1">
          <reference field="0" count="1">
            <x v="56"/>
          </reference>
        </references>
      </pivotArea>
    </format>
    <format dxfId="363">
      <pivotArea dataOnly="0" labelOnly="1" outline="0" fieldPosition="0">
        <references count="1">
          <reference field="0" count="0"/>
        </references>
      </pivotArea>
    </format>
    <format dxfId="362">
      <pivotArea dataOnly="0" labelOnly="1" outline="0" fieldPosition="0">
        <references count="1">
          <reference field="0" count="0"/>
        </references>
      </pivotArea>
    </format>
    <format dxfId="361">
      <pivotArea dataOnly="0" labelOnly="1" outline="0" fieldPosition="0">
        <references count="1">
          <reference field="1" count="0"/>
        </references>
      </pivotArea>
    </format>
    <format dxfId="360">
      <pivotArea dataOnly="0" labelOnly="1" outline="0" fieldPosition="0">
        <references count="1">
          <reference field="1" count="0"/>
        </references>
      </pivotArea>
    </format>
    <format dxfId="359">
      <pivotArea field="1" type="button" dataOnly="0" labelOnly="1" outline="0" axis="axisRow" fieldPosition="1"/>
    </format>
    <format dxfId="358">
      <pivotArea field="0" type="button" dataOnly="0" labelOnly="1" outline="0" axis="axisRow" fieldPosition="0"/>
    </format>
    <format dxfId="357">
      <pivotArea field="1" type="button" dataOnly="0" labelOnly="1" outline="0" axis="axisRow" fieldPosition="1"/>
    </format>
    <format dxfId="356">
      <pivotArea field="0" type="button" dataOnly="0" labelOnly="1" outline="0" axis="axisRow" fieldPosition="0"/>
    </format>
    <format dxfId="355">
      <pivotArea field="1" type="button" dataOnly="0" labelOnly="1" outline="0" axis="axisRow" fieldPosition="1"/>
    </format>
    <format dxfId="354">
      <pivotArea field="0" type="button" dataOnly="0" labelOnly="1" outline="0" axis="axisRow" fieldPosition="0"/>
    </format>
    <format dxfId="353">
      <pivotArea field="1" type="button" dataOnly="0" labelOnly="1" outline="0" axis="axisRow" fieldPosition="1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70E12-B38E-41CD-9374-A3725275E8F9}" name="TablaDinámica2" cacheId="1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4" indent="0" compact="0" compactData="0" multipleFieldFilters="0">
  <location ref="K5:L52" firstHeaderRow="1" firstDataRow="1" firstDataCol="2" rowPageCount="2" colPageCount="1"/>
  <pivotFields count="48">
    <pivotField axis="axisRow" compact="0" outline="0" showAll="0" defaultSubtotal="0">
      <items count="109">
        <item x="99"/>
        <item x="88"/>
        <item x="95"/>
        <item x="98"/>
        <item x="94"/>
        <item x="97"/>
        <item x="96"/>
        <item x="101"/>
        <item x="100"/>
        <item x="1"/>
        <item x="3"/>
        <item x="5"/>
        <item x="10"/>
        <item x="11"/>
        <item x="12"/>
        <item x="14"/>
        <item x="16"/>
        <item x="20"/>
        <item x="22"/>
        <item x="24"/>
        <item x="25"/>
        <item x="27"/>
        <item x="28"/>
        <item x="30"/>
        <item x="32"/>
        <item x="34"/>
        <item x="36"/>
        <item x="38"/>
        <item x="40"/>
        <item x="41"/>
        <item x="43"/>
        <item x="44"/>
        <item x="46"/>
        <item x="47"/>
        <item x="49"/>
        <item x="51"/>
        <item x="53"/>
        <item x="55"/>
        <item x="57"/>
        <item x="59"/>
        <item x="64"/>
        <item x="61"/>
        <item x="67"/>
        <item x="68"/>
        <item x="70"/>
        <item x="83"/>
        <item x="76"/>
        <item x="84"/>
        <item x="87"/>
        <item x="85"/>
        <item x="80"/>
        <item x="82"/>
        <item x="89"/>
        <item x="91"/>
        <item x="92"/>
        <item x="90"/>
        <item x="0"/>
        <item x="2"/>
        <item x="4"/>
        <item x="6"/>
        <item x="8"/>
        <item x="9"/>
        <item x="13"/>
        <item x="15"/>
        <item x="17"/>
        <item x="18"/>
        <item x="19"/>
        <item x="21"/>
        <item x="23"/>
        <item x="26"/>
        <item x="29"/>
        <item x="31"/>
        <item x="33"/>
        <item x="35"/>
        <item x="37"/>
        <item x="39"/>
        <item x="42"/>
        <item x="45"/>
        <item x="48"/>
        <item x="50"/>
        <item x="52"/>
        <item x="54"/>
        <item x="56"/>
        <item x="58"/>
        <item x="60"/>
        <item x="62"/>
        <item x="63"/>
        <item x="66"/>
        <item x="65"/>
        <item x="69"/>
        <item x="71"/>
        <item x="72"/>
        <item x="73"/>
        <item x="74"/>
        <item x="86"/>
        <item x="81"/>
        <item x="79"/>
        <item x="78"/>
        <item x="75"/>
        <item x="77"/>
        <item x="103"/>
        <item x="102"/>
        <item x="93"/>
        <item x="7"/>
        <item x="104"/>
        <item x="105"/>
        <item x="106"/>
        <item x="107"/>
        <item x="108"/>
      </items>
    </pivotField>
    <pivotField axis="axisRow" compact="0" outline="0" showAll="0">
      <items count="110">
        <item x="100"/>
        <item x="101"/>
        <item x="67"/>
        <item x="61"/>
        <item x="64"/>
        <item x="26"/>
        <item x="29"/>
        <item x="35"/>
        <item x="31"/>
        <item x="37"/>
        <item x="39"/>
        <item x="42"/>
        <item x="33"/>
        <item x="45"/>
        <item x="48"/>
        <item x="52"/>
        <item x="54"/>
        <item x="50"/>
        <item x="56"/>
        <item x="58"/>
        <item x="83"/>
        <item x="76"/>
        <item x="84"/>
        <item x="70"/>
        <item x="68"/>
        <item x="87"/>
        <item x="85"/>
        <item x="80"/>
        <item x="82"/>
        <item x="60"/>
        <item x="62"/>
        <item x="63"/>
        <item x="106"/>
        <item x="107"/>
        <item x="108"/>
        <item x="66"/>
        <item x="65"/>
        <item x="88"/>
        <item x="95"/>
        <item x="98"/>
        <item x="94"/>
        <item x="97"/>
        <item x="96"/>
        <item x="89"/>
        <item x="91"/>
        <item x="92"/>
        <item x="90"/>
        <item x="69"/>
        <item x="71"/>
        <item x="72"/>
        <item x="73"/>
        <item x="74"/>
        <item x="86"/>
        <item x="81"/>
        <item x="79"/>
        <item x="78"/>
        <item x="75"/>
        <item x="77"/>
        <item x="103"/>
        <item x="102"/>
        <item x="93"/>
        <item x="7"/>
        <item x="104"/>
        <item x="105"/>
        <item x="21"/>
        <item x="18"/>
        <item x="17"/>
        <item x="13"/>
        <item x="2"/>
        <item x="6"/>
        <item x="23"/>
        <item x="8"/>
        <item x="0"/>
        <item x="19"/>
        <item x="4"/>
        <item x="15"/>
        <item x="9"/>
        <item x="99"/>
        <item x="22"/>
        <item x="27"/>
        <item x="53"/>
        <item x="25"/>
        <item x="43"/>
        <item x="40"/>
        <item x="51"/>
        <item x="36"/>
        <item x="44"/>
        <item x="46"/>
        <item x="32"/>
        <item x="30"/>
        <item x="49"/>
        <item x="34"/>
        <item x="38"/>
        <item x="28"/>
        <item x="41"/>
        <item x="57"/>
        <item x="59"/>
        <item x="47"/>
        <item x="55"/>
        <item x="16"/>
        <item x="12"/>
        <item x="11"/>
        <item x="5"/>
        <item x="14"/>
        <item x="1"/>
        <item x="24"/>
        <item x="20"/>
        <item x="10"/>
        <item x="3"/>
        <item t="default"/>
      </items>
    </pivotField>
    <pivotField axis="axisPage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7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5">
        <item m="1" x="8"/>
        <item m="1" x="11"/>
        <item m="1" x="7"/>
        <item m="1" x="12"/>
        <item m="1" x="1"/>
        <item m="1" x="10"/>
        <item m="1" x="5"/>
        <item m="1" x="3"/>
        <item x="0"/>
        <item m="1" x="6"/>
        <item m="1" x="9"/>
        <item m="1" x="13"/>
        <item m="1" x="2"/>
        <item m="1" x="4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0"/>
    <field x="1"/>
  </rowFields>
  <rowItems count="47">
    <i>
      <x v="9"/>
      <x v="104"/>
    </i>
    <i>
      <x v="10"/>
      <x v="108"/>
    </i>
    <i>
      <x v="11"/>
      <x v="102"/>
    </i>
    <i>
      <x v="12"/>
      <x v="107"/>
    </i>
    <i>
      <x v="13"/>
      <x v="101"/>
    </i>
    <i>
      <x v="14"/>
      <x v="100"/>
    </i>
    <i>
      <x v="15"/>
      <x v="103"/>
    </i>
    <i>
      <x v="16"/>
      <x v="99"/>
    </i>
    <i>
      <x v="17"/>
      <x v="106"/>
    </i>
    <i>
      <x v="18"/>
      <x v="78"/>
    </i>
    <i>
      <x v="19"/>
      <x v="105"/>
    </i>
    <i>
      <x v="20"/>
      <x v="81"/>
    </i>
    <i>
      <x v="21"/>
      <x v="79"/>
    </i>
    <i>
      <x v="22"/>
      <x v="93"/>
    </i>
    <i>
      <x v="23"/>
      <x v="89"/>
    </i>
    <i>
      <x v="24"/>
      <x v="88"/>
    </i>
    <i>
      <x v="25"/>
      <x v="91"/>
    </i>
    <i>
      <x v="26"/>
      <x v="85"/>
    </i>
    <i>
      <x v="27"/>
      <x v="92"/>
    </i>
    <i>
      <x v="28"/>
      <x v="83"/>
    </i>
    <i>
      <x v="29"/>
      <x v="94"/>
    </i>
    <i>
      <x v="30"/>
      <x v="82"/>
    </i>
    <i>
      <x v="31"/>
      <x v="86"/>
    </i>
    <i>
      <x v="32"/>
      <x v="87"/>
    </i>
    <i>
      <x v="33"/>
      <x v="97"/>
    </i>
    <i>
      <x v="34"/>
      <x v="90"/>
    </i>
    <i>
      <x v="35"/>
      <x v="84"/>
    </i>
    <i>
      <x v="36"/>
      <x v="80"/>
    </i>
    <i>
      <x v="37"/>
      <x v="98"/>
    </i>
    <i>
      <x v="38"/>
      <x v="95"/>
    </i>
    <i>
      <x v="39"/>
      <x v="96"/>
    </i>
    <i>
      <x v="40"/>
      <x v="4"/>
    </i>
    <i>
      <x v="41"/>
      <x v="3"/>
    </i>
    <i>
      <x v="42"/>
      <x v="2"/>
    </i>
    <i>
      <x v="43"/>
      <x v="24"/>
    </i>
    <i>
      <x v="44"/>
      <x v="23"/>
    </i>
    <i>
      <x v="45"/>
      <x v="20"/>
    </i>
    <i>
      <x v="46"/>
      <x v="21"/>
    </i>
    <i>
      <x v="47"/>
      <x v="22"/>
    </i>
    <i>
      <x v="48"/>
      <x v="25"/>
    </i>
    <i>
      <x v="49"/>
      <x v="26"/>
    </i>
    <i>
      <x v="50"/>
      <x v="27"/>
    </i>
    <i>
      <x v="51"/>
      <x v="28"/>
    </i>
    <i>
      <x v="52"/>
      <x v="43"/>
    </i>
    <i>
      <x v="53"/>
      <x v="44"/>
    </i>
    <i>
      <x v="54"/>
      <x v="45"/>
    </i>
    <i>
      <x v="55"/>
      <x v="46"/>
    </i>
  </rowItems>
  <colItems count="1">
    <i/>
  </colItems>
  <pageFields count="2">
    <pageField fld="44" item="8" hier="-1"/>
    <pageField fld="2" item="0" hier="-1"/>
  </pageFields>
  <formats count="245">
    <format dxfId="352">
      <pivotArea type="all" dataOnly="0" outline="0" fieldPosition="0"/>
    </format>
    <format dxfId="351">
      <pivotArea field="0" type="button" dataOnly="0" labelOnly="1" outline="0" axis="axisRow" fieldPosition="0"/>
    </format>
    <format dxfId="350">
      <pivotArea field="1" type="button" dataOnly="0" labelOnly="1" outline="0" axis="axisRow" fieldPosition="1"/>
    </format>
    <format dxfId="349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48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47">
      <pivotArea dataOnly="0" labelOnly="1" outline="0" fieldPosition="0">
        <references count="1">
          <reference field="0" count="9">
            <x v="100"/>
            <x v="101"/>
            <x v="102"/>
            <x v="103"/>
            <x v="104"/>
            <x v="105"/>
            <x v="106"/>
            <x v="107"/>
            <x v="108"/>
          </reference>
        </references>
      </pivotArea>
    </format>
    <format dxfId="346">
      <pivotArea dataOnly="0" labelOnly="1" grandRow="1" outline="0" fieldPosition="0"/>
    </format>
    <format dxfId="345">
      <pivotArea dataOnly="0" labelOnly="1" outline="0" fieldPosition="0">
        <references count="2">
          <reference field="0" count="1" selected="0">
            <x v="0"/>
          </reference>
          <reference field="1" count="1">
            <x v="77"/>
          </reference>
        </references>
      </pivotArea>
    </format>
    <format dxfId="344">
      <pivotArea dataOnly="0" labelOnly="1" outline="0" fieldPosition="0">
        <references count="2">
          <reference field="0" count="1" selected="0">
            <x v="1"/>
          </reference>
          <reference field="1" count="1">
            <x v="37"/>
          </reference>
        </references>
      </pivotArea>
    </format>
    <format dxfId="343">
      <pivotArea dataOnly="0" labelOnly="1" outline="0" fieldPosition="0">
        <references count="2">
          <reference field="0" count="1" selected="0">
            <x v="2"/>
          </reference>
          <reference field="1" count="1">
            <x v="38"/>
          </reference>
        </references>
      </pivotArea>
    </format>
    <format dxfId="342">
      <pivotArea dataOnly="0" labelOnly="1" outline="0" fieldPosition="0">
        <references count="2">
          <reference field="0" count="1" selected="0">
            <x v="3"/>
          </reference>
          <reference field="1" count="1">
            <x v="39"/>
          </reference>
        </references>
      </pivotArea>
    </format>
    <format dxfId="341">
      <pivotArea dataOnly="0" labelOnly="1" outline="0" fieldPosition="0">
        <references count="2">
          <reference field="0" count="1" selected="0">
            <x v="4"/>
          </reference>
          <reference field="1" count="1">
            <x v="40"/>
          </reference>
        </references>
      </pivotArea>
    </format>
    <format dxfId="340">
      <pivotArea dataOnly="0" labelOnly="1" outline="0" fieldPosition="0">
        <references count="2">
          <reference field="0" count="1" selected="0">
            <x v="5"/>
          </reference>
          <reference field="1" count="1">
            <x v="41"/>
          </reference>
        </references>
      </pivotArea>
    </format>
    <format dxfId="339">
      <pivotArea dataOnly="0" labelOnly="1" outline="0" fieldPosition="0">
        <references count="2">
          <reference field="0" count="1" selected="0">
            <x v="6"/>
          </reference>
          <reference field="1" count="1">
            <x v="42"/>
          </reference>
        </references>
      </pivotArea>
    </format>
    <format dxfId="338">
      <pivotArea dataOnly="0" labelOnly="1" outline="0" fieldPosition="0">
        <references count="2">
          <reference field="0" count="1" selected="0">
            <x v="7"/>
          </reference>
          <reference field="1" count="1">
            <x v="1"/>
          </reference>
        </references>
      </pivotArea>
    </format>
    <format dxfId="337">
      <pivotArea dataOnly="0" labelOnly="1" outline="0" fieldPosition="0">
        <references count="2">
          <reference field="0" count="1" selected="0">
            <x v="8"/>
          </reference>
          <reference field="1" count="1">
            <x v="0"/>
          </reference>
        </references>
      </pivotArea>
    </format>
    <format dxfId="336">
      <pivotArea dataOnly="0" labelOnly="1" outline="0" fieldPosition="0">
        <references count="2">
          <reference field="0" count="1" selected="0">
            <x v="9"/>
          </reference>
          <reference field="1" count="1">
            <x v="104"/>
          </reference>
        </references>
      </pivotArea>
    </format>
    <format dxfId="335">
      <pivotArea dataOnly="0" labelOnly="1" outline="0" fieldPosition="0">
        <references count="2">
          <reference field="0" count="1" selected="0">
            <x v="10"/>
          </reference>
          <reference field="1" count="1">
            <x v="108"/>
          </reference>
        </references>
      </pivotArea>
    </format>
    <format dxfId="334">
      <pivotArea dataOnly="0" labelOnly="1" outline="0" fieldPosition="0">
        <references count="2">
          <reference field="0" count="1" selected="0">
            <x v="11"/>
          </reference>
          <reference field="1" count="1">
            <x v="102"/>
          </reference>
        </references>
      </pivotArea>
    </format>
    <format dxfId="333">
      <pivotArea dataOnly="0" labelOnly="1" outline="0" fieldPosition="0">
        <references count="2">
          <reference field="0" count="1" selected="0">
            <x v="12"/>
          </reference>
          <reference field="1" count="1">
            <x v="107"/>
          </reference>
        </references>
      </pivotArea>
    </format>
    <format dxfId="332">
      <pivotArea dataOnly="0" labelOnly="1" outline="0" fieldPosition="0">
        <references count="2">
          <reference field="0" count="1" selected="0">
            <x v="13"/>
          </reference>
          <reference field="1" count="1">
            <x v="101"/>
          </reference>
        </references>
      </pivotArea>
    </format>
    <format dxfId="331">
      <pivotArea dataOnly="0" labelOnly="1" outline="0" fieldPosition="0">
        <references count="2">
          <reference field="0" count="1" selected="0">
            <x v="14"/>
          </reference>
          <reference field="1" count="1">
            <x v="100"/>
          </reference>
        </references>
      </pivotArea>
    </format>
    <format dxfId="330">
      <pivotArea dataOnly="0" labelOnly="1" outline="0" fieldPosition="0">
        <references count="2">
          <reference field="0" count="1" selected="0">
            <x v="15"/>
          </reference>
          <reference field="1" count="1">
            <x v="103"/>
          </reference>
        </references>
      </pivotArea>
    </format>
    <format dxfId="329">
      <pivotArea dataOnly="0" labelOnly="1" outline="0" fieldPosition="0">
        <references count="2">
          <reference field="0" count="1" selected="0">
            <x v="16"/>
          </reference>
          <reference field="1" count="1">
            <x v="99"/>
          </reference>
        </references>
      </pivotArea>
    </format>
    <format dxfId="328">
      <pivotArea dataOnly="0" labelOnly="1" outline="0" fieldPosition="0">
        <references count="2">
          <reference field="0" count="1" selected="0">
            <x v="17"/>
          </reference>
          <reference field="1" count="1">
            <x v="106"/>
          </reference>
        </references>
      </pivotArea>
    </format>
    <format dxfId="327">
      <pivotArea dataOnly="0" labelOnly="1" outline="0" fieldPosition="0">
        <references count="2">
          <reference field="0" count="1" selected="0">
            <x v="18"/>
          </reference>
          <reference field="1" count="1">
            <x v="78"/>
          </reference>
        </references>
      </pivotArea>
    </format>
    <format dxfId="326">
      <pivotArea dataOnly="0" labelOnly="1" outline="0" fieldPosition="0">
        <references count="2">
          <reference field="0" count="1" selected="0">
            <x v="19"/>
          </reference>
          <reference field="1" count="1">
            <x v="105"/>
          </reference>
        </references>
      </pivotArea>
    </format>
    <format dxfId="325">
      <pivotArea dataOnly="0" labelOnly="1" outline="0" fieldPosition="0">
        <references count="2">
          <reference field="0" count="1" selected="0">
            <x v="20"/>
          </reference>
          <reference field="1" count="1">
            <x v="81"/>
          </reference>
        </references>
      </pivotArea>
    </format>
    <format dxfId="324">
      <pivotArea dataOnly="0" labelOnly="1" outline="0" fieldPosition="0">
        <references count="2">
          <reference field="0" count="1" selected="0">
            <x v="21"/>
          </reference>
          <reference field="1" count="1">
            <x v="79"/>
          </reference>
        </references>
      </pivotArea>
    </format>
    <format dxfId="323">
      <pivotArea dataOnly="0" labelOnly="1" outline="0" fieldPosition="0">
        <references count="2">
          <reference field="0" count="1" selected="0">
            <x v="22"/>
          </reference>
          <reference field="1" count="1">
            <x v="93"/>
          </reference>
        </references>
      </pivotArea>
    </format>
    <format dxfId="322">
      <pivotArea dataOnly="0" labelOnly="1" outline="0" fieldPosition="0">
        <references count="2">
          <reference field="0" count="1" selected="0">
            <x v="23"/>
          </reference>
          <reference field="1" count="1">
            <x v="89"/>
          </reference>
        </references>
      </pivotArea>
    </format>
    <format dxfId="321">
      <pivotArea dataOnly="0" labelOnly="1" outline="0" fieldPosition="0">
        <references count="2">
          <reference field="0" count="1" selected="0">
            <x v="24"/>
          </reference>
          <reference field="1" count="1">
            <x v="88"/>
          </reference>
        </references>
      </pivotArea>
    </format>
    <format dxfId="320">
      <pivotArea dataOnly="0" labelOnly="1" outline="0" fieldPosition="0">
        <references count="2">
          <reference field="0" count="1" selected="0">
            <x v="25"/>
          </reference>
          <reference field="1" count="1">
            <x v="91"/>
          </reference>
        </references>
      </pivotArea>
    </format>
    <format dxfId="319">
      <pivotArea dataOnly="0" labelOnly="1" outline="0" fieldPosition="0">
        <references count="2">
          <reference field="0" count="1" selected="0">
            <x v="26"/>
          </reference>
          <reference field="1" count="1">
            <x v="85"/>
          </reference>
        </references>
      </pivotArea>
    </format>
    <format dxfId="318">
      <pivotArea dataOnly="0" labelOnly="1" outline="0" fieldPosition="0">
        <references count="2">
          <reference field="0" count="1" selected="0">
            <x v="27"/>
          </reference>
          <reference field="1" count="1">
            <x v="92"/>
          </reference>
        </references>
      </pivotArea>
    </format>
    <format dxfId="317">
      <pivotArea dataOnly="0" labelOnly="1" outline="0" fieldPosition="0">
        <references count="2">
          <reference field="0" count="1" selected="0">
            <x v="28"/>
          </reference>
          <reference field="1" count="1">
            <x v="83"/>
          </reference>
        </references>
      </pivotArea>
    </format>
    <format dxfId="316">
      <pivotArea dataOnly="0" labelOnly="1" outline="0" fieldPosition="0">
        <references count="2">
          <reference field="0" count="1" selected="0">
            <x v="29"/>
          </reference>
          <reference field="1" count="1">
            <x v="94"/>
          </reference>
        </references>
      </pivotArea>
    </format>
    <format dxfId="315">
      <pivotArea dataOnly="0" labelOnly="1" outline="0" fieldPosition="0">
        <references count="2">
          <reference field="0" count="1" selected="0">
            <x v="30"/>
          </reference>
          <reference field="1" count="1">
            <x v="82"/>
          </reference>
        </references>
      </pivotArea>
    </format>
    <format dxfId="314">
      <pivotArea dataOnly="0" labelOnly="1" outline="0" fieldPosition="0">
        <references count="2">
          <reference field="0" count="1" selected="0">
            <x v="31"/>
          </reference>
          <reference field="1" count="1">
            <x v="86"/>
          </reference>
        </references>
      </pivotArea>
    </format>
    <format dxfId="313">
      <pivotArea dataOnly="0" labelOnly="1" outline="0" fieldPosition="0">
        <references count="2">
          <reference field="0" count="1" selected="0">
            <x v="32"/>
          </reference>
          <reference field="1" count="1">
            <x v="87"/>
          </reference>
        </references>
      </pivotArea>
    </format>
    <format dxfId="312">
      <pivotArea dataOnly="0" labelOnly="1" outline="0" fieldPosition="0">
        <references count="2">
          <reference field="0" count="1" selected="0">
            <x v="33"/>
          </reference>
          <reference field="1" count="1">
            <x v="97"/>
          </reference>
        </references>
      </pivotArea>
    </format>
    <format dxfId="311">
      <pivotArea dataOnly="0" labelOnly="1" outline="0" fieldPosition="0">
        <references count="2">
          <reference field="0" count="1" selected="0">
            <x v="34"/>
          </reference>
          <reference field="1" count="1">
            <x v="90"/>
          </reference>
        </references>
      </pivotArea>
    </format>
    <format dxfId="310">
      <pivotArea dataOnly="0" labelOnly="1" outline="0" fieldPosition="0">
        <references count="2">
          <reference field="0" count="1" selected="0">
            <x v="35"/>
          </reference>
          <reference field="1" count="1">
            <x v="84"/>
          </reference>
        </references>
      </pivotArea>
    </format>
    <format dxfId="309">
      <pivotArea dataOnly="0" labelOnly="1" outline="0" fieldPosition="0">
        <references count="2">
          <reference field="0" count="1" selected="0">
            <x v="36"/>
          </reference>
          <reference field="1" count="1">
            <x v="80"/>
          </reference>
        </references>
      </pivotArea>
    </format>
    <format dxfId="308">
      <pivotArea dataOnly="0" labelOnly="1" outline="0" fieldPosition="0">
        <references count="2">
          <reference field="0" count="1" selected="0">
            <x v="37"/>
          </reference>
          <reference field="1" count="1">
            <x v="98"/>
          </reference>
        </references>
      </pivotArea>
    </format>
    <format dxfId="307">
      <pivotArea dataOnly="0" labelOnly="1" outline="0" fieldPosition="0">
        <references count="2">
          <reference field="0" count="1" selected="0">
            <x v="38"/>
          </reference>
          <reference field="1" count="1">
            <x v="95"/>
          </reference>
        </references>
      </pivotArea>
    </format>
    <format dxfId="306">
      <pivotArea dataOnly="0" labelOnly="1" outline="0" fieldPosition="0">
        <references count="2">
          <reference field="0" count="1" selected="0">
            <x v="39"/>
          </reference>
          <reference field="1" count="1">
            <x v="96"/>
          </reference>
        </references>
      </pivotArea>
    </format>
    <format dxfId="305">
      <pivotArea dataOnly="0" labelOnly="1" outline="0" fieldPosition="0">
        <references count="2">
          <reference field="0" count="1" selected="0">
            <x v="40"/>
          </reference>
          <reference field="1" count="1">
            <x v="4"/>
          </reference>
        </references>
      </pivotArea>
    </format>
    <format dxfId="304">
      <pivotArea dataOnly="0" labelOnly="1" outline="0" fieldPosition="0">
        <references count="2">
          <reference field="0" count="1" selected="0">
            <x v="41"/>
          </reference>
          <reference field="1" count="1">
            <x v="3"/>
          </reference>
        </references>
      </pivotArea>
    </format>
    <format dxfId="303">
      <pivotArea dataOnly="0" labelOnly="1" outline="0" fieldPosition="0">
        <references count="2">
          <reference field="0" count="1" selected="0">
            <x v="42"/>
          </reference>
          <reference field="1" count="1">
            <x v="2"/>
          </reference>
        </references>
      </pivotArea>
    </format>
    <format dxfId="302">
      <pivotArea dataOnly="0" labelOnly="1" outline="0" fieldPosition="0">
        <references count="2">
          <reference field="0" count="1" selected="0">
            <x v="43"/>
          </reference>
          <reference field="1" count="1">
            <x v="24"/>
          </reference>
        </references>
      </pivotArea>
    </format>
    <format dxfId="301">
      <pivotArea dataOnly="0" labelOnly="1" outline="0" fieldPosition="0">
        <references count="2">
          <reference field="0" count="1" selected="0">
            <x v="44"/>
          </reference>
          <reference field="1" count="1">
            <x v="23"/>
          </reference>
        </references>
      </pivotArea>
    </format>
    <format dxfId="300">
      <pivotArea dataOnly="0" labelOnly="1" outline="0" fieldPosition="0">
        <references count="2">
          <reference field="0" count="1" selected="0">
            <x v="45"/>
          </reference>
          <reference field="1" count="1">
            <x v="20"/>
          </reference>
        </references>
      </pivotArea>
    </format>
    <format dxfId="299">
      <pivotArea dataOnly="0" labelOnly="1" outline="0" fieldPosition="0">
        <references count="2">
          <reference field="0" count="1" selected="0">
            <x v="46"/>
          </reference>
          <reference field="1" count="1">
            <x v="21"/>
          </reference>
        </references>
      </pivotArea>
    </format>
    <format dxfId="298">
      <pivotArea dataOnly="0" labelOnly="1" outline="0" fieldPosition="0">
        <references count="2">
          <reference field="0" count="1" selected="0">
            <x v="47"/>
          </reference>
          <reference field="1" count="1">
            <x v="22"/>
          </reference>
        </references>
      </pivotArea>
    </format>
    <format dxfId="297">
      <pivotArea dataOnly="0" labelOnly="1" outline="0" fieldPosition="0">
        <references count="2">
          <reference field="0" count="1" selected="0">
            <x v="48"/>
          </reference>
          <reference field="1" count="1">
            <x v="25"/>
          </reference>
        </references>
      </pivotArea>
    </format>
    <format dxfId="296">
      <pivotArea dataOnly="0" labelOnly="1" outline="0" fieldPosition="0">
        <references count="2">
          <reference field="0" count="1" selected="0">
            <x v="49"/>
          </reference>
          <reference field="1" count="1">
            <x v="26"/>
          </reference>
        </references>
      </pivotArea>
    </format>
    <format dxfId="295">
      <pivotArea dataOnly="0" labelOnly="1" outline="0" fieldPosition="0">
        <references count="2">
          <reference field="0" count="1" selected="0">
            <x v="50"/>
          </reference>
          <reference field="1" count="1">
            <x v="27"/>
          </reference>
        </references>
      </pivotArea>
    </format>
    <format dxfId="294">
      <pivotArea dataOnly="0" labelOnly="1" outline="0" fieldPosition="0">
        <references count="2">
          <reference field="0" count="1" selected="0">
            <x v="51"/>
          </reference>
          <reference field="1" count="1">
            <x v="28"/>
          </reference>
        </references>
      </pivotArea>
    </format>
    <format dxfId="293">
      <pivotArea dataOnly="0" labelOnly="1" outline="0" fieldPosition="0">
        <references count="2">
          <reference field="0" count="1" selected="0">
            <x v="52"/>
          </reference>
          <reference field="1" count="1">
            <x v="43"/>
          </reference>
        </references>
      </pivotArea>
    </format>
    <format dxfId="292">
      <pivotArea dataOnly="0" labelOnly="1" outline="0" fieldPosition="0">
        <references count="2">
          <reference field="0" count="1" selected="0">
            <x v="53"/>
          </reference>
          <reference field="1" count="1">
            <x v="44"/>
          </reference>
        </references>
      </pivotArea>
    </format>
    <format dxfId="291">
      <pivotArea dataOnly="0" labelOnly="1" outline="0" fieldPosition="0">
        <references count="2">
          <reference field="0" count="1" selected="0">
            <x v="54"/>
          </reference>
          <reference field="1" count="1">
            <x v="45"/>
          </reference>
        </references>
      </pivotArea>
    </format>
    <format dxfId="290">
      <pivotArea dataOnly="0" labelOnly="1" outline="0" fieldPosition="0">
        <references count="2">
          <reference field="0" count="1" selected="0">
            <x v="55"/>
          </reference>
          <reference field="1" count="1">
            <x v="46"/>
          </reference>
        </references>
      </pivotArea>
    </format>
    <format dxfId="289">
      <pivotArea dataOnly="0" labelOnly="1" outline="0" fieldPosition="0">
        <references count="2">
          <reference field="0" count="1" selected="0">
            <x v="56"/>
          </reference>
          <reference field="1" count="1">
            <x v="72"/>
          </reference>
        </references>
      </pivotArea>
    </format>
    <format dxfId="288">
      <pivotArea dataOnly="0" labelOnly="1" outline="0" fieldPosition="0">
        <references count="2">
          <reference field="0" count="1" selected="0">
            <x v="57"/>
          </reference>
          <reference field="1" count="1">
            <x v="68"/>
          </reference>
        </references>
      </pivotArea>
    </format>
    <format dxfId="287">
      <pivotArea dataOnly="0" labelOnly="1" outline="0" fieldPosition="0">
        <references count="2">
          <reference field="0" count="1" selected="0">
            <x v="58"/>
          </reference>
          <reference field="1" count="1">
            <x v="74"/>
          </reference>
        </references>
      </pivotArea>
    </format>
    <format dxfId="286">
      <pivotArea dataOnly="0" labelOnly="1" outline="0" fieldPosition="0">
        <references count="2">
          <reference field="0" count="1" selected="0">
            <x v="59"/>
          </reference>
          <reference field="1" count="1">
            <x v="69"/>
          </reference>
        </references>
      </pivotArea>
    </format>
    <format dxfId="285">
      <pivotArea dataOnly="0" labelOnly="1" outline="0" fieldPosition="0">
        <references count="2">
          <reference field="0" count="1" selected="0">
            <x v="60"/>
          </reference>
          <reference field="1" count="1">
            <x v="71"/>
          </reference>
        </references>
      </pivotArea>
    </format>
    <format dxfId="284">
      <pivotArea dataOnly="0" labelOnly="1" outline="0" fieldPosition="0">
        <references count="2">
          <reference field="0" count="1" selected="0">
            <x v="61"/>
          </reference>
          <reference field="1" count="1">
            <x v="76"/>
          </reference>
        </references>
      </pivotArea>
    </format>
    <format dxfId="283">
      <pivotArea dataOnly="0" labelOnly="1" outline="0" fieldPosition="0">
        <references count="2">
          <reference field="0" count="1" selected="0">
            <x v="62"/>
          </reference>
          <reference field="1" count="1">
            <x v="67"/>
          </reference>
        </references>
      </pivotArea>
    </format>
    <format dxfId="282">
      <pivotArea dataOnly="0" labelOnly="1" outline="0" fieldPosition="0">
        <references count="2">
          <reference field="0" count="1" selected="0">
            <x v="63"/>
          </reference>
          <reference field="1" count="1">
            <x v="75"/>
          </reference>
        </references>
      </pivotArea>
    </format>
    <format dxfId="281">
      <pivotArea dataOnly="0" labelOnly="1" outline="0" fieldPosition="0">
        <references count="2">
          <reference field="0" count="1" selected="0">
            <x v="64"/>
          </reference>
          <reference field="1" count="1">
            <x v="66"/>
          </reference>
        </references>
      </pivotArea>
    </format>
    <format dxfId="280">
      <pivotArea dataOnly="0" labelOnly="1" outline="0" fieldPosition="0">
        <references count="2">
          <reference field="0" count="1" selected="0">
            <x v="65"/>
          </reference>
          <reference field="1" count="1">
            <x v="65"/>
          </reference>
        </references>
      </pivotArea>
    </format>
    <format dxfId="279">
      <pivotArea dataOnly="0" labelOnly="1" outline="0" fieldPosition="0">
        <references count="2">
          <reference field="0" count="1" selected="0">
            <x v="66"/>
          </reference>
          <reference field="1" count="1">
            <x v="73"/>
          </reference>
        </references>
      </pivotArea>
    </format>
    <format dxfId="278">
      <pivotArea dataOnly="0" labelOnly="1" outline="0" fieldPosition="0">
        <references count="2">
          <reference field="0" count="1" selected="0">
            <x v="67"/>
          </reference>
          <reference field="1" count="1">
            <x v="64"/>
          </reference>
        </references>
      </pivotArea>
    </format>
    <format dxfId="277">
      <pivotArea dataOnly="0" labelOnly="1" outline="0" fieldPosition="0">
        <references count="2">
          <reference field="0" count="1" selected="0">
            <x v="68"/>
          </reference>
          <reference field="1" count="1">
            <x v="70"/>
          </reference>
        </references>
      </pivotArea>
    </format>
    <format dxfId="276">
      <pivotArea dataOnly="0" labelOnly="1" outline="0" fieldPosition="0">
        <references count="2">
          <reference field="0" count="1" selected="0">
            <x v="69"/>
          </reference>
          <reference field="1" count="1">
            <x v="5"/>
          </reference>
        </references>
      </pivotArea>
    </format>
    <format dxfId="275">
      <pivotArea dataOnly="0" labelOnly="1" outline="0" fieldPosition="0">
        <references count="2">
          <reference field="0" count="1" selected="0">
            <x v="70"/>
          </reference>
          <reference field="1" count="1">
            <x v="6"/>
          </reference>
        </references>
      </pivotArea>
    </format>
    <format dxfId="274">
      <pivotArea dataOnly="0" labelOnly="1" outline="0" fieldPosition="0">
        <references count="2">
          <reference field="0" count="1" selected="0">
            <x v="71"/>
          </reference>
          <reference field="1" count="1">
            <x v="8"/>
          </reference>
        </references>
      </pivotArea>
    </format>
    <format dxfId="273">
      <pivotArea dataOnly="0" labelOnly="1" outline="0" fieldPosition="0">
        <references count="2">
          <reference field="0" count="1" selected="0">
            <x v="72"/>
          </reference>
          <reference field="1" count="1">
            <x v="12"/>
          </reference>
        </references>
      </pivotArea>
    </format>
    <format dxfId="272">
      <pivotArea dataOnly="0" labelOnly="1" outline="0" fieldPosition="0">
        <references count="2">
          <reference field="0" count="1" selected="0">
            <x v="73"/>
          </reference>
          <reference field="1" count="1">
            <x v="7"/>
          </reference>
        </references>
      </pivotArea>
    </format>
    <format dxfId="271">
      <pivotArea dataOnly="0" labelOnly="1" outline="0" fieldPosition="0">
        <references count="2">
          <reference field="0" count="1" selected="0">
            <x v="74"/>
          </reference>
          <reference field="1" count="1">
            <x v="9"/>
          </reference>
        </references>
      </pivotArea>
    </format>
    <format dxfId="270">
      <pivotArea dataOnly="0" labelOnly="1" outline="0" fieldPosition="0">
        <references count="2">
          <reference field="0" count="1" selected="0">
            <x v="75"/>
          </reference>
          <reference field="1" count="1">
            <x v="10"/>
          </reference>
        </references>
      </pivotArea>
    </format>
    <format dxfId="269">
      <pivotArea dataOnly="0" labelOnly="1" outline="0" fieldPosition="0">
        <references count="2">
          <reference field="0" count="1" selected="0">
            <x v="76"/>
          </reference>
          <reference field="1" count="1">
            <x v="11"/>
          </reference>
        </references>
      </pivotArea>
    </format>
    <format dxfId="268">
      <pivotArea dataOnly="0" labelOnly="1" outline="0" fieldPosition="0">
        <references count="2">
          <reference field="0" count="1" selected="0">
            <x v="77"/>
          </reference>
          <reference field="1" count="1">
            <x v="13"/>
          </reference>
        </references>
      </pivotArea>
    </format>
    <format dxfId="267">
      <pivotArea dataOnly="0" labelOnly="1" outline="0" fieldPosition="0">
        <references count="2">
          <reference field="0" count="1" selected="0">
            <x v="78"/>
          </reference>
          <reference field="1" count="1">
            <x v="14"/>
          </reference>
        </references>
      </pivotArea>
    </format>
    <format dxfId="266">
      <pivotArea dataOnly="0" labelOnly="1" outline="0" fieldPosition="0">
        <references count="2">
          <reference field="0" count="1" selected="0">
            <x v="79"/>
          </reference>
          <reference field="1" count="1">
            <x v="17"/>
          </reference>
        </references>
      </pivotArea>
    </format>
    <format dxfId="265">
      <pivotArea dataOnly="0" labelOnly="1" outline="0" fieldPosition="0">
        <references count="2">
          <reference field="0" count="1" selected="0">
            <x v="80"/>
          </reference>
          <reference field="1" count="1">
            <x v="15"/>
          </reference>
        </references>
      </pivotArea>
    </format>
    <format dxfId="264">
      <pivotArea dataOnly="0" labelOnly="1" outline="0" fieldPosition="0">
        <references count="2">
          <reference field="0" count="1" selected="0">
            <x v="81"/>
          </reference>
          <reference field="1" count="1">
            <x v="16"/>
          </reference>
        </references>
      </pivotArea>
    </format>
    <format dxfId="263">
      <pivotArea dataOnly="0" labelOnly="1" outline="0" fieldPosition="0">
        <references count="2">
          <reference field="0" count="1" selected="0">
            <x v="82"/>
          </reference>
          <reference field="1" count="1">
            <x v="18"/>
          </reference>
        </references>
      </pivotArea>
    </format>
    <format dxfId="262">
      <pivotArea dataOnly="0" labelOnly="1" outline="0" fieldPosition="0">
        <references count="2">
          <reference field="0" count="1" selected="0">
            <x v="83"/>
          </reference>
          <reference field="1" count="1">
            <x v="19"/>
          </reference>
        </references>
      </pivotArea>
    </format>
    <format dxfId="261">
      <pivotArea dataOnly="0" labelOnly="1" outline="0" fieldPosition="0">
        <references count="2">
          <reference field="0" count="1" selected="0">
            <x v="84"/>
          </reference>
          <reference field="1" count="1">
            <x v="29"/>
          </reference>
        </references>
      </pivotArea>
    </format>
    <format dxfId="260">
      <pivotArea dataOnly="0" labelOnly="1" outline="0" fieldPosition="0">
        <references count="2">
          <reference field="0" count="1" selected="0">
            <x v="85"/>
          </reference>
          <reference field="1" count="1">
            <x v="30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86"/>
          </reference>
          <reference field="1" count="1">
            <x v="31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87"/>
          </reference>
          <reference field="1" count="1">
            <x v="35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88"/>
          </reference>
          <reference field="1" count="1">
            <x v="36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89"/>
          </reference>
          <reference field="1" count="1">
            <x v="47"/>
          </reference>
        </references>
      </pivotArea>
    </format>
    <format dxfId="255">
      <pivotArea dataOnly="0" labelOnly="1" outline="0" fieldPosition="0">
        <references count="2">
          <reference field="0" count="1" selected="0">
            <x v="90"/>
          </reference>
          <reference field="1" count="1">
            <x v="48"/>
          </reference>
        </references>
      </pivotArea>
    </format>
    <format dxfId="254">
      <pivotArea dataOnly="0" labelOnly="1" outline="0" fieldPosition="0">
        <references count="2">
          <reference field="0" count="1" selected="0">
            <x v="91"/>
          </reference>
          <reference field="1" count="1">
            <x v="49"/>
          </reference>
        </references>
      </pivotArea>
    </format>
    <format dxfId="253">
      <pivotArea dataOnly="0" labelOnly="1" outline="0" fieldPosition="0">
        <references count="2">
          <reference field="0" count="1" selected="0">
            <x v="92"/>
          </reference>
          <reference field="1" count="1">
            <x v="50"/>
          </reference>
        </references>
      </pivotArea>
    </format>
    <format dxfId="252">
      <pivotArea dataOnly="0" labelOnly="1" outline="0" fieldPosition="0">
        <references count="2">
          <reference field="0" count="1" selected="0">
            <x v="93"/>
          </reference>
          <reference field="1" count="1">
            <x v="51"/>
          </reference>
        </references>
      </pivotArea>
    </format>
    <format dxfId="251">
      <pivotArea dataOnly="0" labelOnly="1" outline="0" fieldPosition="0">
        <references count="2">
          <reference field="0" count="1" selected="0">
            <x v="94"/>
          </reference>
          <reference field="1" count="1">
            <x v="52"/>
          </reference>
        </references>
      </pivotArea>
    </format>
    <format dxfId="250">
      <pivotArea dataOnly="0" labelOnly="1" outline="0" fieldPosition="0">
        <references count="2">
          <reference field="0" count="1" selected="0">
            <x v="95"/>
          </reference>
          <reference field="1" count="1">
            <x v="53"/>
          </reference>
        </references>
      </pivotArea>
    </format>
    <format dxfId="249">
      <pivotArea dataOnly="0" labelOnly="1" outline="0" fieldPosition="0">
        <references count="2">
          <reference field="0" count="1" selected="0">
            <x v="96"/>
          </reference>
          <reference field="1" count="1">
            <x v="54"/>
          </reference>
        </references>
      </pivotArea>
    </format>
    <format dxfId="248">
      <pivotArea dataOnly="0" labelOnly="1" outline="0" fieldPosition="0">
        <references count="2">
          <reference field="0" count="1" selected="0">
            <x v="97"/>
          </reference>
          <reference field="1" count="1">
            <x v="55"/>
          </reference>
        </references>
      </pivotArea>
    </format>
    <format dxfId="247">
      <pivotArea dataOnly="0" labelOnly="1" outline="0" fieldPosition="0">
        <references count="2">
          <reference field="0" count="1" selected="0">
            <x v="98"/>
          </reference>
          <reference field="1" count="1">
            <x v="56"/>
          </reference>
        </references>
      </pivotArea>
    </format>
    <format dxfId="246">
      <pivotArea dataOnly="0" labelOnly="1" outline="0" fieldPosition="0">
        <references count="2">
          <reference field="0" count="1" selected="0">
            <x v="99"/>
          </reference>
          <reference field="1" count="1">
            <x v="57"/>
          </reference>
        </references>
      </pivotArea>
    </format>
    <format dxfId="245">
      <pivotArea dataOnly="0" labelOnly="1" outline="0" fieldPosition="0">
        <references count="2">
          <reference field="0" count="1" selected="0">
            <x v="100"/>
          </reference>
          <reference field="1" count="1">
            <x v="58"/>
          </reference>
        </references>
      </pivotArea>
    </format>
    <format dxfId="244">
      <pivotArea dataOnly="0" labelOnly="1" outline="0" fieldPosition="0">
        <references count="2">
          <reference field="0" count="1" selected="0">
            <x v="101"/>
          </reference>
          <reference field="1" count="1">
            <x v="59"/>
          </reference>
        </references>
      </pivotArea>
    </format>
    <format dxfId="243">
      <pivotArea dataOnly="0" labelOnly="1" outline="0" fieldPosition="0">
        <references count="2">
          <reference field="0" count="1" selected="0">
            <x v="102"/>
          </reference>
          <reference field="1" count="1">
            <x v="60"/>
          </reference>
        </references>
      </pivotArea>
    </format>
    <format dxfId="242">
      <pivotArea dataOnly="0" labelOnly="1" outline="0" fieldPosition="0">
        <references count="2">
          <reference field="0" count="1" selected="0">
            <x v="103"/>
          </reference>
          <reference field="1" count="1">
            <x v="61"/>
          </reference>
        </references>
      </pivotArea>
    </format>
    <format dxfId="241">
      <pivotArea dataOnly="0" labelOnly="1" outline="0" fieldPosition="0">
        <references count="2">
          <reference field="0" count="1" selected="0">
            <x v="104"/>
          </reference>
          <reference field="1" count="1">
            <x v="62"/>
          </reference>
        </references>
      </pivotArea>
    </format>
    <format dxfId="240">
      <pivotArea dataOnly="0" labelOnly="1" outline="0" fieldPosition="0">
        <references count="2">
          <reference field="0" count="1" selected="0">
            <x v="105"/>
          </reference>
          <reference field="1" count="1">
            <x v="63"/>
          </reference>
        </references>
      </pivotArea>
    </format>
    <format dxfId="239">
      <pivotArea dataOnly="0" labelOnly="1" outline="0" fieldPosition="0">
        <references count="2">
          <reference field="0" count="1" selected="0">
            <x v="106"/>
          </reference>
          <reference field="1" count="1">
            <x v="32"/>
          </reference>
        </references>
      </pivotArea>
    </format>
    <format dxfId="238">
      <pivotArea dataOnly="0" labelOnly="1" outline="0" fieldPosition="0">
        <references count="2">
          <reference field="0" count="1" selected="0">
            <x v="107"/>
          </reference>
          <reference field="1" count="1">
            <x v="33"/>
          </reference>
        </references>
      </pivotArea>
    </format>
    <format dxfId="237">
      <pivotArea dataOnly="0" labelOnly="1" outline="0" fieldPosition="0">
        <references count="2">
          <reference field="0" count="1" selected="0">
            <x v="108"/>
          </reference>
          <reference field="1" count="1">
            <x v="34"/>
          </reference>
        </references>
      </pivotArea>
    </format>
    <format dxfId="236">
      <pivotArea type="all" dataOnly="0" outline="0" fieldPosition="0"/>
    </format>
    <format dxfId="235">
      <pivotArea field="0" type="button" dataOnly="0" labelOnly="1" outline="0" axis="axisRow" fieldPosition="0"/>
    </format>
    <format dxfId="234">
      <pivotArea field="1" type="button" dataOnly="0" labelOnly="1" outline="0" axis="axisRow" fieldPosition="1"/>
    </format>
    <format dxfId="233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32">
      <pivotArea dataOnly="0" labelOnly="1" outline="0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31">
      <pivotArea dataOnly="0" labelOnly="1" outline="0" fieldPosition="0">
        <references count="1">
          <reference field="0" count="9">
            <x v="100"/>
            <x v="101"/>
            <x v="102"/>
            <x v="103"/>
            <x v="104"/>
            <x v="105"/>
            <x v="106"/>
            <x v="107"/>
            <x v="108"/>
          </reference>
        </references>
      </pivotArea>
    </format>
    <format dxfId="230">
      <pivotArea dataOnly="0" labelOnly="1" grandRow="1" outline="0" fieldPosition="0"/>
    </format>
    <format dxfId="229">
      <pivotArea dataOnly="0" labelOnly="1" outline="0" fieldPosition="0">
        <references count="2">
          <reference field="0" count="1" selected="0">
            <x v="0"/>
          </reference>
          <reference field="1" count="1">
            <x v="77"/>
          </reference>
        </references>
      </pivotArea>
    </format>
    <format dxfId="228">
      <pivotArea dataOnly="0" labelOnly="1" outline="0" fieldPosition="0">
        <references count="2">
          <reference field="0" count="1" selected="0">
            <x v="1"/>
          </reference>
          <reference field="1" count="1">
            <x v="37"/>
          </reference>
        </references>
      </pivotArea>
    </format>
    <format dxfId="227">
      <pivotArea dataOnly="0" labelOnly="1" outline="0" fieldPosition="0">
        <references count="2">
          <reference field="0" count="1" selected="0">
            <x v="2"/>
          </reference>
          <reference field="1" count="1">
            <x v="38"/>
          </reference>
        </references>
      </pivotArea>
    </format>
    <format dxfId="226">
      <pivotArea dataOnly="0" labelOnly="1" outline="0" fieldPosition="0">
        <references count="2">
          <reference field="0" count="1" selected="0">
            <x v="3"/>
          </reference>
          <reference field="1" count="1">
            <x v="39"/>
          </reference>
        </references>
      </pivotArea>
    </format>
    <format dxfId="225">
      <pivotArea dataOnly="0" labelOnly="1" outline="0" fieldPosition="0">
        <references count="2">
          <reference field="0" count="1" selected="0">
            <x v="4"/>
          </reference>
          <reference field="1" count="1">
            <x v="40"/>
          </reference>
        </references>
      </pivotArea>
    </format>
    <format dxfId="224">
      <pivotArea dataOnly="0" labelOnly="1" outline="0" fieldPosition="0">
        <references count="2">
          <reference field="0" count="1" selected="0">
            <x v="5"/>
          </reference>
          <reference field="1" count="1">
            <x v="41"/>
          </reference>
        </references>
      </pivotArea>
    </format>
    <format dxfId="223">
      <pivotArea dataOnly="0" labelOnly="1" outline="0" fieldPosition="0">
        <references count="2">
          <reference field="0" count="1" selected="0">
            <x v="6"/>
          </reference>
          <reference field="1" count="1">
            <x v="42"/>
          </reference>
        </references>
      </pivotArea>
    </format>
    <format dxfId="222">
      <pivotArea dataOnly="0" labelOnly="1" outline="0" fieldPosition="0">
        <references count="2">
          <reference field="0" count="1" selected="0">
            <x v="7"/>
          </reference>
          <reference field="1" count="1">
            <x v="1"/>
          </reference>
        </references>
      </pivotArea>
    </format>
    <format dxfId="221">
      <pivotArea dataOnly="0" labelOnly="1" outline="0" fieldPosition="0">
        <references count="2">
          <reference field="0" count="1" selected="0">
            <x v="8"/>
          </reference>
          <reference field="1" count="1">
            <x v="0"/>
          </reference>
        </references>
      </pivotArea>
    </format>
    <format dxfId="220">
      <pivotArea dataOnly="0" labelOnly="1" outline="0" fieldPosition="0">
        <references count="2">
          <reference field="0" count="1" selected="0">
            <x v="9"/>
          </reference>
          <reference field="1" count="1">
            <x v="104"/>
          </reference>
        </references>
      </pivotArea>
    </format>
    <format dxfId="219">
      <pivotArea dataOnly="0" labelOnly="1" outline="0" fieldPosition="0">
        <references count="2">
          <reference field="0" count="1" selected="0">
            <x v="10"/>
          </reference>
          <reference field="1" count="1">
            <x v="108"/>
          </reference>
        </references>
      </pivotArea>
    </format>
    <format dxfId="218">
      <pivotArea dataOnly="0" labelOnly="1" outline="0" fieldPosition="0">
        <references count="2">
          <reference field="0" count="1" selected="0">
            <x v="11"/>
          </reference>
          <reference field="1" count="1">
            <x v="102"/>
          </reference>
        </references>
      </pivotArea>
    </format>
    <format dxfId="217">
      <pivotArea dataOnly="0" labelOnly="1" outline="0" fieldPosition="0">
        <references count="2">
          <reference field="0" count="1" selected="0">
            <x v="12"/>
          </reference>
          <reference field="1" count="1">
            <x v="107"/>
          </reference>
        </references>
      </pivotArea>
    </format>
    <format dxfId="216">
      <pivotArea dataOnly="0" labelOnly="1" outline="0" fieldPosition="0">
        <references count="2">
          <reference field="0" count="1" selected="0">
            <x v="13"/>
          </reference>
          <reference field="1" count="1">
            <x v="101"/>
          </reference>
        </references>
      </pivotArea>
    </format>
    <format dxfId="215">
      <pivotArea dataOnly="0" labelOnly="1" outline="0" fieldPosition="0">
        <references count="2">
          <reference field="0" count="1" selected="0">
            <x v="14"/>
          </reference>
          <reference field="1" count="1">
            <x v="100"/>
          </reference>
        </references>
      </pivotArea>
    </format>
    <format dxfId="214">
      <pivotArea dataOnly="0" labelOnly="1" outline="0" fieldPosition="0">
        <references count="2">
          <reference field="0" count="1" selected="0">
            <x v="15"/>
          </reference>
          <reference field="1" count="1">
            <x v="103"/>
          </reference>
        </references>
      </pivotArea>
    </format>
    <format dxfId="213">
      <pivotArea dataOnly="0" labelOnly="1" outline="0" fieldPosition="0">
        <references count="2">
          <reference field="0" count="1" selected="0">
            <x v="16"/>
          </reference>
          <reference field="1" count="1">
            <x v="99"/>
          </reference>
        </references>
      </pivotArea>
    </format>
    <format dxfId="212">
      <pivotArea dataOnly="0" labelOnly="1" outline="0" fieldPosition="0">
        <references count="2">
          <reference field="0" count="1" selected="0">
            <x v="17"/>
          </reference>
          <reference field="1" count="1">
            <x v="106"/>
          </reference>
        </references>
      </pivotArea>
    </format>
    <format dxfId="211">
      <pivotArea dataOnly="0" labelOnly="1" outline="0" fieldPosition="0">
        <references count="2">
          <reference field="0" count="1" selected="0">
            <x v="18"/>
          </reference>
          <reference field="1" count="1">
            <x v="78"/>
          </reference>
        </references>
      </pivotArea>
    </format>
    <format dxfId="210">
      <pivotArea dataOnly="0" labelOnly="1" outline="0" fieldPosition="0">
        <references count="2">
          <reference field="0" count="1" selected="0">
            <x v="19"/>
          </reference>
          <reference field="1" count="1">
            <x v="105"/>
          </reference>
        </references>
      </pivotArea>
    </format>
    <format dxfId="209">
      <pivotArea dataOnly="0" labelOnly="1" outline="0" fieldPosition="0">
        <references count="2">
          <reference field="0" count="1" selected="0">
            <x v="20"/>
          </reference>
          <reference field="1" count="1">
            <x v="81"/>
          </reference>
        </references>
      </pivotArea>
    </format>
    <format dxfId="208">
      <pivotArea dataOnly="0" labelOnly="1" outline="0" fieldPosition="0">
        <references count="2">
          <reference field="0" count="1" selected="0">
            <x v="21"/>
          </reference>
          <reference field="1" count="1">
            <x v="79"/>
          </reference>
        </references>
      </pivotArea>
    </format>
    <format dxfId="207">
      <pivotArea dataOnly="0" labelOnly="1" outline="0" fieldPosition="0">
        <references count="2">
          <reference field="0" count="1" selected="0">
            <x v="22"/>
          </reference>
          <reference field="1" count="1">
            <x v="93"/>
          </reference>
        </references>
      </pivotArea>
    </format>
    <format dxfId="206">
      <pivotArea dataOnly="0" labelOnly="1" outline="0" fieldPosition="0">
        <references count="2">
          <reference field="0" count="1" selected="0">
            <x v="23"/>
          </reference>
          <reference field="1" count="1">
            <x v="89"/>
          </reference>
        </references>
      </pivotArea>
    </format>
    <format dxfId="205">
      <pivotArea dataOnly="0" labelOnly="1" outline="0" fieldPosition="0">
        <references count="2">
          <reference field="0" count="1" selected="0">
            <x v="24"/>
          </reference>
          <reference field="1" count="1">
            <x v="88"/>
          </reference>
        </references>
      </pivotArea>
    </format>
    <format dxfId="204">
      <pivotArea dataOnly="0" labelOnly="1" outline="0" fieldPosition="0">
        <references count="2">
          <reference field="0" count="1" selected="0">
            <x v="25"/>
          </reference>
          <reference field="1" count="1">
            <x v="91"/>
          </reference>
        </references>
      </pivotArea>
    </format>
    <format dxfId="203">
      <pivotArea dataOnly="0" labelOnly="1" outline="0" fieldPosition="0">
        <references count="2">
          <reference field="0" count="1" selected="0">
            <x v="26"/>
          </reference>
          <reference field="1" count="1">
            <x v="85"/>
          </reference>
        </references>
      </pivotArea>
    </format>
    <format dxfId="202">
      <pivotArea dataOnly="0" labelOnly="1" outline="0" fieldPosition="0">
        <references count="2">
          <reference field="0" count="1" selected="0">
            <x v="27"/>
          </reference>
          <reference field="1" count="1">
            <x v="92"/>
          </reference>
        </references>
      </pivotArea>
    </format>
    <format dxfId="201">
      <pivotArea dataOnly="0" labelOnly="1" outline="0" fieldPosition="0">
        <references count="2">
          <reference field="0" count="1" selected="0">
            <x v="28"/>
          </reference>
          <reference field="1" count="1">
            <x v="83"/>
          </reference>
        </references>
      </pivotArea>
    </format>
    <format dxfId="200">
      <pivotArea dataOnly="0" labelOnly="1" outline="0" fieldPosition="0">
        <references count="2">
          <reference field="0" count="1" selected="0">
            <x v="29"/>
          </reference>
          <reference field="1" count="1">
            <x v="94"/>
          </reference>
        </references>
      </pivotArea>
    </format>
    <format dxfId="199">
      <pivotArea dataOnly="0" labelOnly="1" outline="0" fieldPosition="0">
        <references count="2">
          <reference field="0" count="1" selected="0">
            <x v="30"/>
          </reference>
          <reference field="1" count="1">
            <x v="82"/>
          </reference>
        </references>
      </pivotArea>
    </format>
    <format dxfId="198">
      <pivotArea dataOnly="0" labelOnly="1" outline="0" fieldPosition="0">
        <references count="2">
          <reference field="0" count="1" selected="0">
            <x v="31"/>
          </reference>
          <reference field="1" count="1">
            <x v="86"/>
          </reference>
        </references>
      </pivotArea>
    </format>
    <format dxfId="197">
      <pivotArea dataOnly="0" labelOnly="1" outline="0" fieldPosition="0">
        <references count="2">
          <reference field="0" count="1" selected="0">
            <x v="32"/>
          </reference>
          <reference field="1" count="1">
            <x v="87"/>
          </reference>
        </references>
      </pivotArea>
    </format>
    <format dxfId="196">
      <pivotArea dataOnly="0" labelOnly="1" outline="0" fieldPosition="0">
        <references count="2">
          <reference field="0" count="1" selected="0">
            <x v="33"/>
          </reference>
          <reference field="1" count="1">
            <x v="97"/>
          </reference>
        </references>
      </pivotArea>
    </format>
    <format dxfId="195">
      <pivotArea dataOnly="0" labelOnly="1" outline="0" fieldPosition="0">
        <references count="2">
          <reference field="0" count="1" selected="0">
            <x v="34"/>
          </reference>
          <reference field="1" count="1">
            <x v="90"/>
          </reference>
        </references>
      </pivotArea>
    </format>
    <format dxfId="194">
      <pivotArea dataOnly="0" labelOnly="1" outline="0" fieldPosition="0">
        <references count="2">
          <reference field="0" count="1" selected="0">
            <x v="35"/>
          </reference>
          <reference field="1" count="1">
            <x v="84"/>
          </reference>
        </references>
      </pivotArea>
    </format>
    <format dxfId="193">
      <pivotArea dataOnly="0" labelOnly="1" outline="0" fieldPosition="0">
        <references count="2">
          <reference field="0" count="1" selected="0">
            <x v="36"/>
          </reference>
          <reference field="1" count="1">
            <x v="80"/>
          </reference>
        </references>
      </pivotArea>
    </format>
    <format dxfId="192">
      <pivotArea dataOnly="0" labelOnly="1" outline="0" fieldPosition="0">
        <references count="2">
          <reference field="0" count="1" selected="0">
            <x v="37"/>
          </reference>
          <reference field="1" count="1">
            <x v="98"/>
          </reference>
        </references>
      </pivotArea>
    </format>
    <format dxfId="191">
      <pivotArea dataOnly="0" labelOnly="1" outline="0" fieldPosition="0">
        <references count="2">
          <reference field="0" count="1" selected="0">
            <x v="38"/>
          </reference>
          <reference field="1" count="1">
            <x v="95"/>
          </reference>
        </references>
      </pivotArea>
    </format>
    <format dxfId="190">
      <pivotArea dataOnly="0" labelOnly="1" outline="0" fieldPosition="0">
        <references count="2">
          <reference field="0" count="1" selected="0">
            <x v="39"/>
          </reference>
          <reference field="1" count="1">
            <x v="96"/>
          </reference>
        </references>
      </pivotArea>
    </format>
    <format dxfId="189">
      <pivotArea dataOnly="0" labelOnly="1" outline="0" fieldPosition="0">
        <references count="2">
          <reference field="0" count="1" selected="0">
            <x v="40"/>
          </reference>
          <reference field="1" count="1">
            <x v="4"/>
          </reference>
        </references>
      </pivotArea>
    </format>
    <format dxfId="188">
      <pivotArea dataOnly="0" labelOnly="1" outline="0" fieldPosition="0">
        <references count="2">
          <reference field="0" count="1" selected="0">
            <x v="41"/>
          </reference>
          <reference field="1" count="1">
            <x v="3"/>
          </reference>
        </references>
      </pivotArea>
    </format>
    <format dxfId="187">
      <pivotArea dataOnly="0" labelOnly="1" outline="0" fieldPosition="0">
        <references count="2">
          <reference field="0" count="1" selected="0">
            <x v="42"/>
          </reference>
          <reference field="1" count="1">
            <x v="2"/>
          </reference>
        </references>
      </pivotArea>
    </format>
    <format dxfId="186">
      <pivotArea dataOnly="0" labelOnly="1" outline="0" fieldPosition="0">
        <references count="2">
          <reference field="0" count="1" selected="0">
            <x v="43"/>
          </reference>
          <reference field="1" count="1">
            <x v="24"/>
          </reference>
        </references>
      </pivotArea>
    </format>
    <format dxfId="185">
      <pivotArea dataOnly="0" labelOnly="1" outline="0" fieldPosition="0">
        <references count="2">
          <reference field="0" count="1" selected="0">
            <x v="44"/>
          </reference>
          <reference field="1" count="1">
            <x v="23"/>
          </reference>
        </references>
      </pivotArea>
    </format>
    <format dxfId="184">
      <pivotArea dataOnly="0" labelOnly="1" outline="0" fieldPosition="0">
        <references count="2">
          <reference field="0" count="1" selected="0">
            <x v="45"/>
          </reference>
          <reference field="1" count="1">
            <x v="20"/>
          </reference>
        </references>
      </pivotArea>
    </format>
    <format dxfId="183">
      <pivotArea dataOnly="0" labelOnly="1" outline="0" fieldPosition="0">
        <references count="2">
          <reference field="0" count="1" selected="0">
            <x v="46"/>
          </reference>
          <reference field="1" count="1">
            <x v="21"/>
          </reference>
        </references>
      </pivotArea>
    </format>
    <format dxfId="182">
      <pivotArea dataOnly="0" labelOnly="1" outline="0" fieldPosition="0">
        <references count="2">
          <reference field="0" count="1" selected="0">
            <x v="47"/>
          </reference>
          <reference field="1" count="1">
            <x v="22"/>
          </reference>
        </references>
      </pivotArea>
    </format>
    <format dxfId="181">
      <pivotArea dataOnly="0" labelOnly="1" outline="0" fieldPosition="0">
        <references count="2">
          <reference field="0" count="1" selected="0">
            <x v="48"/>
          </reference>
          <reference field="1" count="1">
            <x v="25"/>
          </reference>
        </references>
      </pivotArea>
    </format>
    <format dxfId="180">
      <pivotArea dataOnly="0" labelOnly="1" outline="0" fieldPosition="0">
        <references count="2">
          <reference field="0" count="1" selected="0">
            <x v="49"/>
          </reference>
          <reference field="1" count="1">
            <x v="26"/>
          </reference>
        </references>
      </pivotArea>
    </format>
    <format dxfId="179">
      <pivotArea dataOnly="0" labelOnly="1" outline="0" fieldPosition="0">
        <references count="2">
          <reference field="0" count="1" selected="0">
            <x v="50"/>
          </reference>
          <reference field="1" count="1">
            <x v="27"/>
          </reference>
        </references>
      </pivotArea>
    </format>
    <format dxfId="178">
      <pivotArea dataOnly="0" labelOnly="1" outline="0" fieldPosition="0">
        <references count="2">
          <reference field="0" count="1" selected="0">
            <x v="51"/>
          </reference>
          <reference field="1" count="1">
            <x v="28"/>
          </reference>
        </references>
      </pivotArea>
    </format>
    <format dxfId="177">
      <pivotArea dataOnly="0" labelOnly="1" outline="0" fieldPosition="0">
        <references count="2">
          <reference field="0" count="1" selected="0">
            <x v="52"/>
          </reference>
          <reference field="1" count="1">
            <x v="43"/>
          </reference>
        </references>
      </pivotArea>
    </format>
    <format dxfId="176">
      <pivotArea dataOnly="0" labelOnly="1" outline="0" fieldPosition="0">
        <references count="2">
          <reference field="0" count="1" selected="0">
            <x v="53"/>
          </reference>
          <reference field="1" count="1">
            <x v="44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54"/>
          </reference>
          <reference field="1" count="1">
            <x v="45"/>
          </reference>
        </references>
      </pivotArea>
    </format>
    <format dxfId="174">
      <pivotArea dataOnly="0" labelOnly="1" outline="0" fieldPosition="0">
        <references count="2">
          <reference field="0" count="1" selected="0">
            <x v="55"/>
          </reference>
          <reference field="1" count="1">
            <x v="46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56"/>
          </reference>
          <reference field="1" count="1">
            <x v="72"/>
          </reference>
        </references>
      </pivotArea>
    </format>
    <format dxfId="172">
      <pivotArea dataOnly="0" labelOnly="1" outline="0" fieldPosition="0">
        <references count="2">
          <reference field="0" count="1" selected="0">
            <x v="57"/>
          </reference>
          <reference field="1" count="1">
            <x v="68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58"/>
          </reference>
          <reference field="1" count="1">
            <x v="74"/>
          </reference>
        </references>
      </pivotArea>
    </format>
    <format dxfId="170">
      <pivotArea dataOnly="0" labelOnly="1" outline="0" fieldPosition="0">
        <references count="2">
          <reference field="0" count="1" selected="0">
            <x v="59"/>
          </reference>
          <reference field="1" count="1">
            <x v="69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60"/>
          </reference>
          <reference field="1" count="1">
            <x v="71"/>
          </reference>
        </references>
      </pivotArea>
    </format>
    <format dxfId="168">
      <pivotArea dataOnly="0" labelOnly="1" outline="0" fieldPosition="0">
        <references count="2">
          <reference field="0" count="1" selected="0">
            <x v="61"/>
          </reference>
          <reference field="1" count="1">
            <x v="76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62"/>
          </reference>
          <reference field="1" count="1">
            <x v="67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63"/>
          </reference>
          <reference field="1" count="1">
            <x v="75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64"/>
          </reference>
          <reference field="1" count="1">
            <x v="66"/>
          </reference>
        </references>
      </pivotArea>
    </format>
    <format dxfId="164">
      <pivotArea dataOnly="0" labelOnly="1" outline="0" fieldPosition="0">
        <references count="2">
          <reference field="0" count="1" selected="0">
            <x v="65"/>
          </reference>
          <reference field="1" count="1">
            <x v="65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66"/>
          </reference>
          <reference field="1" count="1">
            <x v="73"/>
          </reference>
        </references>
      </pivotArea>
    </format>
    <format dxfId="162">
      <pivotArea dataOnly="0" labelOnly="1" outline="0" fieldPosition="0">
        <references count="2">
          <reference field="0" count="1" selected="0">
            <x v="67"/>
          </reference>
          <reference field="1" count="1">
            <x v="64"/>
          </reference>
        </references>
      </pivotArea>
    </format>
    <format dxfId="161">
      <pivotArea dataOnly="0" labelOnly="1" outline="0" fieldPosition="0">
        <references count="2">
          <reference field="0" count="1" selected="0">
            <x v="68"/>
          </reference>
          <reference field="1" count="1">
            <x v="70"/>
          </reference>
        </references>
      </pivotArea>
    </format>
    <format dxfId="160">
      <pivotArea dataOnly="0" labelOnly="1" outline="0" fieldPosition="0">
        <references count="2">
          <reference field="0" count="1" selected="0">
            <x v="69"/>
          </reference>
          <reference field="1" count="1">
            <x v="5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70"/>
          </reference>
          <reference field="1" count="1">
            <x v="6"/>
          </reference>
        </references>
      </pivotArea>
    </format>
    <format dxfId="158">
      <pivotArea dataOnly="0" labelOnly="1" outline="0" fieldPosition="0">
        <references count="2">
          <reference field="0" count="1" selected="0">
            <x v="71"/>
          </reference>
          <reference field="1" count="1">
            <x v="8"/>
          </reference>
        </references>
      </pivotArea>
    </format>
    <format dxfId="157">
      <pivotArea dataOnly="0" labelOnly="1" outline="0" fieldPosition="0">
        <references count="2">
          <reference field="0" count="1" selected="0">
            <x v="72"/>
          </reference>
          <reference field="1" count="1">
            <x v="12"/>
          </reference>
        </references>
      </pivotArea>
    </format>
    <format dxfId="156">
      <pivotArea dataOnly="0" labelOnly="1" outline="0" fieldPosition="0">
        <references count="2">
          <reference field="0" count="1" selected="0">
            <x v="73"/>
          </reference>
          <reference field="1" count="1">
            <x v="7"/>
          </reference>
        </references>
      </pivotArea>
    </format>
    <format dxfId="155">
      <pivotArea dataOnly="0" labelOnly="1" outline="0" fieldPosition="0">
        <references count="2">
          <reference field="0" count="1" selected="0">
            <x v="74"/>
          </reference>
          <reference field="1" count="1">
            <x v="9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75"/>
          </reference>
          <reference field="1" count="1">
            <x v="10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76"/>
          </reference>
          <reference field="1" count="1">
            <x v="11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77"/>
          </reference>
          <reference field="1" count="1">
            <x v="13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78"/>
          </reference>
          <reference field="1" count="1">
            <x v="14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79"/>
          </reference>
          <reference field="1" count="1">
            <x v="17"/>
          </reference>
        </references>
      </pivotArea>
    </format>
    <format dxfId="149">
      <pivotArea dataOnly="0" labelOnly="1" outline="0" fieldPosition="0">
        <references count="2">
          <reference field="0" count="1" selected="0">
            <x v="80"/>
          </reference>
          <reference field="1" count="1">
            <x v="15"/>
          </reference>
        </references>
      </pivotArea>
    </format>
    <format dxfId="148">
      <pivotArea dataOnly="0" labelOnly="1" outline="0" fieldPosition="0">
        <references count="2">
          <reference field="0" count="1" selected="0">
            <x v="81"/>
          </reference>
          <reference field="1" count="1">
            <x v="16"/>
          </reference>
        </references>
      </pivotArea>
    </format>
    <format dxfId="147">
      <pivotArea dataOnly="0" labelOnly="1" outline="0" fieldPosition="0">
        <references count="2">
          <reference field="0" count="1" selected="0">
            <x v="82"/>
          </reference>
          <reference field="1" count="1">
            <x v="18"/>
          </reference>
        </references>
      </pivotArea>
    </format>
    <format dxfId="146">
      <pivotArea dataOnly="0" labelOnly="1" outline="0" fieldPosition="0">
        <references count="2">
          <reference field="0" count="1" selected="0">
            <x v="83"/>
          </reference>
          <reference field="1" count="1">
            <x v="19"/>
          </reference>
        </references>
      </pivotArea>
    </format>
    <format dxfId="145">
      <pivotArea dataOnly="0" labelOnly="1" outline="0" fieldPosition="0">
        <references count="2">
          <reference field="0" count="1" selected="0">
            <x v="84"/>
          </reference>
          <reference field="1" count="1">
            <x v="29"/>
          </reference>
        </references>
      </pivotArea>
    </format>
    <format dxfId="144">
      <pivotArea dataOnly="0" labelOnly="1" outline="0" fieldPosition="0">
        <references count="2">
          <reference field="0" count="1" selected="0">
            <x v="85"/>
          </reference>
          <reference field="1" count="1">
            <x v="30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86"/>
          </reference>
          <reference field="1" count="1">
            <x v="31"/>
          </reference>
        </references>
      </pivotArea>
    </format>
    <format dxfId="142">
      <pivotArea dataOnly="0" labelOnly="1" outline="0" fieldPosition="0">
        <references count="2">
          <reference field="0" count="1" selected="0">
            <x v="87"/>
          </reference>
          <reference field="1" count="1">
            <x v="35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88"/>
          </reference>
          <reference field="1" count="1">
            <x v="36"/>
          </reference>
        </references>
      </pivotArea>
    </format>
    <format dxfId="140">
      <pivotArea dataOnly="0" labelOnly="1" outline="0" fieldPosition="0">
        <references count="2">
          <reference field="0" count="1" selected="0">
            <x v="89"/>
          </reference>
          <reference field="1" count="1">
            <x v="47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90"/>
          </reference>
          <reference field="1" count="1">
            <x v="48"/>
          </reference>
        </references>
      </pivotArea>
    </format>
    <format dxfId="138">
      <pivotArea dataOnly="0" labelOnly="1" outline="0" fieldPosition="0">
        <references count="2">
          <reference field="0" count="1" selected="0">
            <x v="91"/>
          </reference>
          <reference field="1" count="1">
            <x v="49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92"/>
          </reference>
          <reference field="1" count="1">
            <x v="50"/>
          </reference>
        </references>
      </pivotArea>
    </format>
    <format dxfId="136">
      <pivotArea dataOnly="0" labelOnly="1" outline="0" fieldPosition="0">
        <references count="2">
          <reference field="0" count="1" selected="0">
            <x v="93"/>
          </reference>
          <reference field="1" count="1">
            <x v="51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94"/>
          </reference>
          <reference field="1" count="1">
            <x v="52"/>
          </reference>
        </references>
      </pivotArea>
    </format>
    <format dxfId="134">
      <pivotArea dataOnly="0" labelOnly="1" outline="0" fieldPosition="0">
        <references count="2">
          <reference field="0" count="1" selected="0">
            <x v="95"/>
          </reference>
          <reference field="1" count="1">
            <x v="53"/>
          </reference>
        </references>
      </pivotArea>
    </format>
    <format dxfId="133">
      <pivotArea dataOnly="0" labelOnly="1" outline="0" fieldPosition="0">
        <references count="2">
          <reference field="0" count="1" selected="0">
            <x v="96"/>
          </reference>
          <reference field="1" count="1">
            <x v="54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97"/>
          </reference>
          <reference field="1" count="1">
            <x v="55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98"/>
          </reference>
          <reference field="1" count="1">
            <x v="56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99"/>
          </reference>
          <reference field="1" count="1">
            <x v="57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100"/>
          </reference>
          <reference field="1" count="1">
            <x v="58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101"/>
          </reference>
          <reference field="1" count="1">
            <x v="59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102"/>
          </reference>
          <reference field="1" count="1">
            <x v="60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103"/>
          </reference>
          <reference field="1" count="1">
            <x v="61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104"/>
          </reference>
          <reference field="1" count="1">
            <x v="62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105"/>
          </reference>
          <reference field="1" count="1">
            <x v="63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106"/>
          </reference>
          <reference field="1" count="1">
            <x v="32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107"/>
          </reference>
          <reference field="1" count="1">
            <x v="33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108"/>
          </reference>
          <reference field="1" count="1">
            <x v="34"/>
          </reference>
        </references>
      </pivotArea>
    </format>
    <format dxfId="120">
      <pivotArea field="0" type="button" dataOnly="0" labelOnly="1" outline="0" axis="axisRow" fieldPosition="0"/>
    </format>
    <format dxfId="119">
      <pivotArea dataOnly="0" labelOnly="1" outline="0" fieldPosition="0">
        <references count="1">
          <reference field="0" count="1">
            <x v="56"/>
          </reference>
        </references>
      </pivotArea>
    </format>
    <format dxfId="118">
      <pivotArea dataOnly="0" labelOnly="1" outline="0" fieldPosition="0">
        <references count="1">
          <reference field="0" count="0"/>
        </references>
      </pivotArea>
    </format>
    <format dxfId="117">
      <pivotArea dataOnly="0" labelOnly="1" outline="0" fieldPosition="0">
        <references count="1">
          <reference field="0" count="0"/>
        </references>
      </pivotArea>
    </format>
    <format dxfId="116">
      <pivotArea dataOnly="0" labelOnly="1" outline="0" fieldPosition="0">
        <references count="1">
          <reference field="1" count="0"/>
        </references>
      </pivotArea>
    </format>
    <format dxfId="115">
      <pivotArea dataOnly="0" labelOnly="1" outline="0" fieldPosition="0">
        <references count="1">
          <reference field="1" count="0"/>
        </references>
      </pivotArea>
    </format>
    <format dxfId="114">
      <pivotArea field="1" type="button" dataOnly="0" labelOnly="1" outline="0" axis="axisRow" fieldPosition="1"/>
    </format>
    <format dxfId="113">
      <pivotArea field="0" type="button" dataOnly="0" labelOnly="1" outline="0" axis="axisRow" fieldPosition="0"/>
    </format>
    <format dxfId="112">
      <pivotArea field="1" type="button" dataOnly="0" labelOnly="1" outline="0" axis="axisRow" fieldPosition="1"/>
    </format>
    <format dxfId="111">
      <pivotArea field="0" type="button" dataOnly="0" labelOnly="1" outline="0" axis="axisRow" fieldPosition="0"/>
    </format>
    <format dxfId="110">
      <pivotArea field="1" type="button" dataOnly="0" labelOnly="1" outline="0" axis="axisRow" fieldPosition="1"/>
    </format>
    <format dxfId="109">
      <pivotArea field="0" type="button" dataOnly="0" labelOnly="1" outline="0" axis="axisRow" fieldPosition="0"/>
    </format>
    <format dxfId="108">
      <pivotArea field="1" type="button" dataOnly="0" labelOnly="1" outline="0" axis="axisRow" fieldPosition="1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0000000}" name="RENDIMIENTO_HRS" cacheId="1" applyNumberFormats="0" applyBorderFormats="0" applyFontFormats="0" applyPatternFormats="0" applyAlignmentFormats="0" applyWidthHeightFormats="1" dataCaption="Valores" showError="1" updatedVersion="8" minRefreshableVersion="3" showDrill="0" rowGrandTotals="0" colGrandTotals="0" itemPrintTitles="1" createdVersion="4" indent="0" compact="0" compactData="0" multipleFieldFilters="0">
  <location ref="A11:H12" firstHeaderRow="0" firstDataRow="1" firstDataCol="0"/>
  <pivotFields count="48">
    <pivotField compact="0" outline="0" showAll="0"/>
    <pivotField compact="0" outline="0" showAll="0"/>
    <pivotField compact="0" outline="0" showAll="0"/>
    <pivotField compact="0" outline="0" showAll="0">
      <items count="13">
        <item h="1" m="1" x="10"/>
        <item h="1" x="0"/>
        <item h="1" m="1" x="8"/>
        <item h="1" x="2"/>
        <item h="1" x="3"/>
        <item h="1" m="1" x="11"/>
        <item h="1" m="1" x="5"/>
        <item h="1" m="1" x="6"/>
        <item h="1" x="4"/>
        <item h="1" m="1" x="9"/>
        <item x="1"/>
        <item h="1" m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0">
        <item h="1" m="1" x="6"/>
        <item h="1" x="5"/>
        <item h="1" x="1"/>
        <item h="1" x="2"/>
        <item h="1" x="3"/>
        <item x="0"/>
        <item h="1" m="1" x="8"/>
        <item h="1" x="4"/>
        <item h="1" m="1" x="7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outline="0" showAll="0"/>
    <pivotField compact="0" numFmtId="3" outline="0" showAll="0"/>
    <pivotField compact="0" outline="0" showAll="0"/>
    <pivotField compact="0" outline="0" showAll="0" defaultSubtota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>
      <items count="14">
        <item m="1" x="11"/>
        <item m="1" x="10"/>
        <item m="1" x="3"/>
        <item x="0"/>
        <item m="1" x="6"/>
        <item m="1" x="13"/>
        <item m="1" x="4"/>
        <item m="1" x="5"/>
        <item m="1" x="12"/>
        <item m="1" x="1"/>
        <item m="1" x="9"/>
        <item m="1" x="7"/>
        <item m="1" x="8"/>
        <item m="1" x="2"/>
      </items>
    </pivotField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Cantidad" fld="10" subtotal="count" baseField="12" baseItem="0" numFmtId="168"/>
    <dataField name="Horas Rodadas  " fld="34" subtotal="average" baseField="1" baseItem="341" numFmtId="168"/>
    <dataField name="Horas Proyectadas" fld="37" subtotal="average" baseField="1" baseItem="341" numFmtId="168"/>
    <dataField name="% Desgaste" fld="30" subtotal="average" baseField="12" baseItem="0" numFmtId="9"/>
    <dataField name="Hrs/mm  " fld="36" subtotal="average" baseField="1" baseItem="341" numFmtId="168"/>
    <dataField name="$/Hr" fld="35" subtotal="average" baseField="1" baseItem="343" numFmtId="164"/>
    <dataField name="$/Hr Proyectado" fld="38" subtotal="average" baseField="1" baseItem="323" numFmtId="164"/>
    <dataField name="NSK." fld="24" subtotal="average" baseField="1" baseItem="424" numFmtId="164"/>
  </dataFields>
  <formats count="30">
    <format dxfId="71">
      <pivotArea type="all" dataOnly="0" outline="0" fieldPosition="0"/>
    </format>
    <format dxfId="70">
      <pivotArea type="all" dataOnly="0" outline="0" fieldPosition="0"/>
    </format>
    <format dxfId="69">
      <pivotArea field="44" type="button" dataOnly="0" labelOnly="1" outline="0"/>
    </format>
    <format dxfId="68">
      <pivotArea field="44" type="button" dataOnly="0" labelOnly="1" outline="0"/>
    </format>
    <format dxfId="67">
      <pivotArea outline="0" fieldPosition="0">
        <references count="1">
          <reference field="4294967294" count="1">
            <x v="3"/>
          </reference>
        </references>
      </pivotArea>
    </format>
    <format dxfId="66">
      <pivotArea outline="0" fieldPosition="0">
        <references count="1">
          <reference field="4294967294" count="1">
            <x v="0"/>
          </reference>
        </references>
      </pivotArea>
    </format>
    <format dxfId="65">
      <pivotArea outline="0" fieldPosition="0">
        <references count="1">
          <reference field="4294967294" count="1">
            <x v="1"/>
          </reference>
        </references>
      </pivotArea>
    </format>
    <format dxfId="64">
      <pivotArea outline="0" fieldPosition="0">
        <references count="1">
          <reference field="4294967294" count="1">
            <x v="2"/>
          </reference>
        </references>
      </pivotArea>
    </format>
    <format dxfId="63">
      <pivotArea outline="0" fieldPosition="0">
        <references count="1">
          <reference field="4294967294" count="1">
            <x v="4"/>
          </reference>
        </references>
      </pivotArea>
    </format>
    <format dxfId="6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6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6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59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5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5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5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5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5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5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52">
      <pivotArea dataOnly="0" outline="0" fieldPosition="0">
        <references count="1">
          <reference field="4294967294" count="2">
            <x v="2"/>
            <x v="6"/>
          </reference>
        </references>
      </pivotArea>
    </format>
    <format dxfId="51">
      <pivotArea dataOnly="0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50">
      <pivotArea outline="0" fieldPosition="0">
        <references count="1">
          <reference field="4294967294" count="1">
            <x v="5"/>
          </reference>
        </references>
      </pivotArea>
    </format>
    <format dxfId="49">
      <pivotArea outline="0" fieldPosition="0">
        <references count="1">
          <reference field="4294967294" count="1">
            <x v="6"/>
          </reference>
        </references>
      </pivotArea>
    </format>
    <format dxfId="48">
      <pivotArea outline="0" collapsedLevelsAreSubtotals="1" fieldPosition="0"/>
    </format>
    <format dxfId="4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6">
      <pivotArea type="all" dataOnly="0" outline="0" fieldPosition="0"/>
    </format>
    <format dxfId="45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4">
      <pivotArea dataOnly="0" outline="0" fieldPosition="0">
        <references count="1">
          <reference field="4294967294" count="1">
            <x v="7"/>
          </reference>
        </references>
      </pivotArea>
    </format>
    <format dxfId="43">
      <pivotArea dataOnly="0" outline="0" fieldPosition="0">
        <references count="1">
          <reference field="4294967294" count="1">
            <x v="7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7"/>
          </reference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2" selected="0">
              <x v="2"/>
              <x v="6"/>
            </reference>
          </references>
        </pivotArea>
      </pivotAreas>
    </conditionalFormat>
  </conditional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A3EEF-C577-475A-8026-C575A831854A}" name="RENDIMIENTO_KMS" cacheId="1" applyNumberFormats="0" applyBorderFormats="0" applyFontFormats="0" applyPatternFormats="0" applyAlignmentFormats="0" applyWidthHeightFormats="1" dataCaption="Valores" showError="1" updatedVersion="8" minRefreshableVersion="3" showDrill="0" rowGrandTotals="0" colGrandTotals="0" itemPrintTitles="1" createdVersion="4" indent="0" compact="0" compactData="0" multipleFieldFilters="0">
  <location ref="N11:U12" firstHeaderRow="0" firstDataRow="1" firstDataCol="0"/>
  <pivotFields count="48">
    <pivotField compact="0" outline="0" showAll="0"/>
    <pivotField compact="0" outline="0" showAll="0"/>
    <pivotField compact="0" outline="0" showAll="0"/>
    <pivotField compact="0" outline="0" showAll="0">
      <items count="13">
        <item h="1" m="1" x="10"/>
        <item h="1" x="0"/>
        <item h="1" m="1" x="8"/>
        <item h="1" x="2"/>
        <item h="1" x="3"/>
        <item h="1" m="1" x="11"/>
        <item h="1" m="1" x="5"/>
        <item h="1" m="1" x="6"/>
        <item h="1" x="4"/>
        <item h="1" m="1" x="9"/>
        <item x="1"/>
        <item h="1" m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0">
        <item h="1" m="1" x="6"/>
        <item h="1" x="5"/>
        <item h="1" x="1"/>
        <item h="1" x="2"/>
        <item h="1" x="3"/>
        <item x="0"/>
        <item h="1" m="1" x="8"/>
        <item h="1" x="4"/>
        <item h="1" m="1" x="7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outline="0" showAll="0"/>
    <pivotField compact="0" numFmtId="3" outline="0" showAll="0"/>
    <pivotField compact="0" outline="0" showAll="0"/>
    <pivotField compact="0" outline="0" showAll="0" defaultSubtota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 defaultSubtotal="0">
      <items count="14">
        <item m="1" x="11"/>
        <item m="1" x="10"/>
        <item m="1" x="3"/>
        <item x="0"/>
        <item m="1" x="6"/>
        <item m="1" x="13"/>
        <item m="1" x="4"/>
        <item m="1" x="5"/>
        <item m="1" x="12"/>
        <item m="1" x="1"/>
        <item m="1" x="9"/>
        <item m="1" x="7"/>
        <item m="1" x="8"/>
        <item m="1" x="2"/>
      </items>
    </pivotField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Cantidad" fld="10" subtotal="count" baseField="12" baseItem="0" numFmtId="168"/>
    <dataField name="Kilómetros Rodados  " fld="39" subtotal="average" baseField="1" baseItem="172" numFmtId="168"/>
    <dataField name="Kilómetros Proyectados" fld="42" subtotal="average" baseField="1" baseItem="175" numFmtId="168"/>
    <dataField name="% Desgaste" fld="30" subtotal="average" baseField="12" baseItem="0" numFmtId="9"/>
    <dataField name="Kms/mm" fld="41" subtotal="average" baseField="2" baseItem="9" numFmtId="168"/>
    <dataField name="$/Km" fld="40" subtotal="average" baseField="1" baseItem="172" numFmtId="171"/>
    <dataField name="$/Km Proyectado" fld="43" subtotal="average" baseField="1" baseItem="247" numFmtId="171"/>
    <dataField name="NSK." fld="24" subtotal="average" baseField="1" baseItem="424" numFmtId="2"/>
  </dataFields>
  <formats count="36">
    <format dxfId="107">
      <pivotArea type="all" dataOnly="0" outline="0" fieldPosition="0"/>
    </format>
    <format dxfId="106">
      <pivotArea type="all" dataOnly="0" outline="0" fieldPosition="0"/>
    </format>
    <format dxfId="105">
      <pivotArea field="44" type="button" dataOnly="0" labelOnly="1" outline="0"/>
    </format>
    <format dxfId="104">
      <pivotArea field="44" type="button" dataOnly="0" labelOnly="1" outline="0"/>
    </format>
    <format dxfId="103">
      <pivotArea outline="0" fieldPosition="0">
        <references count="1">
          <reference field="4294967294" count="1">
            <x v="3"/>
          </reference>
        </references>
      </pivotArea>
    </format>
    <format dxfId="102">
      <pivotArea outline="0" fieldPosition="0">
        <references count="1">
          <reference field="4294967294" count="1">
            <x v="0"/>
          </reference>
        </references>
      </pivotArea>
    </format>
    <format dxfId="101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00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99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98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97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96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95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94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93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92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91">
      <pivotArea dataOnly="0" outline="0" fieldPosition="0">
        <references count="1">
          <reference field="4294967294" count="2">
            <x v="0"/>
            <x v="3"/>
          </reference>
        </references>
      </pivotArea>
    </format>
    <format dxfId="90">
      <pivotArea outline="0" fieldPosition="0">
        <references count="1">
          <reference field="4294967294" count="1">
            <x v="1"/>
          </reference>
        </references>
      </pivotArea>
    </format>
    <format dxfId="8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8">
      <pivotArea dataOnly="0" outline="0" fieldPosition="0">
        <references count="1">
          <reference field="4294967294" count="1">
            <x v="1"/>
          </reference>
        </references>
      </pivotArea>
    </format>
    <format dxfId="8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86">
      <pivotArea dataOnly="0" outline="0" fieldPosition="0">
        <references count="1">
          <reference field="4294967294" count="1">
            <x v="5"/>
          </reference>
        </references>
      </pivotArea>
    </format>
    <format dxfId="85">
      <pivotArea outline="0" fieldPosition="0">
        <references count="1">
          <reference field="4294967294" count="1">
            <x v="5"/>
          </reference>
        </references>
      </pivotArea>
    </format>
    <format dxfId="84">
      <pivotArea outline="0" fieldPosition="0">
        <references count="1">
          <reference field="4294967294" count="1">
            <x v="2"/>
          </reference>
        </references>
      </pivotArea>
    </format>
    <format dxfId="8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2">
      <pivotArea dataOnly="0" outline="0" fieldPosition="0">
        <references count="1">
          <reference field="4294967294" count="1">
            <x v="2"/>
          </reference>
        </references>
      </pivotArea>
    </format>
    <format dxfId="81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8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79">
      <pivotArea dataOnly="0" outline="0" fieldPosition="0">
        <references count="1">
          <reference field="4294967294" count="1">
            <x v="6"/>
          </reference>
        </references>
      </pivotArea>
    </format>
    <format dxfId="78">
      <pivotArea outline="0" fieldPosition="0">
        <references count="1">
          <reference field="4294967294" count="1">
            <x v="6"/>
          </reference>
        </references>
      </pivotArea>
    </format>
    <format dxfId="7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6">
      <pivotArea dataOnly="0" outline="0" fieldPosition="0">
        <references count="1">
          <reference field="4294967294" count="1">
            <x v="4"/>
          </reference>
        </references>
      </pivotArea>
    </format>
    <format dxfId="75">
      <pivotArea outline="0" fieldPosition="0">
        <references count="1">
          <reference field="4294967294" count="1">
            <x v="4"/>
          </reference>
        </references>
      </pivotArea>
    </format>
    <format dxfId="74">
      <pivotArea type="all" dataOnly="0" outline="0" fieldPosition="0"/>
    </format>
    <format dxfId="73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72">
      <pivotArea outline="0" fieldPosition="0">
        <references count="1">
          <reference field="4294967294" count="1" selected="0">
            <x v="7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ituación_Actual" xr10:uid="{B7ED4431-6BBB-466D-893E-683DE68F29B5}" sourceName="Situación Actual">
  <pivotTables>
    <pivotTable tabId="42" name="RENDIMIENTO_HRS"/>
    <pivotTable tabId="42" name="RENDIMIENTO_KMS"/>
  </pivotTables>
  <data>
    <tabular pivotCacheId="1">
      <items count="14">
        <i x="0" s="1"/>
        <i x="8" s="1" nd="1"/>
        <i x="11" s="1" nd="1"/>
        <i x="7" s="1" nd="1"/>
        <i x="12" s="1" nd="1"/>
        <i x="1" s="1" nd="1"/>
        <i x="10" s="1" nd="1"/>
        <i x="5" s="1" nd="1"/>
        <i x="3" s="1" nd="1"/>
        <i x="6" s="1" nd="1"/>
        <i x="9" s="1" nd="1"/>
        <i x="13" s="1" nd="1"/>
        <i x="2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je" xr10:uid="{88CFE463-57E0-4258-A4CF-38BF07D3A166}" sourceName="Eje">
  <pivotTables>
    <pivotTable tabId="42" name="RENDIMIENTO_HRS"/>
    <pivotTable tabId="42" name="RENDIMIENTO_KMS"/>
  </pivotTables>
  <data>
    <tabular pivotCacheId="1">
      <items count="12">
        <i x="0"/>
        <i x="2"/>
        <i x="3"/>
        <i x="4"/>
        <i x="1" s="1"/>
        <i x="10" nd="1"/>
        <i x="8" nd="1"/>
        <i x="11" nd="1"/>
        <i x="5" nd="1"/>
        <i x="6" nd="1"/>
        <i x="9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_R" xr10:uid="{FB9FF7DE-F51F-4E1B-B7C2-06A43A5A941D}" sourceName="N-R">
  <pivotTables>
    <pivotTable tabId="42" name="RENDIMIENTO_HRS"/>
    <pivotTable tabId="42" name="RENDIMIENTO_KMS"/>
  </pivotTables>
  <data>
    <tabular pivotCacheId="1">
      <items count="9">
        <i x="1"/>
        <i x="2"/>
        <i x="0" s="1"/>
        <i x="6" nd="1"/>
        <i x="5" nd="1"/>
        <i x="3" nd="1"/>
        <i x="8" nd="1"/>
        <i x="4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tuación Actual" xr10:uid="{442FE12B-7ADD-4748-8A87-88930E847997}" cache="SegmentaciónDeDatos_Situación_Actual" caption="SIT_ACTUAL" style="SlicerStyleLight1 2" lockedPosition="1" rowHeight="180000"/>
  <slicer name="Eje" xr10:uid="{2A90FF71-F1C5-4409-9D68-0701273BBC28}" cache="SegmentaciónDeDatos_Eje" caption="EJE" style="SlicerStyleLight1 2" lockedPosition="1" rowHeight="180000"/>
  <slicer name="N-R" xr10:uid="{C8E93B60-670E-4996-B3EA-ACB4645C70CB}" cache="SegmentaciónDeDatos_N_R" caption="N-R" style="SlicerStyleLight1 2" lockedPosition="1" rowHeight="18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SE_DATOS" displayName="BASE_DATOS" ref="A5:AY969" totalsRowShown="0" headerRowDxfId="649" dataDxfId="647" headerRowBorderDxfId="648" tableBorderDxfId="646" headerRowCellStyle="Normal 2" dataCellStyle="Normal 2">
  <autoFilter ref="A5:AY969" xr:uid="{00000000-000C-0000-FFFF-FFFF01000000}"/>
  <sortState xmlns:xlrd2="http://schemas.microsoft.com/office/spreadsheetml/2017/richdata2" ref="A6:AX319">
    <sortCondition ref="A4:A384"/>
  </sortState>
  <tableColumns count="51">
    <tableColumn id="2" xr3:uid="{00000000-0010-0000-0100-000002000000}" name="Código_U" dataDxfId="645"/>
    <tableColumn id="78" xr3:uid="{7FDEB863-694C-491D-8C65-4405D62DF68F}" name="Placa_U" dataDxfId="644"/>
    <tableColumn id="5" xr3:uid="{00000000-0010-0000-0100-000005000000}" name="Tipo_U" dataDxfId="643" dataCellStyle="Normal 2"/>
    <tableColumn id="52" xr3:uid="{00000000-0010-0000-0100-000034000000}" name="Eje" dataDxfId="642" dataCellStyle="Normal 2"/>
    <tableColumn id="7" xr3:uid="{00000000-0010-0000-0100-000007000000}" name="Código_N" dataDxfId="641"/>
    <tableColumn id="8" xr3:uid="{00000000-0010-0000-0100-000008000000}" name="Marca_N" dataDxfId="640"/>
    <tableColumn id="9" xr3:uid="{00000000-0010-0000-0100-000009000000}" name="Medida_N" dataDxfId="639"/>
    <tableColumn id="61" xr3:uid="{00000000-0010-0000-0100-00003D000000}" name="Diseño_N" dataDxfId="638">
      <calculatedColumnFormula>IF(BASE_DATOS[[#This Row],[N-R]]="N",BASE_DATOS[[#This Row],[Diseño]],"Reencauche")</calculatedColumnFormula>
    </tableColumn>
    <tableColumn id="10" xr3:uid="{00000000-0010-0000-0100-00000A000000}" name="Diseño" dataDxfId="637"/>
    <tableColumn id="64" xr3:uid="{14F58F1C-F966-4068-8731-E6C040B120CC}" name="N-R" dataDxfId="636"/>
    <tableColumn id="13" xr3:uid="{00000000-0010-0000-0100-00000D000000}" name="NSK Original" dataDxfId="635"/>
    <tableColumn id="14" xr3:uid="{00000000-0010-0000-0100-00000E000000}" name="PSI Rec." dataDxfId="634"/>
    <tableColumn id="15" xr3:uid="{00000000-0010-0000-0100-00000F000000}" name="Precio US$" dataDxfId="633"/>
    <tableColumn id="50" xr3:uid="{00000000-0010-0000-0100-000032000000}" name="Proveedor" dataDxfId="632"/>
    <tableColumn id="16" xr3:uid="{00000000-0010-0000-0100-000010000000}" name="Fecha" dataDxfId="631"/>
    <tableColumn id="17" xr3:uid="{00000000-0010-0000-0100-000011000000}" name="Hr." dataDxfId="630"/>
    <tableColumn id="18" xr3:uid="{00000000-0010-0000-0100-000012000000}" name="Km." dataDxfId="629" dataCellStyle="Normal 2"/>
    <tableColumn id="19" xr3:uid="{00000000-0010-0000-0100-000013000000}" name="Pos." dataDxfId="628"/>
    <tableColumn id="20" xr3:uid="{00000000-0010-0000-0100-000014000000}" name="Fecha2" dataDxfId="627"/>
    <tableColumn id="21" xr3:uid="{00000000-0010-0000-0100-000015000000}" name="Hr. Actual" dataDxfId="626" dataCellStyle="Normal 2"/>
    <tableColumn id="22" xr3:uid="{00000000-0010-0000-0100-000016000000}" name="Km. Actual" dataDxfId="625" dataCellStyle="Normal 2"/>
    <tableColumn id="23" xr3:uid="{00000000-0010-0000-0100-000017000000}" name="Ext." dataDxfId="624"/>
    <tableColumn id="24" xr3:uid="{00000000-0010-0000-0100-000018000000}" name="Cen." dataDxfId="623"/>
    <tableColumn id="25" xr3:uid="{00000000-0010-0000-0100-000019000000}" name="Int." dataDxfId="622"/>
    <tableColumn id="26" xr3:uid="{00000000-0010-0000-0100-00001A000000}" name="NSK" dataDxfId="621">
      <calculatedColumnFormula>IFERROR(MIN(V6:X6),"")</calculatedColumnFormula>
    </tableColumn>
    <tableColumn id="28" xr3:uid="{00000000-0010-0000-0100-00001C000000}" name="Tapa Válvula" dataDxfId="620"/>
    <tableColumn id="29" xr3:uid="{00000000-0010-0000-0100-00001D000000}" name="Des. mm" dataDxfId="619" dataCellStyle="Normal 2">
      <calculatedColumnFormula>IFERROR(BASE_DATOS[[#This Row],[NSK Original]]-BASE_DATOS[[#This Row],[NSK]]," ")</calculatedColumnFormula>
    </tableColumn>
    <tableColumn id="30" xr3:uid="{00000000-0010-0000-0100-00001E000000}" name="NSK Reen" dataDxfId="618" dataCellStyle="Normal 2">
      <calculatedColumnFormula>'NSK-TRACTO'!$A$2</calculatedColumnFormula>
    </tableColumn>
    <tableColumn id="63" xr3:uid="{00000000-0010-0000-0100-00003F000000}" name="NSK Form." dataDxfId="617" dataCellStyle="Normal 2">
      <calculatedColumnFormula>IF(BASE_DATOS[[#This Row],[NSK]]&gt;=BASE_DATOS[[#This Row],[NSK Reen]],BASE_DATOS[[#This Row],[NSK Reen]],BASE_DATOS[[#This Row],[NSK]])</calculatedColumnFormula>
    </tableColumn>
    <tableColumn id="31" xr3:uid="{00000000-0010-0000-0100-00001F000000}" name="% Max Des." dataDxfId="616" dataCellStyle="Porcentaje 2">
      <calculatedColumnFormula>IFERROR(100%-(BASE_DATOS[[#This Row],[NSK Reen]]/BASE_DATOS[[#This Row],[NSK Original]]),"")</calculatedColumnFormula>
    </tableColumn>
    <tableColumn id="32" xr3:uid="{00000000-0010-0000-0100-000020000000}" name="% Des" dataDxfId="615" dataCellStyle="Porcentaje 2">
      <calculatedColumnFormula>IFERROR(100%-BASE_DATOS[[#This Row],[NSK]]/BASE_DATOS[[#This Row],[NSK Original]],"")</calculatedColumnFormula>
    </tableColumn>
    <tableColumn id="33" xr3:uid="{00000000-0010-0000-0100-000021000000}" name="% Vida Útil" dataDxfId="614" dataCellStyle="Porcentaje 2">
      <calculatedColumnFormula>IFERROR(BASE_DATOS[[#This Row],[% Max Des.]]-BASE_DATOS[[#This Row],[% Des]],"")</calculatedColumnFormula>
    </tableColumn>
    <tableColumn id="81" xr3:uid="{F5AB0055-0CA9-410D-9987-F8B5A16079BB}" name="Horas Acumuladas" dataDxfId="613" dataCellStyle="Porcentaje 2"/>
    <tableColumn id="80" xr3:uid="{48F17158-5178-4286-AED8-E5365D01A7BB}" name="Kilómetros Acumulados" dataDxfId="612" dataCellStyle="Porcentaje 2"/>
    <tableColumn id="34" xr3:uid="{00000000-0010-0000-0100-000022000000}" name="Horas Rodadas" dataDxfId="611" dataCellStyle="Porcentaje 2">
      <calculatedColumnFormula>IF(OR(BASE_DATOS[[#This Row],[Hr.]]="",BASE_DATOS[[#This Row],[Hr. Actual]]=""),"",BASE_DATOS[[#This Row],[Hr. Actual]]-BASE_DATOS[[#This Row],[Hr.]]+BASE_DATOS[[#This Row],[Horas Acumuladas]])</calculatedColumnFormula>
    </tableColumn>
    <tableColumn id="35" xr3:uid="{00000000-0010-0000-0100-000023000000}" name="US$/Hr" dataDxfId="610" dataCellStyle="Porcentaje 2">
      <calculatedColumnFormula>IFERROR(BASE_DATOS[[#This Row],[Precio US$]]/BASE_DATOS[[#This Row],[Horas Rodadas]],"")</calculatedColumnFormula>
    </tableColumn>
    <tableColumn id="36" xr3:uid="{00000000-0010-0000-0100-000024000000}" name="Hrs/mm" dataDxfId="609" dataCellStyle="Porcentaje 2">
      <calculatedColumnFormula>IFERROR(BASE_DATOS[[#This Row],[Horas Rodadas]]/(BASE_DATOS[[#This Row],[NSK Original]]-BASE_DATOS[[#This Row],[NSK]]),"")</calculatedColumnFormula>
    </tableColumn>
    <tableColumn id="37" xr3:uid="{00000000-0010-0000-0100-000025000000}" name="Horas Proy." dataDxfId="608" dataCellStyle="Porcentaje 2">
      <calculatedColumnFormula>IF(BASE_DATOS[[#This Row],[Situación Actual]]="RETIRADO","",IF(BASE_DATOS[[#This Row],[Situación Actual]]="RODANDO",IFERROR(BASE_DATOS[[#This Row],[Hrs/mm]]*(BASE_DATOS[[#This Row],[NSK]]-BASE_DATOS[[#This Row],[NSK Form.]])+BASE_DATOS[[#This Row],[Horas Rodadas]],"")))</calculatedColumnFormula>
    </tableColumn>
    <tableColumn id="38" xr3:uid="{00000000-0010-0000-0100-000026000000}" name="US$/Hr Proy." dataDxfId="607" dataCellStyle="Normal 2">
      <calculatedColumnFormula>IFERROR(BASE_DATOS[[#This Row],[Precio US$]]/BASE_DATOS[[#This Row],[Horas Proy.]],"")</calculatedColumnFormula>
    </tableColumn>
    <tableColumn id="39" xr3:uid="{00000000-0010-0000-0100-000027000000}" name="Kilómetros Rodados" dataDxfId="606" dataCellStyle="Porcentaje 2">
      <calculatedColumnFormula>IF(OR(BASE_DATOS[[#This Row],[Km.]]="",BASE_DATOS[[#This Row],[Km. Actual]]=""),"",BASE_DATOS[[#This Row],[Km. Actual]]-BASE_DATOS[[#This Row],[Km.]]+BASE_DATOS[[#This Row],[Kilómetros Acumulados]])</calculatedColumnFormula>
    </tableColumn>
    <tableColumn id="40" xr3:uid="{00000000-0010-0000-0100-000028000000}" name="US$/ Km" dataDxfId="605" dataCellStyle="Porcentaje 2">
      <calculatedColumnFormula>IFERROR(BASE_DATOS[[#This Row],[Precio US$]]/BASE_DATOS[[#This Row],[Kilómetros Rodados]],"")</calculatedColumnFormula>
    </tableColumn>
    <tableColumn id="41" xr3:uid="{00000000-0010-0000-0100-000029000000}" name="Kms/ mm" dataDxfId="604" dataCellStyle="Porcentaje 2">
      <calculatedColumnFormula>IFERROR(BASE_DATOS[[#This Row],[Kilómetros Rodados]]/(BASE_DATOS[[#This Row],[NSK Original]]-BASE_DATOS[[#This Row],[NSK]]),"")</calculatedColumnFormula>
    </tableColumn>
    <tableColumn id="42" xr3:uid="{00000000-0010-0000-0100-00002A000000}" name="Kilómetros Proy." dataDxfId="603" dataCellStyle="Porcentaje 2">
      <calculatedColumnFormula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calculatedColumnFormula>
    </tableColumn>
    <tableColumn id="43" xr3:uid="{00000000-0010-0000-0100-00002B000000}" name="US$/Km Proy." dataDxfId="602" dataCellStyle="Porcentaje 2">
      <calculatedColumnFormula>IFERROR(BASE_DATOS[[#This Row],[Precio US$]]/BASE_DATOS[[#This Row],[Kilómetros Proy.]],"")</calculatedColumnFormula>
    </tableColumn>
    <tableColumn id="44" xr3:uid="{00000000-0010-0000-0100-00002C000000}" name="Situación Actual" dataDxfId="601" dataCellStyle="Normal 2"/>
    <tableColumn id="3" xr3:uid="{0237E5C9-AD05-447D-9EAB-0863C4A2E19B}" name="Daños" dataDxfId="41" dataCellStyle="Normal 2"/>
    <tableColumn id="4" xr3:uid="{7ECB7345-3941-4A53-BDAD-49B10D704999}" name="Desgaste Irregular" dataDxfId="40" dataCellStyle="Normal 2"/>
    <tableColumn id="6" xr3:uid="{8076F9A7-BCEE-4A14-97DB-3E95C894F246}" name="Rotación" dataDxfId="39" dataCellStyle="Normal 2"/>
    <tableColumn id="46" xr3:uid="{00000000-0010-0000-0100-00002E000000}" name="Observaciones Daños" dataDxfId="600"/>
    <tableColumn id="60" xr3:uid="{00000000-0010-0000-0100-00003C000000}" name="Observaciones Desgaste Irregular" dataDxfId="599"/>
    <tableColumn id="1" xr3:uid="{620A1DA8-3075-4410-A22A-A8597777C152}" name="Reporte NSK" dataDxfId="598" dataCellStyle="Normal 2">
      <calculatedColumnFormula>CONCATENATE(BASE_DATOS[[#This Row],[Código_U]]&amp;BASE_DATOS[[#This Row],[Pos.]]&amp;BASE_DATOS[[#This Row],[Situación Actual]])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J24"/>
  <sheetViews>
    <sheetView workbookViewId="0">
      <selection activeCell="F11" sqref="F11"/>
    </sheetView>
  </sheetViews>
  <sheetFormatPr baseColWidth="10" defaultRowHeight="14.4" x14ac:dyDescent="0.3"/>
  <cols>
    <col min="1" max="1" width="12.6640625" customWidth="1"/>
    <col min="2" max="2" width="0.88671875" customWidth="1"/>
    <col min="3" max="3" width="4.109375" customWidth="1"/>
    <col min="4" max="4" width="9.33203125" customWidth="1"/>
    <col min="5" max="5" width="13.6640625" customWidth="1"/>
    <col min="6" max="7" width="9.6640625" customWidth="1"/>
    <col min="8" max="8" width="4.109375" customWidth="1"/>
    <col min="9" max="9" width="0.44140625" customWidth="1"/>
    <col min="10" max="10" width="5.44140625" customWidth="1"/>
    <col min="11" max="11" width="4.88671875" customWidth="1"/>
    <col min="12" max="12" width="6.5546875" customWidth="1"/>
    <col min="13" max="13" width="4.6640625" customWidth="1"/>
    <col min="14" max="14" width="6.6640625" customWidth="1"/>
    <col min="15" max="15" width="5.109375" customWidth="1"/>
    <col min="16" max="16" width="0.44140625" customWidth="1"/>
    <col min="17" max="17" width="7.44140625" customWidth="1"/>
    <col min="18" max="18" width="5.44140625" customWidth="1"/>
    <col min="19" max="19" width="6.44140625" customWidth="1"/>
    <col min="20" max="20" width="0.88671875" customWidth="1"/>
    <col min="21" max="28" width="3.5546875" customWidth="1"/>
    <col min="29" max="30" width="0.88671875" customWidth="1"/>
    <col min="31" max="31" width="8.5546875" customWidth="1"/>
  </cols>
  <sheetData>
    <row r="1" spans="1:36" ht="26.4" x14ac:dyDescent="0.3">
      <c r="A1" s="37" t="s">
        <v>30</v>
      </c>
      <c r="B1" s="20"/>
      <c r="C1" s="1"/>
      <c r="D1" s="106" t="s">
        <v>59</v>
      </c>
      <c r="E1" s="25"/>
      <c r="F1" s="25"/>
      <c r="G1" s="2"/>
      <c r="H1" s="2"/>
      <c r="I1" s="3"/>
      <c r="J1" s="3"/>
      <c r="K1" s="2"/>
      <c r="L1" s="2"/>
      <c r="M1" s="2"/>
      <c r="N1" s="3"/>
      <c r="O1" s="3"/>
      <c r="P1" s="2"/>
      <c r="Q1" s="1"/>
      <c r="R1" s="4"/>
      <c r="S1" s="5"/>
      <c r="T1" s="6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J1" s="11" t="s">
        <v>29</v>
      </c>
    </row>
    <row r="2" spans="1:36" ht="15.6" x14ac:dyDescent="0.3">
      <c r="A2" s="21" t="s">
        <v>57</v>
      </c>
      <c r="B2" s="20"/>
      <c r="C2" s="28" t="s">
        <v>22</v>
      </c>
      <c r="D2" s="475"/>
      <c r="E2" s="475"/>
      <c r="F2" s="475"/>
      <c r="G2" s="2"/>
      <c r="H2" s="29" t="s">
        <v>21</v>
      </c>
      <c r="I2" s="26"/>
      <c r="J2" s="2"/>
      <c r="K2" s="476"/>
      <c r="L2" s="476"/>
      <c r="M2" s="2"/>
      <c r="N2" s="17"/>
      <c r="O2" s="2"/>
      <c r="P2" s="24"/>
      <c r="Q2" s="24"/>
      <c r="R2" s="4"/>
      <c r="S2" s="5"/>
      <c r="T2" s="6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J2" s="12" t="s">
        <v>57</v>
      </c>
    </row>
    <row r="3" spans="1:36" x14ac:dyDescent="0.3">
      <c r="A3" s="47"/>
      <c r="B3" s="2"/>
      <c r="C3" s="2"/>
      <c r="D3" s="2"/>
      <c r="E3" s="2"/>
      <c r="F3" s="25"/>
      <c r="G3" s="2"/>
      <c r="H3" s="2"/>
      <c r="I3" s="3"/>
      <c r="J3" s="2"/>
      <c r="K3" s="25"/>
      <c r="L3" s="17"/>
      <c r="M3" s="17"/>
      <c r="N3" s="17"/>
      <c r="O3" s="24"/>
      <c r="P3" s="24"/>
      <c r="Q3" s="24"/>
      <c r="R3" s="4"/>
      <c r="S3" s="5"/>
      <c r="T3" s="6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J3" s="13" t="s">
        <v>58</v>
      </c>
    </row>
    <row r="4" spans="1:36" x14ac:dyDescent="0.3">
      <c r="A4" s="48" t="s">
        <v>11</v>
      </c>
      <c r="B4" s="2"/>
      <c r="C4" s="18" t="s">
        <v>23</v>
      </c>
      <c r="D4" s="19"/>
      <c r="E4" s="27"/>
      <c r="F4" s="477" t="s">
        <v>25</v>
      </c>
      <c r="G4" s="479"/>
      <c r="H4" s="18"/>
      <c r="I4" s="3"/>
      <c r="J4" s="16"/>
      <c r="K4" s="16"/>
      <c r="L4" s="17"/>
      <c r="M4" s="55"/>
      <c r="N4" s="55"/>
      <c r="O4" s="56"/>
      <c r="P4" s="56"/>
      <c r="Q4" s="56"/>
      <c r="R4" s="4"/>
      <c r="S4" s="5"/>
      <c r="T4" s="6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J4" s="13"/>
    </row>
    <row r="5" spans="1:36" x14ac:dyDescent="0.3">
      <c r="A5" s="27"/>
      <c r="B5" s="2"/>
      <c r="C5" s="18" t="s">
        <v>24</v>
      </c>
      <c r="D5" s="2"/>
      <c r="E5" s="27"/>
      <c r="F5" s="478"/>
      <c r="G5" s="480"/>
      <c r="H5" s="47"/>
      <c r="I5" s="47"/>
      <c r="J5" s="481" t="s">
        <v>35</v>
      </c>
      <c r="K5" s="482"/>
      <c r="L5" s="483" t="s">
        <v>36</v>
      </c>
      <c r="M5" s="484"/>
      <c r="N5" s="485"/>
      <c r="O5" s="47"/>
      <c r="P5" s="2"/>
      <c r="Q5" s="495" t="s">
        <v>2</v>
      </c>
      <c r="R5" s="495"/>
      <c r="S5" s="495"/>
      <c r="T5" s="496"/>
      <c r="U5" s="496"/>
      <c r="V5" s="496"/>
      <c r="W5" s="496"/>
      <c r="X5" s="496"/>
      <c r="Y5" s="496"/>
      <c r="Z5" s="496"/>
      <c r="AA5" s="496"/>
      <c r="AB5" s="496"/>
      <c r="AC5" s="496"/>
      <c r="AD5" s="2"/>
      <c r="AE5" s="2"/>
      <c r="AJ5" s="13"/>
    </row>
    <row r="6" spans="1:36" ht="19.8" thickBot="1" x14ac:dyDescent="0.35">
      <c r="A6" s="15" t="s">
        <v>31</v>
      </c>
      <c r="B6" s="2"/>
      <c r="C6" s="40" t="s">
        <v>16</v>
      </c>
      <c r="D6" s="41" t="s">
        <v>17</v>
      </c>
      <c r="E6" s="42" t="s">
        <v>18</v>
      </c>
      <c r="F6" s="42" t="s">
        <v>19</v>
      </c>
      <c r="G6" s="42" t="s">
        <v>20</v>
      </c>
      <c r="H6" s="43" t="s">
        <v>4</v>
      </c>
      <c r="I6" s="49"/>
      <c r="J6" s="30" t="s">
        <v>32</v>
      </c>
      <c r="K6" s="31" t="s">
        <v>33</v>
      </c>
      <c r="L6" s="46" t="s">
        <v>34</v>
      </c>
      <c r="M6" s="45" t="s">
        <v>33</v>
      </c>
      <c r="N6" s="44" t="s">
        <v>37</v>
      </c>
      <c r="O6" s="32" t="s">
        <v>26</v>
      </c>
      <c r="P6" s="33"/>
      <c r="Q6" s="34" t="e">
        <v>#N/A</v>
      </c>
      <c r="R6" s="35" t="s">
        <v>28</v>
      </c>
      <c r="S6" s="36" t="e">
        <v>#N/A</v>
      </c>
      <c r="T6" s="497" t="s">
        <v>27</v>
      </c>
      <c r="U6" s="498"/>
      <c r="V6" s="498"/>
      <c r="W6" s="498"/>
      <c r="X6" s="498"/>
      <c r="Y6" s="498"/>
      <c r="Z6" s="498"/>
      <c r="AA6" s="498"/>
      <c r="AB6" s="498"/>
      <c r="AC6" s="499"/>
      <c r="AD6" s="2"/>
      <c r="AE6" s="39" t="s">
        <v>11</v>
      </c>
      <c r="AJ6" s="13"/>
    </row>
    <row r="7" spans="1:36" s="72" customFormat="1" x14ac:dyDescent="0.3">
      <c r="A7" s="57" t="e">
        <v>#N/A</v>
      </c>
      <c r="B7" s="58"/>
      <c r="C7" s="59">
        <v>1</v>
      </c>
      <c r="D7" s="60"/>
      <c r="E7" s="60" t="e">
        <v>#N/A</v>
      </c>
      <c r="F7" s="60" t="e">
        <v>#N/A</v>
      </c>
      <c r="G7" s="60" t="e">
        <v>#N/A</v>
      </c>
      <c r="H7" s="61" t="e">
        <v>#N/A</v>
      </c>
      <c r="I7" s="62"/>
      <c r="J7" s="63" t="e">
        <v>#N/A</v>
      </c>
      <c r="K7" s="64" t="e">
        <v>#N/A</v>
      </c>
      <c r="L7" s="63" t="e">
        <v>#N/A</v>
      </c>
      <c r="M7" s="65" t="e">
        <v>#N/A</v>
      </c>
      <c r="N7" s="66" t="e">
        <v>#N/A</v>
      </c>
      <c r="O7" s="67" t="e">
        <v>#N/A</v>
      </c>
      <c r="P7" s="68"/>
      <c r="Q7" s="59" t="e">
        <v>#N/A</v>
      </c>
      <c r="R7" s="69" t="e">
        <v>#N/A</v>
      </c>
      <c r="S7" s="70" t="e">
        <v>#N/A</v>
      </c>
      <c r="T7" s="500" t="e">
        <v>#N/A</v>
      </c>
      <c r="U7" s="501" t="e">
        <v>#N/A</v>
      </c>
      <c r="V7" s="501" t="e">
        <v>#N/A</v>
      </c>
      <c r="W7" s="501" t="e">
        <v>#N/A</v>
      </c>
      <c r="X7" s="501" t="e">
        <v>#N/A</v>
      </c>
      <c r="Y7" s="501" t="e">
        <v>#N/A</v>
      </c>
      <c r="Z7" s="501" t="e">
        <v>#N/A</v>
      </c>
      <c r="AA7" s="501" t="e">
        <v>#N/A</v>
      </c>
      <c r="AB7" s="501" t="e">
        <v>#N/A</v>
      </c>
      <c r="AC7" s="502" t="e">
        <v>#N/A</v>
      </c>
      <c r="AD7" s="58"/>
      <c r="AE7" s="71" t="e">
        <v>#N/A</v>
      </c>
      <c r="AJ7" s="13"/>
    </row>
    <row r="8" spans="1:36" s="72" customFormat="1" x14ac:dyDescent="0.3">
      <c r="A8" s="73" t="e">
        <v>#N/A</v>
      </c>
      <c r="B8" s="58"/>
      <c r="C8" s="74">
        <v>2</v>
      </c>
      <c r="D8" s="75" t="e">
        <v>#N/A</v>
      </c>
      <c r="E8" s="75" t="e">
        <v>#N/A</v>
      </c>
      <c r="F8" s="75" t="e">
        <v>#N/A</v>
      </c>
      <c r="G8" s="75" t="e">
        <v>#N/A</v>
      </c>
      <c r="H8" s="76" t="e">
        <v>#N/A</v>
      </c>
      <c r="I8" s="62"/>
      <c r="J8" s="77" t="e">
        <v>#N/A</v>
      </c>
      <c r="K8" s="78" t="e">
        <v>#N/A</v>
      </c>
      <c r="L8" s="77" t="e">
        <v>#N/A</v>
      </c>
      <c r="M8" s="79" t="e">
        <v>#N/A</v>
      </c>
      <c r="N8" s="80" t="e">
        <v>#N/A</v>
      </c>
      <c r="O8" s="81" t="e">
        <v>#N/A</v>
      </c>
      <c r="P8" s="68"/>
      <c r="Q8" s="74" t="e">
        <v>#N/A</v>
      </c>
      <c r="R8" s="82" t="e">
        <v>#N/A</v>
      </c>
      <c r="S8" s="83" t="e">
        <v>#N/A</v>
      </c>
      <c r="T8" s="486" t="e">
        <v>#N/A</v>
      </c>
      <c r="U8" s="487" t="e">
        <v>#N/A</v>
      </c>
      <c r="V8" s="487" t="e">
        <v>#N/A</v>
      </c>
      <c r="W8" s="487" t="e">
        <v>#N/A</v>
      </c>
      <c r="X8" s="487" t="e">
        <v>#N/A</v>
      </c>
      <c r="Y8" s="487" t="e">
        <v>#N/A</v>
      </c>
      <c r="Z8" s="487" t="e">
        <v>#N/A</v>
      </c>
      <c r="AA8" s="487" t="e">
        <v>#N/A</v>
      </c>
      <c r="AB8" s="487" t="e">
        <v>#N/A</v>
      </c>
      <c r="AC8" s="488" t="e">
        <v>#N/A</v>
      </c>
      <c r="AD8" s="58"/>
      <c r="AE8" s="84" t="e">
        <v>#N/A</v>
      </c>
      <c r="AJ8" s="13"/>
    </row>
    <row r="9" spans="1:36" s="72" customFormat="1" x14ac:dyDescent="0.3">
      <c r="A9" s="57" t="e">
        <v>#N/A</v>
      </c>
      <c r="B9" s="58"/>
      <c r="C9" s="59">
        <v>3</v>
      </c>
      <c r="D9" s="60" t="e">
        <v>#N/A</v>
      </c>
      <c r="E9" s="60" t="e">
        <v>#N/A</v>
      </c>
      <c r="F9" s="60" t="e">
        <v>#N/A</v>
      </c>
      <c r="G9" s="60" t="e">
        <v>#N/A</v>
      </c>
      <c r="H9" s="61" t="e">
        <v>#N/A</v>
      </c>
      <c r="I9" s="62"/>
      <c r="J9" s="63" t="e">
        <v>#N/A</v>
      </c>
      <c r="K9" s="64" t="e">
        <v>#N/A</v>
      </c>
      <c r="L9" s="63" t="e">
        <v>#N/A</v>
      </c>
      <c r="M9" s="65" t="e">
        <v>#N/A</v>
      </c>
      <c r="N9" s="66" t="e">
        <v>#N/A</v>
      </c>
      <c r="O9" s="67" t="e">
        <v>#N/A</v>
      </c>
      <c r="P9" s="68"/>
      <c r="Q9" s="59" t="e">
        <v>#N/A</v>
      </c>
      <c r="R9" s="69" t="e">
        <v>#N/A</v>
      </c>
      <c r="S9" s="70" t="e">
        <v>#N/A</v>
      </c>
      <c r="T9" s="500" t="e">
        <v>#N/A</v>
      </c>
      <c r="U9" s="501" t="e">
        <v>#N/A</v>
      </c>
      <c r="V9" s="501" t="e">
        <v>#N/A</v>
      </c>
      <c r="W9" s="501" t="e">
        <v>#N/A</v>
      </c>
      <c r="X9" s="501" t="e">
        <v>#N/A</v>
      </c>
      <c r="Y9" s="501" t="e">
        <v>#N/A</v>
      </c>
      <c r="Z9" s="501" t="e">
        <v>#N/A</v>
      </c>
      <c r="AA9" s="501" t="e">
        <v>#N/A</v>
      </c>
      <c r="AB9" s="501" t="e">
        <v>#N/A</v>
      </c>
      <c r="AC9" s="502" t="e">
        <v>#N/A</v>
      </c>
      <c r="AD9" s="58"/>
      <c r="AE9" s="85" t="e">
        <v>#N/A</v>
      </c>
      <c r="AJ9" s="13"/>
    </row>
    <row r="10" spans="1:36" s="72" customFormat="1" x14ac:dyDescent="0.3">
      <c r="A10" s="73" t="e">
        <v>#N/A</v>
      </c>
      <c r="B10" s="58"/>
      <c r="C10" s="74">
        <v>4</v>
      </c>
      <c r="D10" s="75" t="e">
        <v>#N/A</v>
      </c>
      <c r="E10" s="75" t="e">
        <v>#N/A</v>
      </c>
      <c r="F10" s="75" t="e">
        <v>#N/A</v>
      </c>
      <c r="G10" s="75" t="e">
        <v>#N/A</v>
      </c>
      <c r="H10" s="76" t="e">
        <v>#N/A</v>
      </c>
      <c r="I10" s="62"/>
      <c r="J10" s="77" t="e">
        <v>#N/A</v>
      </c>
      <c r="K10" s="78" t="e">
        <v>#N/A</v>
      </c>
      <c r="L10" s="77" t="e">
        <v>#N/A</v>
      </c>
      <c r="M10" s="79" t="e">
        <v>#N/A</v>
      </c>
      <c r="N10" s="80" t="e">
        <v>#N/A</v>
      </c>
      <c r="O10" s="81" t="e">
        <v>#N/A</v>
      </c>
      <c r="P10" s="68"/>
      <c r="Q10" s="74" t="e">
        <v>#N/A</v>
      </c>
      <c r="R10" s="82" t="e">
        <v>#N/A</v>
      </c>
      <c r="S10" s="83" t="e">
        <v>#N/A</v>
      </c>
      <c r="T10" s="486" t="e">
        <v>#N/A</v>
      </c>
      <c r="U10" s="487" t="e">
        <v>#N/A</v>
      </c>
      <c r="V10" s="487" t="e">
        <v>#N/A</v>
      </c>
      <c r="W10" s="487" t="e">
        <v>#N/A</v>
      </c>
      <c r="X10" s="487" t="e">
        <v>#N/A</v>
      </c>
      <c r="Y10" s="487" t="e">
        <v>#N/A</v>
      </c>
      <c r="Z10" s="487" t="e">
        <v>#N/A</v>
      </c>
      <c r="AA10" s="487" t="e">
        <v>#N/A</v>
      </c>
      <c r="AB10" s="487" t="e">
        <v>#N/A</v>
      </c>
      <c r="AC10" s="488" t="e">
        <v>#N/A</v>
      </c>
      <c r="AD10" s="58"/>
      <c r="AE10" s="86" t="e">
        <v>#N/A</v>
      </c>
      <c r="AJ10" s="13"/>
    </row>
    <row r="11" spans="1:36" s="72" customFormat="1" x14ac:dyDescent="0.3">
      <c r="A11" s="57" t="e">
        <v>#N/A</v>
      </c>
      <c r="B11" s="58"/>
      <c r="C11" s="59">
        <v>5</v>
      </c>
      <c r="D11" s="60" t="e">
        <v>#N/A</v>
      </c>
      <c r="E11" s="60" t="e">
        <v>#N/A</v>
      </c>
      <c r="F11" s="60" t="e">
        <v>#N/A</v>
      </c>
      <c r="G11" s="60" t="e">
        <v>#N/A</v>
      </c>
      <c r="H11" s="61" t="e">
        <v>#N/A</v>
      </c>
      <c r="I11" s="62"/>
      <c r="J11" s="63" t="e">
        <v>#N/A</v>
      </c>
      <c r="K11" s="64" t="e">
        <v>#N/A</v>
      </c>
      <c r="L11" s="63" t="e">
        <v>#N/A</v>
      </c>
      <c r="M11" s="65" t="e">
        <v>#N/A</v>
      </c>
      <c r="N11" s="66" t="e">
        <v>#N/A</v>
      </c>
      <c r="O11" s="67" t="e">
        <v>#N/A</v>
      </c>
      <c r="P11" s="68"/>
      <c r="Q11" s="59" t="e">
        <v>#N/A</v>
      </c>
      <c r="R11" s="69" t="e">
        <v>#N/A</v>
      </c>
      <c r="S11" s="70" t="e">
        <v>#N/A</v>
      </c>
      <c r="T11" s="489" t="e">
        <v>#N/A</v>
      </c>
      <c r="U11" s="490" t="e">
        <v>#N/A</v>
      </c>
      <c r="V11" s="490" t="e">
        <v>#N/A</v>
      </c>
      <c r="W11" s="490" t="e">
        <v>#N/A</v>
      </c>
      <c r="X11" s="490" t="e">
        <v>#N/A</v>
      </c>
      <c r="Y11" s="490" t="e">
        <v>#N/A</v>
      </c>
      <c r="Z11" s="490" t="e">
        <v>#N/A</v>
      </c>
      <c r="AA11" s="490" t="e">
        <v>#N/A</v>
      </c>
      <c r="AB11" s="490" t="e">
        <v>#N/A</v>
      </c>
      <c r="AC11" s="491" t="e">
        <v>#N/A</v>
      </c>
      <c r="AD11" s="58"/>
      <c r="AE11" s="87" t="e">
        <v>#N/A</v>
      </c>
      <c r="AJ11" s="13"/>
    </row>
    <row r="12" spans="1:36" s="72" customFormat="1" x14ac:dyDescent="0.3">
      <c r="A12" s="88" t="e">
        <v>#N/A</v>
      </c>
      <c r="B12" s="58"/>
      <c r="C12" s="89">
        <v>6</v>
      </c>
      <c r="D12" s="90" t="e">
        <v>#N/A</v>
      </c>
      <c r="E12" s="90" t="e">
        <v>#N/A</v>
      </c>
      <c r="F12" s="90" t="e">
        <v>#N/A</v>
      </c>
      <c r="G12" s="90" t="e">
        <v>#N/A</v>
      </c>
      <c r="H12" s="91" t="e">
        <v>#N/A</v>
      </c>
      <c r="I12" s="62"/>
      <c r="J12" s="92" t="e">
        <v>#N/A</v>
      </c>
      <c r="K12" s="93" t="e">
        <v>#N/A</v>
      </c>
      <c r="L12" s="92" t="e">
        <v>#N/A</v>
      </c>
      <c r="M12" s="94" t="e">
        <v>#N/A</v>
      </c>
      <c r="N12" s="95" t="e">
        <v>#N/A</v>
      </c>
      <c r="O12" s="96" t="e">
        <v>#N/A</v>
      </c>
      <c r="P12" s="68"/>
      <c r="Q12" s="89" t="e">
        <v>#N/A</v>
      </c>
      <c r="R12" s="97" t="e">
        <v>#N/A</v>
      </c>
      <c r="S12" s="98" t="e">
        <v>#N/A</v>
      </c>
      <c r="T12" s="492" t="e">
        <v>#N/A</v>
      </c>
      <c r="U12" s="493" t="e">
        <v>#N/A</v>
      </c>
      <c r="V12" s="493" t="e">
        <v>#N/A</v>
      </c>
      <c r="W12" s="493" t="e">
        <v>#N/A</v>
      </c>
      <c r="X12" s="493" t="e">
        <v>#N/A</v>
      </c>
      <c r="Y12" s="493" t="e">
        <v>#N/A</v>
      </c>
      <c r="Z12" s="493" t="e">
        <v>#N/A</v>
      </c>
      <c r="AA12" s="493" t="e">
        <v>#N/A</v>
      </c>
      <c r="AB12" s="493" t="e">
        <v>#N/A</v>
      </c>
      <c r="AC12" s="494" t="e">
        <v>#N/A</v>
      </c>
      <c r="AD12" s="58"/>
      <c r="AE12" s="99" t="e">
        <v>#N/A</v>
      </c>
      <c r="AJ12" s="13"/>
    </row>
    <row r="13" spans="1:36" x14ac:dyDescent="0.3">
      <c r="A13" s="2"/>
      <c r="B13" s="2"/>
      <c r="C13" s="50"/>
      <c r="D13" s="51"/>
      <c r="E13" s="51"/>
      <c r="F13" s="51"/>
      <c r="G13" s="51"/>
      <c r="H13" s="52"/>
      <c r="I13" s="47"/>
      <c r="J13" s="50"/>
      <c r="K13" s="51"/>
      <c r="L13" s="51"/>
      <c r="M13" s="51"/>
      <c r="N13" s="51"/>
      <c r="O13" s="51"/>
      <c r="P13" s="51"/>
      <c r="Q13" s="51"/>
      <c r="R13" s="51"/>
      <c r="S13" s="52"/>
      <c r="T13" s="22"/>
      <c r="U13" s="20"/>
      <c r="V13" s="2"/>
      <c r="W13" s="20"/>
      <c r="X13" s="20"/>
      <c r="Y13" s="20"/>
      <c r="Z13" s="20"/>
      <c r="AA13" s="2"/>
      <c r="AB13" s="20"/>
      <c r="AC13" s="23"/>
      <c r="AD13" s="2"/>
      <c r="AE13" s="2"/>
      <c r="AJ13" s="13"/>
    </row>
    <row r="14" spans="1:36" x14ac:dyDescent="0.3">
      <c r="A14" s="2"/>
      <c r="B14" s="2"/>
      <c r="C14" s="53"/>
      <c r="D14" s="47"/>
      <c r="E14" s="47"/>
      <c r="F14" s="47"/>
      <c r="G14" s="47"/>
      <c r="H14" s="54"/>
      <c r="I14" s="47"/>
      <c r="J14" s="53"/>
      <c r="K14" s="47"/>
      <c r="L14" s="47"/>
      <c r="M14" s="47"/>
      <c r="N14" s="47"/>
      <c r="O14" s="47"/>
      <c r="P14" s="47"/>
      <c r="Q14" s="47"/>
      <c r="R14" s="47"/>
      <c r="S14" s="54"/>
      <c r="T14" s="7"/>
      <c r="U14" s="2"/>
      <c r="V14" s="38">
        <v>1</v>
      </c>
      <c r="W14" s="2"/>
      <c r="X14" s="2"/>
      <c r="Y14" s="2"/>
      <c r="Z14" s="2"/>
      <c r="AA14" s="38">
        <v>2</v>
      </c>
      <c r="AB14" s="2"/>
      <c r="AC14" s="8"/>
      <c r="AD14" s="2"/>
      <c r="AE14" s="2"/>
      <c r="AJ14" s="13"/>
    </row>
    <row r="15" spans="1:36" ht="21" x14ac:dyDescent="0.3">
      <c r="A15" s="2"/>
      <c r="B15" s="2"/>
      <c r="C15" s="53"/>
      <c r="D15" s="47"/>
      <c r="E15" s="47"/>
      <c r="F15" s="47"/>
      <c r="G15" s="47"/>
      <c r="H15" s="54"/>
      <c r="I15" s="47"/>
      <c r="J15" s="53"/>
      <c r="K15" s="47"/>
      <c r="L15" s="47"/>
      <c r="M15" s="47"/>
      <c r="N15" s="47"/>
      <c r="O15" s="47"/>
      <c r="P15" s="47"/>
      <c r="Q15" s="47"/>
      <c r="R15" s="47"/>
      <c r="S15" s="54"/>
      <c r="T15" s="7"/>
      <c r="U15" s="3"/>
      <c r="V15" s="10" t="e">
        <v>#N/A</v>
      </c>
      <c r="W15" s="2"/>
      <c r="X15" s="2"/>
      <c r="Y15" s="2"/>
      <c r="Z15" s="2"/>
      <c r="AA15" s="10" t="e">
        <v>#N/A</v>
      </c>
      <c r="AB15" s="3"/>
      <c r="AC15" s="9"/>
      <c r="AD15" s="2"/>
      <c r="AE15" s="2"/>
      <c r="AJ15" s="13"/>
    </row>
    <row r="16" spans="1:36" x14ac:dyDescent="0.3">
      <c r="A16" s="2"/>
      <c r="B16" s="2"/>
      <c r="C16" s="53"/>
      <c r="D16" s="47"/>
      <c r="E16" s="47"/>
      <c r="F16" s="47"/>
      <c r="G16" s="47"/>
      <c r="H16" s="54"/>
      <c r="I16" s="47"/>
      <c r="J16" s="53"/>
      <c r="K16" s="47"/>
      <c r="L16" s="47"/>
      <c r="M16" s="47"/>
      <c r="N16" s="47"/>
      <c r="O16" s="47"/>
      <c r="P16" s="47"/>
      <c r="Q16" s="47"/>
      <c r="R16" s="47"/>
      <c r="S16" s="54"/>
      <c r="T16" s="7"/>
      <c r="U16" s="3"/>
      <c r="V16" s="38">
        <v>3</v>
      </c>
      <c r="W16" s="3"/>
      <c r="X16" s="3"/>
      <c r="Y16" s="3"/>
      <c r="Z16" s="3"/>
      <c r="AA16" s="38">
        <v>4</v>
      </c>
      <c r="AB16" s="3"/>
      <c r="AC16" s="9"/>
      <c r="AD16" s="2"/>
      <c r="AE16" s="2"/>
      <c r="AJ16" s="13"/>
    </row>
    <row r="17" spans="1:36" x14ac:dyDescent="0.3">
      <c r="A17" s="2"/>
      <c r="B17" s="2"/>
      <c r="C17" s="53"/>
      <c r="D17" s="47"/>
      <c r="E17" s="47"/>
      <c r="F17" s="47"/>
      <c r="G17" s="47"/>
      <c r="H17" s="54"/>
      <c r="I17" s="47"/>
      <c r="J17" s="53"/>
      <c r="K17" s="47"/>
      <c r="L17" s="47"/>
      <c r="M17" s="47"/>
      <c r="N17" s="47"/>
      <c r="O17" s="47"/>
      <c r="P17" s="47"/>
      <c r="Q17" s="47"/>
      <c r="R17" s="47"/>
      <c r="S17" s="54"/>
      <c r="T17" s="7"/>
      <c r="U17" s="3"/>
      <c r="W17" s="3"/>
      <c r="X17" s="3"/>
      <c r="Y17" s="3"/>
      <c r="Z17" s="3"/>
      <c r="AB17" s="3"/>
      <c r="AC17" s="9"/>
      <c r="AD17" s="2"/>
      <c r="AE17" s="2"/>
      <c r="AJ17" s="14"/>
    </row>
    <row r="18" spans="1:36" x14ac:dyDescent="0.3">
      <c r="A18" s="2"/>
      <c r="B18" s="2"/>
      <c r="C18" s="53"/>
      <c r="D18" s="47"/>
      <c r="E18" s="47"/>
      <c r="F18" s="47"/>
      <c r="G18" s="47"/>
      <c r="H18" s="54"/>
      <c r="I18" s="47"/>
      <c r="J18" s="53"/>
      <c r="K18" s="47"/>
      <c r="L18" s="47"/>
      <c r="M18" s="47"/>
      <c r="N18" s="47"/>
      <c r="O18" s="47"/>
      <c r="P18" s="47"/>
      <c r="Q18" s="47"/>
      <c r="R18" s="47"/>
      <c r="S18" s="54"/>
      <c r="T18" s="7"/>
      <c r="U18" s="3"/>
      <c r="V18" s="38">
        <v>5</v>
      </c>
      <c r="W18" s="3"/>
      <c r="X18" s="3"/>
      <c r="Y18" s="3"/>
      <c r="Z18" s="3"/>
      <c r="AA18" s="38">
        <v>6</v>
      </c>
      <c r="AB18" s="3"/>
      <c r="AC18" s="9"/>
      <c r="AD18" s="2"/>
      <c r="AE18" s="2"/>
    </row>
    <row r="19" spans="1:36" x14ac:dyDescent="0.3">
      <c r="A19" s="2"/>
      <c r="B19" s="2"/>
      <c r="C19" s="53"/>
      <c r="D19" s="47"/>
      <c r="E19" s="47"/>
      <c r="F19" s="47"/>
      <c r="G19" s="47"/>
      <c r="H19" s="54"/>
      <c r="I19" s="47"/>
      <c r="J19" s="53"/>
      <c r="K19" s="47"/>
      <c r="L19" s="47"/>
      <c r="M19" s="47"/>
      <c r="N19" s="47"/>
      <c r="O19" s="47"/>
      <c r="P19" s="47"/>
      <c r="Q19" s="47"/>
      <c r="R19" s="47"/>
      <c r="S19" s="54"/>
      <c r="T19" s="7"/>
      <c r="U19" s="2"/>
      <c r="V19" s="3"/>
      <c r="W19" s="2"/>
      <c r="X19" s="3"/>
      <c r="Y19" s="3"/>
      <c r="Z19" s="2"/>
      <c r="AA19" s="3"/>
      <c r="AB19" s="2"/>
      <c r="AC19" s="9"/>
      <c r="AD19" s="2"/>
      <c r="AE19" s="2"/>
    </row>
    <row r="20" spans="1:36" x14ac:dyDescent="0.3">
      <c r="A20" s="2"/>
      <c r="B20" s="2"/>
      <c r="C20" s="53"/>
      <c r="D20" s="47"/>
      <c r="E20" s="47"/>
      <c r="F20" s="47"/>
      <c r="G20" s="47"/>
      <c r="H20" s="54"/>
      <c r="I20" s="47"/>
      <c r="J20" s="53"/>
      <c r="K20" s="47"/>
      <c r="L20" s="47"/>
      <c r="M20" s="47"/>
      <c r="N20" s="47"/>
      <c r="O20" s="47"/>
      <c r="P20" s="47"/>
      <c r="Q20" s="47"/>
      <c r="R20" s="47"/>
      <c r="S20" s="54"/>
      <c r="T20" s="7"/>
      <c r="V20" s="3"/>
      <c r="X20" s="3"/>
      <c r="Y20" s="3"/>
      <c r="Z20" s="38"/>
      <c r="AA20" s="3"/>
      <c r="AB20" s="38"/>
      <c r="AC20" s="9"/>
      <c r="AD20" s="2"/>
      <c r="AE20" s="2"/>
    </row>
    <row r="21" spans="1:36" ht="21" x14ac:dyDescent="0.3">
      <c r="A21" s="2"/>
      <c r="B21" s="2"/>
      <c r="C21" s="100"/>
      <c r="D21" s="101"/>
      <c r="E21" s="101"/>
      <c r="F21" s="101"/>
      <c r="G21" s="101"/>
      <c r="H21" s="102"/>
      <c r="I21" s="47"/>
      <c r="J21" s="100"/>
      <c r="K21" s="101"/>
      <c r="L21" s="101"/>
      <c r="M21" s="101"/>
      <c r="N21" s="101"/>
      <c r="O21" s="101"/>
      <c r="P21" s="101"/>
      <c r="Q21" s="101"/>
      <c r="R21" s="101"/>
      <c r="S21" s="102"/>
      <c r="T21" s="7"/>
      <c r="U21" s="103"/>
      <c r="V21" s="104"/>
      <c r="W21" s="103"/>
      <c r="X21" s="104"/>
      <c r="Y21" s="104"/>
      <c r="Z21" s="103"/>
      <c r="AA21" s="104"/>
      <c r="AB21" s="103"/>
      <c r="AC21" s="105"/>
      <c r="AD21" s="2"/>
      <c r="AE21" s="2"/>
    </row>
    <row r="24" spans="1:36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6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</sheetData>
  <mergeCells count="15">
    <mergeCell ref="T10:AC10"/>
    <mergeCell ref="T11:AC11"/>
    <mergeCell ref="T12:AC12"/>
    <mergeCell ref="Q5:S5"/>
    <mergeCell ref="T5:AC5"/>
    <mergeCell ref="T6:AC6"/>
    <mergeCell ref="T7:AC7"/>
    <mergeCell ref="T8:AC8"/>
    <mergeCell ref="T9:AC9"/>
    <mergeCell ref="D2:F2"/>
    <mergeCell ref="K2:L2"/>
    <mergeCell ref="F4:F5"/>
    <mergeCell ref="G4:G5"/>
    <mergeCell ref="J5:K5"/>
    <mergeCell ref="L5:N5"/>
  </mergeCells>
  <conditionalFormatting sqref="A7:A12">
    <cfRule type="containsErrors" dxfId="38" priority="1">
      <formula>ISERROR(A7)</formula>
    </cfRule>
    <cfRule type="containsText" dxfId="37" priority="2" operator="containsText" text="Reten">
      <formula>NOT(ISERROR(SEARCH("Reten",A7)))</formula>
    </cfRule>
    <cfRule type="containsText" dxfId="36" priority="3" operator="containsText" text="Retirado">
      <formula>NOT(ISERROR(SEARCH("Retirado",A7)))</formula>
    </cfRule>
    <cfRule type="containsText" dxfId="35" priority="4" operator="containsText" text="Rodando">
      <formula>NOT(ISERROR(SEARCH("Rodando",A7)))</formula>
    </cfRule>
  </conditionalFormatting>
  <conditionalFormatting sqref="E1:F1">
    <cfRule type="containsText" dxfId="34" priority="40" operator="containsText" text="Desmovilizado">
      <formula>NOT(ISERROR(SEARCH("Desmovilizado",E1)))</formula>
    </cfRule>
  </conditionalFormatting>
  <conditionalFormatting sqref="J7:AE12 C7:H12">
    <cfRule type="containsErrors" dxfId="33" priority="51">
      <formula>ISERROR(C7)</formula>
    </cfRule>
  </conditionalFormatting>
  <conditionalFormatting sqref="K7:K12">
    <cfRule type="cellIs" dxfId="32" priority="34" operator="lessThanOrEqual">
      <formula>7</formula>
    </cfRule>
    <cfRule type="cellIs" dxfId="31" priority="35" operator="between">
      <formula>10</formula>
      <formula>8</formula>
    </cfRule>
    <cfRule type="cellIs" dxfId="30" priority="36" operator="greaterThanOrEqual">
      <formula>11</formula>
    </cfRule>
  </conditionalFormatting>
  <conditionalFormatting sqref="M7:M12">
    <cfRule type="containsText" dxfId="29" priority="5" operator="containsText" text="VIE">
      <formula>NOT(ISERROR(SEARCH("VIE",M7)))</formula>
    </cfRule>
  </conditionalFormatting>
  <conditionalFormatting sqref="N7:N12">
    <cfRule type="cellIs" dxfId="28" priority="10" operator="lessThanOrEqual">
      <formula>-1</formula>
    </cfRule>
    <cfRule type="cellIs" dxfId="27" priority="11" operator="greaterThanOrEqual">
      <formula>1</formula>
    </cfRule>
    <cfRule type="cellIs" dxfId="26" priority="12" operator="equal">
      <formula>0</formula>
    </cfRule>
  </conditionalFormatting>
  <conditionalFormatting sqref="O7:O12">
    <cfRule type="containsText" dxfId="25" priority="7" operator="containsText" text="TP">
      <formula>NOT(ISERROR(SEARCH("TP",O7)))</formula>
    </cfRule>
    <cfRule type="containsText" dxfId="24" priority="8" operator="containsText" text="ST">
      <formula>NOT(ISERROR(SEARCH("ST",O7)))</formula>
    </cfRule>
    <cfRule type="containsText" dxfId="23" priority="9" operator="containsText" text="TM">
      <formula>NOT(ISERROR(SEARCH("TM",O7)))</formula>
    </cfRule>
  </conditionalFormatting>
  <conditionalFormatting sqref="T7:AC12">
    <cfRule type="containsText" dxfId="22" priority="29" operator="containsText" text="PSI">
      <formula>NOT(ISERROR(SEARCH("PSI",T7)))</formula>
    </cfRule>
    <cfRule type="containsText" dxfId="21" priority="30" operator="containsText" text="nivelar">
      <formula>NOT(ISERROR(SEARCH("nivelar",T7)))</formula>
    </cfRule>
    <cfRule type="containsText" dxfId="20" priority="31" operator="containsText" text="reencauche">
      <formula>NOT(ISERROR(SEARCH("reencauche",T7)))</formula>
    </cfRule>
    <cfRule type="containsText" dxfId="19" priority="32" operator="containsText" text="instalar">
      <formula>NOT(ISERROR(SEARCH("instalar",T7)))</formula>
    </cfRule>
    <cfRule type="containsText" dxfId="18" priority="33" operator="containsText" text="colocar">
      <formula>NOT(ISERROR(SEARCH("colocar",T7)))</formula>
    </cfRule>
    <cfRule type="cellIs" dxfId="17" priority="37" operator="equal">
      <formula>0</formula>
    </cfRule>
  </conditionalFormatting>
  <conditionalFormatting sqref="T14:AC16 W17:Z17 T17:U18 AB17:AC18 V18:AA18 T19:AC19 T20 V20 X20:AC20 T21:AC21">
    <cfRule type="containsErrors" dxfId="16" priority="6">
      <formula>ISERROR(T14)</formula>
    </cfRule>
  </conditionalFormatting>
  <conditionalFormatting sqref="Z21">
    <cfRule type="iconSet" priority="70">
      <iconSet iconSet="3TrafficLights2" showValue="0">
        <cfvo type="percent" val="0"/>
        <cfvo type="num" val="8"/>
        <cfvo type="num" val="10" gte="0"/>
      </iconSet>
    </cfRule>
  </conditionalFormatting>
  <conditionalFormatting sqref="AA15 V15 U21 W21">
    <cfRule type="iconSet" priority="66">
      <iconSet iconSet="3TrafficLights2" showValue="0">
        <cfvo type="percent" val="0"/>
        <cfvo type="num" val="8"/>
        <cfvo type="num" val="10" gte="0"/>
      </iconSet>
    </cfRule>
  </conditionalFormatting>
  <conditionalFormatting sqref="AB21">
    <cfRule type="iconSet" priority="71">
      <iconSet iconSet="3TrafficLights2" showValue="0">
        <cfvo type="percent" val="0"/>
        <cfvo type="num" val="8"/>
        <cfvo type="num" val="10" gte="0"/>
      </iconSet>
    </cfRule>
  </conditionalFormatting>
  <conditionalFormatting sqref="AE7:AE12">
    <cfRule type="cellIs" dxfId="15" priority="38" operator="equal">
      <formula>"N"</formula>
    </cfRule>
    <cfRule type="cellIs" dxfId="14" priority="39" operator="equal">
      <formula>"S"</formula>
    </cfRule>
  </conditionalFormatting>
  <dataValidations count="1">
    <dataValidation type="list" showInputMessage="1" showErrorMessage="1" errorTitle="Dato Erroneo" error="Ingrese un código de equipo correcto" sqref="A2" xr:uid="{00000000-0002-0000-0000-000000000000}">
      <formula1>Lista_Equipos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>
    <tabColor rgb="FFFFFF00"/>
  </sheetPr>
  <dimension ref="A1:AZ969"/>
  <sheetViews>
    <sheetView showGridLines="0"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5" sqref="A5"/>
    </sheetView>
  </sheetViews>
  <sheetFormatPr baseColWidth="10" defaultColWidth="11.44140625" defaultRowHeight="14.4" x14ac:dyDescent="0.3"/>
  <cols>
    <col min="1" max="2" width="11.109375" style="121" customWidth="1"/>
    <col min="3" max="3" width="13.5546875" style="121" customWidth="1"/>
    <col min="4" max="4" width="8.6640625" style="121" customWidth="1"/>
    <col min="5" max="5" width="10.6640625" style="141" customWidth="1"/>
    <col min="6" max="6" width="10.88671875" style="132" customWidth="1"/>
    <col min="7" max="7" width="11.33203125" style="132" customWidth="1"/>
    <col min="8" max="8" width="13.33203125" style="132" customWidth="1"/>
    <col min="9" max="9" width="13.77734375" style="132" hidden="1" customWidth="1"/>
    <col min="10" max="10" width="4.6640625" style="133" customWidth="1"/>
    <col min="11" max="11" width="7.33203125" style="128" customWidth="1"/>
    <col min="12" max="12" width="6" style="133" customWidth="1"/>
    <col min="13" max="13" width="7.5546875" style="133" customWidth="1"/>
    <col min="14" max="14" width="9.33203125" style="132" customWidth="1"/>
    <col min="15" max="15" width="9.6640625" style="121" customWidth="1"/>
    <col min="16" max="18" width="8.6640625" style="121" customWidth="1"/>
    <col min="19" max="21" width="8.77734375" style="121" customWidth="1"/>
    <col min="22" max="24" width="5.77734375" style="121" customWidth="1"/>
    <col min="25" max="25" width="6.5546875" style="121" customWidth="1"/>
    <col min="26" max="26" width="7.109375" style="121" customWidth="1"/>
    <col min="27" max="28" width="9.6640625" style="138" customWidth="1"/>
    <col min="29" max="29" width="6.5546875" style="121" customWidth="1"/>
    <col min="30" max="30" width="5.6640625" style="121" customWidth="1"/>
    <col min="31" max="32" width="6.6640625" style="124" customWidth="1"/>
    <col min="33" max="34" width="10.44140625" style="121" customWidth="1"/>
    <col min="35" max="35" width="7.21875" style="121" customWidth="1"/>
    <col min="36" max="36" width="9.109375" style="121" customWidth="1"/>
    <col min="37" max="37" width="6.6640625" style="121" customWidth="1"/>
    <col min="38" max="38" width="7.109375" style="121" customWidth="1"/>
    <col min="39" max="39" width="8.6640625" style="121" customWidth="1"/>
    <col min="40" max="40" width="8.21875" style="121" customWidth="1"/>
    <col min="41" max="41" width="7" style="121" customWidth="1"/>
    <col min="42" max="42" width="6.6640625" style="125" customWidth="1"/>
    <col min="43" max="43" width="8.21875" style="121" customWidth="1"/>
    <col min="44" max="44" width="8.6640625" style="121" customWidth="1"/>
    <col min="45" max="45" width="7.33203125" style="125" customWidth="1"/>
    <col min="46" max="48" width="5.77734375" style="125" customWidth="1"/>
    <col min="49" max="49" width="31.6640625" style="121" customWidth="1"/>
    <col min="50" max="50" width="24.77734375" style="121" customWidth="1"/>
    <col min="51" max="51" width="17.44140625" style="121" hidden="1" customWidth="1"/>
    <col min="52" max="16384" width="11.44140625" style="121"/>
  </cols>
  <sheetData>
    <row r="1" spans="1:51" ht="27" customHeight="1" x14ac:dyDescent="0.3">
      <c r="A1" s="115"/>
      <c r="B1" s="115"/>
      <c r="C1" s="116"/>
      <c r="D1" s="116"/>
      <c r="E1" s="139"/>
      <c r="F1" s="126"/>
      <c r="G1" s="126"/>
      <c r="H1" s="126"/>
      <c r="I1" s="126"/>
      <c r="J1" s="127"/>
      <c r="L1" s="128"/>
      <c r="M1" s="128"/>
      <c r="N1" s="129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9"/>
      <c r="AA1" s="136"/>
      <c r="AB1" s="136"/>
      <c r="AC1" s="116"/>
      <c r="AD1" s="117"/>
      <c r="AE1" s="117"/>
      <c r="AF1" s="116"/>
      <c r="AG1" s="116"/>
      <c r="AH1" s="116"/>
      <c r="AI1" s="116"/>
      <c r="AJ1" s="116"/>
      <c r="AK1" s="116"/>
      <c r="AL1" s="116"/>
      <c r="AM1" s="116"/>
      <c r="AN1" s="116"/>
      <c r="AO1" s="120"/>
      <c r="AP1" s="116"/>
      <c r="AQ1" s="116"/>
      <c r="AR1" s="120"/>
      <c r="AS1" s="116"/>
      <c r="AT1" s="116"/>
      <c r="AU1" s="116"/>
      <c r="AV1" s="116"/>
      <c r="AW1" s="116"/>
      <c r="AX1" s="116"/>
    </row>
    <row r="2" spans="1:51" ht="27" customHeight="1" x14ac:dyDescent="0.3">
      <c r="C2" s="116"/>
      <c r="D2" s="116"/>
      <c r="E2" s="139"/>
      <c r="F2" s="126"/>
      <c r="G2" s="126"/>
      <c r="H2" s="126"/>
      <c r="I2" s="126"/>
      <c r="J2" s="127"/>
      <c r="L2" s="128"/>
      <c r="M2" s="128"/>
      <c r="N2" s="129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9"/>
      <c r="AA2" s="136"/>
      <c r="AH2" s="116"/>
      <c r="AI2" s="116"/>
      <c r="AJ2" s="116"/>
      <c r="AK2" s="116"/>
      <c r="AL2" s="116"/>
      <c r="AM2" s="116"/>
      <c r="AN2" s="116"/>
      <c r="AO2" s="120"/>
      <c r="AP2" s="116"/>
      <c r="AQ2" s="116"/>
      <c r="AR2" s="120"/>
      <c r="AS2" s="116"/>
      <c r="AT2" s="116"/>
      <c r="AU2" s="116"/>
      <c r="AV2" s="116"/>
      <c r="AW2" s="116"/>
      <c r="AX2" s="116"/>
    </row>
    <row r="3" spans="1:51" s="123" customFormat="1" ht="15" customHeight="1" x14ac:dyDescent="0.3">
      <c r="A3" s="122"/>
      <c r="B3" s="122"/>
      <c r="E3" s="140"/>
      <c r="F3" s="130"/>
      <c r="G3" s="130"/>
      <c r="H3" s="130"/>
      <c r="I3" s="130"/>
      <c r="J3" s="131"/>
      <c r="K3" s="131"/>
      <c r="L3" s="131"/>
      <c r="M3" s="131"/>
      <c r="N3" s="130"/>
      <c r="O3" s="114">
        <v>23</v>
      </c>
      <c r="P3" s="114">
        <v>24</v>
      </c>
      <c r="Q3" s="114">
        <v>25</v>
      </c>
      <c r="R3" s="114">
        <v>26</v>
      </c>
      <c r="S3" s="114">
        <v>27</v>
      </c>
      <c r="T3" s="114">
        <v>28</v>
      </c>
      <c r="U3" s="114">
        <v>29</v>
      </c>
      <c r="V3" s="114">
        <v>30</v>
      </c>
      <c r="W3" s="114">
        <v>31</v>
      </c>
      <c r="X3" s="114">
        <v>32</v>
      </c>
      <c r="Y3" s="114">
        <v>33</v>
      </c>
      <c r="Z3" s="114">
        <v>37</v>
      </c>
      <c r="AA3" s="137"/>
      <c r="AB3" s="137"/>
      <c r="AC3" s="114">
        <v>38</v>
      </c>
      <c r="AD3" s="114">
        <v>39</v>
      </c>
      <c r="AE3" s="114">
        <v>40</v>
      </c>
      <c r="AF3" s="114">
        <v>41</v>
      </c>
      <c r="AG3" s="114">
        <v>42</v>
      </c>
      <c r="AH3" s="114">
        <v>43</v>
      </c>
      <c r="AI3" s="114">
        <v>44</v>
      </c>
      <c r="AJ3" s="114">
        <v>45</v>
      </c>
      <c r="AK3" s="114">
        <v>46</v>
      </c>
      <c r="AL3" s="114">
        <v>47</v>
      </c>
      <c r="AM3" s="114">
        <v>48</v>
      </c>
      <c r="AN3" s="114">
        <v>49</v>
      </c>
      <c r="AO3" s="114">
        <v>50</v>
      </c>
      <c r="AP3" s="114">
        <v>51</v>
      </c>
      <c r="AQ3" s="114">
        <v>52</v>
      </c>
      <c r="AR3" s="114">
        <v>53</v>
      </c>
    </row>
    <row r="4" spans="1:51" s="134" customFormat="1" ht="15" customHeight="1" x14ac:dyDescent="0.3">
      <c r="A4" s="503" t="s">
        <v>496</v>
      </c>
      <c r="B4" s="504"/>
      <c r="C4" s="504"/>
      <c r="D4" s="505"/>
      <c r="E4" s="506" t="s">
        <v>497</v>
      </c>
      <c r="F4" s="506"/>
      <c r="G4" s="506"/>
      <c r="H4" s="506"/>
      <c r="I4" s="506"/>
      <c r="J4" s="506"/>
      <c r="K4" s="506"/>
      <c r="L4" s="506"/>
      <c r="M4" s="506"/>
      <c r="N4" s="506"/>
      <c r="O4" s="508" t="s">
        <v>0</v>
      </c>
      <c r="P4" s="509"/>
      <c r="Q4" s="509"/>
      <c r="R4" s="329" t="s">
        <v>1</v>
      </c>
      <c r="S4" s="330"/>
      <c r="T4" s="330"/>
      <c r="U4" s="330"/>
      <c r="V4" s="330"/>
      <c r="W4" s="330"/>
      <c r="X4" s="330"/>
      <c r="Y4" s="330"/>
      <c r="Z4" s="330"/>
      <c r="AA4" s="507" t="s">
        <v>2</v>
      </c>
      <c r="AB4" s="507"/>
      <c r="AC4" s="507"/>
      <c r="AD4" s="507"/>
      <c r="AE4" s="507"/>
      <c r="AF4" s="507"/>
      <c r="AG4" s="507"/>
      <c r="AH4" s="507"/>
      <c r="AI4" s="510" t="s">
        <v>3</v>
      </c>
      <c r="AJ4" s="511"/>
      <c r="AK4" s="511"/>
      <c r="AL4" s="511"/>
      <c r="AM4" s="511"/>
      <c r="AN4" s="512" t="s">
        <v>12</v>
      </c>
      <c r="AO4" s="513"/>
      <c r="AP4" s="513"/>
      <c r="AQ4" s="513"/>
      <c r="AR4" s="514"/>
      <c r="AS4" s="114">
        <v>54</v>
      </c>
      <c r="AT4" s="114"/>
      <c r="AU4" s="114"/>
      <c r="AV4" s="114"/>
      <c r="AW4" s="114">
        <v>64</v>
      </c>
      <c r="AX4" s="114">
        <v>65</v>
      </c>
    </row>
    <row r="5" spans="1:51" s="150" customFormat="1" ht="51" customHeight="1" x14ac:dyDescent="0.3">
      <c r="A5" s="209" t="s">
        <v>502</v>
      </c>
      <c r="B5" s="210" t="s">
        <v>503</v>
      </c>
      <c r="C5" s="210" t="s">
        <v>504</v>
      </c>
      <c r="D5" s="211" t="s">
        <v>56</v>
      </c>
      <c r="E5" s="209" t="s">
        <v>498</v>
      </c>
      <c r="F5" s="210" t="s">
        <v>499</v>
      </c>
      <c r="G5" s="210" t="s">
        <v>500</v>
      </c>
      <c r="H5" s="210" t="s">
        <v>501</v>
      </c>
      <c r="I5" s="210" t="s">
        <v>20</v>
      </c>
      <c r="J5" s="210" t="s">
        <v>4</v>
      </c>
      <c r="K5" s="210" t="s">
        <v>38</v>
      </c>
      <c r="L5" s="210" t="s">
        <v>39</v>
      </c>
      <c r="M5" s="210" t="s">
        <v>5</v>
      </c>
      <c r="N5" s="211" t="s">
        <v>60</v>
      </c>
      <c r="O5" s="289" t="s">
        <v>6</v>
      </c>
      <c r="P5" s="290" t="s">
        <v>7</v>
      </c>
      <c r="Q5" s="291" t="s">
        <v>13</v>
      </c>
      <c r="R5" s="209" t="s">
        <v>81</v>
      </c>
      <c r="S5" s="320" t="s">
        <v>51</v>
      </c>
      <c r="T5" s="290" t="s">
        <v>8</v>
      </c>
      <c r="U5" s="291" t="s">
        <v>14</v>
      </c>
      <c r="V5" s="209" t="s">
        <v>40</v>
      </c>
      <c r="W5" s="210" t="s">
        <v>41</v>
      </c>
      <c r="X5" s="211" t="s">
        <v>42</v>
      </c>
      <c r="Y5" s="331" t="s">
        <v>79</v>
      </c>
      <c r="Z5" s="144" t="s">
        <v>26</v>
      </c>
      <c r="AA5" s="146" t="s">
        <v>52</v>
      </c>
      <c r="AB5" s="147" t="s">
        <v>9</v>
      </c>
      <c r="AC5" s="147" t="s">
        <v>63</v>
      </c>
      <c r="AD5" s="148" t="s">
        <v>53</v>
      </c>
      <c r="AE5" s="148" t="s">
        <v>10</v>
      </c>
      <c r="AF5" s="148" t="s">
        <v>28</v>
      </c>
      <c r="AG5" s="145" t="s">
        <v>88</v>
      </c>
      <c r="AH5" s="145" t="s">
        <v>89</v>
      </c>
      <c r="AI5" s="375" t="s">
        <v>15</v>
      </c>
      <c r="AJ5" s="376" t="s">
        <v>50</v>
      </c>
      <c r="AK5" s="375" t="s">
        <v>44</v>
      </c>
      <c r="AL5" s="375" t="s">
        <v>48</v>
      </c>
      <c r="AM5" s="377" t="s">
        <v>49</v>
      </c>
      <c r="AN5" s="378" t="s">
        <v>45</v>
      </c>
      <c r="AO5" s="379" t="s">
        <v>54</v>
      </c>
      <c r="AP5" s="378" t="s">
        <v>55</v>
      </c>
      <c r="AQ5" s="378" t="s">
        <v>47</v>
      </c>
      <c r="AR5" s="379" t="s">
        <v>46</v>
      </c>
      <c r="AS5" s="144" t="s">
        <v>43</v>
      </c>
      <c r="AT5" s="525" t="s">
        <v>512</v>
      </c>
      <c r="AU5" s="525" t="s">
        <v>513</v>
      </c>
      <c r="AV5" s="525" t="s">
        <v>514</v>
      </c>
      <c r="AW5" s="144" t="s">
        <v>90</v>
      </c>
      <c r="AX5" s="149" t="s">
        <v>91</v>
      </c>
      <c r="AY5" s="410" t="s">
        <v>505</v>
      </c>
    </row>
    <row r="6" spans="1:51" s="135" customFormat="1" ht="12.75" customHeight="1" x14ac:dyDescent="0.25">
      <c r="A6" s="212" t="s">
        <v>110</v>
      </c>
      <c r="B6" s="213" t="s">
        <v>109</v>
      </c>
      <c r="C6" s="214" t="s">
        <v>296</v>
      </c>
      <c r="D6" s="215" t="s">
        <v>86</v>
      </c>
      <c r="E6" s="232"/>
      <c r="F6" s="233" t="s">
        <v>71</v>
      </c>
      <c r="G6" s="233" t="s">
        <v>271</v>
      </c>
      <c r="H6" s="234" t="str">
        <f>IF(BASE_DATOS[[#This Row],[N-R]]="N",BASE_DATOS[[#This Row],[Diseño]],"Reencauche")</f>
        <v>KMAX S</v>
      </c>
      <c r="I6" s="233" t="s">
        <v>287</v>
      </c>
      <c r="J6" s="235" t="s">
        <v>72</v>
      </c>
      <c r="K6" s="236">
        <v>15.8</v>
      </c>
      <c r="L6" s="233">
        <v>100</v>
      </c>
      <c r="M6" s="237"/>
      <c r="N6" s="239"/>
      <c r="O6" s="267"/>
      <c r="P6" s="268"/>
      <c r="Q6" s="269"/>
      <c r="R6" s="294" t="s">
        <v>98</v>
      </c>
      <c r="S6" s="295">
        <v>45385</v>
      </c>
      <c r="T6" s="296"/>
      <c r="U6" s="297"/>
      <c r="V6" s="212">
        <v>12</v>
      </c>
      <c r="W6" s="321">
        <v>13</v>
      </c>
      <c r="X6" s="322">
        <v>12</v>
      </c>
      <c r="Y6" s="186">
        <f>IFERROR(MIN(V6:X6),"")</f>
        <v>12</v>
      </c>
      <c r="Z6" s="185" t="s">
        <v>85</v>
      </c>
      <c r="AA6" s="332">
        <f>IFERROR(BASE_DATOS[[#This Row],[NSK Original]]-BASE_DATOS[[#This Row],[NSK]]," ")</f>
        <v>3.8000000000000007</v>
      </c>
      <c r="AB6" s="333">
        <f>'NSK-TRACTO'!$A$2</f>
        <v>6</v>
      </c>
      <c r="AC6" s="333">
        <f>IF(BASE_DATOS[[#This Row],[NSK]]&gt;=BASE_DATOS[[#This Row],[NSK Reen]],BASE_DATOS[[#This Row],[NSK Reen]],BASE_DATOS[[#This Row],[NSK]])</f>
        <v>6</v>
      </c>
      <c r="AD6" s="334">
        <f>IFERROR(100%-(BASE_DATOS[[#This Row],[NSK Reen]]/BASE_DATOS[[#This Row],[NSK Original]]),"")</f>
        <v>0.620253164556962</v>
      </c>
      <c r="AE6" s="334">
        <f>IFERROR(100%-BASE_DATOS[[#This Row],[NSK]]/BASE_DATOS[[#This Row],[NSK Original]],"")</f>
        <v>0.24050632911392411</v>
      </c>
      <c r="AF6" s="334">
        <f>IFERROR(BASE_DATOS[[#This Row],[% Max Des.]]-BASE_DATOS[[#This Row],[% Des]],"")</f>
        <v>0.37974683544303789</v>
      </c>
      <c r="AG6" s="284"/>
      <c r="AH6" s="335"/>
      <c r="AI6" s="351" t="str">
        <f>IF(OR(BASE_DATOS[[#This Row],[Hr.]]="",BASE_DATOS[[#This Row],[Hr. Actual]]=""),"",BASE_DATOS[[#This Row],[Hr. Actual]]-BASE_DATOS[[#This Row],[Hr.]]+BASE_DATOS[[#This Row],[Horas Acumuladas]])</f>
        <v/>
      </c>
      <c r="AJ6" s="352" t="str">
        <f>IFERROR(BASE_DATOS[[#This Row],[Precio US$]]/BASE_DATOS[[#This Row],[Horas Rodadas]],"")</f>
        <v/>
      </c>
      <c r="AK6" s="353" t="str">
        <f>IFERROR(BASE_DATOS[[#This Row],[Horas Rodadas]]/(BASE_DATOS[[#This Row],[NSK Original]]-BASE_DATOS[[#This Row],[NSK]]),"")</f>
        <v/>
      </c>
      <c r="AL6" s="35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" s="354" t="str">
        <f>IFERROR(BASE_DATOS[[#This Row],[Precio US$]]/BASE_DATOS[[#This Row],[Horas Proy.]],"")</f>
        <v/>
      </c>
      <c r="AN6" s="189" t="str">
        <f>IF(OR(BASE_DATOS[[#This Row],[Km.]]="",BASE_DATOS[[#This Row],[Km. Actual]]=""),"",BASE_DATOS[[#This Row],[Km. Actual]]-BASE_DATOS[[#This Row],[Km.]]+BASE_DATOS[[#This Row],[Kilómetros Acumulados]])</f>
        <v/>
      </c>
      <c r="AO6" s="190" t="str">
        <f>IFERROR(BASE_DATOS[[#This Row],[Precio US$]]/BASE_DATOS[[#This Row],[Kilómetros Rodados]],"")</f>
        <v/>
      </c>
      <c r="AP6" s="189" t="str">
        <f>IFERROR(BASE_DATOS[[#This Row],[Kilómetros Rodados]]/(BASE_DATOS[[#This Row],[NSK Original]]-BASE_DATOS[[#This Row],[NSK]]),"")</f>
        <v/>
      </c>
      <c r="AQ6" s="18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" s="190" t="str">
        <f>IFERROR(BASE_DATOS[[#This Row],[Precio US$]]/BASE_DATOS[[#This Row],[Kilómetros Proy.]],"")</f>
        <v/>
      </c>
      <c r="AS6" s="191" t="s">
        <v>62</v>
      </c>
      <c r="AT6" s="191"/>
      <c r="AU6" s="191"/>
      <c r="AV6" s="191"/>
      <c r="AW6" s="192"/>
      <c r="AX6" s="192"/>
      <c r="AY6" s="192" t="str">
        <f>CONCATENATE(BASE_DATOS[[#This Row],[Código_U]]&amp;BASE_DATOS[[#This Row],[Pos.]]&amp;BASE_DATOS[[#This Row],[Situación Actual]])</f>
        <v>TC-1001Rodando</v>
      </c>
    </row>
    <row r="7" spans="1:51" ht="12.75" customHeight="1" x14ac:dyDescent="0.25">
      <c r="A7" s="216" t="s">
        <v>110</v>
      </c>
      <c r="B7" s="217" t="s">
        <v>109</v>
      </c>
      <c r="C7" s="218" t="s">
        <v>296</v>
      </c>
      <c r="D7" s="219" t="s">
        <v>86</v>
      </c>
      <c r="E7" s="240"/>
      <c r="F7" s="241" t="s">
        <v>71</v>
      </c>
      <c r="G7" s="241" t="s">
        <v>271</v>
      </c>
      <c r="H7" s="242" t="str">
        <f>IF(BASE_DATOS[[#This Row],[N-R]]="N",BASE_DATOS[[#This Row],[Diseño]],"Reencauche")</f>
        <v>KMAX S</v>
      </c>
      <c r="I7" s="241" t="s">
        <v>287</v>
      </c>
      <c r="J7" s="243" t="s">
        <v>72</v>
      </c>
      <c r="K7" s="244">
        <v>15.8</v>
      </c>
      <c r="L7" s="241">
        <v>100</v>
      </c>
      <c r="M7" s="245"/>
      <c r="N7" s="247"/>
      <c r="O7" s="270"/>
      <c r="P7" s="271"/>
      <c r="Q7" s="272"/>
      <c r="R7" s="298" t="s">
        <v>99</v>
      </c>
      <c r="S7" s="299">
        <v>45385</v>
      </c>
      <c r="T7" s="300"/>
      <c r="U7" s="301"/>
      <c r="V7" s="216">
        <v>13</v>
      </c>
      <c r="W7" s="323">
        <v>14</v>
      </c>
      <c r="X7" s="324">
        <v>13</v>
      </c>
      <c r="Y7" s="162">
        <f t="shared" ref="Y7:Y41" si="0">IFERROR(MIN(V7:X7),"")</f>
        <v>13</v>
      </c>
      <c r="Z7" s="161" t="s">
        <v>85</v>
      </c>
      <c r="AA7" s="336">
        <f>IFERROR(BASE_DATOS[[#This Row],[NSK Original]]-BASE_DATOS[[#This Row],[NSK]]," ")</f>
        <v>2.8000000000000007</v>
      </c>
      <c r="AB7" s="337">
        <f>'NSK-TRACTO'!$A$2</f>
        <v>6</v>
      </c>
      <c r="AC7" s="337">
        <f>IF(BASE_DATOS[[#This Row],[NSK]]&gt;=BASE_DATOS[[#This Row],[NSK Reen]],BASE_DATOS[[#This Row],[NSK Reen]],BASE_DATOS[[#This Row],[NSK]])</f>
        <v>6</v>
      </c>
      <c r="AD7" s="338">
        <f>IFERROR(100%-(BASE_DATOS[[#This Row],[NSK Reen]]/BASE_DATOS[[#This Row],[NSK Original]]),"")</f>
        <v>0.620253164556962</v>
      </c>
      <c r="AE7" s="338">
        <f>IFERROR(100%-BASE_DATOS[[#This Row],[NSK]]/BASE_DATOS[[#This Row],[NSK Original]],"")</f>
        <v>0.17721518987341778</v>
      </c>
      <c r="AF7" s="338">
        <f>IFERROR(BASE_DATOS[[#This Row],[% Max Des.]]-BASE_DATOS[[#This Row],[% Des]],"")</f>
        <v>0.44303797468354422</v>
      </c>
      <c r="AG7" s="287"/>
      <c r="AH7" s="273"/>
      <c r="AI7" s="355" t="str">
        <f>IF(OR(BASE_DATOS[[#This Row],[Hr.]]="",BASE_DATOS[[#This Row],[Hr. Actual]]=""),"",BASE_DATOS[[#This Row],[Hr. Actual]]-BASE_DATOS[[#This Row],[Hr.]]+BASE_DATOS[[#This Row],[Horas Acumuladas]])</f>
        <v/>
      </c>
      <c r="AJ7" s="356" t="str">
        <f>IFERROR(BASE_DATOS[[#This Row],[Precio US$]]/BASE_DATOS[[#This Row],[Horas Rodadas]],"")</f>
        <v/>
      </c>
      <c r="AK7" s="357" t="str">
        <f>IFERROR(BASE_DATOS[[#This Row],[Horas Rodadas]]/(BASE_DATOS[[#This Row],[NSK Original]]-BASE_DATOS[[#This Row],[NSK]]),"")</f>
        <v/>
      </c>
      <c r="AL7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" s="358" t="str">
        <f>IFERROR(BASE_DATOS[[#This Row],[Precio US$]]/BASE_DATOS[[#This Row],[Horas Proy.]],"")</f>
        <v/>
      </c>
      <c r="AN7" s="165" t="str">
        <f>IF(OR(BASE_DATOS[[#This Row],[Km.]]="",BASE_DATOS[[#This Row],[Km. Actual]]=""),"",BASE_DATOS[[#This Row],[Km. Actual]]-BASE_DATOS[[#This Row],[Km.]]+BASE_DATOS[[#This Row],[Kilómetros Acumulados]])</f>
        <v/>
      </c>
      <c r="AO7" s="166" t="str">
        <f>IFERROR(BASE_DATOS[[#This Row],[Precio US$]]/BASE_DATOS[[#This Row],[Kilómetros Rodados]],"")</f>
        <v/>
      </c>
      <c r="AP7" s="165" t="str">
        <f>IFERROR(BASE_DATOS[[#This Row],[Kilómetros Rodados]]/(BASE_DATOS[[#This Row],[NSK Original]]-BASE_DATOS[[#This Row],[NSK]]),"")</f>
        <v/>
      </c>
      <c r="AQ7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" s="166" t="str">
        <f>IFERROR(BASE_DATOS[[#This Row],[Precio US$]]/BASE_DATOS[[#This Row],[Kilómetros Proy.]],"")</f>
        <v/>
      </c>
      <c r="AS7" s="167" t="s">
        <v>62</v>
      </c>
      <c r="AT7" s="167"/>
      <c r="AU7" s="167"/>
      <c r="AV7" s="167"/>
      <c r="AW7" s="168"/>
      <c r="AX7" s="169"/>
      <c r="AY7" s="169" t="str">
        <f>CONCATENATE(BASE_DATOS[[#This Row],[Código_U]]&amp;BASE_DATOS[[#This Row],[Pos.]]&amp;BASE_DATOS[[#This Row],[Situación Actual]])</f>
        <v>TC-1002Rodando</v>
      </c>
    </row>
    <row r="8" spans="1:51" ht="12.75" customHeight="1" x14ac:dyDescent="0.25">
      <c r="A8" s="216" t="s">
        <v>110</v>
      </c>
      <c r="B8" s="217" t="s">
        <v>109</v>
      </c>
      <c r="C8" s="218" t="s">
        <v>296</v>
      </c>
      <c r="D8" s="219" t="s">
        <v>61</v>
      </c>
      <c r="E8" s="240"/>
      <c r="F8" s="241" t="s">
        <v>278</v>
      </c>
      <c r="G8" s="241" t="s">
        <v>271</v>
      </c>
      <c r="H8" s="242" t="str">
        <f>IF(BASE_DATOS[[#This Row],[N-R]]="N",BASE_DATOS[[#This Row],[Diseño]],"Reencauche")</f>
        <v>Reencauche</v>
      </c>
      <c r="I8" s="241" t="s">
        <v>282</v>
      </c>
      <c r="J8" s="243" t="s">
        <v>82</v>
      </c>
      <c r="K8" s="244">
        <v>22</v>
      </c>
      <c r="L8" s="241">
        <v>110</v>
      </c>
      <c r="M8" s="245"/>
      <c r="N8" s="247"/>
      <c r="O8" s="270"/>
      <c r="P8" s="271"/>
      <c r="Q8" s="272"/>
      <c r="R8" s="298" t="s">
        <v>100</v>
      </c>
      <c r="S8" s="299">
        <v>45385</v>
      </c>
      <c r="T8" s="300"/>
      <c r="U8" s="301"/>
      <c r="V8" s="216">
        <v>20</v>
      </c>
      <c r="W8" s="323"/>
      <c r="X8" s="324">
        <v>20</v>
      </c>
      <c r="Y8" s="162">
        <f t="shared" si="0"/>
        <v>20</v>
      </c>
      <c r="Z8" s="161" t="s">
        <v>85</v>
      </c>
      <c r="AA8" s="336">
        <f>IFERROR(BASE_DATOS[[#This Row],[NSK Original]]-BASE_DATOS[[#This Row],[NSK]]," ")</f>
        <v>2</v>
      </c>
      <c r="AB8" s="337">
        <f>'NSK-TRACTO'!$A$2</f>
        <v>6</v>
      </c>
      <c r="AC8" s="337">
        <f>IF(BASE_DATOS[[#This Row],[NSK]]&gt;=BASE_DATOS[[#This Row],[NSK Reen]],BASE_DATOS[[#This Row],[NSK Reen]],BASE_DATOS[[#This Row],[NSK]])</f>
        <v>6</v>
      </c>
      <c r="AD8" s="338">
        <f>IFERROR(100%-(BASE_DATOS[[#This Row],[NSK Reen]]/BASE_DATOS[[#This Row],[NSK Original]]),"")</f>
        <v>0.72727272727272729</v>
      </c>
      <c r="AE8" s="338">
        <f>IFERROR(100%-BASE_DATOS[[#This Row],[NSK]]/BASE_DATOS[[#This Row],[NSK Original]],"")</f>
        <v>9.0909090909090939E-2</v>
      </c>
      <c r="AF8" s="338">
        <f>IFERROR(BASE_DATOS[[#This Row],[% Max Des.]]-BASE_DATOS[[#This Row],[% Des]],"")</f>
        <v>0.63636363636363635</v>
      </c>
      <c r="AG8" s="287"/>
      <c r="AH8" s="273"/>
      <c r="AI8" s="355" t="str">
        <f>IF(OR(BASE_DATOS[[#This Row],[Hr.]]="",BASE_DATOS[[#This Row],[Hr. Actual]]=""),"",BASE_DATOS[[#This Row],[Hr. Actual]]-BASE_DATOS[[#This Row],[Hr.]]+BASE_DATOS[[#This Row],[Horas Acumuladas]])</f>
        <v/>
      </c>
      <c r="AJ8" s="356" t="str">
        <f>IFERROR(BASE_DATOS[[#This Row],[Precio US$]]/BASE_DATOS[[#This Row],[Horas Rodadas]],"")</f>
        <v/>
      </c>
      <c r="AK8" s="357" t="str">
        <f>IFERROR(BASE_DATOS[[#This Row],[Horas Rodadas]]/(BASE_DATOS[[#This Row],[NSK Original]]-BASE_DATOS[[#This Row],[NSK]]),"")</f>
        <v/>
      </c>
      <c r="AL8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" s="358" t="str">
        <f>IFERROR(BASE_DATOS[[#This Row],[Precio US$]]/BASE_DATOS[[#This Row],[Horas Proy.]],"")</f>
        <v/>
      </c>
      <c r="AN8" s="165" t="str">
        <f>IF(OR(BASE_DATOS[[#This Row],[Km.]]="",BASE_DATOS[[#This Row],[Km. Actual]]=""),"",BASE_DATOS[[#This Row],[Km. Actual]]-BASE_DATOS[[#This Row],[Km.]]+BASE_DATOS[[#This Row],[Kilómetros Acumulados]])</f>
        <v/>
      </c>
      <c r="AO8" s="166" t="str">
        <f>IFERROR(BASE_DATOS[[#This Row],[Precio US$]]/BASE_DATOS[[#This Row],[Kilómetros Rodados]],"")</f>
        <v/>
      </c>
      <c r="AP8" s="165" t="str">
        <f>IFERROR(BASE_DATOS[[#This Row],[Kilómetros Rodados]]/(BASE_DATOS[[#This Row],[NSK Original]]-BASE_DATOS[[#This Row],[NSK]]),"")</f>
        <v/>
      </c>
      <c r="AQ8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" s="166" t="str">
        <f>IFERROR(BASE_DATOS[[#This Row],[Precio US$]]/BASE_DATOS[[#This Row],[Kilómetros Proy.]],"")</f>
        <v/>
      </c>
      <c r="AS8" s="167" t="s">
        <v>62</v>
      </c>
      <c r="AT8" s="167"/>
      <c r="AU8" s="167"/>
      <c r="AV8" s="167"/>
      <c r="AW8" s="168"/>
      <c r="AX8" s="168"/>
      <c r="AY8" s="168" t="str">
        <f>CONCATENATE(BASE_DATOS[[#This Row],[Código_U]]&amp;BASE_DATOS[[#This Row],[Pos.]]&amp;BASE_DATOS[[#This Row],[Situación Actual]])</f>
        <v>TC-1003Rodando</v>
      </c>
    </row>
    <row r="9" spans="1:51" ht="12.75" customHeight="1" x14ac:dyDescent="0.25">
      <c r="A9" s="216" t="s">
        <v>110</v>
      </c>
      <c r="B9" s="217" t="s">
        <v>109</v>
      </c>
      <c r="C9" s="218" t="s">
        <v>296</v>
      </c>
      <c r="D9" s="219" t="s">
        <v>61</v>
      </c>
      <c r="E9" s="240"/>
      <c r="F9" s="241" t="s">
        <v>278</v>
      </c>
      <c r="G9" s="241" t="s">
        <v>271</v>
      </c>
      <c r="H9" s="242" t="str">
        <f>IF(BASE_DATOS[[#This Row],[N-R]]="N",BASE_DATOS[[#This Row],[Diseño]],"Reencauche")</f>
        <v>Reencauche</v>
      </c>
      <c r="I9" s="241" t="s">
        <v>282</v>
      </c>
      <c r="J9" s="243" t="s">
        <v>82</v>
      </c>
      <c r="K9" s="244">
        <v>22</v>
      </c>
      <c r="L9" s="241">
        <v>110</v>
      </c>
      <c r="M9" s="245"/>
      <c r="N9" s="247"/>
      <c r="O9" s="270"/>
      <c r="P9" s="271"/>
      <c r="Q9" s="272"/>
      <c r="R9" s="298" t="s">
        <v>101</v>
      </c>
      <c r="S9" s="299">
        <v>45385</v>
      </c>
      <c r="T9" s="300"/>
      <c r="U9" s="301"/>
      <c r="V9" s="216">
        <v>20</v>
      </c>
      <c r="W9" s="323"/>
      <c r="X9" s="324">
        <v>20</v>
      </c>
      <c r="Y9" s="162">
        <f t="shared" si="0"/>
        <v>20</v>
      </c>
      <c r="Z9" s="161" t="s">
        <v>73</v>
      </c>
      <c r="AA9" s="336">
        <f>IFERROR(BASE_DATOS[[#This Row],[NSK Original]]-BASE_DATOS[[#This Row],[NSK]]," ")</f>
        <v>2</v>
      </c>
      <c r="AB9" s="337">
        <f>'NSK-TRACTO'!$A$2</f>
        <v>6</v>
      </c>
      <c r="AC9" s="337">
        <f>IF(BASE_DATOS[[#This Row],[NSK]]&gt;=BASE_DATOS[[#This Row],[NSK Reen]],BASE_DATOS[[#This Row],[NSK Reen]],BASE_DATOS[[#This Row],[NSK]])</f>
        <v>6</v>
      </c>
      <c r="AD9" s="338">
        <f>IFERROR(100%-(BASE_DATOS[[#This Row],[NSK Reen]]/BASE_DATOS[[#This Row],[NSK Original]]),"")</f>
        <v>0.72727272727272729</v>
      </c>
      <c r="AE9" s="338">
        <f>IFERROR(100%-BASE_DATOS[[#This Row],[NSK]]/BASE_DATOS[[#This Row],[NSK Original]],"")</f>
        <v>9.0909090909090939E-2</v>
      </c>
      <c r="AF9" s="338">
        <f>IFERROR(BASE_DATOS[[#This Row],[% Max Des.]]-BASE_DATOS[[#This Row],[% Des]],"")</f>
        <v>0.63636363636363635</v>
      </c>
      <c r="AG9" s="287"/>
      <c r="AH9" s="273"/>
      <c r="AI9" s="355" t="str">
        <f>IF(OR(BASE_DATOS[[#This Row],[Hr.]]="",BASE_DATOS[[#This Row],[Hr. Actual]]=""),"",BASE_DATOS[[#This Row],[Hr. Actual]]-BASE_DATOS[[#This Row],[Hr.]]+BASE_DATOS[[#This Row],[Horas Acumuladas]])</f>
        <v/>
      </c>
      <c r="AJ9" s="356" t="str">
        <f>IFERROR(BASE_DATOS[[#This Row],[Precio US$]]/BASE_DATOS[[#This Row],[Horas Rodadas]],"")</f>
        <v/>
      </c>
      <c r="AK9" s="357" t="str">
        <f>IFERROR(BASE_DATOS[[#This Row],[Horas Rodadas]]/(BASE_DATOS[[#This Row],[NSK Original]]-BASE_DATOS[[#This Row],[NSK]]),"")</f>
        <v/>
      </c>
      <c r="AL9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" s="358" t="str">
        <f>IFERROR(BASE_DATOS[[#This Row],[Precio US$]]/BASE_DATOS[[#This Row],[Horas Proy.]],"")</f>
        <v/>
      </c>
      <c r="AN9" s="165" t="str">
        <f>IF(OR(BASE_DATOS[[#This Row],[Km.]]="",BASE_DATOS[[#This Row],[Km. Actual]]=""),"",BASE_DATOS[[#This Row],[Km. Actual]]-BASE_DATOS[[#This Row],[Km.]]+BASE_DATOS[[#This Row],[Kilómetros Acumulados]])</f>
        <v/>
      </c>
      <c r="AO9" s="166" t="str">
        <f>IFERROR(BASE_DATOS[[#This Row],[Precio US$]]/BASE_DATOS[[#This Row],[Kilómetros Rodados]],"")</f>
        <v/>
      </c>
      <c r="AP9" s="165" t="str">
        <f>IFERROR(BASE_DATOS[[#This Row],[Kilómetros Rodados]]/(BASE_DATOS[[#This Row],[NSK Original]]-BASE_DATOS[[#This Row],[NSK]]),"")</f>
        <v/>
      </c>
      <c r="AQ9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" s="166" t="str">
        <f>IFERROR(BASE_DATOS[[#This Row],[Precio US$]]/BASE_DATOS[[#This Row],[Kilómetros Proy.]],"")</f>
        <v/>
      </c>
      <c r="AS9" s="167" t="s">
        <v>62</v>
      </c>
      <c r="AT9" s="167"/>
      <c r="AU9" s="167"/>
      <c r="AV9" s="167"/>
      <c r="AW9" s="168"/>
      <c r="AX9" s="168"/>
      <c r="AY9" s="168" t="str">
        <f>CONCATENATE(BASE_DATOS[[#This Row],[Código_U]]&amp;BASE_DATOS[[#This Row],[Pos.]]&amp;BASE_DATOS[[#This Row],[Situación Actual]])</f>
        <v>TC-1004Rodando</v>
      </c>
    </row>
    <row r="10" spans="1:51" ht="12.75" customHeight="1" x14ac:dyDescent="0.25">
      <c r="A10" s="216" t="s">
        <v>110</v>
      </c>
      <c r="B10" s="217" t="s">
        <v>109</v>
      </c>
      <c r="C10" s="218" t="s">
        <v>296</v>
      </c>
      <c r="D10" s="219" t="s">
        <v>61</v>
      </c>
      <c r="E10" s="240"/>
      <c r="F10" s="241" t="s">
        <v>278</v>
      </c>
      <c r="G10" s="241" t="s">
        <v>271</v>
      </c>
      <c r="H10" s="242" t="str">
        <f>IF(BASE_DATOS[[#This Row],[N-R]]="N",BASE_DATOS[[#This Row],[Diseño]],"Reencauche")</f>
        <v>Reencauche</v>
      </c>
      <c r="I10" s="241" t="s">
        <v>282</v>
      </c>
      <c r="J10" s="243" t="s">
        <v>82</v>
      </c>
      <c r="K10" s="244">
        <v>22</v>
      </c>
      <c r="L10" s="241">
        <v>110</v>
      </c>
      <c r="M10" s="245"/>
      <c r="N10" s="247"/>
      <c r="O10" s="270"/>
      <c r="P10" s="271"/>
      <c r="Q10" s="272"/>
      <c r="R10" s="298" t="s">
        <v>102</v>
      </c>
      <c r="S10" s="299">
        <v>45385</v>
      </c>
      <c r="T10" s="300"/>
      <c r="U10" s="301"/>
      <c r="V10" s="216">
        <v>20</v>
      </c>
      <c r="W10" s="323"/>
      <c r="X10" s="324">
        <v>20</v>
      </c>
      <c r="Y10" s="162">
        <f t="shared" si="0"/>
        <v>20</v>
      </c>
      <c r="Z10" s="161" t="s">
        <v>85</v>
      </c>
      <c r="AA10" s="336">
        <f>IFERROR(BASE_DATOS[[#This Row],[NSK Original]]-BASE_DATOS[[#This Row],[NSK]]," ")</f>
        <v>2</v>
      </c>
      <c r="AB10" s="337">
        <f>'NSK-TRACTO'!$A$2</f>
        <v>6</v>
      </c>
      <c r="AC10" s="337">
        <f>IF(BASE_DATOS[[#This Row],[NSK]]&gt;=BASE_DATOS[[#This Row],[NSK Reen]],BASE_DATOS[[#This Row],[NSK Reen]],BASE_DATOS[[#This Row],[NSK]])</f>
        <v>6</v>
      </c>
      <c r="AD10" s="338">
        <f>IFERROR(100%-(BASE_DATOS[[#This Row],[NSK Reen]]/BASE_DATOS[[#This Row],[NSK Original]]),"")</f>
        <v>0.72727272727272729</v>
      </c>
      <c r="AE10" s="338">
        <f>IFERROR(100%-BASE_DATOS[[#This Row],[NSK]]/BASE_DATOS[[#This Row],[NSK Original]],"")</f>
        <v>9.0909090909090939E-2</v>
      </c>
      <c r="AF10" s="338">
        <f>IFERROR(BASE_DATOS[[#This Row],[% Max Des.]]-BASE_DATOS[[#This Row],[% Des]],"")</f>
        <v>0.63636363636363635</v>
      </c>
      <c r="AG10" s="287"/>
      <c r="AH10" s="273"/>
      <c r="AI10" s="355" t="str">
        <f>IF(OR(BASE_DATOS[[#This Row],[Hr.]]="",BASE_DATOS[[#This Row],[Hr. Actual]]=""),"",BASE_DATOS[[#This Row],[Hr. Actual]]-BASE_DATOS[[#This Row],[Hr.]]+BASE_DATOS[[#This Row],[Horas Acumuladas]])</f>
        <v/>
      </c>
      <c r="AJ10" s="356" t="str">
        <f>IFERROR(BASE_DATOS[[#This Row],[Precio US$]]/BASE_DATOS[[#This Row],[Horas Rodadas]],"")</f>
        <v/>
      </c>
      <c r="AK10" s="357" t="str">
        <f>IFERROR(BASE_DATOS[[#This Row],[Horas Rodadas]]/(BASE_DATOS[[#This Row],[NSK Original]]-BASE_DATOS[[#This Row],[NSK]]),"")</f>
        <v/>
      </c>
      <c r="AL10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0" s="358" t="str">
        <f>IFERROR(BASE_DATOS[[#This Row],[Precio US$]]/BASE_DATOS[[#This Row],[Horas Proy.]],"")</f>
        <v/>
      </c>
      <c r="AN10" s="165" t="str">
        <f>IF(OR(BASE_DATOS[[#This Row],[Km.]]="",BASE_DATOS[[#This Row],[Km. Actual]]=""),"",BASE_DATOS[[#This Row],[Km. Actual]]-BASE_DATOS[[#This Row],[Km.]]+BASE_DATOS[[#This Row],[Kilómetros Acumulados]])</f>
        <v/>
      </c>
      <c r="AO10" s="166" t="str">
        <f>IFERROR(BASE_DATOS[[#This Row],[Precio US$]]/BASE_DATOS[[#This Row],[Kilómetros Rodados]],"")</f>
        <v/>
      </c>
      <c r="AP10" s="165" t="str">
        <f>IFERROR(BASE_DATOS[[#This Row],[Kilómetros Rodados]]/(BASE_DATOS[[#This Row],[NSK Original]]-BASE_DATOS[[#This Row],[NSK]]),"")</f>
        <v/>
      </c>
      <c r="AQ10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0" s="166" t="str">
        <f>IFERROR(BASE_DATOS[[#This Row],[Precio US$]]/BASE_DATOS[[#This Row],[Kilómetros Proy.]],"")</f>
        <v/>
      </c>
      <c r="AS10" s="167" t="s">
        <v>62</v>
      </c>
      <c r="AT10" s="167"/>
      <c r="AU10" s="167"/>
      <c r="AV10" s="167"/>
      <c r="AW10" s="169"/>
      <c r="AX10" s="168"/>
      <c r="AY10" s="168" t="str">
        <f>CONCATENATE(BASE_DATOS[[#This Row],[Código_U]]&amp;BASE_DATOS[[#This Row],[Pos.]]&amp;BASE_DATOS[[#This Row],[Situación Actual]])</f>
        <v>TC-1005Rodando</v>
      </c>
    </row>
    <row r="11" spans="1:51" ht="12.75" customHeight="1" x14ac:dyDescent="0.25">
      <c r="A11" s="216" t="s">
        <v>110</v>
      </c>
      <c r="B11" s="217" t="s">
        <v>109</v>
      </c>
      <c r="C11" s="218" t="s">
        <v>296</v>
      </c>
      <c r="D11" s="219" t="s">
        <v>61</v>
      </c>
      <c r="E11" s="240"/>
      <c r="F11" s="241" t="s">
        <v>278</v>
      </c>
      <c r="G11" s="241" t="s">
        <v>271</v>
      </c>
      <c r="H11" s="242" t="str">
        <f>IF(BASE_DATOS[[#This Row],[N-R]]="N",BASE_DATOS[[#This Row],[Diseño]],"Reencauche")</f>
        <v>Reencauche</v>
      </c>
      <c r="I11" s="241" t="s">
        <v>282</v>
      </c>
      <c r="J11" s="243" t="s">
        <v>82</v>
      </c>
      <c r="K11" s="244">
        <v>22</v>
      </c>
      <c r="L11" s="241">
        <v>110</v>
      </c>
      <c r="M11" s="245"/>
      <c r="N11" s="247"/>
      <c r="O11" s="270"/>
      <c r="P11" s="271"/>
      <c r="Q11" s="272"/>
      <c r="R11" s="298" t="s">
        <v>103</v>
      </c>
      <c r="S11" s="299">
        <v>45385</v>
      </c>
      <c r="T11" s="300"/>
      <c r="U11" s="301"/>
      <c r="V11" s="216">
        <v>20</v>
      </c>
      <c r="W11" s="323"/>
      <c r="X11" s="324">
        <v>20</v>
      </c>
      <c r="Y11" s="162">
        <f t="shared" si="0"/>
        <v>20</v>
      </c>
      <c r="Z11" s="161" t="s">
        <v>85</v>
      </c>
      <c r="AA11" s="336">
        <f>IFERROR(BASE_DATOS[[#This Row],[NSK Original]]-BASE_DATOS[[#This Row],[NSK]]," ")</f>
        <v>2</v>
      </c>
      <c r="AB11" s="337">
        <f>'NSK-TRACTO'!$A$2</f>
        <v>6</v>
      </c>
      <c r="AC11" s="337">
        <f>IF(BASE_DATOS[[#This Row],[NSK]]&gt;=BASE_DATOS[[#This Row],[NSK Reen]],BASE_DATOS[[#This Row],[NSK Reen]],BASE_DATOS[[#This Row],[NSK]])</f>
        <v>6</v>
      </c>
      <c r="AD11" s="338">
        <f>IFERROR(100%-(BASE_DATOS[[#This Row],[NSK Reen]]/BASE_DATOS[[#This Row],[NSK Original]]),"")</f>
        <v>0.72727272727272729</v>
      </c>
      <c r="AE11" s="338">
        <f>IFERROR(100%-BASE_DATOS[[#This Row],[NSK]]/BASE_DATOS[[#This Row],[NSK Original]],"")</f>
        <v>9.0909090909090939E-2</v>
      </c>
      <c r="AF11" s="338">
        <f>IFERROR(BASE_DATOS[[#This Row],[% Max Des.]]-BASE_DATOS[[#This Row],[% Des]],"")</f>
        <v>0.63636363636363635</v>
      </c>
      <c r="AG11" s="287"/>
      <c r="AH11" s="273"/>
      <c r="AI11" s="355" t="str">
        <f>IF(OR(BASE_DATOS[[#This Row],[Hr.]]="",BASE_DATOS[[#This Row],[Hr. Actual]]=""),"",BASE_DATOS[[#This Row],[Hr. Actual]]-BASE_DATOS[[#This Row],[Hr.]]+BASE_DATOS[[#This Row],[Horas Acumuladas]])</f>
        <v/>
      </c>
      <c r="AJ11" s="356" t="str">
        <f>IFERROR(BASE_DATOS[[#This Row],[Precio US$]]/BASE_DATOS[[#This Row],[Horas Rodadas]],"")</f>
        <v/>
      </c>
      <c r="AK11" s="357" t="str">
        <f>IFERROR(BASE_DATOS[[#This Row],[Horas Rodadas]]/(BASE_DATOS[[#This Row],[NSK Original]]-BASE_DATOS[[#This Row],[NSK]]),"")</f>
        <v/>
      </c>
      <c r="AL11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1" s="358" t="str">
        <f>IFERROR(BASE_DATOS[[#This Row],[Precio US$]]/BASE_DATOS[[#This Row],[Horas Proy.]],"")</f>
        <v/>
      </c>
      <c r="AN11" s="165" t="str">
        <f>IF(OR(BASE_DATOS[[#This Row],[Km.]]="",BASE_DATOS[[#This Row],[Km. Actual]]=""),"",BASE_DATOS[[#This Row],[Km. Actual]]-BASE_DATOS[[#This Row],[Km.]]+BASE_DATOS[[#This Row],[Kilómetros Acumulados]])</f>
        <v/>
      </c>
      <c r="AO11" s="166" t="str">
        <f>IFERROR(BASE_DATOS[[#This Row],[Precio US$]]/BASE_DATOS[[#This Row],[Kilómetros Rodados]],"")</f>
        <v/>
      </c>
      <c r="AP11" s="165" t="str">
        <f>IFERROR(BASE_DATOS[[#This Row],[Kilómetros Rodados]]/(BASE_DATOS[[#This Row],[NSK Original]]-BASE_DATOS[[#This Row],[NSK]]),"")</f>
        <v/>
      </c>
      <c r="AQ11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1" s="166" t="str">
        <f>IFERROR(BASE_DATOS[[#This Row],[Precio US$]]/BASE_DATOS[[#This Row],[Kilómetros Proy.]],"")</f>
        <v/>
      </c>
      <c r="AS11" s="167" t="s">
        <v>62</v>
      </c>
      <c r="AT11" s="167"/>
      <c r="AU11" s="167"/>
      <c r="AV11" s="167"/>
      <c r="AW11" s="169"/>
      <c r="AX11" s="168"/>
      <c r="AY11" s="168" t="str">
        <f>CONCATENATE(BASE_DATOS[[#This Row],[Código_U]]&amp;BASE_DATOS[[#This Row],[Pos.]]&amp;BASE_DATOS[[#This Row],[Situación Actual]])</f>
        <v>TC-1006Rodando</v>
      </c>
    </row>
    <row r="12" spans="1:51" ht="12.75" customHeight="1" x14ac:dyDescent="0.25">
      <c r="A12" s="216" t="s">
        <v>110</v>
      </c>
      <c r="B12" s="217" t="s">
        <v>109</v>
      </c>
      <c r="C12" s="218" t="s">
        <v>296</v>
      </c>
      <c r="D12" s="219" t="s">
        <v>61</v>
      </c>
      <c r="E12" s="240"/>
      <c r="F12" s="241" t="s">
        <v>71</v>
      </c>
      <c r="G12" s="241" t="s">
        <v>271</v>
      </c>
      <c r="H12" s="242" t="str">
        <f>IF(BASE_DATOS[[#This Row],[N-R]]="N",BASE_DATOS[[#This Row],[Diseño]],"Reencauche")</f>
        <v>KMAXD</v>
      </c>
      <c r="I12" s="241" t="s">
        <v>294</v>
      </c>
      <c r="J12" s="243" t="s">
        <v>72</v>
      </c>
      <c r="K12" s="244">
        <v>22.2</v>
      </c>
      <c r="L12" s="241">
        <v>110</v>
      </c>
      <c r="M12" s="245"/>
      <c r="N12" s="247"/>
      <c r="O12" s="270"/>
      <c r="P12" s="271"/>
      <c r="Q12" s="272"/>
      <c r="R12" s="298" t="s">
        <v>104</v>
      </c>
      <c r="S12" s="299">
        <v>45385</v>
      </c>
      <c r="T12" s="300"/>
      <c r="U12" s="301"/>
      <c r="V12" s="216">
        <v>21</v>
      </c>
      <c r="W12" s="323"/>
      <c r="X12" s="324">
        <v>21</v>
      </c>
      <c r="Y12" s="162">
        <f t="shared" si="0"/>
        <v>21</v>
      </c>
      <c r="Z12" s="163" t="s">
        <v>85</v>
      </c>
      <c r="AA12" s="336">
        <f>IFERROR(BASE_DATOS[[#This Row],[NSK Original]]-BASE_DATOS[[#This Row],[NSK]]," ")</f>
        <v>1.1999999999999993</v>
      </c>
      <c r="AB12" s="337">
        <f>'NSK-TRACTO'!$A$2</f>
        <v>6</v>
      </c>
      <c r="AC12" s="337">
        <f>IF(BASE_DATOS[[#This Row],[NSK]]&gt;=BASE_DATOS[[#This Row],[NSK Reen]],BASE_DATOS[[#This Row],[NSK Reen]],BASE_DATOS[[#This Row],[NSK]])</f>
        <v>6</v>
      </c>
      <c r="AD12" s="338">
        <f>IFERROR(100%-(BASE_DATOS[[#This Row],[NSK Reen]]/BASE_DATOS[[#This Row],[NSK Original]]),"")</f>
        <v>0.72972972972972971</v>
      </c>
      <c r="AE12" s="338">
        <f>IFERROR(100%-BASE_DATOS[[#This Row],[NSK]]/BASE_DATOS[[#This Row],[NSK Original]],"")</f>
        <v>5.4054054054054057E-2</v>
      </c>
      <c r="AF12" s="338">
        <f>IFERROR(BASE_DATOS[[#This Row],[% Max Des.]]-BASE_DATOS[[#This Row],[% Des]],"")</f>
        <v>0.67567567567567566</v>
      </c>
      <c r="AG12" s="287"/>
      <c r="AH12" s="273"/>
      <c r="AI12" s="355" t="str">
        <f>IF(OR(BASE_DATOS[[#This Row],[Hr.]]="",BASE_DATOS[[#This Row],[Hr. Actual]]=""),"",BASE_DATOS[[#This Row],[Hr. Actual]]-BASE_DATOS[[#This Row],[Hr.]]+BASE_DATOS[[#This Row],[Horas Acumuladas]])</f>
        <v/>
      </c>
      <c r="AJ12" s="356" t="str">
        <f>IFERROR(BASE_DATOS[[#This Row],[Precio US$]]/BASE_DATOS[[#This Row],[Horas Rodadas]],"")</f>
        <v/>
      </c>
      <c r="AK12" s="357" t="str">
        <f>IFERROR(BASE_DATOS[[#This Row],[Horas Rodadas]]/(BASE_DATOS[[#This Row],[NSK Original]]-BASE_DATOS[[#This Row],[NSK]]),"")</f>
        <v/>
      </c>
      <c r="AL12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2" s="358" t="str">
        <f>IFERROR(BASE_DATOS[[#This Row],[Precio US$]]/BASE_DATOS[[#This Row],[Horas Proy.]],"")</f>
        <v/>
      </c>
      <c r="AN12" s="165" t="str">
        <f>IF(OR(BASE_DATOS[[#This Row],[Km.]]="",BASE_DATOS[[#This Row],[Km. Actual]]=""),"",BASE_DATOS[[#This Row],[Km. Actual]]-BASE_DATOS[[#This Row],[Km.]]+BASE_DATOS[[#This Row],[Kilómetros Acumulados]])</f>
        <v/>
      </c>
      <c r="AO12" s="166" t="str">
        <f>IFERROR(BASE_DATOS[[#This Row],[Precio US$]]/BASE_DATOS[[#This Row],[Kilómetros Rodados]],"")</f>
        <v/>
      </c>
      <c r="AP12" s="165" t="str">
        <f>IFERROR(BASE_DATOS[[#This Row],[Kilómetros Rodados]]/(BASE_DATOS[[#This Row],[NSK Original]]-BASE_DATOS[[#This Row],[NSK]]),"")</f>
        <v/>
      </c>
      <c r="AQ12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2" s="166" t="str">
        <f>IFERROR(BASE_DATOS[[#This Row],[Precio US$]]/BASE_DATOS[[#This Row],[Kilómetros Proy.]],"")</f>
        <v/>
      </c>
      <c r="AS12" s="167" t="s">
        <v>62</v>
      </c>
      <c r="AT12" s="167"/>
      <c r="AU12" s="167"/>
      <c r="AV12" s="167"/>
      <c r="AW12" s="168"/>
      <c r="AX12" s="168"/>
      <c r="AY12" s="168" t="str">
        <f>CONCATENATE(BASE_DATOS[[#This Row],[Código_U]]&amp;BASE_DATOS[[#This Row],[Pos.]]&amp;BASE_DATOS[[#This Row],[Situación Actual]])</f>
        <v>TC-1007Rodando</v>
      </c>
    </row>
    <row r="13" spans="1:51" ht="12.75" customHeight="1" x14ac:dyDescent="0.25">
      <c r="A13" s="216" t="s">
        <v>110</v>
      </c>
      <c r="B13" s="217" t="s">
        <v>109</v>
      </c>
      <c r="C13" s="218" t="s">
        <v>296</v>
      </c>
      <c r="D13" s="219" t="s">
        <v>61</v>
      </c>
      <c r="E13" s="240"/>
      <c r="F13" s="241" t="s">
        <v>71</v>
      </c>
      <c r="G13" s="241" t="s">
        <v>271</v>
      </c>
      <c r="H13" s="242" t="str">
        <f>IF(BASE_DATOS[[#This Row],[N-R]]="N",BASE_DATOS[[#This Row],[Diseño]],"Reencauche")</f>
        <v>KMAXD</v>
      </c>
      <c r="I13" s="241" t="s">
        <v>294</v>
      </c>
      <c r="J13" s="243" t="s">
        <v>72</v>
      </c>
      <c r="K13" s="244">
        <v>22.2</v>
      </c>
      <c r="L13" s="241">
        <v>110</v>
      </c>
      <c r="M13" s="245"/>
      <c r="N13" s="247"/>
      <c r="O13" s="270"/>
      <c r="P13" s="271"/>
      <c r="Q13" s="272"/>
      <c r="R13" s="298" t="s">
        <v>105</v>
      </c>
      <c r="S13" s="299">
        <v>45385</v>
      </c>
      <c r="T13" s="300"/>
      <c r="U13" s="301"/>
      <c r="V13" s="216">
        <v>21</v>
      </c>
      <c r="W13" s="323"/>
      <c r="X13" s="324">
        <v>21</v>
      </c>
      <c r="Y13" s="162">
        <f t="shared" si="0"/>
        <v>21</v>
      </c>
      <c r="Z13" s="161" t="s">
        <v>73</v>
      </c>
      <c r="AA13" s="336">
        <f>IFERROR(BASE_DATOS[[#This Row],[NSK Original]]-BASE_DATOS[[#This Row],[NSK]]," ")</f>
        <v>1.1999999999999993</v>
      </c>
      <c r="AB13" s="337">
        <f>'NSK-TRACTO'!$A$2</f>
        <v>6</v>
      </c>
      <c r="AC13" s="337">
        <f>IF(BASE_DATOS[[#This Row],[NSK]]&gt;=BASE_DATOS[[#This Row],[NSK Reen]],BASE_DATOS[[#This Row],[NSK Reen]],BASE_DATOS[[#This Row],[NSK]])</f>
        <v>6</v>
      </c>
      <c r="AD13" s="338">
        <f>IFERROR(100%-(BASE_DATOS[[#This Row],[NSK Reen]]/BASE_DATOS[[#This Row],[NSK Original]]),"")</f>
        <v>0.72972972972972971</v>
      </c>
      <c r="AE13" s="338">
        <f>IFERROR(100%-BASE_DATOS[[#This Row],[NSK]]/BASE_DATOS[[#This Row],[NSK Original]],"")</f>
        <v>5.4054054054054057E-2</v>
      </c>
      <c r="AF13" s="338">
        <f>IFERROR(BASE_DATOS[[#This Row],[% Max Des.]]-BASE_DATOS[[#This Row],[% Des]],"")</f>
        <v>0.67567567567567566</v>
      </c>
      <c r="AG13" s="287"/>
      <c r="AH13" s="273"/>
      <c r="AI13" s="355" t="str">
        <f>IF(OR(BASE_DATOS[[#This Row],[Hr.]]="",BASE_DATOS[[#This Row],[Hr. Actual]]=""),"",BASE_DATOS[[#This Row],[Hr. Actual]]-BASE_DATOS[[#This Row],[Hr.]]+BASE_DATOS[[#This Row],[Horas Acumuladas]])</f>
        <v/>
      </c>
      <c r="AJ13" s="356" t="str">
        <f>IFERROR(BASE_DATOS[[#This Row],[Precio US$]]/BASE_DATOS[[#This Row],[Horas Rodadas]],"")</f>
        <v/>
      </c>
      <c r="AK13" s="357" t="str">
        <f>IFERROR(BASE_DATOS[[#This Row],[Horas Rodadas]]/(BASE_DATOS[[#This Row],[NSK Original]]-BASE_DATOS[[#This Row],[NSK]]),"")</f>
        <v/>
      </c>
      <c r="AL13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3" s="358" t="str">
        <f>IFERROR(BASE_DATOS[[#This Row],[Precio US$]]/BASE_DATOS[[#This Row],[Horas Proy.]],"")</f>
        <v/>
      </c>
      <c r="AN13" s="165" t="str">
        <f>IF(OR(BASE_DATOS[[#This Row],[Km.]]="",BASE_DATOS[[#This Row],[Km. Actual]]=""),"",BASE_DATOS[[#This Row],[Km. Actual]]-BASE_DATOS[[#This Row],[Km.]]+BASE_DATOS[[#This Row],[Kilómetros Acumulados]])</f>
        <v/>
      </c>
      <c r="AO13" s="166" t="str">
        <f>IFERROR(BASE_DATOS[[#This Row],[Precio US$]]/BASE_DATOS[[#This Row],[Kilómetros Rodados]],"")</f>
        <v/>
      </c>
      <c r="AP13" s="165" t="str">
        <f>IFERROR(BASE_DATOS[[#This Row],[Kilómetros Rodados]]/(BASE_DATOS[[#This Row],[NSK Original]]-BASE_DATOS[[#This Row],[NSK]]),"")</f>
        <v/>
      </c>
      <c r="AQ13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3" s="166" t="str">
        <f>IFERROR(BASE_DATOS[[#This Row],[Precio US$]]/BASE_DATOS[[#This Row],[Kilómetros Proy.]],"")</f>
        <v/>
      </c>
      <c r="AS13" s="167" t="s">
        <v>62</v>
      </c>
      <c r="AT13" s="167"/>
      <c r="AU13" s="167"/>
      <c r="AV13" s="167"/>
      <c r="AW13" s="168"/>
      <c r="AX13" s="168"/>
      <c r="AY13" s="168" t="str">
        <f>CONCATENATE(BASE_DATOS[[#This Row],[Código_U]]&amp;BASE_DATOS[[#This Row],[Pos.]]&amp;BASE_DATOS[[#This Row],[Situación Actual]])</f>
        <v>TC-1008Rodando</v>
      </c>
    </row>
    <row r="14" spans="1:51" ht="12.75" customHeight="1" x14ac:dyDescent="0.25">
      <c r="A14" s="216" t="s">
        <v>110</v>
      </c>
      <c r="B14" s="217" t="s">
        <v>109</v>
      </c>
      <c r="C14" s="218" t="s">
        <v>296</v>
      </c>
      <c r="D14" s="219" t="s">
        <v>61</v>
      </c>
      <c r="E14" s="240"/>
      <c r="F14" s="241" t="s">
        <v>71</v>
      </c>
      <c r="G14" s="241" t="s">
        <v>271</v>
      </c>
      <c r="H14" s="242" t="str">
        <f>IF(BASE_DATOS[[#This Row],[N-R]]="N",BASE_DATOS[[#This Row],[Diseño]],"Reencauche")</f>
        <v>KMAXD</v>
      </c>
      <c r="I14" s="241" t="s">
        <v>294</v>
      </c>
      <c r="J14" s="243" t="s">
        <v>72</v>
      </c>
      <c r="K14" s="244">
        <v>22.2</v>
      </c>
      <c r="L14" s="241">
        <v>110</v>
      </c>
      <c r="M14" s="245"/>
      <c r="N14" s="247"/>
      <c r="O14" s="270"/>
      <c r="P14" s="271"/>
      <c r="Q14" s="272"/>
      <c r="R14" s="298" t="s">
        <v>106</v>
      </c>
      <c r="S14" s="299">
        <v>45385</v>
      </c>
      <c r="T14" s="300"/>
      <c r="U14" s="301"/>
      <c r="V14" s="216">
        <v>21</v>
      </c>
      <c r="W14" s="323"/>
      <c r="X14" s="324">
        <v>21</v>
      </c>
      <c r="Y14" s="162">
        <f t="shared" si="0"/>
        <v>21</v>
      </c>
      <c r="Z14" s="161" t="s">
        <v>85</v>
      </c>
      <c r="AA14" s="336">
        <f>IFERROR(BASE_DATOS[[#This Row],[NSK Original]]-BASE_DATOS[[#This Row],[NSK]]," ")</f>
        <v>1.1999999999999993</v>
      </c>
      <c r="AB14" s="337">
        <f>'NSK-TRACTO'!$A$2</f>
        <v>6</v>
      </c>
      <c r="AC14" s="337">
        <f>IF(BASE_DATOS[[#This Row],[NSK]]&gt;=BASE_DATOS[[#This Row],[NSK Reen]],BASE_DATOS[[#This Row],[NSK Reen]],BASE_DATOS[[#This Row],[NSK]])</f>
        <v>6</v>
      </c>
      <c r="AD14" s="338">
        <f>IFERROR(100%-(BASE_DATOS[[#This Row],[NSK Reen]]/BASE_DATOS[[#This Row],[NSK Original]]),"")</f>
        <v>0.72972972972972971</v>
      </c>
      <c r="AE14" s="338">
        <f>IFERROR(100%-BASE_DATOS[[#This Row],[NSK]]/BASE_DATOS[[#This Row],[NSK Original]],"")</f>
        <v>5.4054054054054057E-2</v>
      </c>
      <c r="AF14" s="338">
        <f>IFERROR(BASE_DATOS[[#This Row],[% Max Des.]]-BASE_DATOS[[#This Row],[% Des]],"")</f>
        <v>0.67567567567567566</v>
      </c>
      <c r="AG14" s="287"/>
      <c r="AH14" s="273"/>
      <c r="AI14" s="355" t="str">
        <f>IF(OR(BASE_DATOS[[#This Row],[Hr.]]="",BASE_DATOS[[#This Row],[Hr. Actual]]=""),"",BASE_DATOS[[#This Row],[Hr. Actual]]-BASE_DATOS[[#This Row],[Hr.]]+BASE_DATOS[[#This Row],[Horas Acumuladas]])</f>
        <v/>
      </c>
      <c r="AJ14" s="356" t="str">
        <f>IFERROR(BASE_DATOS[[#This Row],[Precio US$]]/BASE_DATOS[[#This Row],[Horas Rodadas]],"")</f>
        <v/>
      </c>
      <c r="AK14" s="357" t="str">
        <f>IFERROR(BASE_DATOS[[#This Row],[Horas Rodadas]]/(BASE_DATOS[[#This Row],[NSK Original]]-BASE_DATOS[[#This Row],[NSK]]),"")</f>
        <v/>
      </c>
      <c r="AL14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4" s="358" t="str">
        <f>IFERROR(BASE_DATOS[[#This Row],[Precio US$]]/BASE_DATOS[[#This Row],[Horas Proy.]],"")</f>
        <v/>
      </c>
      <c r="AN14" s="165" t="str">
        <f>IF(OR(BASE_DATOS[[#This Row],[Km.]]="",BASE_DATOS[[#This Row],[Km. Actual]]=""),"",BASE_DATOS[[#This Row],[Km. Actual]]-BASE_DATOS[[#This Row],[Km.]]+BASE_DATOS[[#This Row],[Kilómetros Acumulados]])</f>
        <v/>
      </c>
      <c r="AO14" s="166" t="str">
        <f>IFERROR(BASE_DATOS[[#This Row],[Precio US$]]/BASE_DATOS[[#This Row],[Kilómetros Rodados]],"")</f>
        <v/>
      </c>
      <c r="AP14" s="165" t="str">
        <f>IFERROR(BASE_DATOS[[#This Row],[Kilómetros Rodados]]/(BASE_DATOS[[#This Row],[NSK Original]]-BASE_DATOS[[#This Row],[NSK]]),"")</f>
        <v/>
      </c>
      <c r="AQ14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4" s="166" t="str">
        <f>IFERROR(BASE_DATOS[[#This Row],[Precio US$]]/BASE_DATOS[[#This Row],[Kilómetros Proy.]],"")</f>
        <v/>
      </c>
      <c r="AS14" s="167" t="s">
        <v>62</v>
      </c>
      <c r="AT14" s="167"/>
      <c r="AU14" s="167"/>
      <c r="AV14" s="167"/>
      <c r="AW14" s="169"/>
      <c r="AX14" s="168"/>
      <c r="AY14" s="168" t="str">
        <f>CONCATENATE(BASE_DATOS[[#This Row],[Código_U]]&amp;BASE_DATOS[[#This Row],[Pos.]]&amp;BASE_DATOS[[#This Row],[Situación Actual]])</f>
        <v>TC-1009Rodando</v>
      </c>
    </row>
    <row r="15" spans="1:51" ht="12.75" customHeight="1" x14ac:dyDescent="0.25">
      <c r="A15" s="216" t="s">
        <v>110</v>
      </c>
      <c r="B15" s="217" t="s">
        <v>109</v>
      </c>
      <c r="C15" s="218" t="s">
        <v>296</v>
      </c>
      <c r="D15" s="219" t="s">
        <v>61</v>
      </c>
      <c r="E15" s="240"/>
      <c r="F15" s="241" t="s">
        <v>71</v>
      </c>
      <c r="G15" s="241" t="s">
        <v>271</v>
      </c>
      <c r="H15" s="242" t="str">
        <f>IF(BASE_DATOS[[#This Row],[N-R]]="N",BASE_DATOS[[#This Row],[Diseño]],"Reencauche")</f>
        <v>KMAXD</v>
      </c>
      <c r="I15" s="241" t="s">
        <v>294</v>
      </c>
      <c r="J15" s="243" t="s">
        <v>72</v>
      </c>
      <c r="K15" s="244">
        <v>22.2</v>
      </c>
      <c r="L15" s="241">
        <v>110</v>
      </c>
      <c r="M15" s="245"/>
      <c r="N15" s="247"/>
      <c r="O15" s="270"/>
      <c r="P15" s="271"/>
      <c r="Q15" s="272"/>
      <c r="R15" s="298" t="s">
        <v>107</v>
      </c>
      <c r="S15" s="299">
        <v>45385</v>
      </c>
      <c r="T15" s="300"/>
      <c r="U15" s="301"/>
      <c r="V15" s="216">
        <v>21</v>
      </c>
      <c r="W15" s="323"/>
      <c r="X15" s="324">
        <v>21</v>
      </c>
      <c r="Y15" s="162">
        <f t="shared" si="0"/>
        <v>21</v>
      </c>
      <c r="Z15" s="163" t="s">
        <v>85</v>
      </c>
      <c r="AA15" s="336">
        <f>IFERROR(BASE_DATOS[[#This Row],[NSK Original]]-BASE_DATOS[[#This Row],[NSK]]," ")</f>
        <v>1.1999999999999993</v>
      </c>
      <c r="AB15" s="337">
        <f>'NSK-TRACTO'!$A$2</f>
        <v>6</v>
      </c>
      <c r="AC15" s="337">
        <f>IF(BASE_DATOS[[#This Row],[NSK]]&gt;=BASE_DATOS[[#This Row],[NSK Reen]],BASE_DATOS[[#This Row],[NSK Reen]],BASE_DATOS[[#This Row],[NSK]])</f>
        <v>6</v>
      </c>
      <c r="AD15" s="338">
        <f>IFERROR(100%-(BASE_DATOS[[#This Row],[NSK Reen]]/BASE_DATOS[[#This Row],[NSK Original]]),"")</f>
        <v>0.72972972972972971</v>
      </c>
      <c r="AE15" s="338">
        <f>IFERROR(100%-BASE_DATOS[[#This Row],[NSK]]/BASE_DATOS[[#This Row],[NSK Original]],"")</f>
        <v>5.4054054054054057E-2</v>
      </c>
      <c r="AF15" s="338">
        <f>IFERROR(BASE_DATOS[[#This Row],[% Max Des.]]-BASE_DATOS[[#This Row],[% Des]],"")</f>
        <v>0.67567567567567566</v>
      </c>
      <c r="AG15" s="287"/>
      <c r="AH15" s="273"/>
      <c r="AI15" s="355" t="str">
        <f>IF(OR(BASE_DATOS[[#This Row],[Hr.]]="",BASE_DATOS[[#This Row],[Hr. Actual]]=""),"",BASE_DATOS[[#This Row],[Hr. Actual]]-BASE_DATOS[[#This Row],[Hr.]]+BASE_DATOS[[#This Row],[Horas Acumuladas]])</f>
        <v/>
      </c>
      <c r="AJ15" s="356" t="str">
        <f>IFERROR(BASE_DATOS[[#This Row],[Precio US$]]/BASE_DATOS[[#This Row],[Horas Rodadas]],"")</f>
        <v/>
      </c>
      <c r="AK15" s="357" t="str">
        <f>IFERROR(BASE_DATOS[[#This Row],[Horas Rodadas]]/(BASE_DATOS[[#This Row],[NSK Original]]-BASE_DATOS[[#This Row],[NSK]]),"")</f>
        <v/>
      </c>
      <c r="AL15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5" s="358" t="str">
        <f>IFERROR(BASE_DATOS[[#This Row],[Precio US$]]/BASE_DATOS[[#This Row],[Horas Proy.]],"")</f>
        <v/>
      </c>
      <c r="AN15" s="165" t="str">
        <f>IF(OR(BASE_DATOS[[#This Row],[Km.]]="",BASE_DATOS[[#This Row],[Km. Actual]]=""),"",BASE_DATOS[[#This Row],[Km. Actual]]-BASE_DATOS[[#This Row],[Km.]]+BASE_DATOS[[#This Row],[Kilómetros Acumulados]])</f>
        <v/>
      </c>
      <c r="AO15" s="166" t="str">
        <f>IFERROR(BASE_DATOS[[#This Row],[Precio US$]]/BASE_DATOS[[#This Row],[Kilómetros Rodados]],"")</f>
        <v/>
      </c>
      <c r="AP15" s="165" t="str">
        <f>IFERROR(BASE_DATOS[[#This Row],[Kilómetros Rodados]]/(BASE_DATOS[[#This Row],[NSK Original]]-BASE_DATOS[[#This Row],[NSK]]),"")</f>
        <v/>
      </c>
      <c r="AQ15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5" s="166" t="str">
        <f>IFERROR(BASE_DATOS[[#This Row],[Precio US$]]/BASE_DATOS[[#This Row],[Kilómetros Proy.]],"")</f>
        <v/>
      </c>
      <c r="AS15" s="167" t="s">
        <v>62</v>
      </c>
      <c r="AT15" s="167"/>
      <c r="AU15" s="167"/>
      <c r="AV15" s="167"/>
      <c r="AW15" s="169"/>
      <c r="AX15" s="168"/>
      <c r="AY15" s="168" t="str">
        <f>CONCATENATE(BASE_DATOS[[#This Row],[Código_U]]&amp;BASE_DATOS[[#This Row],[Pos.]]&amp;BASE_DATOS[[#This Row],[Situación Actual]])</f>
        <v>TC-10010Rodando</v>
      </c>
    </row>
    <row r="16" spans="1:51" ht="12.75" customHeight="1" x14ac:dyDescent="0.25">
      <c r="A16" s="212" t="s">
        <v>111</v>
      </c>
      <c r="B16" s="213" t="s">
        <v>112</v>
      </c>
      <c r="C16" s="214" t="s">
        <v>295</v>
      </c>
      <c r="D16" s="220" t="s">
        <v>87</v>
      </c>
      <c r="E16" s="232"/>
      <c r="F16" s="233" t="s">
        <v>97</v>
      </c>
      <c r="G16" s="233" t="s">
        <v>269</v>
      </c>
      <c r="H16" s="234" t="str">
        <f>IF(BASE_DATOS[[#This Row],[N-R]]="N",BASE_DATOS[[#This Row],[Diseño]],"Reencauche")</f>
        <v>AGC28</v>
      </c>
      <c r="I16" s="233" t="s">
        <v>270</v>
      </c>
      <c r="J16" s="235" t="s">
        <v>72</v>
      </c>
      <c r="K16" s="236">
        <v>16.5</v>
      </c>
      <c r="L16" s="233">
        <v>110</v>
      </c>
      <c r="M16" s="237"/>
      <c r="N16" s="239"/>
      <c r="O16" s="267"/>
      <c r="P16" s="268"/>
      <c r="Q16" s="269"/>
      <c r="R16" s="302" t="s">
        <v>98</v>
      </c>
      <c r="S16" s="303">
        <v>45385</v>
      </c>
      <c r="T16" s="296"/>
      <c r="U16" s="297"/>
      <c r="V16" s="212">
        <v>8</v>
      </c>
      <c r="W16" s="321">
        <v>7</v>
      </c>
      <c r="X16" s="322">
        <v>8</v>
      </c>
      <c r="Y16" s="186">
        <f t="shared" si="0"/>
        <v>7</v>
      </c>
      <c r="Z16" s="187" t="s">
        <v>85</v>
      </c>
      <c r="AA16" s="332">
        <f>IFERROR(BASE_DATOS[[#This Row],[NSK Original]]-BASE_DATOS[[#This Row],[NSK]]," ")</f>
        <v>9.5</v>
      </c>
      <c r="AB16" s="333">
        <f>'NSK-TRACTO'!$A$2</f>
        <v>6</v>
      </c>
      <c r="AC16" s="333">
        <f>IF(BASE_DATOS[[#This Row],[NSK]]&gt;=BASE_DATOS[[#This Row],[NSK Reen]],BASE_DATOS[[#This Row],[NSK Reen]],BASE_DATOS[[#This Row],[NSK]])</f>
        <v>6</v>
      </c>
      <c r="AD16" s="334">
        <f>IFERROR(100%-(BASE_DATOS[[#This Row],[NSK Reen]]/BASE_DATOS[[#This Row],[NSK Original]]),"")</f>
        <v>0.63636363636363635</v>
      </c>
      <c r="AE16" s="334">
        <f>IFERROR(100%-BASE_DATOS[[#This Row],[NSK]]/BASE_DATOS[[#This Row],[NSK Original]],"")</f>
        <v>0.57575757575757569</v>
      </c>
      <c r="AF16" s="334">
        <f>IFERROR(BASE_DATOS[[#This Row],[% Max Des.]]-BASE_DATOS[[#This Row],[% Des]],"")</f>
        <v>6.0606060606060663E-2</v>
      </c>
      <c r="AG16" s="284"/>
      <c r="AH16" s="335"/>
      <c r="AI16" s="351" t="str">
        <f>IF(OR(BASE_DATOS[[#This Row],[Hr.]]="",BASE_DATOS[[#This Row],[Hr. Actual]]=""),"",BASE_DATOS[[#This Row],[Hr. Actual]]-BASE_DATOS[[#This Row],[Hr.]]+BASE_DATOS[[#This Row],[Horas Acumuladas]])</f>
        <v/>
      </c>
      <c r="AJ16" s="352" t="str">
        <f>IFERROR(BASE_DATOS[[#This Row],[Precio US$]]/BASE_DATOS[[#This Row],[Horas Rodadas]],"")</f>
        <v/>
      </c>
      <c r="AK16" s="353" t="str">
        <f>IFERROR(BASE_DATOS[[#This Row],[Horas Rodadas]]/(BASE_DATOS[[#This Row],[NSK Original]]-BASE_DATOS[[#This Row],[NSK]]),"")</f>
        <v/>
      </c>
      <c r="AL16" s="35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6" s="354" t="str">
        <f>IFERROR(BASE_DATOS[[#This Row],[Precio US$]]/BASE_DATOS[[#This Row],[Horas Proy.]],"")</f>
        <v/>
      </c>
      <c r="AN16" s="189" t="str">
        <f>IF(OR(BASE_DATOS[[#This Row],[Km.]]="",BASE_DATOS[[#This Row],[Km. Actual]]=""),"",BASE_DATOS[[#This Row],[Km. Actual]]-BASE_DATOS[[#This Row],[Km.]]+BASE_DATOS[[#This Row],[Kilómetros Acumulados]])</f>
        <v/>
      </c>
      <c r="AO16" s="190" t="str">
        <f>IFERROR(BASE_DATOS[[#This Row],[Precio US$]]/BASE_DATOS[[#This Row],[Kilómetros Rodados]],"")</f>
        <v/>
      </c>
      <c r="AP16" s="189" t="str">
        <f>IFERROR(BASE_DATOS[[#This Row],[Kilómetros Rodados]]/(BASE_DATOS[[#This Row],[NSK Original]]-BASE_DATOS[[#This Row],[NSK]]),"")</f>
        <v/>
      </c>
      <c r="AQ16" s="18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6" s="190" t="str">
        <f>IFERROR(BASE_DATOS[[#This Row],[Precio US$]]/BASE_DATOS[[#This Row],[Kilómetros Proy.]],"")</f>
        <v/>
      </c>
      <c r="AS16" s="191" t="s">
        <v>62</v>
      </c>
      <c r="AT16" s="191"/>
      <c r="AU16" s="191"/>
      <c r="AV16" s="191"/>
      <c r="AW16" s="193"/>
      <c r="AX16" s="193"/>
      <c r="AY16" s="193" t="str">
        <f>CONCATENATE(BASE_DATOS[[#This Row],[Código_U]]&amp;BASE_DATOS[[#This Row],[Pos.]]&amp;BASE_DATOS[[#This Row],[Situación Actual]])</f>
        <v>SR-1001Rodando</v>
      </c>
    </row>
    <row r="17" spans="1:51" ht="12.75" customHeight="1" x14ac:dyDescent="0.25">
      <c r="A17" s="216" t="s">
        <v>111</v>
      </c>
      <c r="B17" s="217" t="s">
        <v>112</v>
      </c>
      <c r="C17" s="218" t="s">
        <v>295</v>
      </c>
      <c r="D17" s="221" t="s">
        <v>87</v>
      </c>
      <c r="E17" s="248" t="s">
        <v>414</v>
      </c>
      <c r="F17" s="241" t="s">
        <v>97</v>
      </c>
      <c r="G17" s="241" t="s">
        <v>269</v>
      </c>
      <c r="H17" s="242" t="str">
        <f>IF(BASE_DATOS[[#This Row],[N-R]]="N",BASE_DATOS[[#This Row],[Diseño]],"Reencauche")</f>
        <v>AGC28</v>
      </c>
      <c r="I17" s="241" t="s">
        <v>270</v>
      </c>
      <c r="J17" s="243" t="s">
        <v>72</v>
      </c>
      <c r="K17" s="244">
        <v>16.5</v>
      </c>
      <c r="L17" s="241">
        <v>110</v>
      </c>
      <c r="M17" s="245"/>
      <c r="N17" s="247"/>
      <c r="O17" s="270"/>
      <c r="P17" s="271"/>
      <c r="Q17" s="272"/>
      <c r="R17" s="298" t="s">
        <v>99</v>
      </c>
      <c r="S17" s="299">
        <v>45385</v>
      </c>
      <c r="T17" s="300"/>
      <c r="U17" s="301"/>
      <c r="V17" s="216">
        <v>8</v>
      </c>
      <c r="W17" s="323">
        <v>7</v>
      </c>
      <c r="X17" s="324">
        <v>8</v>
      </c>
      <c r="Y17" s="162">
        <f t="shared" si="0"/>
        <v>7</v>
      </c>
      <c r="Z17" s="161" t="s">
        <v>73</v>
      </c>
      <c r="AA17" s="336">
        <f>IFERROR(BASE_DATOS[[#This Row],[NSK Original]]-BASE_DATOS[[#This Row],[NSK]]," ")</f>
        <v>9.5</v>
      </c>
      <c r="AB17" s="337">
        <f>'NSK-TRACTO'!$A$2</f>
        <v>6</v>
      </c>
      <c r="AC17" s="337">
        <f>IF(BASE_DATOS[[#This Row],[NSK]]&gt;=BASE_DATOS[[#This Row],[NSK Reen]],BASE_DATOS[[#This Row],[NSK Reen]],BASE_DATOS[[#This Row],[NSK]])</f>
        <v>6</v>
      </c>
      <c r="AD17" s="338">
        <f>IFERROR(100%-(BASE_DATOS[[#This Row],[NSK Reen]]/BASE_DATOS[[#This Row],[NSK Original]]),"")</f>
        <v>0.63636363636363635</v>
      </c>
      <c r="AE17" s="338">
        <f>IFERROR(100%-BASE_DATOS[[#This Row],[NSK]]/BASE_DATOS[[#This Row],[NSK Original]],"")</f>
        <v>0.57575757575757569</v>
      </c>
      <c r="AF17" s="338">
        <f>IFERROR(BASE_DATOS[[#This Row],[% Max Des.]]-BASE_DATOS[[#This Row],[% Des]],"")</f>
        <v>6.0606060606060663E-2</v>
      </c>
      <c r="AG17" s="287"/>
      <c r="AH17" s="273"/>
      <c r="AI17" s="355" t="str">
        <f>IF(OR(BASE_DATOS[[#This Row],[Hr.]]="",BASE_DATOS[[#This Row],[Hr. Actual]]=""),"",BASE_DATOS[[#This Row],[Hr. Actual]]-BASE_DATOS[[#This Row],[Hr.]]+BASE_DATOS[[#This Row],[Horas Acumuladas]])</f>
        <v/>
      </c>
      <c r="AJ17" s="356" t="str">
        <f>IFERROR(BASE_DATOS[[#This Row],[Precio US$]]/BASE_DATOS[[#This Row],[Horas Rodadas]],"")</f>
        <v/>
      </c>
      <c r="AK17" s="357" t="str">
        <f>IFERROR(BASE_DATOS[[#This Row],[Horas Rodadas]]/(BASE_DATOS[[#This Row],[NSK Original]]-BASE_DATOS[[#This Row],[NSK]]),"")</f>
        <v/>
      </c>
      <c r="AL17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7" s="358" t="str">
        <f>IFERROR(BASE_DATOS[[#This Row],[Precio US$]]/BASE_DATOS[[#This Row],[Horas Proy.]],"")</f>
        <v/>
      </c>
      <c r="AN17" s="165" t="str">
        <f>IF(OR(BASE_DATOS[[#This Row],[Km.]]="",BASE_DATOS[[#This Row],[Km. Actual]]=""),"",BASE_DATOS[[#This Row],[Km. Actual]]-BASE_DATOS[[#This Row],[Km.]]+BASE_DATOS[[#This Row],[Kilómetros Acumulados]])</f>
        <v/>
      </c>
      <c r="AO17" s="166" t="str">
        <f>IFERROR(BASE_DATOS[[#This Row],[Precio US$]]/BASE_DATOS[[#This Row],[Kilómetros Rodados]],"")</f>
        <v/>
      </c>
      <c r="AP17" s="165" t="str">
        <f>IFERROR(BASE_DATOS[[#This Row],[Kilómetros Rodados]]/(BASE_DATOS[[#This Row],[NSK Original]]-BASE_DATOS[[#This Row],[NSK]]),"")</f>
        <v/>
      </c>
      <c r="AQ17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7" s="166" t="str">
        <f>IFERROR(BASE_DATOS[[#This Row],[Precio US$]]/BASE_DATOS[[#This Row],[Kilómetros Proy.]],"")</f>
        <v/>
      </c>
      <c r="AS17" s="167" t="s">
        <v>62</v>
      </c>
      <c r="AT17" s="167"/>
      <c r="AU17" s="167"/>
      <c r="AV17" s="167"/>
      <c r="AW17" s="168"/>
      <c r="AX17" s="168"/>
      <c r="AY17" s="168" t="str">
        <f>CONCATENATE(BASE_DATOS[[#This Row],[Código_U]]&amp;BASE_DATOS[[#This Row],[Pos.]]&amp;BASE_DATOS[[#This Row],[Situación Actual]])</f>
        <v>SR-1002Rodando</v>
      </c>
    </row>
    <row r="18" spans="1:51" ht="12.75" customHeight="1" x14ac:dyDescent="0.25">
      <c r="A18" s="216" t="s">
        <v>111</v>
      </c>
      <c r="B18" s="217" t="s">
        <v>112</v>
      </c>
      <c r="C18" s="218" t="s">
        <v>295</v>
      </c>
      <c r="D18" s="221" t="s">
        <v>87</v>
      </c>
      <c r="E18" s="248" t="s">
        <v>416</v>
      </c>
      <c r="F18" s="241" t="s">
        <v>97</v>
      </c>
      <c r="G18" s="241" t="s">
        <v>269</v>
      </c>
      <c r="H18" s="242" t="str">
        <f>IF(BASE_DATOS[[#This Row],[N-R]]="N",BASE_DATOS[[#This Row],[Diseño]],"Reencauche")</f>
        <v>AGC28</v>
      </c>
      <c r="I18" s="241" t="s">
        <v>270</v>
      </c>
      <c r="J18" s="243" t="s">
        <v>72</v>
      </c>
      <c r="K18" s="244">
        <v>16.5</v>
      </c>
      <c r="L18" s="241">
        <v>110</v>
      </c>
      <c r="M18" s="245"/>
      <c r="N18" s="247"/>
      <c r="O18" s="270"/>
      <c r="P18" s="271"/>
      <c r="Q18" s="272"/>
      <c r="R18" s="298" t="s">
        <v>100</v>
      </c>
      <c r="S18" s="299">
        <v>45385</v>
      </c>
      <c r="T18" s="300"/>
      <c r="U18" s="301"/>
      <c r="V18" s="216">
        <v>13</v>
      </c>
      <c r="W18" s="323">
        <v>13</v>
      </c>
      <c r="X18" s="324">
        <v>13</v>
      </c>
      <c r="Y18" s="162">
        <f t="shared" si="0"/>
        <v>13</v>
      </c>
      <c r="Z18" s="161" t="s">
        <v>85</v>
      </c>
      <c r="AA18" s="336">
        <f>IFERROR(BASE_DATOS[[#This Row],[NSK Original]]-BASE_DATOS[[#This Row],[NSK]]," ")</f>
        <v>3.5</v>
      </c>
      <c r="AB18" s="337">
        <f>'NSK-TRACTO'!$A$2</f>
        <v>6</v>
      </c>
      <c r="AC18" s="337">
        <f>IF(BASE_DATOS[[#This Row],[NSK]]&gt;=BASE_DATOS[[#This Row],[NSK Reen]],BASE_DATOS[[#This Row],[NSK Reen]],BASE_DATOS[[#This Row],[NSK]])</f>
        <v>6</v>
      </c>
      <c r="AD18" s="338">
        <f>IFERROR(100%-(BASE_DATOS[[#This Row],[NSK Reen]]/BASE_DATOS[[#This Row],[NSK Original]]),"")</f>
        <v>0.63636363636363635</v>
      </c>
      <c r="AE18" s="338">
        <f>IFERROR(100%-BASE_DATOS[[#This Row],[NSK]]/BASE_DATOS[[#This Row],[NSK Original]],"")</f>
        <v>0.21212121212121215</v>
      </c>
      <c r="AF18" s="338">
        <f>IFERROR(BASE_DATOS[[#This Row],[% Max Des.]]-BASE_DATOS[[#This Row],[% Des]],"")</f>
        <v>0.4242424242424242</v>
      </c>
      <c r="AG18" s="287"/>
      <c r="AH18" s="273"/>
      <c r="AI18" s="355" t="str">
        <f>IF(OR(BASE_DATOS[[#This Row],[Hr.]]="",BASE_DATOS[[#This Row],[Hr. Actual]]=""),"",BASE_DATOS[[#This Row],[Hr. Actual]]-BASE_DATOS[[#This Row],[Hr.]]+BASE_DATOS[[#This Row],[Horas Acumuladas]])</f>
        <v/>
      </c>
      <c r="AJ18" s="356" t="str">
        <f>IFERROR(BASE_DATOS[[#This Row],[Precio US$]]/BASE_DATOS[[#This Row],[Horas Rodadas]],"")</f>
        <v/>
      </c>
      <c r="AK18" s="357" t="str">
        <f>IFERROR(BASE_DATOS[[#This Row],[Horas Rodadas]]/(BASE_DATOS[[#This Row],[NSK Original]]-BASE_DATOS[[#This Row],[NSK]]),"")</f>
        <v/>
      </c>
      <c r="AL18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8" s="358" t="str">
        <f>IFERROR(BASE_DATOS[[#This Row],[Precio US$]]/BASE_DATOS[[#This Row],[Horas Proy.]],"")</f>
        <v/>
      </c>
      <c r="AN18" s="165" t="str">
        <f>IF(OR(BASE_DATOS[[#This Row],[Km.]]="",BASE_DATOS[[#This Row],[Km. Actual]]=""),"",BASE_DATOS[[#This Row],[Km. Actual]]-BASE_DATOS[[#This Row],[Km.]]+BASE_DATOS[[#This Row],[Kilómetros Acumulados]])</f>
        <v/>
      </c>
      <c r="AO18" s="166" t="str">
        <f>IFERROR(BASE_DATOS[[#This Row],[Precio US$]]/BASE_DATOS[[#This Row],[Kilómetros Rodados]],"")</f>
        <v/>
      </c>
      <c r="AP18" s="165" t="str">
        <f>IFERROR(BASE_DATOS[[#This Row],[Kilómetros Rodados]]/(BASE_DATOS[[#This Row],[NSK Original]]-BASE_DATOS[[#This Row],[NSK]]),"")</f>
        <v/>
      </c>
      <c r="AQ18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8" s="166" t="str">
        <f>IFERROR(BASE_DATOS[[#This Row],[Precio US$]]/BASE_DATOS[[#This Row],[Kilómetros Proy.]],"")</f>
        <v/>
      </c>
      <c r="AS18" s="167" t="s">
        <v>62</v>
      </c>
      <c r="AT18" s="167"/>
      <c r="AU18" s="167"/>
      <c r="AV18" s="167"/>
      <c r="AW18" s="169"/>
      <c r="AX18" s="168"/>
      <c r="AY18" s="168" t="str">
        <f>CONCATENATE(BASE_DATOS[[#This Row],[Código_U]]&amp;BASE_DATOS[[#This Row],[Pos.]]&amp;BASE_DATOS[[#This Row],[Situación Actual]])</f>
        <v>SR-1003Rodando</v>
      </c>
    </row>
    <row r="19" spans="1:51" ht="12.75" customHeight="1" x14ac:dyDescent="0.25">
      <c r="A19" s="216" t="s">
        <v>111</v>
      </c>
      <c r="B19" s="217" t="s">
        <v>112</v>
      </c>
      <c r="C19" s="218" t="s">
        <v>295</v>
      </c>
      <c r="D19" s="221" t="s">
        <v>87</v>
      </c>
      <c r="E19" s="248" t="s">
        <v>417</v>
      </c>
      <c r="F19" s="241" t="s">
        <v>97</v>
      </c>
      <c r="G19" s="241" t="s">
        <v>269</v>
      </c>
      <c r="H19" s="242" t="str">
        <f>IF(BASE_DATOS[[#This Row],[N-R]]="N",BASE_DATOS[[#This Row],[Diseño]],"Reencauche")</f>
        <v>AGC28</v>
      </c>
      <c r="I19" s="241" t="s">
        <v>270</v>
      </c>
      <c r="J19" s="243" t="s">
        <v>72</v>
      </c>
      <c r="K19" s="244">
        <v>16.5</v>
      </c>
      <c r="L19" s="241">
        <v>110</v>
      </c>
      <c r="M19" s="245"/>
      <c r="N19" s="247"/>
      <c r="O19" s="270"/>
      <c r="P19" s="271"/>
      <c r="Q19" s="272"/>
      <c r="R19" s="298" t="s">
        <v>101</v>
      </c>
      <c r="S19" s="299">
        <v>45385</v>
      </c>
      <c r="T19" s="300"/>
      <c r="U19" s="301"/>
      <c r="V19" s="216">
        <v>14</v>
      </c>
      <c r="W19" s="323">
        <v>14</v>
      </c>
      <c r="X19" s="324">
        <v>14</v>
      </c>
      <c r="Y19" s="162">
        <f t="shared" si="0"/>
        <v>14</v>
      </c>
      <c r="Z19" s="163" t="s">
        <v>85</v>
      </c>
      <c r="AA19" s="336">
        <f>IFERROR(BASE_DATOS[[#This Row],[NSK Original]]-BASE_DATOS[[#This Row],[NSK]]," ")</f>
        <v>2.5</v>
      </c>
      <c r="AB19" s="337">
        <f>'NSK-TRACTO'!$A$2</f>
        <v>6</v>
      </c>
      <c r="AC19" s="337">
        <f>IF(BASE_DATOS[[#This Row],[NSK]]&gt;=BASE_DATOS[[#This Row],[NSK Reen]],BASE_DATOS[[#This Row],[NSK Reen]],BASE_DATOS[[#This Row],[NSK]])</f>
        <v>6</v>
      </c>
      <c r="AD19" s="338">
        <f>IFERROR(100%-(BASE_DATOS[[#This Row],[NSK Reen]]/BASE_DATOS[[#This Row],[NSK Original]]),"")</f>
        <v>0.63636363636363635</v>
      </c>
      <c r="AE19" s="338">
        <f>IFERROR(100%-BASE_DATOS[[#This Row],[NSK]]/BASE_DATOS[[#This Row],[NSK Original]],"")</f>
        <v>0.15151515151515149</v>
      </c>
      <c r="AF19" s="338">
        <f>IFERROR(BASE_DATOS[[#This Row],[% Max Des.]]-BASE_DATOS[[#This Row],[% Des]],"")</f>
        <v>0.48484848484848486</v>
      </c>
      <c r="AG19" s="287"/>
      <c r="AH19" s="273"/>
      <c r="AI19" s="355" t="str">
        <f>IF(OR(BASE_DATOS[[#This Row],[Hr.]]="",BASE_DATOS[[#This Row],[Hr. Actual]]=""),"",BASE_DATOS[[#This Row],[Hr. Actual]]-BASE_DATOS[[#This Row],[Hr.]]+BASE_DATOS[[#This Row],[Horas Acumuladas]])</f>
        <v/>
      </c>
      <c r="AJ19" s="356" t="str">
        <f>IFERROR(BASE_DATOS[[#This Row],[Precio US$]]/BASE_DATOS[[#This Row],[Horas Rodadas]],"")</f>
        <v/>
      </c>
      <c r="AK19" s="357" t="str">
        <f>IFERROR(BASE_DATOS[[#This Row],[Horas Rodadas]]/(BASE_DATOS[[#This Row],[NSK Original]]-BASE_DATOS[[#This Row],[NSK]]),"")</f>
        <v/>
      </c>
      <c r="AL19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9" s="358" t="str">
        <f>IFERROR(BASE_DATOS[[#This Row],[Precio US$]]/BASE_DATOS[[#This Row],[Horas Proy.]],"")</f>
        <v/>
      </c>
      <c r="AN19" s="165" t="str">
        <f>IF(OR(BASE_DATOS[[#This Row],[Km.]]="",BASE_DATOS[[#This Row],[Km. Actual]]=""),"",BASE_DATOS[[#This Row],[Km. Actual]]-BASE_DATOS[[#This Row],[Km.]]+BASE_DATOS[[#This Row],[Kilómetros Acumulados]])</f>
        <v/>
      </c>
      <c r="AO19" s="166" t="str">
        <f>IFERROR(BASE_DATOS[[#This Row],[Precio US$]]/BASE_DATOS[[#This Row],[Kilómetros Rodados]],"")</f>
        <v/>
      </c>
      <c r="AP19" s="165" t="str">
        <f>IFERROR(BASE_DATOS[[#This Row],[Kilómetros Rodados]]/(BASE_DATOS[[#This Row],[NSK Original]]-BASE_DATOS[[#This Row],[NSK]]),"")</f>
        <v/>
      </c>
      <c r="AQ19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9" s="166" t="str">
        <f>IFERROR(BASE_DATOS[[#This Row],[Precio US$]]/BASE_DATOS[[#This Row],[Kilómetros Proy.]],"")</f>
        <v/>
      </c>
      <c r="AS19" s="167" t="s">
        <v>62</v>
      </c>
      <c r="AT19" s="167"/>
      <c r="AU19" s="167"/>
      <c r="AV19" s="167"/>
      <c r="AW19" s="168"/>
      <c r="AX19" s="168"/>
      <c r="AY19" s="168" t="str">
        <f>CONCATENATE(BASE_DATOS[[#This Row],[Código_U]]&amp;BASE_DATOS[[#This Row],[Pos.]]&amp;BASE_DATOS[[#This Row],[Situación Actual]])</f>
        <v>SR-1004Rodando</v>
      </c>
    </row>
    <row r="20" spans="1:51" ht="12.75" customHeight="1" x14ac:dyDescent="0.25">
      <c r="A20" s="216" t="s">
        <v>111</v>
      </c>
      <c r="B20" s="217" t="s">
        <v>112</v>
      </c>
      <c r="C20" s="218" t="s">
        <v>295</v>
      </c>
      <c r="D20" s="221" t="s">
        <v>87</v>
      </c>
      <c r="E20" s="248" t="s">
        <v>418</v>
      </c>
      <c r="F20" s="241" t="s">
        <v>97</v>
      </c>
      <c r="G20" s="241" t="s">
        <v>269</v>
      </c>
      <c r="H20" s="242" t="str">
        <f>IF(BASE_DATOS[[#This Row],[N-R]]="N",BASE_DATOS[[#This Row],[Diseño]],"Reencauche")</f>
        <v>AGC28</v>
      </c>
      <c r="I20" s="241" t="s">
        <v>270</v>
      </c>
      <c r="J20" s="243" t="s">
        <v>72</v>
      </c>
      <c r="K20" s="244">
        <v>16.5</v>
      </c>
      <c r="L20" s="241">
        <v>110</v>
      </c>
      <c r="M20" s="245"/>
      <c r="N20" s="247"/>
      <c r="O20" s="270"/>
      <c r="P20" s="271"/>
      <c r="Q20" s="272"/>
      <c r="R20" s="298" t="s">
        <v>102</v>
      </c>
      <c r="S20" s="299">
        <v>45385</v>
      </c>
      <c r="T20" s="300"/>
      <c r="U20" s="301"/>
      <c r="V20" s="216">
        <v>13</v>
      </c>
      <c r="W20" s="323">
        <v>13</v>
      </c>
      <c r="X20" s="324">
        <v>13</v>
      </c>
      <c r="Y20" s="162">
        <f t="shared" si="0"/>
        <v>13</v>
      </c>
      <c r="Z20" s="163" t="s">
        <v>85</v>
      </c>
      <c r="AA20" s="336">
        <f>IFERROR(BASE_DATOS[[#This Row],[NSK Original]]-BASE_DATOS[[#This Row],[NSK]]," ")</f>
        <v>3.5</v>
      </c>
      <c r="AB20" s="337">
        <f>'NSK-TRACTO'!$A$2</f>
        <v>6</v>
      </c>
      <c r="AC20" s="337">
        <f>IF(BASE_DATOS[[#This Row],[NSK]]&gt;=BASE_DATOS[[#This Row],[NSK Reen]],BASE_DATOS[[#This Row],[NSK Reen]],BASE_DATOS[[#This Row],[NSK]])</f>
        <v>6</v>
      </c>
      <c r="AD20" s="338">
        <f>IFERROR(100%-(BASE_DATOS[[#This Row],[NSK Reen]]/BASE_DATOS[[#This Row],[NSK Original]]),"")</f>
        <v>0.63636363636363635</v>
      </c>
      <c r="AE20" s="338">
        <f>IFERROR(100%-BASE_DATOS[[#This Row],[NSK]]/BASE_DATOS[[#This Row],[NSK Original]],"")</f>
        <v>0.21212121212121215</v>
      </c>
      <c r="AF20" s="338">
        <f>IFERROR(BASE_DATOS[[#This Row],[% Max Des.]]-BASE_DATOS[[#This Row],[% Des]],"")</f>
        <v>0.4242424242424242</v>
      </c>
      <c r="AG20" s="287"/>
      <c r="AH20" s="273"/>
      <c r="AI20" s="355" t="str">
        <f>IF(OR(BASE_DATOS[[#This Row],[Hr.]]="",BASE_DATOS[[#This Row],[Hr. Actual]]=""),"",BASE_DATOS[[#This Row],[Hr. Actual]]-BASE_DATOS[[#This Row],[Hr.]]+BASE_DATOS[[#This Row],[Horas Acumuladas]])</f>
        <v/>
      </c>
      <c r="AJ20" s="356" t="str">
        <f>IFERROR(BASE_DATOS[[#This Row],[Precio US$]]/BASE_DATOS[[#This Row],[Horas Rodadas]],"")</f>
        <v/>
      </c>
      <c r="AK20" s="357" t="str">
        <f>IFERROR(BASE_DATOS[[#This Row],[Horas Rodadas]]/(BASE_DATOS[[#This Row],[NSK Original]]-BASE_DATOS[[#This Row],[NSK]]),"")</f>
        <v/>
      </c>
      <c r="AL20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0" s="358" t="str">
        <f>IFERROR(BASE_DATOS[[#This Row],[Precio US$]]/BASE_DATOS[[#This Row],[Horas Proy.]],"")</f>
        <v/>
      </c>
      <c r="AN20" s="165" t="str">
        <f>IF(OR(BASE_DATOS[[#This Row],[Km.]]="",BASE_DATOS[[#This Row],[Km. Actual]]=""),"",BASE_DATOS[[#This Row],[Km. Actual]]-BASE_DATOS[[#This Row],[Km.]]+BASE_DATOS[[#This Row],[Kilómetros Acumulados]])</f>
        <v/>
      </c>
      <c r="AO20" s="166" t="str">
        <f>IFERROR(BASE_DATOS[[#This Row],[Precio US$]]/BASE_DATOS[[#This Row],[Kilómetros Rodados]],"")</f>
        <v/>
      </c>
      <c r="AP20" s="165" t="str">
        <f>IFERROR(BASE_DATOS[[#This Row],[Kilómetros Rodados]]/(BASE_DATOS[[#This Row],[NSK Original]]-BASE_DATOS[[#This Row],[NSK]]),"")</f>
        <v/>
      </c>
      <c r="AQ20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0" s="166" t="str">
        <f>IFERROR(BASE_DATOS[[#This Row],[Precio US$]]/BASE_DATOS[[#This Row],[Kilómetros Proy.]],"")</f>
        <v/>
      </c>
      <c r="AS20" s="167" t="s">
        <v>62</v>
      </c>
      <c r="AT20" s="167"/>
      <c r="AU20" s="167"/>
      <c r="AV20" s="167"/>
      <c r="AW20" s="169"/>
      <c r="AX20" s="168"/>
      <c r="AY20" s="168" t="str">
        <f>CONCATENATE(BASE_DATOS[[#This Row],[Código_U]]&amp;BASE_DATOS[[#This Row],[Pos.]]&amp;BASE_DATOS[[#This Row],[Situación Actual]])</f>
        <v>SR-1005Rodando</v>
      </c>
    </row>
    <row r="21" spans="1:51" ht="12.75" customHeight="1" x14ac:dyDescent="0.25">
      <c r="A21" s="216" t="s">
        <v>111</v>
      </c>
      <c r="B21" s="217" t="s">
        <v>112</v>
      </c>
      <c r="C21" s="218" t="s">
        <v>295</v>
      </c>
      <c r="D21" s="221" t="s">
        <v>87</v>
      </c>
      <c r="E21" s="248" t="s">
        <v>418</v>
      </c>
      <c r="F21" s="241" t="s">
        <v>97</v>
      </c>
      <c r="G21" s="241" t="s">
        <v>269</v>
      </c>
      <c r="H21" s="242" t="str">
        <f>IF(BASE_DATOS[[#This Row],[N-R]]="N",BASE_DATOS[[#This Row],[Diseño]],"Reencauche")</f>
        <v>AGC28</v>
      </c>
      <c r="I21" s="241" t="s">
        <v>270</v>
      </c>
      <c r="J21" s="243" t="s">
        <v>72</v>
      </c>
      <c r="K21" s="244">
        <v>16.5</v>
      </c>
      <c r="L21" s="241">
        <v>110</v>
      </c>
      <c r="M21" s="245"/>
      <c r="N21" s="247"/>
      <c r="O21" s="270"/>
      <c r="P21" s="271"/>
      <c r="Q21" s="272"/>
      <c r="R21" s="298" t="s">
        <v>103</v>
      </c>
      <c r="S21" s="299">
        <v>45385</v>
      </c>
      <c r="T21" s="300"/>
      <c r="U21" s="301"/>
      <c r="V21" s="216">
        <v>10</v>
      </c>
      <c r="W21" s="323">
        <v>10</v>
      </c>
      <c r="X21" s="324">
        <v>11</v>
      </c>
      <c r="Y21" s="162">
        <f t="shared" si="0"/>
        <v>10</v>
      </c>
      <c r="Z21" s="163" t="s">
        <v>85</v>
      </c>
      <c r="AA21" s="336">
        <f>IFERROR(BASE_DATOS[[#This Row],[NSK Original]]-BASE_DATOS[[#This Row],[NSK]]," ")</f>
        <v>6.5</v>
      </c>
      <c r="AB21" s="337">
        <f>'NSK-TRACTO'!$A$2</f>
        <v>6</v>
      </c>
      <c r="AC21" s="337">
        <f>IF(BASE_DATOS[[#This Row],[NSK]]&gt;=BASE_DATOS[[#This Row],[NSK Reen]],BASE_DATOS[[#This Row],[NSK Reen]],BASE_DATOS[[#This Row],[NSK]])</f>
        <v>6</v>
      </c>
      <c r="AD21" s="338">
        <f>IFERROR(100%-(BASE_DATOS[[#This Row],[NSK Reen]]/BASE_DATOS[[#This Row],[NSK Original]]),"")</f>
        <v>0.63636363636363635</v>
      </c>
      <c r="AE21" s="338">
        <f>IFERROR(100%-BASE_DATOS[[#This Row],[NSK]]/BASE_DATOS[[#This Row],[NSK Original]],"")</f>
        <v>0.39393939393939392</v>
      </c>
      <c r="AF21" s="338">
        <f>IFERROR(BASE_DATOS[[#This Row],[% Max Des.]]-BASE_DATOS[[#This Row],[% Des]],"")</f>
        <v>0.24242424242424243</v>
      </c>
      <c r="AG21" s="287"/>
      <c r="AH21" s="273"/>
      <c r="AI21" s="355" t="str">
        <f>IF(OR(BASE_DATOS[[#This Row],[Hr.]]="",BASE_DATOS[[#This Row],[Hr. Actual]]=""),"",BASE_DATOS[[#This Row],[Hr. Actual]]-BASE_DATOS[[#This Row],[Hr.]]+BASE_DATOS[[#This Row],[Horas Acumuladas]])</f>
        <v/>
      </c>
      <c r="AJ21" s="356" t="str">
        <f>IFERROR(BASE_DATOS[[#This Row],[Precio US$]]/BASE_DATOS[[#This Row],[Horas Rodadas]],"")</f>
        <v/>
      </c>
      <c r="AK21" s="357" t="str">
        <f>IFERROR(BASE_DATOS[[#This Row],[Horas Rodadas]]/(BASE_DATOS[[#This Row],[NSK Original]]-BASE_DATOS[[#This Row],[NSK]]),"")</f>
        <v/>
      </c>
      <c r="AL21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1" s="358" t="str">
        <f>IFERROR(BASE_DATOS[[#This Row],[Precio US$]]/BASE_DATOS[[#This Row],[Horas Proy.]],"")</f>
        <v/>
      </c>
      <c r="AN21" s="165" t="str">
        <f>IF(OR(BASE_DATOS[[#This Row],[Km.]]="",BASE_DATOS[[#This Row],[Km. Actual]]=""),"",BASE_DATOS[[#This Row],[Km. Actual]]-BASE_DATOS[[#This Row],[Km.]]+BASE_DATOS[[#This Row],[Kilómetros Acumulados]])</f>
        <v/>
      </c>
      <c r="AO21" s="166" t="str">
        <f>IFERROR(BASE_DATOS[[#This Row],[Precio US$]]/BASE_DATOS[[#This Row],[Kilómetros Rodados]],"")</f>
        <v/>
      </c>
      <c r="AP21" s="165" t="str">
        <f>IFERROR(BASE_DATOS[[#This Row],[Kilómetros Rodados]]/(BASE_DATOS[[#This Row],[NSK Original]]-BASE_DATOS[[#This Row],[NSK]]),"")</f>
        <v/>
      </c>
      <c r="AQ21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1" s="166" t="str">
        <f>IFERROR(BASE_DATOS[[#This Row],[Precio US$]]/BASE_DATOS[[#This Row],[Kilómetros Proy.]],"")</f>
        <v/>
      </c>
      <c r="AS21" s="167" t="s">
        <v>62</v>
      </c>
      <c r="AT21" s="167"/>
      <c r="AU21" s="167"/>
      <c r="AV21" s="167"/>
      <c r="AW21" s="168"/>
      <c r="AX21" s="168"/>
      <c r="AY21" s="168" t="str">
        <f>CONCATENATE(BASE_DATOS[[#This Row],[Código_U]]&amp;BASE_DATOS[[#This Row],[Pos.]]&amp;BASE_DATOS[[#This Row],[Situación Actual]])</f>
        <v>SR-1006Rodando</v>
      </c>
    </row>
    <row r="22" spans="1:51" ht="12.75" customHeight="1" x14ac:dyDescent="0.25">
      <c r="A22" s="216" t="s">
        <v>111</v>
      </c>
      <c r="B22" s="217" t="s">
        <v>112</v>
      </c>
      <c r="C22" s="218" t="s">
        <v>295</v>
      </c>
      <c r="D22" s="221" t="s">
        <v>384</v>
      </c>
      <c r="E22" s="248"/>
      <c r="F22" s="241" t="s">
        <v>273</v>
      </c>
      <c r="G22" s="241" t="s">
        <v>274</v>
      </c>
      <c r="H22" s="242" t="str">
        <f>IF(BASE_DATOS[[#This Row],[N-R]]="N",BASE_DATOS[[#This Row],[Diseño]],"Reencauche")</f>
        <v>Reencauche</v>
      </c>
      <c r="I22" s="241" t="s">
        <v>275</v>
      </c>
      <c r="J22" s="243" t="s">
        <v>82</v>
      </c>
      <c r="K22" s="244">
        <v>19</v>
      </c>
      <c r="L22" s="241">
        <v>110</v>
      </c>
      <c r="M22" s="245"/>
      <c r="N22" s="247"/>
      <c r="O22" s="270"/>
      <c r="P22" s="271"/>
      <c r="Q22" s="272"/>
      <c r="R22" s="304" t="s">
        <v>509</v>
      </c>
      <c r="S22" s="299">
        <v>45385</v>
      </c>
      <c r="T22" s="300"/>
      <c r="U22" s="301"/>
      <c r="V22" s="216">
        <v>8</v>
      </c>
      <c r="W22" s="323">
        <v>7</v>
      </c>
      <c r="X22" s="324">
        <v>8</v>
      </c>
      <c r="Y22" s="162">
        <f t="shared" si="0"/>
        <v>7</v>
      </c>
      <c r="Z22" s="163" t="s">
        <v>85</v>
      </c>
      <c r="AA22" s="336">
        <f>IFERROR(BASE_DATOS[[#This Row],[NSK Original]]-BASE_DATOS[[#This Row],[NSK]]," ")</f>
        <v>12</v>
      </c>
      <c r="AB22" s="337">
        <f>'NSK-TRACTO'!$A$2</f>
        <v>6</v>
      </c>
      <c r="AC22" s="337">
        <f>IF(BASE_DATOS[[#This Row],[NSK]]&gt;=BASE_DATOS[[#This Row],[NSK Reen]],BASE_DATOS[[#This Row],[NSK Reen]],BASE_DATOS[[#This Row],[NSK]])</f>
        <v>6</v>
      </c>
      <c r="AD22" s="338">
        <f>IFERROR(100%-(BASE_DATOS[[#This Row],[NSK Reen]]/BASE_DATOS[[#This Row],[NSK Original]]),"")</f>
        <v>0.68421052631578949</v>
      </c>
      <c r="AE22" s="338">
        <f>IFERROR(100%-BASE_DATOS[[#This Row],[NSK]]/BASE_DATOS[[#This Row],[NSK Original]],"")</f>
        <v>0.63157894736842102</v>
      </c>
      <c r="AF22" s="338">
        <f>IFERROR(BASE_DATOS[[#This Row],[% Max Des.]]-BASE_DATOS[[#This Row],[% Des]],"")</f>
        <v>5.2631578947368474E-2</v>
      </c>
      <c r="AG22" s="287"/>
      <c r="AH22" s="273"/>
      <c r="AI22" s="355" t="str">
        <f>IF(OR(BASE_DATOS[[#This Row],[Hr.]]="",BASE_DATOS[[#This Row],[Hr. Actual]]=""),"",BASE_DATOS[[#This Row],[Hr. Actual]]-BASE_DATOS[[#This Row],[Hr.]]+BASE_DATOS[[#This Row],[Horas Acumuladas]])</f>
        <v/>
      </c>
      <c r="AJ22" s="356" t="str">
        <f>IFERROR(BASE_DATOS[[#This Row],[Precio US$]]/BASE_DATOS[[#This Row],[Horas Rodadas]],"")</f>
        <v/>
      </c>
      <c r="AK22" s="357" t="str">
        <f>IFERROR(BASE_DATOS[[#This Row],[Horas Rodadas]]/(BASE_DATOS[[#This Row],[NSK Original]]-BASE_DATOS[[#This Row],[NSK]]),"")</f>
        <v/>
      </c>
      <c r="AL22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2" s="358" t="str">
        <f>IFERROR(BASE_DATOS[[#This Row],[Precio US$]]/BASE_DATOS[[#This Row],[Horas Proy.]],"")</f>
        <v/>
      </c>
      <c r="AN22" s="165" t="str">
        <f>IF(OR(BASE_DATOS[[#This Row],[Km.]]="",BASE_DATOS[[#This Row],[Km. Actual]]=""),"",BASE_DATOS[[#This Row],[Km. Actual]]-BASE_DATOS[[#This Row],[Km.]]+BASE_DATOS[[#This Row],[Kilómetros Acumulados]])</f>
        <v/>
      </c>
      <c r="AO22" s="166" t="str">
        <f>IFERROR(BASE_DATOS[[#This Row],[Precio US$]]/BASE_DATOS[[#This Row],[Kilómetros Rodados]],"")</f>
        <v/>
      </c>
      <c r="AP22" s="165" t="str">
        <f>IFERROR(BASE_DATOS[[#This Row],[Kilómetros Rodados]]/(BASE_DATOS[[#This Row],[NSK Original]]-BASE_DATOS[[#This Row],[NSK]]),"")</f>
        <v/>
      </c>
      <c r="AQ22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2" s="166" t="str">
        <f>IFERROR(BASE_DATOS[[#This Row],[Precio US$]]/BASE_DATOS[[#This Row],[Kilómetros Proy.]],"")</f>
        <v/>
      </c>
      <c r="AS22" s="167" t="s">
        <v>62</v>
      </c>
      <c r="AT22" s="167"/>
      <c r="AU22" s="167"/>
      <c r="AV22" s="167"/>
      <c r="AW22" s="168"/>
      <c r="AX22" s="168"/>
      <c r="AY22" s="168" t="str">
        <f>CONCATENATE(BASE_DATOS[[#This Row],[Código_U]]&amp;BASE_DATOS[[#This Row],[Pos.]]&amp;BASE_DATOS[[#This Row],[Situación Actual]])</f>
        <v>SR-100RERodando</v>
      </c>
    </row>
    <row r="23" spans="1:51" ht="12.75" customHeight="1" x14ac:dyDescent="0.25">
      <c r="A23" s="216" t="s">
        <v>111</v>
      </c>
      <c r="B23" s="217" t="s">
        <v>112</v>
      </c>
      <c r="C23" s="218" t="s">
        <v>295</v>
      </c>
      <c r="D23" s="221" t="s">
        <v>108</v>
      </c>
      <c r="E23" s="248"/>
      <c r="F23" s="241" t="s">
        <v>278</v>
      </c>
      <c r="G23" s="241" t="s">
        <v>271</v>
      </c>
      <c r="H23" s="242" t="str">
        <f>IF(BASE_DATOS[[#This Row],[N-R]]="N",BASE_DATOS[[#This Row],[Diseño]],"Reencauche")</f>
        <v>HD3</v>
      </c>
      <c r="I23" s="241" t="s">
        <v>286</v>
      </c>
      <c r="J23" s="243" t="s">
        <v>72</v>
      </c>
      <c r="K23" s="244">
        <v>0</v>
      </c>
      <c r="L23" s="241">
        <v>110</v>
      </c>
      <c r="M23" s="245"/>
      <c r="N23" s="247"/>
      <c r="O23" s="270"/>
      <c r="P23" s="271"/>
      <c r="Q23" s="272"/>
      <c r="R23" s="304" t="s">
        <v>108</v>
      </c>
      <c r="S23" s="299">
        <v>45385</v>
      </c>
      <c r="T23" s="300"/>
      <c r="U23" s="301"/>
      <c r="V23" s="216">
        <v>10</v>
      </c>
      <c r="W23" s="323">
        <v>7</v>
      </c>
      <c r="X23" s="324">
        <v>10</v>
      </c>
      <c r="Y23" s="162">
        <f t="shared" si="0"/>
        <v>7</v>
      </c>
      <c r="Z23" s="163" t="s">
        <v>85</v>
      </c>
      <c r="AA23" s="336">
        <f>IFERROR(BASE_DATOS[[#This Row],[NSK Original]]-BASE_DATOS[[#This Row],[NSK]]," ")</f>
        <v>-7</v>
      </c>
      <c r="AB23" s="337">
        <f>'NSK-TRACTO'!$A$2</f>
        <v>6</v>
      </c>
      <c r="AC23" s="337">
        <f>IF(BASE_DATOS[[#This Row],[NSK]]&gt;=BASE_DATOS[[#This Row],[NSK Reen]],BASE_DATOS[[#This Row],[NSK Reen]],BASE_DATOS[[#This Row],[NSK]])</f>
        <v>6</v>
      </c>
      <c r="AD23" s="338" t="str">
        <f>IFERROR(100%-(BASE_DATOS[[#This Row],[NSK Reen]]/BASE_DATOS[[#This Row],[NSK Original]]),"")</f>
        <v/>
      </c>
      <c r="AE23" s="338" t="str">
        <f>IFERROR(100%-BASE_DATOS[[#This Row],[NSK]]/BASE_DATOS[[#This Row],[NSK Original]],"")</f>
        <v/>
      </c>
      <c r="AF23" s="338" t="str">
        <f>IFERROR(BASE_DATOS[[#This Row],[% Max Des.]]-BASE_DATOS[[#This Row],[% Des]],"")</f>
        <v/>
      </c>
      <c r="AG23" s="287"/>
      <c r="AH23" s="273"/>
      <c r="AI23" s="355" t="str">
        <f>IF(OR(BASE_DATOS[[#This Row],[Hr.]]="",BASE_DATOS[[#This Row],[Hr. Actual]]=""),"",BASE_DATOS[[#This Row],[Hr. Actual]]-BASE_DATOS[[#This Row],[Hr.]]+BASE_DATOS[[#This Row],[Horas Acumuladas]])</f>
        <v/>
      </c>
      <c r="AJ23" s="356" t="str">
        <f>IFERROR(BASE_DATOS[[#This Row],[Precio US$]]/BASE_DATOS[[#This Row],[Horas Rodadas]],"")</f>
        <v/>
      </c>
      <c r="AK23" s="357" t="str">
        <f>IFERROR(BASE_DATOS[[#This Row],[Horas Rodadas]]/(BASE_DATOS[[#This Row],[NSK Original]]-BASE_DATOS[[#This Row],[NSK]]),"")</f>
        <v/>
      </c>
      <c r="AL23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3" s="358" t="str">
        <f>IFERROR(BASE_DATOS[[#This Row],[Precio US$]]/BASE_DATOS[[#This Row],[Horas Proy.]],"")</f>
        <v/>
      </c>
      <c r="AN23" s="165" t="str">
        <f>IF(OR(BASE_DATOS[[#This Row],[Km.]]="",BASE_DATOS[[#This Row],[Km. Actual]]=""),"",BASE_DATOS[[#This Row],[Km. Actual]]-BASE_DATOS[[#This Row],[Km.]]+BASE_DATOS[[#This Row],[Kilómetros Acumulados]])</f>
        <v/>
      </c>
      <c r="AO23" s="166" t="str">
        <f>IFERROR(BASE_DATOS[[#This Row],[Precio US$]]/BASE_DATOS[[#This Row],[Kilómetros Rodados]],"")</f>
        <v/>
      </c>
      <c r="AP23" s="165" t="str">
        <f>IFERROR(BASE_DATOS[[#This Row],[Kilómetros Rodados]]/(BASE_DATOS[[#This Row],[NSK Original]]-BASE_DATOS[[#This Row],[NSK]]),"")</f>
        <v/>
      </c>
      <c r="AQ23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3" s="166" t="str">
        <f>IFERROR(BASE_DATOS[[#This Row],[Precio US$]]/BASE_DATOS[[#This Row],[Kilómetros Proy.]],"")</f>
        <v/>
      </c>
      <c r="AS23" s="167" t="s">
        <v>62</v>
      </c>
      <c r="AT23" s="167"/>
      <c r="AU23" s="167"/>
      <c r="AV23" s="167"/>
      <c r="AW23" s="169"/>
      <c r="AX23" s="168"/>
      <c r="AY23" s="168" t="str">
        <f>CONCATENATE(BASE_DATOS[[#This Row],[Código_U]]&amp;BASE_DATOS[[#This Row],[Pos.]]&amp;BASE_DATOS[[#This Row],[Situación Actual]])</f>
        <v>SR-100RTRodando</v>
      </c>
    </row>
    <row r="24" spans="1:51" ht="12.75" customHeight="1" x14ac:dyDescent="0.25">
      <c r="A24" s="212" t="s">
        <v>113</v>
      </c>
      <c r="B24" s="213" t="s">
        <v>114</v>
      </c>
      <c r="C24" s="214" t="s">
        <v>296</v>
      </c>
      <c r="D24" s="220" t="s">
        <v>86</v>
      </c>
      <c r="E24" s="232" t="s">
        <v>430</v>
      </c>
      <c r="F24" s="233" t="s">
        <v>273</v>
      </c>
      <c r="G24" s="233" t="s">
        <v>271</v>
      </c>
      <c r="H24" s="234" t="str">
        <f>IF(BASE_DATOS[[#This Row],[N-R]]="N",BASE_DATOS[[#This Row],[Diseño]],"Reencauche")</f>
        <v>XMULTI+Z</v>
      </c>
      <c r="I24" s="233" t="s">
        <v>297</v>
      </c>
      <c r="J24" s="235" t="s">
        <v>72</v>
      </c>
      <c r="K24" s="236">
        <v>16</v>
      </c>
      <c r="L24" s="233">
        <v>100</v>
      </c>
      <c r="M24" s="237"/>
      <c r="N24" s="239"/>
      <c r="O24" s="267"/>
      <c r="P24" s="268"/>
      <c r="Q24" s="269"/>
      <c r="R24" s="294" t="s">
        <v>98</v>
      </c>
      <c r="S24" s="303">
        <v>45385</v>
      </c>
      <c r="T24" s="296"/>
      <c r="U24" s="297"/>
      <c r="V24" s="212">
        <v>14</v>
      </c>
      <c r="W24" s="321">
        <v>14</v>
      </c>
      <c r="X24" s="322">
        <v>14</v>
      </c>
      <c r="Y24" s="186">
        <f t="shared" si="0"/>
        <v>14</v>
      </c>
      <c r="Z24" s="187" t="s">
        <v>85</v>
      </c>
      <c r="AA24" s="332">
        <f>IFERROR(BASE_DATOS[[#This Row],[NSK Original]]-BASE_DATOS[[#This Row],[NSK]]," ")</f>
        <v>2</v>
      </c>
      <c r="AB24" s="333">
        <f>'NSK-TRACTO'!$A$2</f>
        <v>6</v>
      </c>
      <c r="AC24" s="333">
        <f>IF(BASE_DATOS[[#This Row],[NSK]]&gt;=BASE_DATOS[[#This Row],[NSK Reen]],BASE_DATOS[[#This Row],[NSK Reen]],BASE_DATOS[[#This Row],[NSK]])</f>
        <v>6</v>
      </c>
      <c r="AD24" s="334">
        <f>IFERROR(100%-(BASE_DATOS[[#This Row],[NSK Reen]]/BASE_DATOS[[#This Row],[NSK Original]]),"")</f>
        <v>0.625</v>
      </c>
      <c r="AE24" s="334">
        <f>IFERROR(100%-BASE_DATOS[[#This Row],[NSK]]/BASE_DATOS[[#This Row],[NSK Original]],"")</f>
        <v>0.125</v>
      </c>
      <c r="AF24" s="334">
        <f>IFERROR(BASE_DATOS[[#This Row],[% Max Des.]]-BASE_DATOS[[#This Row],[% Des]],"")</f>
        <v>0.5</v>
      </c>
      <c r="AG24" s="284"/>
      <c r="AH24" s="335"/>
      <c r="AI24" s="351" t="str">
        <f>IF(OR(BASE_DATOS[[#This Row],[Hr.]]="",BASE_DATOS[[#This Row],[Hr. Actual]]=""),"",BASE_DATOS[[#This Row],[Hr. Actual]]-BASE_DATOS[[#This Row],[Hr.]]+BASE_DATOS[[#This Row],[Horas Acumuladas]])</f>
        <v/>
      </c>
      <c r="AJ24" s="352" t="str">
        <f>IFERROR(BASE_DATOS[[#This Row],[Precio US$]]/BASE_DATOS[[#This Row],[Horas Rodadas]],"")</f>
        <v/>
      </c>
      <c r="AK24" s="353" t="str">
        <f>IFERROR(BASE_DATOS[[#This Row],[Horas Rodadas]]/(BASE_DATOS[[#This Row],[NSK Original]]-BASE_DATOS[[#This Row],[NSK]]),"")</f>
        <v/>
      </c>
      <c r="AL24" s="35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4" s="354" t="str">
        <f>IFERROR(BASE_DATOS[[#This Row],[Precio US$]]/BASE_DATOS[[#This Row],[Horas Proy.]],"")</f>
        <v/>
      </c>
      <c r="AN24" s="189" t="str">
        <f>IF(OR(BASE_DATOS[[#This Row],[Km.]]="",BASE_DATOS[[#This Row],[Km. Actual]]=""),"",BASE_DATOS[[#This Row],[Km. Actual]]-BASE_DATOS[[#This Row],[Km.]]+BASE_DATOS[[#This Row],[Kilómetros Acumulados]])</f>
        <v/>
      </c>
      <c r="AO24" s="190" t="str">
        <f>IFERROR(BASE_DATOS[[#This Row],[Precio US$]]/BASE_DATOS[[#This Row],[Kilómetros Rodados]],"")</f>
        <v/>
      </c>
      <c r="AP24" s="189" t="str">
        <f>IFERROR(BASE_DATOS[[#This Row],[Kilómetros Rodados]]/(BASE_DATOS[[#This Row],[NSK Original]]-BASE_DATOS[[#This Row],[NSK]]),"")</f>
        <v/>
      </c>
      <c r="AQ24" s="18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4" s="190" t="str">
        <f>IFERROR(BASE_DATOS[[#This Row],[Precio US$]]/BASE_DATOS[[#This Row],[Kilómetros Proy.]],"")</f>
        <v/>
      </c>
      <c r="AS24" s="191" t="s">
        <v>62</v>
      </c>
      <c r="AT24" s="191"/>
      <c r="AU24" s="191"/>
      <c r="AV24" s="191"/>
      <c r="AW24" s="193"/>
      <c r="AX24" s="192"/>
      <c r="AY24" s="192" t="str">
        <f>CONCATENATE(BASE_DATOS[[#This Row],[Código_U]]&amp;BASE_DATOS[[#This Row],[Pos.]]&amp;BASE_DATOS[[#This Row],[Situación Actual]])</f>
        <v>TC-1021Rodando</v>
      </c>
    </row>
    <row r="25" spans="1:51" ht="12.75" customHeight="1" x14ac:dyDescent="0.25">
      <c r="A25" s="216" t="s">
        <v>113</v>
      </c>
      <c r="B25" s="217" t="s">
        <v>114</v>
      </c>
      <c r="C25" s="218" t="s">
        <v>296</v>
      </c>
      <c r="D25" s="221" t="s">
        <v>86</v>
      </c>
      <c r="E25" s="248" t="s">
        <v>431</v>
      </c>
      <c r="F25" s="241" t="s">
        <v>273</v>
      </c>
      <c r="G25" s="241" t="s">
        <v>271</v>
      </c>
      <c r="H25" s="242" t="str">
        <f>IF(BASE_DATOS[[#This Row],[N-R]]="N",BASE_DATOS[[#This Row],[Diseño]],"Reencauche")</f>
        <v>XMULTI+Z</v>
      </c>
      <c r="I25" s="241" t="s">
        <v>297</v>
      </c>
      <c r="J25" s="243" t="s">
        <v>72</v>
      </c>
      <c r="K25" s="244">
        <v>16</v>
      </c>
      <c r="L25" s="241">
        <v>100</v>
      </c>
      <c r="M25" s="245"/>
      <c r="N25" s="247"/>
      <c r="O25" s="270"/>
      <c r="P25" s="271"/>
      <c r="Q25" s="272"/>
      <c r="R25" s="298" t="s">
        <v>99</v>
      </c>
      <c r="S25" s="299">
        <v>45385</v>
      </c>
      <c r="T25" s="300"/>
      <c r="U25" s="301"/>
      <c r="V25" s="216">
        <v>13</v>
      </c>
      <c r="W25" s="323">
        <v>13</v>
      </c>
      <c r="X25" s="324">
        <v>13</v>
      </c>
      <c r="Y25" s="162">
        <f t="shared" si="0"/>
        <v>13</v>
      </c>
      <c r="Z25" s="163" t="s">
        <v>85</v>
      </c>
      <c r="AA25" s="336">
        <f>IFERROR(BASE_DATOS[[#This Row],[NSK Original]]-BASE_DATOS[[#This Row],[NSK]]," ")</f>
        <v>3</v>
      </c>
      <c r="AB25" s="337">
        <f>'NSK-TRACTO'!$A$2</f>
        <v>6</v>
      </c>
      <c r="AC25" s="337">
        <f>IF(BASE_DATOS[[#This Row],[NSK]]&gt;=BASE_DATOS[[#This Row],[NSK Reen]],BASE_DATOS[[#This Row],[NSK Reen]],BASE_DATOS[[#This Row],[NSK]])</f>
        <v>6</v>
      </c>
      <c r="AD25" s="338">
        <f>IFERROR(100%-(BASE_DATOS[[#This Row],[NSK Reen]]/BASE_DATOS[[#This Row],[NSK Original]]),"")</f>
        <v>0.625</v>
      </c>
      <c r="AE25" s="338">
        <f>IFERROR(100%-BASE_DATOS[[#This Row],[NSK]]/BASE_DATOS[[#This Row],[NSK Original]],"")</f>
        <v>0.1875</v>
      </c>
      <c r="AF25" s="338">
        <f>IFERROR(BASE_DATOS[[#This Row],[% Max Des.]]-BASE_DATOS[[#This Row],[% Des]],"")</f>
        <v>0.4375</v>
      </c>
      <c r="AG25" s="287"/>
      <c r="AH25" s="273"/>
      <c r="AI25" s="355" t="str">
        <f>IF(OR(BASE_DATOS[[#This Row],[Hr.]]="",BASE_DATOS[[#This Row],[Hr. Actual]]=""),"",BASE_DATOS[[#This Row],[Hr. Actual]]-BASE_DATOS[[#This Row],[Hr.]]+BASE_DATOS[[#This Row],[Horas Acumuladas]])</f>
        <v/>
      </c>
      <c r="AJ25" s="356" t="str">
        <f>IFERROR(BASE_DATOS[[#This Row],[Precio US$]]/BASE_DATOS[[#This Row],[Horas Rodadas]],"")</f>
        <v/>
      </c>
      <c r="AK25" s="357" t="str">
        <f>IFERROR(BASE_DATOS[[#This Row],[Horas Rodadas]]/(BASE_DATOS[[#This Row],[NSK Original]]-BASE_DATOS[[#This Row],[NSK]]),"")</f>
        <v/>
      </c>
      <c r="AL25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5" s="358" t="str">
        <f>IFERROR(BASE_DATOS[[#This Row],[Precio US$]]/BASE_DATOS[[#This Row],[Horas Proy.]],"")</f>
        <v/>
      </c>
      <c r="AN25" s="165" t="str">
        <f>IF(OR(BASE_DATOS[[#This Row],[Km.]]="",BASE_DATOS[[#This Row],[Km. Actual]]=""),"",BASE_DATOS[[#This Row],[Km. Actual]]-BASE_DATOS[[#This Row],[Km.]]+BASE_DATOS[[#This Row],[Kilómetros Acumulados]])</f>
        <v/>
      </c>
      <c r="AO25" s="166" t="str">
        <f>IFERROR(BASE_DATOS[[#This Row],[Precio US$]]/BASE_DATOS[[#This Row],[Kilómetros Rodados]],"")</f>
        <v/>
      </c>
      <c r="AP25" s="165" t="str">
        <f>IFERROR(BASE_DATOS[[#This Row],[Kilómetros Rodados]]/(BASE_DATOS[[#This Row],[NSK Original]]-BASE_DATOS[[#This Row],[NSK]]),"")</f>
        <v/>
      </c>
      <c r="AQ25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5" s="166" t="str">
        <f>IFERROR(BASE_DATOS[[#This Row],[Precio US$]]/BASE_DATOS[[#This Row],[Kilómetros Proy.]],"")</f>
        <v/>
      </c>
      <c r="AS25" s="167" t="s">
        <v>62</v>
      </c>
      <c r="AT25" s="167"/>
      <c r="AU25" s="167"/>
      <c r="AV25" s="167"/>
      <c r="AW25" s="168"/>
      <c r="AX25" s="169"/>
      <c r="AY25" s="169" t="str">
        <f>CONCATENATE(BASE_DATOS[[#This Row],[Código_U]]&amp;BASE_DATOS[[#This Row],[Pos.]]&amp;BASE_DATOS[[#This Row],[Situación Actual]])</f>
        <v>TC-1022Rodando</v>
      </c>
    </row>
    <row r="26" spans="1:51" ht="12.75" customHeight="1" x14ac:dyDescent="0.25">
      <c r="A26" s="216" t="s">
        <v>113</v>
      </c>
      <c r="B26" s="217" t="s">
        <v>114</v>
      </c>
      <c r="C26" s="218" t="s">
        <v>296</v>
      </c>
      <c r="D26" s="219" t="s">
        <v>61</v>
      </c>
      <c r="E26" s="248" t="s">
        <v>432</v>
      </c>
      <c r="F26" s="241" t="s">
        <v>278</v>
      </c>
      <c r="G26" s="241" t="s">
        <v>271</v>
      </c>
      <c r="H26" s="242" t="str">
        <f>IF(BASE_DATOS[[#This Row],[N-R]]="N",BASE_DATOS[[#This Row],[Diseño]],"Reencauche")</f>
        <v>HS3+</v>
      </c>
      <c r="I26" s="241" t="s">
        <v>279</v>
      </c>
      <c r="J26" s="243" t="s">
        <v>72</v>
      </c>
      <c r="K26" s="244">
        <v>16</v>
      </c>
      <c r="L26" s="241">
        <v>110</v>
      </c>
      <c r="M26" s="245"/>
      <c r="N26" s="247"/>
      <c r="O26" s="270"/>
      <c r="P26" s="271"/>
      <c r="Q26" s="272"/>
      <c r="R26" s="298" t="s">
        <v>100</v>
      </c>
      <c r="S26" s="299">
        <v>45385</v>
      </c>
      <c r="T26" s="300"/>
      <c r="U26" s="301"/>
      <c r="V26" s="216">
        <v>8</v>
      </c>
      <c r="W26" s="323">
        <v>8</v>
      </c>
      <c r="X26" s="324">
        <v>8</v>
      </c>
      <c r="Y26" s="162">
        <f t="shared" si="0"/>
        <v>8</v>
      </c>
      <c r="Z26" s="163" t="s">
        <v>85</v>
      </c>
      <c r="AA26" s="336">
        <f>IFERROR(BASE_DATOS[[#This Row],[NSK Original]]-BASE_DATOS[[#This Row],[NSK]]," ")</f>
        <v>8</v>
      </c>
      <c r="AB26" s="337">
        <f>'NSK-TRACTO'!$A$2</f>
        <v>6</v>
      </c>
      <c r="AC26" s="337">
        <f>IF(BASE_DATOS[[#This Row],[NSK]]&gt;=BASE_DATOS[[#This Row],[NSK Reen]],BASE_DATOS[[#This Row],[NSK Reen]],BASE_DATOS[[#This Row],[NSK]])</f>
        <v>6</v>
      </c>
      <c r="AD26" s="338">
        <f>IFERROR(100%-(BASE_DATOS[[#This Row],[NSK Reen]]/BASE_DATOS[[#This Row],[NSK Original]]),"")</f>
        <v>0.625</v>
      </c>
      <c r="AE26" s="338">
        <f>IFERROR(100%-BASE_DATOS[[#This Row],[NSK]]/BASE_DATOS[[#This Row],[NSK Original]],"")</f>
        <v>0.5</v>
      </c>
      <c r="AF26" s="338">
        <f>IFERROR(BASE_DATOS[[#This Row],[% Max Des.]]-BASE_DATOS[[#This Row],[% Des]],"")</f>
        <v>0.125</v>
      </c>
      <c r="AG26" s="287"/>
      <c r="AH26" s="273"/>
      <c r="AI26" s="355" t="str">
        <f>IF(OR(BASE_DATOS[[#This Row],[Hr.]]="",BASE_DATOS[[#This Row],[Hr. Actual]]=""),"",BASE_DATOS[[#This Row],[Hr. Actual]]-BASE_DATOS[[#This Row],[Hr.]]+BASE_DATOS[[#This Row],[Horas Acumuladas]])</f>
        <v/>
      </c>
      <c r="AJ26" s="356" t="str">
        <f>IFERROR(BASE_DATOS[[#This Row],[Precio US$]]/BASE_DATOS[[#This Row],[Horas Rodadas]],"")</f>
        <v/>
      </c>
      <c r="AK26" s="357" t="str">
        <f>IFERROR(BASE_DATOS[[#This Row],[Horas Rodadas]]/(BASE_DATOS[[#This Row],[NSK Original]]-BASE_DATOS[[#This Row],[NSK]]),"")</f>
        <v/>
      </c>
      <c r="AL26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6" s="358" t="str">
        <f>IFERROR(BASE_DATOS[[#This Row],[Precio US$]]/BASE_DATOS[[#This Row],[Horas Proy.]],"")</f>
        <v/>
      </c>
      <c r="AN26" s="165" t="str">
        <f>IF(OR(BASE_DATOS[[#This Row],[Km.]]="",BASE_DATOS[[#This Row],[Km. Actual]]=""),"",BASE_DATOS[[#This Row],[Km. Actual]]-BASE_DATOS[[#This Row],[Km.]]+BASE_DATOS[[#This Row],[Kilómetros Acumulados]])</f>
        <v/>
      </c>
      <c r="AO26" s="166" t="str">
        <f>IFERROR(BASE_DATOS[[#This Row],[Precio US$]]/BASE_DATOS[[#This Row],[Kilómetros Rodados]],"")</f>
        <v/>
      </c>
      <c r="AP26" s="165" t="str">
        <f>IFERROR(BASE_DATOS[[#This Row],[Kilómetros Rodados]]/(BASE_DATOS[[#This Row],[NSK Original]]-BASE_DATOS[[#This Row],[NSK]]),"")</f>
        <v/>
      </c>
      <c r="AQ26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6" s="166" t="str">
        <f>IFERROR(BASE_DATOS[[#This Row],[Precio US$]]/BASE_DATOS[[#This Row],[Kilómetros Proy.]],"")</f>
        <v/>
      </c>
      <c r="AS26" s="167" t="s">
        <v>62</v>
      </c>
      <c r="AT26" s="167"/>
      <c r="AU26" s="167"/>
      <c r="AV26" s="167"/>
      <c r="AW26" s="168"/>
      <c r="AX26" s="168"/>
      <c r="AY26" s="168" t="str">
        <f>CONCATENATE(BASE_DATOS[[#This Row],[Código_U]]&amp;BASE_DATOS[[#This Row],[Pos.]]&amp;BASE_DATOS[[#This Row],[Situación Actual]])</f>
        <v>TC-1023Rodando</v>
      </c>
    </row>
    <row r="27" spans="1:51" ht="12.75" customHeight="1" x14ac:dyDescent="0.25">
      <c r="A27" s="216" t="s">
        <v>113</v>
      </c>
      <c r="B27" s="217" t="s">
        <v>114</v>
      </c>
      <c r="C27" s="218" t="s">
        <v>296</v>
      </c>
      <c r="D27" s="219" t="s">
        <v>61</v>
      </c>
      <c r="E27" s="248" t="s">
        <v>433</v>
      </c>
      <c r="F27" s="241" t="s">
        <v>278</v>
      </c>
      <c r="G27" s="241" t="s">
        <v>271</v>
      </c>
      <c r="H27" s="242" t="str">
        <f>IF(BASE_DATOS[[#This Row],[N-R]]="N",BASE_DATOS[[#This Row],[Diseño]],"Reencauche")</f>
        <v>HS3+</v>
      </c>
      <c r="I27" s="241" t="s">
        <v>279</v>
      </c>
      <c r="J27" s="243" t="s">
        <v>72</v>
      </c>
      <c r="K27" s="244">
        <v>16</v>
      </c>
      <c r="L27" s="241">
        <v>110</v>
      </c>
      <c r="M27" s="245"/>
      <c r="N27" s="247"/>
      <c r="O27" s="270"/>
      <c r="P27" s="271"/>
      <c r="Q27" s="272"/>
      <c r="R27" s="298" t="s">
        <v>101</v>
      </c>
      <c r="S27" s="299">
        <v>45385</v>
      </c>
      <c r="T27" s="300"/>
      <c r="U27" s="301"/>
      <c r="V27" s="216">
        <v>8</v>
      </c>
      <c r="W27" s="323">
        <v>8</v>
      </c>
      <c r="X27" s="324">
        <v>7</v>
      </c>
      <c r="Y27" s="162">
        <f t="shared" si="0"/>
        <v>7</v>
      </c>
      <c r="Z27" s="163" t="s">
        <v>85</v>
      </c>
      <c r="AA27" s="336">
        <f>IFERROR(BASE_DATOS[[#This Row],[NSK Original]]-BASE_DATOS[[#This Row],[NSK]]," ")</f>
        <v>9</v>
      </c>
      <c r="AB27" s="337">
        <f>'NSK-TRACTO'!$A$2</f>
        <v>6</v>
      </c>
      <c r="AC27" s="337">
        <f>IF(BASE_DATOS[[#This Row],[NSK]]&gt;=BASE_DATOS[[#This Row],[NSK Reen]],BASE_DATOS[[#This Row],[NSK Reen]],BASE_DATOS[[#This Row],[NSK]])</f>
        <v>6</v>
      </c>
      <c r="AD27" s="338">
        <f>IFERROR(100%-(BASE_DATOS[[#This Row],[NSK Reen]]/BASE_DATOS[[#This Row],[NSK Original]]),"")</f>
        <v>0.625</v>
      </c>
      <c r="AE27" s="338">
        <f>IFERROR(100%-BASE_DATOS[[#This Row],[NSK]]/BASE_DATOS[[#This Row],[NSK Original]],"")</f>
        <v>0.5625</v>
      </c>
      <c r="AF27" s="338">
        <f>IFERROR(BASE_DATOS[[#This Row],[% Max Des.]]-BASE_DATOS[[#This Row],[% Des]],"")</f>
        <v>6.25E-2</v>
      </c>
      <c r="AG27" s="287"/>
      <c r="AH27" s="273"/>
      <c r="AI27" s="355" t="str">
        <f>IF(OR(BASE_DATOS[[#This Row],[Hr.]]="",BASE_DATOS[[#This Row],[Hr. Actual]]=""),"",BASE_DATOS[[#This Row],[Hr. Actual]]-BASE_DATOS[[#This Row],[Hr.]]+BASE_DATOS[[#This Row],[Horas Acumuladas]])</f>
        <v/>
      </c>
      <c r="AJ27" s="356" t="str">
        <f>IFERROR(BASE_DATOS[[#This Row],[Precio US$]]/BASE_DATOS[[#This Row],[Horas Rodadas]],"")</f>
        <v/>
      </c>
      <c r="AK27" s="357" t="str">
        <f>IFERROR(BASE_DATOS[[#This Row],[Horas Rodadas]]/(BASE_DATOS[[#This Row],[NSK Original]]-BASE_DATOS[[#This Row],[NSK]]),"")</f>
        <v/>
      </c>
      <c r="AL27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7" s="358" t="str">
        <f>IFERROR(BASE_DATOS[[#This Row],[Precio US$]]/BASE_DATOS[[#This Row],[Horas Proy.]],"")</f>
        <v/>
      </c>
      <c r="AN27" s="165" t="str">
        <f>IF(OR(BASE_DATOS[[#This Row],[Km.]]="",BASE_DATOS[[#This Row],[Km. Actual]]=""),"",BASE_DATOS[[#This Row],[Km. Actual]]-BASE_DATOS[[#This Row],[Km.]]+BASE_DATOS[[#This Row],[Kilómetros Acumulados]])</f>
        <v/>
      </c>
      <c r="AO27" s="166" t="str">
        <f>IFERROR(BASE_DATOS[[#This Row],[Precio US$]]/BASE_DATOS[[#This Row],[Kilómetros Rodados]],"")</f>
        <v/>
      </c>
      <c r="AP27" s="165" t="str">
        <f>IFERROR(BASE_DATOS[[#This Row],[Kilómetros Rodados]]/(BASE_DATOS[[#This Row],[NSK Original]]-BASE_DATOS[[#This Row],[NSK]]),"")</f>
        <v/>
      </c>
      <c r="AQ27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7" s="166" t="str">
        <f>IFERROR(BASE_DATOS[[#This Row],[Precio US$]]/BASE_DATOS[[#This Row],[Kilómetros Proy.]],"")</f>
        <v/>
      </c>
      <c r="AS27" s="167" t="s">
        <v>62</v>
      </c>
      <c r="AT27" s="167"/>
      <c r="AU27" s="167" t="s">
        <v>515</v>
      </c>
      <c r="AV27" s="167"/>
      <c r="AW27" s="168"/>
      <c r="AX27" s="169" t="s">
        <v>371</v>
      </c>
      <c r="AY27" s="169" t="str">
        <f>CONCATENATE(BASE_DATOS[[#This Row],[Código_U]]&amp;BASE_DATOS[[#This Row],[Pos.]]&amp;BASE_DATOS[[#This Row],[Situación Actual]])</f>
        <v>TC-1024Rodando</v>
      </c>
    </row>
    <row r="28" spans="1:51" ht="12.75" customHeight="1" x14ac:dyDescent="0.25">
      <c r="A28" s="216" t="s">
        <v>113</v>
      </c>
      <c r="B28" s="217" t="s">
        <v>114</v>
      </c>
      <c r="C28" s="218" t="s">
        <v>296</v>
      </c>
      <c r="D28" s="221" t="s">
        <v>61</v>
      </c>
      <c r="E28" s="248" t="s">
        <v>434</v>
      </c>
      <c r="F28" s="241" t="s">
        <v>278</v>
      </c>
      <c r="G28" s="241" t="s">
        <v>271</v>
      </c>
      <c r="H28" s="242" t="str">
        <f>IF(BASE_DATOS[[#This Row],[N-R]]="N",BASE_DATOS[[#This Row],[Diseño]],"Reencauche")</f>
        <v>HS3+</v>
      </c>
      <c r="I28" s="241" t="s">
        <v>279</v>
      </c>
      <c r="J28" s="243" t="s">
        <v>72</v>
      </c>
      <c r="K28" s="244">
        <v>16</v>
      </c>
      <c r="L28" s="241">
        <v>110</v>
      </c>
      <c r="M28" s="245"/>
      <c r="N28" s="247"/>
      <c r="O28" s="270"/>
      <c r="P28" s="271"/>
      <c r="Q28" s="272"/>
      <c r="R28" s="298" t="s">
        <v>102</v>
      </c>
      <c r="S28" s="299">
        <v>45385</v>
      </c>
      <c r="T28" s="300"/>
      <c r="U28" s="301"/>
      <c r="V28" s="216">
        <v>9</v>
      </c>
      <c r="W28" s="323">
        <v>8</v>
      </c>
      <c r="X28" s="324">
        <v>9</v>
      </c>
      <c r="Y28" s="162">
        <f t="shared" si="0"/>
        <v>8</v>
      </c>
      <c r="Z28" s="163" t="s">
        <v>85</v>
      </c>
      <c r="AA28" s="336">
        <f>IFERROR(BASE_DATOS[[#This Row],[NSK Original]]-BASE_DATOS[[#This Row],[NSK]]," ")</f>
        <v>8</v>
      </c>
      <c r="AB28" s="337">
        <f>'NSK-TRACTO'!$A$2</f>
        <v>6</v>
      </c>
      <c r="AC28" s="337">
        <f>IF(BASE_DATOS[[#This Row],[NSK]]&gt;=BASE_DATOS[[#This Row],[NSK Reen]],BASE_DATOS[[#This Row],[NSK Reen]],BASE_DATOS[[#This Row],[NSK]])</f>
        <v>6</v>
      </c>
      <c r="AD28" s="338">
        <f>IFERROR(100%-(BASE_DATOS[[#This Row],[NSK Reen]]/BASE_DATOS[[#This Row],[NSK Original]]),"")</f>
        <v>0.625</v>
      </c>
      <c r="AE28" s="338">
        <f>IFERROR(100%-BASE_DATOS[[#This Row],[NSK]]/BASE_DATOS[[#This Row],[NSK Original]],"")</f>
        <v>0.5</v>
      </c>
      <c r="AF28" s="338">
        <f>IFERROR(BASE_DATOS[[#This Row],[% Max Des.]]-BASE_DATOS[[#This Row],[% Des]],"")</f>
        <v>0.125</v>
      </c>
      <c r="AG28" s="287"/>
      <c r="AH28" s="273"/>
      <c r="AI28" s="355" t="str">
        <f>IF(OR(BASE_DATOS[[#This Row],[Hr.]]="",BASE_DATOS[[#This Row],[Hr. Actual]]=""),"",BASE_DATOS[[#This Row],[Hr. Actual]]-BASE_DATOS[[#This Row],[Hr.]]+BASE_DATOS[[#This Row],[Horas Acumuladas]])</f>
        <v/>
      </c>
      <c r="AJ28" s="356" t="str">
        <f>IFERROR(BASE_DATOS[[#This Row],[Precio US$]]/BASE_DATOS[[#This Row],[Horas Rodadas]],"")</f>
        <v/>
      </c>
      <c r="AK28" s="357" t="str">
        <f>IFERROR(BASE_DATOS[[#This Row],[Horas Rodadas]]/(BASE_DATOS[[#This Row],[NSK Original]]-BASE_DATOS[[#This Row],[NSK]]),"")</f>
        <v/>
      </c>
      <c r="AL28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8" s="358" t="str">
        <f>IFERROR(BASE_DATOS[[#This Row],[Precio US$]]/BASE_DATOS[[#This Row],[Horas Proy.]],"")</f>
        <v/>
      </c>
      <c r="AN28" s="165" t="str">
        <f>IF(OR(BASE_DATOS[[#This Row],[Km.]]="",BASE_DATOS[[#This Row],[Km. Actual]]=""),"",BASE_DATOS[[#This Row],[Km. Actual]]-BASE_DATOS[[#This Row],[Km.]]+BASE_DATOS[[#This Row],[Kilómetros Acumulados]])</f>
        <v/>
      </c>
      <c r="AO28" s="166" t="str">
        <f>IFERROR(BASE_DATOS[[#This Row],[Precio US$]]/BASE_DATOS[[#This Row],[Kilómetros Rodados]],"")</f>
        <v/>
      </c>
      <c r="AP28" s="165" t="str">
        <f>IFERROR(BASE_DATOS[[#This Row],[Kilómetros Rodados]]/(BASE_DATOS[[#This Row],[NSK Original]]-BASE_DATOS[[#This Row],[NSK]]),"")</f>
        <v/>
      </c>
      <c r="AQ28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8" s="166" t="str">
        <f>IFERROR(BASE_DATOS[[#This Row],[Precio US$]]/BASE_DATOS[[#This Row],[Kilómetros Proy.]],"")</f>
        <v/>
      </c>
      <c r="AS28" s="167" t="s">
        <v>62</v>
      </c>
      <c r="AT28" s="167" t="s">
        <v>515</v>
      </c>
      <c r="AU28" s="167"/>
      <c r="AV28" s="167"/>
      <c r="AW28" s="169" t="s">
        <v>436</v>
      </c>
      <c r="AX28" s="168"/>
      <c r="AY28" s="168" t="str">
        <f>CONCATENATE(BASE_DATOS[[#This Row],[Código_U]]&amp;BASE_DATOS[[#This Row],[Pos.]]&amp;BASE_DATOS[[#This Row],[Situación Actual]])</f>
        <v>TC-1025Rodando</v>
      </c>
    </row>
    <row r="29" spans="1:51" ht="12.75" customHeight="1" x14ac:dyDescent="0.25">
      <c r="A29" s="216" t="s">
        <v>113</v>
      </c>
      <c r="B29" s="217" t="s">
        <v>114</v>
      </c>
      <c r="C29" s="218" t="s">
        <v>296</v>
      </c>
      <c r="D29" s="221" t="s">
        <v>61</v>
      </c>
      <c r="E29" s="248" t="s">
        <v>435</v>
      </c>
      <c r="F29" s="241" t="s">
        <v>278</v>
      </c>
      <c r="G29" s="241" t="s">
        <v>271</v>
      </c>
      <c r="H29" s="242" t="str">
        <f>IF(BASE_DATOS[[#This Row],[N-R]]="N",BASE_DATOS[[#This Row],[Diseño]],"Reencauche")</f>
        <v>HS3+</v>
      </c>
      <c r="I29" s="241" t="s">
        <v>279</v>
      </c>
      <c r="J29" s="243" t="s">
        <v>72</v>
      </c>
      <c r="K29" s="244">
        <v>16</v>
      </c>
      <c r="L29" s="241">
        <v>110</v>
      </c>
      <c r="M29" s="245"/>
      <c r="N29" s="247"/>
      <c r="O29" s="270"/>
      <c r="P29" s="271"/>
      <c r="Q29" s="272"/>
      <c r="R29" s="298" t="s">
        <v>103</v>
      </c>
      <c r="S29" s="299">
        <v>45385</v>
      </c>
      <c r="T29" s="300"/>
      <c r="U29" s="301"/>
      <c r="V29" s="216">
        <v>9</v>
      </c>
      <c r="W29" s="323">
        <v>8</v>
      </c>
      <c r="X29" s="324">
        <v>8</v>
      </c>
      <c r="Y29" s="162">
        <f t="shared" si="0"/>
        <v>8</v>
      </c>
      <c r="Z29" s="163" t="s">
        <v>85</v>
      </c>
      <c r="AA29" s="336">
        <f>IFERROR(BASE_DATOS[[#This Row],[NSK Original]]-BASE_DATOS[[#This Row],[NSK]]," ")</f>
        <v>8</v>
      </c>
      <c r="AB29" s="337">
        <f>'NSK-TRACTO'!$A$2</f>
        <v>6</v>
      </c>
      <c r="AC29" s="337">
        <f>IF(BASE_DATOS[[#This Row],[NSK]]&gt;=BASE_DATOS[[#This Row],[NSK Reen]],BASE_DATOS[[#This Row],[NSK Reen]],BASE_DATOS[[#This Row],[NSK]])</f>
        <v>6</v>
      </c>
      <c r="AD29" s="338">
        <f>IFERROR(100%-(BASE_DATOS[[#This Row],[NSK Reen]]/BASE_DATOS[[#This Row],[NSK Original]]),"")</f>
        <v>0.625</v>
      </c>
      <c r="AE29" s="338">
        <f>IFERROR(100%-BASE_DATOS[[#This Row],[NSK]]/BASE_DATOS[[#This Row],[NSK Original]],"")</f>
        <v>0.5</v>
      </c>
      <c r="AF29" s="338">
        <f>IFERROR(BASE_DATOS[[#This Row],[% Max Des.]]-BASE_DATOS[[#This Row],[% Des]],"")</f>
        <v>0.125</v>
      </c>
      <c r="AG29" s="287"/>
      <c r="AH29" s="273"/>
      <c r="AI29" s="355" t="str">
        <f>IF(OR(BASE_DATOS[[#This Row],[Hr.]]="",BASE_DATOS[[#This Row],[Hr. Actual]]=""),"",BASE_DATOS[[#This Row],[Hr. Actual]]-BASE_DATOS[[#This Row],[Hr.]]+BASE_DATOS[[#This Row],[Horas Acumuladas]])</f>
        <v/>
      </c>
      <c r="AJ29" s="356" t="str">
        <f>IFERROR(BASE_DATOS[[#This Row],[Precio US$]]/BASE_DATOS[[#This Row],[Horas Rodadas]],"")</f>
        <v/>
      </c>
      <c r="AK29" s="357" t="str">
        <f>IFERROR(BASE_DATOS[[#This Row],[Horas Rodadas]]/(BASE_DATOS[[#This Row],[NSK Original]]-BASE_DATOS[[#This Row],[NSK]]),"")</f>
        <v/>
      </c>
      <c r="AL29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9" s="358" t="str">
        <f>IFERROR(BASE_DATOS[[#This Row],[Precio US$]]/BASE_DATOS[[#This Row],[Horas Proy.]],"")</f>
        <v/>
      </c>
      <c r="AN29" s="165" t="str">
        <f>IF(OR(BASE_DATOS[[#This Row],[Km.]]="",BASE_DATOS[[#This Row],[Km. Actual]]=""),"",BASE_DATOS[[#This Row],[Km. Actual]]-BASE_DATOS[[#This Row],[Km.]]+BASE_DATOS[[#This Row],[Kilómetros Acumulados]])</f>
        <v/>
      </c>
      <c r="AO29" s="166" t="str">
        <f>IFERROR(BASE_DATOS[[#This Row],[Precio US$]]/BASE_DATOS[[#This Row],[Kilómetros Rodados]],"")</f>
        <v/>
      </c>
      <c r="AP29" s="165" t="str">
        <f>IFERROR(BASE_DATOS[[#This Row],[Kilómetros Rodados]]/(BASE_DATOS[[#This Row],[NSK Original]]-BASE_DATOS[[#This Row],[NSK]]),"")</f>
        <v/>
      </c>
      <c r="AQ29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9" s="166" t="str">
        <f>IFERROR(BASE_DATOS[[#This Row],[Precio US$]]/BASE_DATOS[[#This Row],[Kilómetros Proy.]],"")</f>
        <v/>
      </c>
      <c r="AS29" s="167" t="s">
        <v>62</v>
      </c>
      <c r="AT29" s="167"/>
      <c r="AU29" s="167"/>
      <c r="AV29" s="167"/>
      <c r="AW29" s="168"/>
      <c r="AX29" s="168"/>
      <c r="AY29" s="168" t="str">
        <f>CONCATENATE(BASE_DATOS[[#This Row],[Código_U]]&amp;BASE_DATOS[[#This Row],[Pos.]]&amp;BASE_DATOS[[#This Row],[Situación Actual]])</f>
        <v>TC-1026Rodando</v>
      </c>
    </row>
    <row r="30" spans="1:51" ht="12.75" customHeight="1" x14ac:dyDescent="0.25">
      <c r="A30" s="216" t="s">
        <v>113</v>
      </c>
      <c r="B30" s="217" t="s">
        <v>114</v>
      </c>
      <c r="C30" s="218" t="s">
        <v>296</v>
      </c>
      <c r="D30" s="221" t="s">
        <v>61</v>
      </c>
      <c r="E30" s="248"/>
      <c r="F30" s="241" t="s">
        <v>273</v>
      </c>
      <c r="G30" s="241" t="s">
        <v>271</v>
      </c>
      <c r="H30" s="242" t="str">
        <f>IF(BASE_DATOS[[#This Row],[N-R]]="N",BASE_DATOS[[#This Row],[Diseño]],"Reencauche")</f>
        <v>Reencauche</v>
      </c>
      <c r="I30" s="241" t="s">
        <v>282</v>
      </c>
      <c r="J30" s="243" t="s">
        <v>83</v>
      </c>
      <c r="K30" s="244">
        <v>22</v>
      </c>
      <c r="L30" s="241">
        <v>110</v>
      </c>
      <c r="M30" s="245"/>
      <c r="N30" s="247"/>
      <c r="O30" s="270"/>
      <c r="P30" s="271"/>
      <c r="Q30" s="272"/>
      <c r="R30" s="298" t="s">
        <v>104</v>
      </c>
      <c r="S30" s="299">
        <v>45385</v>
      </c>
      <c r="T30" s="300"/>
      <c r="U30" s="301"/>
      <c r="V30" s="216">
        <v>10</v>
      </c>
      <c r="W30" s="323"/>
      <c r="X30" s="324">
        <v>11</v>
      </c>
      <c r="Y30" s="162">
        <f t="shared" si="0"/>
        <v>10</v>
      </c>
      <c r="Z30" s="163" t="s">
        <v>85</v>
      </c>
      <c r="AA30" s="336">
        <f>IFERROR(BASE_DATOS[[#This Row],[NSK Original]]-BASE_DATOS[[#This Row],[NSK]]," ")</f>
        <v>12</v>
      </c>
      <c r="AB30" s="337">
        <f>'NSK-TRACTO'!$A$2</f>
        <v>6</v>
      </c>
      <c r="AC30" s="337">
        <f>IF(BASE_DATOS[[#This Row],[NSK]]&gt;=BASE_DATOS[[#This Row],[NSK Reen]],BASE_DATOS[[#This Row],[NSK Reen]],BASE_DATOS[[#This Row],[NSK]])</f>
        <v>6</v>
      </c>
      <c r="AD30" s="338">
        <f>IFERROR(100%-(BASE_DATOS[[#This Row],[NSK Reen]]/BASE_DATOS[[#This Row],[NSK Original]]),"")</f>
        <v>0.72727272727272729</v>
      </c>
      <c r="AE30" s="338">
        <f>IFERROR(100%-BASE_DATOS[[#This Row],[NSK]]/BASE_DATOS[[#This Row],[NSK Original]],"")</f>
        <v>0.54545454545454541</v>
      </c>
      <c r="AF30" s="338">
        <f>IFERROR(BASE_DATOS[[#This Row],[% Max Des.]]-BASE_DATOS[[#This Row],[% Des]],"")</f>
        <v>0.18181818181818188</v>
      </c>
      <c r="AG30" s="287"/>
      <c r="AH30" s="273"/>
      <c r="AI30" s="355" t="str">
        <f>IF(OR(BASE_DATOS[[#This Row],[Hr.]]="",BASE_DATOS[[#This Row],[Hr. Actual]]=""),"",BASE_DATOS[[#This Row],[Hr. Actual]]-BASE_DATOS[[#This Row],[Hr.]]+BASE_DATOS[[#This Row],[Horas Acumuladas]])</f>
        <v/>
      </c>
      <c r="AJ30" s="356" t="str">
        <f>IFERROR(BASE_DATOS[[#This Row],[Precio US$]]/BASE_DATOS[[#This Row],[Horas Rodadas]],"")</f>
        <v/>
      </c>
      <c r="AK30" s="357" t="str">
        <f>IFERROR(BASE_DATOS[[#This Row],[Horas Rodadas]]/(BASE_DATOS[[#This Row],[NSK Original]]-BASE_DATOS[[#This Row],[NSK]]),"")</f>
        <v/>
      </c>
      <c r="AL30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0" s="358" t="str">
        <f>IFERROR(BASE_DATOS[[#This Row],[Precio US$]]/BASE_DATOS[[#This Row],[Horas Proy.]],"")</f>
        <v/>
      </c>
      <c r="AN30" s="165" t="str">
        <f>IF(OR(BASE_DATOS[[#This Row],[Km.]]="",BASE_DATOS[[#This Row],[Km. Actual]]=""),"",BASE_DATOS[[#This Row],[Km. Actual]]-BASE_DATOS[[#This Row],[Km.]]+BASE_DATOS[[#This Row],[Kilómetros Acumulados]])</f>
        <v/>
      </c>
      <c r="AO30" s="166" t="str">
        <f>IFERROR(BASE_DATOS[[#This Row],[Precio US$]]/BASE_DATOS[[#This Row],[Kilómetros Rodados]],"")</f>
        <v/>
      </c>
      <c r="AP30" s="165" t="str">
        <f>IFERROR(BASE_DATOS[[#This Row],[Kilómetros Rodados]]/(BASE_DATOS[[#This Row],[NSK Original]]-BASE_DATOS[[#This Row],[NSK]]),"")</f>
        <v/>
      </c>
      <c r="AQ30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0" s="166" t="str">
        <f>IFERROR(BASE_DATOS[[#This Row],[Precio US$]]/BASE_DATOS[[#This Row],[Kilómetros Proy.]],"")</f>
        <v/>
      </c>
      <c r="AS30" s="167" t="s">
        <v>62</v>
      </c>
      <c r="AT30" s="167"/>
      <c r="AU30" s="167"/>
      <c r="AV30" s="167"/>
      <c r="AW30" s="168"/>
      <c r="AX30" s="168"/>
      <c r="AY30" s="168" t="str">
        <f>CONCATENATE(BASE_DATOS[[#This Row],[Código_U]]&amp;BASE_DATOS[[#This Row],[Pos.]]&amp;BASE_DATOS[[#This Row],[Situación Actual]])</f>
        <v>TC-1027Rodando</v>
      </c>
    </row>
    <row r="31" spans="1:51" ht="12.75" customHeight="1" x14ac:dyDescent="0.25">
      <c r="A31" s="216" t="s">
        <v>113</v>
      </c>
      <c r="B31" s="217" t="s">
        <v>114</v>
      </c>
      <c r="C31" s="218" t="s">
        <v>296</v>
      </c>
      <c r="D31" s="221" t="s">
        <v>61</v>
      </c>
      <c r="E31" s="248"/>
      <c r="F31" s="241" t="s">
        <v>273</v>
      </c>
      <c r="G31" s="241" t="s">
        <v>271</v>
      </c>
      <c r="H31" s="242" t="str">
        <f>IF(BASE_DATOS[[#This Row],[N-R]]="N",BASE_DATOS[[#This Row],[Diseño]],"Reencauche")</f>
        <v>Reencauche</v>
      </c>
      <c r="I31" s="241" t="s">
        <v>282</v>
      </c>
      <c r="J31" s="243" t="s">
        <v>83</v>
      </c>
      <c r="K31" s="244">
        <v>22</v>
      </c>
      <c r="L31" s="241">
        <v>110</v>
      </c>
      <c r="M31" s="245"/>
      <c r="N31" s="247"/>
      <c r="O31" s="270"/>
      <c r="P31" s="271"/>
      <c r="Q31" s="272"/>
      <c r="R31" s="298" t="s">
        <v>105</v>
      </c>
      <c r="S31" s="299">
        <v>45385</v>
      </c>
      <c r="T31" s="300"/>
      <c r="U31" s="301"/>
      <c r="V31" s="216">
        <v>6</v>
      </c>
      <c r="W31" s="323"/>
      <c r="X31" s="324">
        <v>6</v>
      </c>
      <c r="Y31" s="162">
        <f t="shared" si="0"/>
        <v>6</v>
      </c>
      <c r="Z31" s="163" t="s">
        <v>85</v>
      </c>
      <c r="AA31" s="336">
        <f>IFERROR(BASE_DATOS[[#This Row],[NSK Original]]-BASE_DATOS[[#This Row],[NSK]]," ")</f>
        <v>16</v>
      </c>
      <c r="AB31" s="337">
        <f>'NSK-TRACTO'!$A$2</f>
        <v>6</v>
      </c>
      <c r="AC31" s="337">
        <f>IF(BASE_DATOS[[#This Row],[NSK]]&gt;=BASE_DATOS[[#This Row],[NSK Reen]],BASE_DATOS[[#This Row],[NSK Reen]],BASE_DATOS[[#This Row],[NSK]])</f>
        <v>6</v>
      </c>
      <c r="AD31" s="338">
        <f>IFERROR(100%-(BASE_DATOS[[#This Row],[NSK Reen]]/BASE_DATOS[[#This Row],[NSK Original]]),"")</f>
        <v>0.72727272727272729</v>
      </c>
      <c r="AE31" s="338">
        <f>IFERROR(100%-BASE_DATOS[[#This Row],[NSK]]/BASE_DATOS[[#This Row],[NSK Original]],"")</f>
        <v>0.72727272727272729</v>
      </c>
      <c r="AF31" s="338">
        <f>IFERROR(BASE_DATOS[[#This Row],[% Max Des.]]-BASE_DATOS[[#This Row],[% Des]],"")</f>
        <v>0</v>
      </c>
      <c r="AG31" s="287"/>
      <c r="AH31" s="273"/>
      <c r="AI31" s="355" t="str">
        <f>IF(OR(BASE_DATOS[[#This Row],[Hr.]]="",BASE_DATOS[[#This Row],[Hr. Actual]]=""),"",BASE_DATOS[[#This Row],[Hr. Actual]]-BASE_DATOS[[#This Row],[Hr.]]+BASE_DATOS[[#This Row],[Horas Acumuladas]])</f>
        <v/>
      </c>
      <c r="AJ31" s="356" t="str">
        <f>IFERROR(BASE_DATOS[[#This Row],[Precio US$]]/BASE_DATOS[[#This Row],[Horas Rodadas]],"")</f>
        <v/>
      </c>
      <c r="AK31" s="357" t="str">
        <f>IFERROR(BASE_DATOS[[#This Row],[Horas Rodadas]]/(BASE_DATOS[[#This Row],[NSK Original]]-BASE_DATOS[[#This Row],[NSK]]),"")</f>
        <v/>
      </c>
      <c r="AL31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1" s="358" t="str">
        <f>IFERROR(BASE_DATOS[[#This Row],[Precio US$]]/BASE_DATOS[[#This Row],[Horas Proy.]],"")</f>
        <v/>
      </c>
      <c r="AN31" s="165" t="str">
        <f>IF(OR(BASE_DATOS[[#This Row],[Km.]]="",BASE_DATOS[[#This Row],[Km. Actual]]=""),"",BASE_DATOS[[#This Row],[Km. Actual]]-BASE_DATOS[[#This Row],[Km.]]+BASE_DATOS[[#This Row],[Kilómetros Acumulados]])</f>
        <v/>
      </c>
      <c r="AO31" s="166" t="str">
        <f>IFERROR(BASE_DATOS[[#This Row],[Precio US$]]/BASE_DATOS[[#This Row],[Kilómetros Rodados]],"")</f>
        <v/>
      </c>
      <c r="AP31" s="165" t="str">
        <f>IFERROR(BASE_DATOS[[#This Row],[Kilómetros Rodados]]/(BASE_DATOS[[#This Row],[NSK Original]]-BASE_DATOS[[#This Row],[NSK]]),"")</f>
        <v/>
      </c>
      <c r="AQ31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1" s="166" t="str">
        <f>IFERROR(BASE_DATOS[[#This Row],[Precio US$]]/BASE_DATOS[[#This Row],[Kilómetros Proy.]],"")</f>
        <v/>
      </c>
      <c r="AS31" s="167" t="s">
        <v>62</v>
      </c>
      <c r="AT31" s="167"/>
      <c r="AU31" s="167"/>
      <c r="AV31" s="167"/>
      <c r="AW31" s="168"/>
      <c r="AX31" s="168"/>
      <c r="AY31" s="168" t="str">
        <f>CONCATENATE(BASE_DATOS[[#This Row],[Código_U]]&amp;BASE_DATOS[[#This Row],[Pos.]]&amp;BASE_DATOS[[#This Row],[Situación Actual]])</f>
        <v>TC-1028Rodando</v>
      </c>
    </row>
    <row r="32" spans="1:51" ht="12.75" customHeight="1" x14ac:dyDescent="0.25">
      <c r="A32" s="216" t="s">
        <v>113</v>
      </c>
      <c r="B32" s="217" t="s">
        <v>114</v>
      </c>
      <c r="C32" s="218" t="s">
        <v>296</v>
      </c>
      <c r="D32" s="221" t="s">
        <v>61</v>
      </c>
      <c r="E32" s="248"/>
      <c r="F32" s="241" t="s">
        <v>298</v>
      </c>
      <c r="G32" s="241" t="s">
        <v>271</v>
      </c>
      <c r="H32" s="242" t="str">
        <f>IF(BASE_DATOS[[#This Row],[N-R]]="N",BASE_DATOS[[#This Row],[Diseño]],"Reencauche")</f>
        <v>Reencauche</v>
      </c>
      <c r="I32" s="241" t="s">
        <v>282</v>
      </c>
      <c r="J32" s="243" t="s">
        <v>82</v>
      </c>
      <c r="K32" s="244">
        <v>22</v>
      </c>
      <c r="L32" s="241">
        <v>110</v>
      </c>
      <c r="M32" s="245"/>
      <c r="N32" s="247"/>
      <c r="O32" s="270"/>
      <c r="P32" s="271"/>
      <c r="Q32" s="272"/>
      <c r="R32" s="298" t="s">
        <v>106</v>
      </c>
      <c r="S32" s="299">
        <v>45385</v>
      </c>
      <c r="T32" s="300"/>
      <c r="U32" s="301"/>
      <c r="V32" s="216">
        <v>9</v>
      </c>
      <c r="W32" s="323"/>
      <c r="X32" s="324">
        <v>9</v>
      </c>
      <c r="Y32" s="162">
        <f t="shared" si="0"/>
        <v>9</v>
      </c>
      <c r="Z32" s="163" t="s">
        <v>85</v>
      </c>
      <c r="AA32" s="336">
        <f>IFERROR(BASE_DATOS[[#This Row],[NSK Original]]-BASE_DATOS[[#This Row],[NSK]]," ")</f>
        <v>13</v>
      </c>
      <c r="AB32" s="337">
        <f>'NSK-TRACTO'!$A$2</f>
        <v>6</v>
      </c>
      <c r="AC32" s="337">
        <f>IF(BASE_DATOS[[#This Row],[NSK]]&gt;=BASE_DATOS[[#This Row],[NSK Reen]],BASE_DATOS[[#This Row],[NSK Reen]],BASE_DATOS[[#This Row],[NSK]])</f>
        <v>6</v>
      </c>
      <c r="AD32" s="338">
        <f>IFERROR(100%-(BASE_DATOS[[#This Row],[NSK Reen]]/BASE_DATOS[[#This Row],[NSK Original]]),"")</f>
        <v>0.72727272727272729</v>
      </c>
      <c r="AE32" s="338">
        <f>IFERROR(100%-BASE_DATOS[[#This Row],[NSK]]/BASE_DATOS[[#This Row],[NSK Original]],"")</f>
        <v>0.59090909090909083</v>
      </c>
      <c r="AF32" s="338">
        <f>IFERROR(BASE_DATOS[[#This Row],[% Max Des.]]-BASE_DATOS[[#This Row],[% Des]],"")</f>
        <v>0.13636363636363646</v>
      </c>
      <c r="AG32" s="287"/>
      <c r="AH32" s="273"/>
      <c r="AI32" s="355" t="str">
        <f>IF(OR(BASE_DATOS[[#This Row],[Hr.]]="",BASE_DATOS[[#This Row],[Hr. Actual]]=""),"",BASE_DATOS[[#This Row],[Hr. Actual]]-BASE_DATOS[[#This Row],[Hr.]]+BASE_DATOS[[#This Row],[Horas Acumuladas]])</f>
        <v/>
      </c>
      <c r="AJ32" s="356" t="str">
        <f>IFERROR(BASE_DATOS[[#This Row],[Precio US$]]/BASE_DATOS[[#This Row],[Horas Rodadas]],"")</f>
        <v/>
      </c>
      <c r="AK32" s="357" t="str">
        <f>IFERROR(BASE_DATOS[[#This Row],[Horas Rodadas]]/(BASE_DATOS[[#This Row],[NSK Original]]-BASE_DATOS[[#This Row],[NSK]]),"")</f>
        <v/>
      </c>
      <c r="AL32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2" s="358" t="str">
        <f>IFERROR(BASE_DATOS[[#This Row],[Precio US$]]/BASE_DATOS[[#This Row],[Horas Proy.]],"")</f>
        <v/>
      </c>
      <c r="AN32" s="165" t="str">
        <f>IF(OR(BASE_DATOS[[#This Row],[Km.]]="",BASE_DATOS[[#This Row],[Km. Actual]]=""),"",BASE_DATOS[[#This Row],[Km. Actual]]-BASE_DATOS[[#This Row],[Km.]]+BASE_DATOS[[#This Row],[Kilómetros Acumulados]])</f>
        <v/>
      </c>
      <c r="AO32" s="166" t="str">
        <f>IFERROR(BASE_DATOS[[#This Row],[Precio US$]]/BASE_DATOS[[#This Row],[Kilómetros Rodados]],"")</f>
        <v/>
      </c>
      <c r="AP32" s="165" t="str">
        <f>IFERROR(BASE_DATOS[[#This Row],[Kilómetros Rodados]]/(BASE_DATOS[[#This Row],[NSK Original]]-BASE_DATOS[[#This Row],[NSK]]),"")</f>
        <v/>
      </c>
      <c r="AQ32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2" s="166" t="str">
        <f>IFERROR(BASE_DATOS[[#This Row],[Precio US$]]/BASE_DATOS[[#This Row],[Kilómetros Proy.]],"")</f>
        <v/>
      </c>
      <c r="AS32" s="167" t="s">
        <v>62</v>
      </c>
      <c r="AT32" s="167"/>
      <c r="AU32" s="167"/>
      <c r="AV32" s="167"/>
      <c r="AW32" s="168"/>
      <c r="AX32" s="168"/>
      <c r="AY32" s="168" t="str">
        <f>CONCATENATE(BASE_DATOS[[#This Row],[Código_U]]&amp;BASE_DATOS[[#This Row],[Pos.]]&amp;BASE_DATOS[[#This Row],[Situación Actual]])</f>
        <v>TC-1029Rodando</v>
      </c>
    </row>
    <row r="33" spans="1:51" ht="12.75" customHeight="1" x14ac:dyDescent="0.25">
      <c r="A33" s="216" t="s">
        <v>113</v>
      </c>
      <c r="B33" s="217" t="s">
        <v>114</v>
      </c>
      <c r="C33" s="218" t="s">
        <v>296</v>
      </c>
      <c r="D33" s="221" t="s">
        <v>61</v>
      </c>
      <c r="E33" s="248"/>
      <c r="F33" s="241" t="s">
        <v>298</v>
      </c>
      <c r="G33" s="241" t="s">
        <v>271</v>
      </c>
      <c r="H33" s="242" t="str">
        <f>IF(BASE_DATOS[[#This Row],[N-R]]="N",BASE_DATOS[[#This Row],[Diseño]],"Reencauche")</f>
        <v>Reencauche</v>
      </c>
      <c r="I33" s="241" t="s">
        <v>282</v>
      </c>
      <c r="J33" s="243" t="s">
        <v>82</v>
      </c>
      <c r="K33" s="244">
        <v>22</v>
      </c>
      <c r="L33" s="241">
        <v>110</v>
      </c>
      <c r="M33" s="245"/>
      <c r="N33" s="247"/>
      <c r="O33" s="270"/>
      <c r="P33" s="271"/>
      <c r="Q33" s="272"/>
      <c r="R33" s="298" t="s">
        <v>107</v>
      </c>
      <c r="S33" s="299">
        <v>45385</v>
      </c>
      <c r="T33" s="300"/>
      <c r="U33" s="301"/>
      <c r="V33" s="216">
        <v>10</v>
      </c>
      <c r="W33" s="323"/>
      <c r="X33" s="324">
        <v>10</v>
      </c>
      <c r="Y33" s="162">
        <f t="shared" si="0"/>
        <v>10</v>
      </c>
      <c r="Z33" s="163" t="s">
        <v>85</v>
      </c>
      <c r="AA33" s="336">
        <f>IFERROR(BASE_DATOS[[#This Row],[NSK Original]]-BASE_DATOS[[#This Row],[NSK]]," ")</f>
        <v>12</v>
      </c>
      <c r="AB33" s="337">
        <f>'NSK-TRACTO'!$A$2</f>
        <v>6</v>
      </c>
      <c r="AC33" s="337">
        <f>IF(BASE_DATOS[[#This Row],[NSK]]&gt;=BASE_DATOS[[#This Row],[NSK Reen]],BASE_DATOS[[#This Row],[NSK Reen]],BASE_DATOS[[#This Row],[NSK]])</f>
        <v>6</v>
      </c>
      <c r="AD33" s="338">
        <f>IFERROR(100%-(BASE_DATOS[[#This Row],[NSK Reen]]/BASE_DATOS[[#This Row],[NSK Original]]),"")</f>
        <v>0.72727272727272729</v>
      </c>
      <c r="AE33" s="338">
        <f>IFERROR(100%-BASE_DATOS[[#This Row],[NSK]]/BASE_DATOS[[#This Row],[NSK Original]],"")</f>
        <v>0.54545454545454541</v>
      </c>
      <c r="AF33" s="338">
        <f>IFERROR(BASE_DATOS[[#This Row],[% Max Des.]]-BASE_DATOS[[#This Row],[% Des]],"")</f>
        <v>0.18181818181818188</v>
      </c>
      <c r="AG33" s="287"/>
      <c r="AH33" s="273"/>
      <c r="AI33" s="355" t="str">
        <f>IF(OR(BASE_DATOS[[#This Row],[Hr.]]="",BASE_DATOS[[#This Row],[Hr. Actual]]=""),"",BASE_DATOS[[#This Row],[Hr. Actual]]-BASE_DATOS[[#This Row],[Hr.]]+BASE_DATOS[[#This Row],[Horas Acumuladas]])</f>
        <v/>
      </c>
      <c r="AJ33" s="356" t="str">
        <f>IFERROR(BASE_DATOS[[#This Row],[Precio US$]]/BASE_DATOS[[#This Row],[Horas Rodadas]],"")</f>
        <v/>
      </c>
      <c r="AK33" s="357" t="str">
        <f>IFERROR(BASE_DATOS[[#This Row],[Horas Rodadas]]/(BASE_DATOS[[#This Row],[NSK Original]]-BASE_DATOS[[#This Row],[NSK]]),"")</f>
        <v/>
      </c>
      <c r="AL33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3" s="358" t="str">
        <f>IFERROR(BASE_DATOS[[#This Row],[Precio US$]]/BASE_DATOS[[#This Row],[Horas Proy.]],"")</f>
        <v/>
      </c>
      <c r="AN33" s="165" t="str">
        <f>IF(OR(BASE_DATOS[[#This Row],[Km.]]="",BASE_DATOS[[#This Row],[Km. Actual]]=""),"",BASE_DATOS[[#This Row],[Km. Actual]]-BASE_DATOS[[#This Row],[Km.]]+BASE_DATOS[[#This Row],[Kilómetros Acumulados]])</f>
        <v/>
      </c>
      <c r="AO33" s="166" t="str">
        <f>IFERROR(BASE_DATOS[[#This Row],[Precio US$]]/BASE_DATOS[[#This Row],[Kilómetros Rodados]],"")</f>
        <v/>
      </c>
      <c r="AP33" s="165" t="str">
        <f>IFERROR(BASE_DATOS[[#This Row],[Kilómetros Rodados]]/(BASE_DATOS[[#This Row],[NSK Original]]-BASE_DATOS[[#This Row],[NSK]]),"")</f>
        <v/>
      </c>
      <c r="AQ33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3" s="166" t="str">
        <f>IFERROR(BASE_DATOS[[#This Row],[Precio US$]]/BASE_DATOS[[#This Row],[Kilómetros Proy.]],"")</f>
        <v/>
      </c>
      <c r="AS33" s="167" t="s">
        <v>62</v>
      </c>
      <c r="AT33" s="167"/>
      <c r="AU33" s="167"/>
      <c r="AV33" s="167"/>
      <c r="AW33" s="168"/>
      <c r="AX33" s="168"/>
      <c r="AY33" s="168" t="str">
        <f>CONCATENATE(BASE_DATOS[[#This Row],[Código_U]]&amp;BASE_DATOS[[#This Row],[Pos.]]&amp;BASE_DATOS[[#This Row],[Situación Actual]])</f>
        <v>TC-10210Rodando</v>
      </c>
    </row>
    <row r="34" spans="1:51" ht="12.75" customHeight="1" x14ac:dyDescent="0.25">
      <c r="A34" s="212" t="s">
        <v>115</v>
      </c>
      <c r="B34" s="213" t="s">
        <v>116</v>
      </c>
      <c r="C34" s="214" t="s">
        <v>295</v>
      </c>
      <c r="D34" s="220" t="s">
        <v>87</v>
      </c>
      <c r="E34" s="232" t="s">
        <v>434</v>
      </c>
      <c r="F34" s="233" t="s">
        <v>97</v>
      </c>
      <c r="G34" s="233" t="s">
        <v>269</v>
      </c>
      <c r="H34" s="234" t="str">
        <f>IF(BASE_DATOS[[#This Row],[N-R]]="N",BASE_DATOS[[#This Row],[Diseño]],"Reencauche")</f>
        <v>AGC28</v>
      </c>
      <c r="I34" s="233" t="s">
        <v>270</v>
      </c>
      <c r="J34" s="235" t="s">
        <v>72</v>
      </c>
      <c r="K34" s="236">
        <v>16.5</v>
      </c>
      <c r="L34" s="233">
        <v>110</v>
      </c>
      <c r="M34" s="237"/>
      <c r="N34" s="239"/>
      <c r="O34" s="267"/>
      <c r="P34" s="268"/>
      <c r="Q34" s="269"/>
      <c r="R34" s="294" t="s">
        <v>98</v>
      </c>
      <c r="S34" s="303">
        <v>45385</v>
      </c>
      <c r="T34" s="296"/>
      <c r="U34" s="297"/>
      <c r="V34" s="212">
        <v>11</v>
      </c>
      <c r="W34" s="321">
        <v>11</v>
      </c>
      <c r="X34" s="322">
        <v>11</v>
      </c>
      <c r="Y34" s="186">
        <f t="shared" si="0"/>
        <v>11</v>
      </c>
      <c r="Z34" s="187" t="s">
        <v>85</v>
      </c>
      <c r="AA34" s="332">
        <f>IFERROR(BASE_DATOS[[#This Row],[NSK Original]]-BASE_DATOS[[#This Row],[NSK]]," ")</f>
        <v>5.5</v>
      </c>
      <c r="AB34" s="333">
        <f>'NSK-TRACTO'!$A$2</f>
        <v>6</v>
      </c>
      <c r="AC34" s="333">
        <f>IF(BASE_DATOS[[#This Row],[NSK]]&gt;=BASE_DATOS[[#This Row],[NSK Reen]],BASE_DATOS[[#This Row],[NSK Reen]],BASE_DATOS[[#This Row],[NSK]])</f>
        <v>6</v>
      </c>
      <c r="AD34" s="334">
        <f>IFERROR(100%-(BASE_DATOS[[#This Row],[NSK Reen]]/BASE_DATOS[[#This Row],[NSK Original]]),"")</f>
        <v>0.63636363636363635</v>
      </c>
      <c r="AE34" s="334">
        <f>IFERROR(100%-BASE_DATOS[[#This Row],[NSK]]/BASE_DATOS[[#This Row],[NSK Original]],"")</f>
        <v>0.33333333333333337</v>
      </c>
      <c r="AF34" s="334">
        <f>IFERROR(BASE_DATOS[[#This Row],[% Max Des.]]-BASE_DATOS[[#This Row],[% Des]],"")</f>
        <v>0.30303030303030298</v>
      </c>
      <c r="AG34" s="284"/>
      <c r="AH34" s="335"/>
      <c r="AI34" s="351" t="str">
        <f>IF(OR(BASE_DATOS[[#This Row],[Hr.]]="",BASE_DATOS[[#This Row],[Hr. Actual]]=""),"",BASE_DATOS[[#This Row],[Hr. Actual]]-BASE_DATOS[[#This Row],[Hr.]]+BASE_DATOS[[#This Row],[Horas Acumuladas]])</f>
        <v/>
      </c>
      <c r="AJ34" s="352" t="str">
        <f>IFERROR(BASE_DATOS[[#This Row],[Precio US$]]/BASE_DATOS[[#This Row],[Horas Rodadas]],"")</f>
        <v/>
      </c>
      <c r="AK34" s="353" t="str">
        <f>IFERROR(BASE_DATOS[[#This Row],[Horas Rodadas]]/(BASE_DATOS[[#This Row],[NSK Original]]-BASE_DATOS[[#This Row],[NSK]]),"")</f>
        <v/>
      </c>
      <c r="AL34" s="35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4" s="354" t="str">
        <f>IFERROR(BASE_DATOS[[#This Row],[Precio US$]]/BASE_DATOS[[#This Row],[Horas Proy.]],"")</f>
        <v/>
      </c>
      <c r="AN34" s="189" t="str">
        <f>IF(OR(BASE_DATOS[[#This Row],[Km.]]="",BASE_DATOS[[#This Row],[Km. Actual]]=""),"",BASE_DATOS[[#This Row],[Km. Actual]]-BASE_DATOS[[#This Row],[Km.]]+BASE_DATOS[[#This Row],[Kilómetros Acumulados]])</f>
        <v/>
      </c>
      <c r="AO34" s="190" t="str">
        <f>IFERROR(BASE_DATOS[[#This Row],[Precio US$]]/BASE_DATOS[[#This Row],[Kilómetros Rodados]],"")</f>
        <v/>
      </c>
      <c r="AP34" s="189" t="str">
        <f>IFERROR(BASE_DATOS[[#This Row],[Kilómetros Rodados]]/(BASE_DATOS[[#This Row],[NSK Original]]-BASE_DATOS[[#This Row],[NSK]]),"")</f>
        <v/>
      </c>
      <c r="AQ34" s="18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4" s="190" t="str">
        <f>IFERROR(BASE_DATOS[[#This Row],[Precio US$]]/BASE_DATOS[[#This Row],[Kilómetros Proy.]],"")</f>
        <v/>
      </c>
      <c r="AS34" s="191" t="s">
        <v>62</v>
      </c>
      <c r="AT34" s="191"/>
      <c r="AU34" s="191"/>
      <c r="AV34" s="191"/>
      <c r="AW34" s="192"/>
      <c r="AX34" s="193"/>
      <c r="AY34" s="193" t="str">
        <f>CONCATENATE(BASE_DATOS[[#This Row],[Código_U]]&amp;BASE_DATOS[[#This Row],[Pos.]]&amp;BASE_DATOS[[#This Row],[Situación Actual]])</f>
        <v>SR-1021Rodando</v>
      </c>
    </row>
    <row r="35" spans="1:51" ht="12.75" customHeight="1" x14ac:dyDescent="0.25">
      <c r="A35" s="216" t="s">
        <v>115</v>
      </c>
      <c r="B35" s="217" t="s">
        <v>116</v>
      </c>
      <c r="C35" s="218" t="s">
        <v>295</v>
      </c>
      <c r="D35" s="221" t="s">
        <v>87</v>
      </c>
      <c r="E35" s="248" t="s">
        <v>434</v>
      </c>
      <c r="F35" s="241" t="s">
        <v>97</v>
      </c>
      <c r="G35" s="241" t="s">
        <v>269</v>
      </c>
      <c r="H35" s="242" t="str">
        <f>IF(BASE_DATOS[[#This Row],[N-R]]="N",BASE_DATOS[[#This Row],[Diseño]],"Reencauche")</f>
        <v>AGC28</v>
      </c>
      <c r="I35" s="241" t="s">
        <v>270</v>
      </c>
      <c r="J35" s="243" t="s">
        <v>72</v>
      </c>
      <c r="K35" s="244">
        <v>16.5</v>
      </c>
      <c r="L35" s="241">
        <v>110</v>
      </c>
      <c r="M35" s="245"/>
      <c r="N35" s="247"/>
      <c r="O35" s="270"/>
      <c r="P35" s="271"/>
      <c r="Q35" s="272"/>
      <c r="R35" s="298" t="s">
        <v>99</v>
      </c>
      <c r="S35" s="299">
        <v>45385</v>
      </c>
      <c r="T35" s="300"/>
      <c r="U35" s="301"/>
      <c r="V35" s="216">
        <v>11</v>
      </c>
      <c r="W35" s="323">
        <v>11</v>
      </c>
      <c r="X35" s="324">
        <v>11</v>
      </c>
      <c r="Y35" s="162">
        <f t="shared" si="0"/>
        <v>11</v>
      </c>
      <c r="Z35" s="163" t="s">
        <v>85</v>
      </c>
      <c r="AA35" s="336">
        <f>IFERROR(BASE_DATOS[[#This Row],[NSK Original]]-BASE_DATOS[[#This Row],[NSK]]," ")</f>
        <v>5.5</v>
      </c>
      <c r="AB35" s="337">
        <f>'NSK-TRACTO'!$A$2</f>
        <v>6</v>
      </c>
      <c r="AC35" s="337">
        <f>IF(BASE_DATOS[[#This Row],[NSK]]&gt;=BASE_DATOS[[#This Row],[NSK Reen]],BASE_DATOS[[#This Row],[NSK Reen]],BASE_DATOS[[#This Row],[NSK]])</f>
        <v>6</v>
      </c>
      <c r="AD35" s="338">
        <f>IFERROR(100%-(BASE_DATOS[[#This Row],[NSK Reen]]/BASE_DATOS[[#This Row],[NSK Original]]),"")</f>
        <v>0.63636363636363635</v>
      </c>
      <c r="AE35" s="338">
        <f>IFERROR(100%-BASE_DATOS[[#This Row],[NSK]]/BASE_DATOS[[#This Row],[NSK Original]],"")</f>
        <v>0.33333333333333337</v>
      </c>
      <c r="AF35" s="338">
        <f>IFERROR(BASE_DATOS[[#This Row],[% Max Des.]]-BASE_DATOS[[#This Row],[% Des]],"")</f>
        <v>0.30303030303030298</v>
      </c>
      <c r="AG35" s="287"/>
      <c r="AH35" s="273"/>
      <c r="AI35" s="355" t="str">
        <f>IF(OR(BASE_DATOS[[#This Row],[Hr.]]="",BASE_DATOS[[#This Row],[Hr. Actual]]=""),"",BASE_DATOS[[#This Row],[Hr. Actual]]-BASE_DATOS[[#This Row],[Hr.]]+BASE_DATOS[[#This Row],[Horas Acumuladas]])</f>
        <v/>
      </c>
      <c r="AJ35" s="356" t="str">
        <f>IFERROR(BASE_DATOS[[#This Row],[Precio US$]]/BASE_DATOS[[#This Row],[Horas Rodadas]],"")</f>
        <v/>
      </c>
      <c r="AK35" s="357" t="str">
        <f>IFERROR(BASE_DATOS[[#This Row],[Horas Rodadas]]/(BASE_DATOS[[#This Row],[NSK Original]]-BASE_DATOS[[#This Row],[NSK]]),"")</f>
        <v/>
      </c>
      <c r="AL35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5" s="358" t="str">
        <f>IFERROR(BASE_DATOS[[#This Row],[Precio US$]]/BASE_DATOS[[#This Row],[Horas Proy.]],"")</f>
        <v/>
      </c>
      <c r="AN35" s="165" t="str">
        <f>IF(OR(BASE_DATOS[[#This Row],[Km.]]="",BASE_DATOS[[#This Row],[Km. Actual]]=""),"",BASE_DATOS[[#This Row],[Km. Actual]]-BASE_DATOS[[#This Row],[Km.]]+BASE_DATOS[[#This Row],[Kilómetros Acumulados]])</f>
        <v/>
      </c>
      <c r="AO35" s="166" t="str">
        <f>IFERROR(BASE_DATOS[[#This Row],[Precio US$]]/BASE_DATOS[[#This Row],[Kilómetros Rodados]],"")</f>
        <v/>
      </c>
      <c r="AP35" s="165" t="str">
        <f>IFERROR(BASE_DATOS[[#This Row],[Kilómetros Rodados]]/(BASE_DATOS[[#This Row],[NSK Original]]-BASE_DATOS[[#This Row],[NSK]]),"")</f>
        <v/>
      </c>
      <c r="AQ35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5" s="166" t="str">
        <f>IFERROR(BASE_DATOS[[#This Row],[Precio US$]]/BASE_DATOS[[#This Row],[Kilómetros Proy.]],"")</f>
        <v/>
      </c>
      <c r="AS35" s="167" t="s">
        <v>62</v>
      </c>
      <c r="AT35" s="167"/>
      <c r="AU35" s="167"/>
      <c r="AV35" s="167"/>
      <c r="AW35" s="168"/>
      <c r="AX35" s="168"/>
      <c r="AY35" s="168" t="str">
        <f>CONCATENATE(BASE_DATOS[[#This Row],[Código_U]]&amp;BASE_DATOS[[#This Row],[Pos.]]&amp;BASE_DATOS[[#This Row],[Situación Actual]])</f>
        <v>SR-1022Rodando</v>
      </c>
    </row>
    <row r="36" spans="1:51" ht="12.75" customHeight="1" x14ac:dyDescent="0.25">
      <c r="A36" s="216" t="s">
        <v>115</v>
      </c>
      <c r="B36" s="217" t="s">
        <v>116</v>
      </c>
      <c r="C36" s="218" t="s">
        <v>295</v>
      </c>
      <c r="D36" s="221" t="s">
        <v>87</v>
      </c>
      <c r="E36" s="248"/>
      <c r="F36" s="241" t="s">
        <v>97</v>
      </c>
      <c r="G36" s="241" t="s">
        <v>269</v>
      </c>
      <c r="H36" s="242" t="str">
        <f>IF(BASE_DATOS[[#This Row],[N-R]]="N",BASE_DATOS[[#This Row],[Diseño]],"Reencauche")</f>
        <v>AGC28</v>
      </c>
      <c r="I36" s="241" t="s">
        <v>270</v>
      </c>
      <c r="J36" s="243" t="s">
        <v>72</v>
      </c>
      <c r="K36" s="244">
        <v>16.5</v>
      </c>
      <c r="L36" s="241">
        <v>110</v>
      </c>
      <c r="M36" s="245"/>
      <c r="N36" s="247"/>
      <c r="O36" s="270"/>
      <c r="P36" s="271"/>
      <c r="Q36" s="272"/>
      <c r="R36" s="298" t="s">
        <v>100</v>
      </c>
      <c r="S36" s="299">
        <v>45385</v>
      </c>
      <c r="T36" s="300"/>
      <c r="U36" s="301"/>
      <c r="V36" s="216">
        <v>10</v>
      </c>
      <c r="W36" s="323">
        <v>10</v>
      </c>
      <c r="X36" s="324">
        <v>10</v>
      </c>
      <c r="Y36" s="162">
        <f t="shared" si="0"/>
        <v>10</v>
      </c>
      <c r="Z36" s="163" t="s">
        <v>85</v>
      </c>
      <c r="AA36" s="336">
        <f>IFERROR(BASE_DATOS[[#This Row],[NSK Original]]-BASE_DATOS[[#This Row],[NSK]]," ")</f>
        <v>6.5</v>
      </c>
      <c r="AB36" s="337">
        <f>'NSK-TRACTO'!$A$2</f>
        <v>6</v>
      </c>
      <c r="AC36" s="337">
        <f>IF(BASE_DATOS[[#This Row],[NSK]]&gt;=BASE_DATOS[[#This Row],[NSK Reen]],BASE_DATOS[[#This Row],[NSK Reen]],BASE_DATOS[[#This Row],[NSK]])</f>
        <v>6</v>
      </c>
      <c r="AD36" s="338">
        <f>IFERROR(100%-(BASE_DATOS[[#This Row],[NSK Reen]]/BASE_DATOS[[#This Row],[NSK Original]]),"")</f>
        <v>0.63636363636363635</v>
      </c>
      <c r="AE36" s="338">
        <f>IFERROR(100%-BASE_DATOS[[#This Row],[NSK]]/BASE_DATOS[[#This Row],[NSK Original]],"")</f>
        <v>0.39393939393939392</v>
      </c>
      <c r="AF36" s="338">
        <f>IFERROR(BASE_DATOS[[#This Row],[% Max Des.]]-BASE_DATOS[[#This Row],[% Des]],"")</f>
        <v>0.24242424242424243</v>
      </c>
      <c r="AG36" s="287"/>
      <c r="AH36" s="273"/>
      <c r="AI36" s="355" t="str">
        <f>IF(OR(BASE_DATOS[[#This Row],[Hr.]]="",BASE_DATOS[[#This Row],[Hr. Actual]]=""),"",BASE_DATOS[[#This Row],[Hr. Actual]]-BASE_DATOS[[#This Row],[Hr.]]+BASE_DATOS[[#This Row],[Horas Acumuladas]])</f>
        <v/>
      </c>
      <c r="AJ36" s="356" t="str">
        <f>IFERROR(BASE_DATOS[[#This Row],[Precio US$]]/BASE_DATOS[[#This Row],[Horas Rodadas]],"")</f>
        <v/>
      </c>
      <c r="AK36" s="357" t="str">
        <f>IFERROR(BASE_DATOS[[#This Row],[Horas Rodadas]]/(BASE_DATOS[[#This Row],[NSK Original]]-BASE_DATOS[[#This Row],[NSK]]),"")</f>
        <v/>
      </c>
      <c r="AL36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6" s="358" t="str">
        <f>IFERROR(BASE_DATOS[[#This Row],[Precio US$]]/BASE_DATOS[[#This Row],[Horas Proy.]],"")</f>
        <v/>
      </c>
      <c r="AN36" s="165" t="str">
        <f>IF(OR(BASE_DATOS[[#This Row],[Km.]]="",BASE_DATOS[[#This Row],[Km. Actual]]=""),"",BASE_DATOS[[#This Row],[Km. Actual]]-BASE_DATOS[[#This Row],[Km.]]+BASE_DATOS[[#This Row],[Kilómetros Acumulados]])</f>
        <v/>
      </c>
      <c r="AO36" s="166" t="str">
        <f>IFERROR(BASE_DATOS[[#This Row],[Precio US$]]/BASE_DATOS[[#This Row],[Kilómetros Rodados]],"")</f>
        <v/>
      </c>
      <c r="AP36" s="165" t="str">
        <f>IFERROR(BASE_DATOS[[#This Row],[Kilómetros Rodados]]/(BASE_DATOS[[#This Row],[NSK Original]]-BASE_DATOS[[#This Row],[NSK]]),"")</f>
        <v/>
      </c>
      <c r="AQ36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6" s="166" t="str">
        <f>IFERROR(BASE_DATOS[[#This Row],[Precio US$]]/BASE_DATOS[[#This Row],[Kilómetros Proy.]],"")</f>
        <v/>
      </c>
      <c r="AS36" s="167" t="s">
        <v>62</v>
      </c>
      <c r="AT36" s="167"/>
      <c r="AU36" s="167"/>
      <c r="AV36" s="167"/>
      <c r="AW36" s="168"/>
      <c r="AX36" s="168"/>
      <c r="AY36" s="168" t="str">
        <f>CONCATENATE(BASE_DATOS[[#This Row],[Código_U]]&amp;BASE_DATOS[[#This Row],[Pos.]]&amp;BASE_DATOS[[#This Row],[Situación Actual]])</f>
        <v>SR-1023Rodando</v>
      </c>
    </row>
    <row r="37" spans="1:51" ht="12.75" customHeight="1" x14ac:dyDescent="0.25">
      <c r="A37" s="216" t="s">
        <v>115</v>
      </c>
      <c r="B37" s="217" t="s">
        <v>116</v>
      </c>
      <c r="C37" s="218" t="s">
        <v>295</v>
      </c>
      <c r="D37" s="221" t="s">
        <v>87</v>
      </c>
      <c r="E37" s="248"/>
      <c r="F37" s="241" t="s">
        <v>97</v>
      </c>
      <c r="G37" s="241" t="s">
        <v>269</v>
      </c>
      <c r="H37" s="242" t="str">
        <f>IF(BASE_DATOS[[#This Row],[N-R]]="N",BASE_DATOS[[#This Row],[Diseño]],"Reencauche")</f>
        <v>AGC28</v>
      </c>
      <c r="I37" s="241" t="s">
        <v>270</v>
      </c>
      <c r="J37" s="243" t="s">
        <v>72</v>
      </c>
      <c r="K37" s="244">
        <v>16.5</v>
      </c>
      <c r="L37" s="241">
        <v>110</v>
      </c>
      <c r="M37" s="245"/>
      <c r="N37" s="247"/>
      <c r="O37" s="270"/>
      <c r="P37" s="271"/>
      <c r="Q37" s="272"/>
      <c r="R37" s="298" t="s">
        <v>101</v>
      </c>
      <c r="S37" s="299">
        <v>45385</v>
      </c>
      <c r="T37" s="300"/>
      <c r="U37" s="301"/>
      <c r="V37" s="216">
        <v>12</v>
      </c>
      <c r="W37" s="323">
        <v>12</v>
      </c>
      <c r="X37" s="324">
        <v>12</v>
      </c>
      <c r="Y37" s="162">
        <f t="shared" si="0"/>
        <v>12</v>
      </c>
      <c r="Z37" s="163" t="s">
        <v>85</v>
      </c>
      <c r="AA37" s="336">
        <f>IFERROR(BASE_DATOS[[#This Row],[NSK Original]]-BASE_DATOS[[#This Row],[NSK]]," ")</f>
        <v>4.5</v>
      </c>
      <c r="AB37" s="337">
        <f>'NSK-TRACTO'!$A$2</f>
        <v>6</v>
      </c>
      <c r="AC37" s="337">
        <f>IF(BASE_DATOS[[#This Row],[NSK]]&gt;=BASE_DATOS[[#This Row],[NSK Reen]],BASE_DATOS[[#This Row],[NSK Reen]],BASE_DATOS[[#This Row],[NSK]])</f>
        <v>6</v>
      </c>
      <c r="AD37" s="338">
        <f>IFERROR(100%-(BASE_DATOS[[#This Row],[NSK Reen]]/BASE_DATOS[[#This Row],[NSK Original]]),"")</f>
        <v>0.63636363636363635</v>
      </c>
      <c r="AE37" s="338">
        <f>IFERROR(100%-BASE_DATOS[[#This Row],[NSK]]/BASE_DATOS[[#This Row],[NSK Original]],"")</f>
        <v>0.27272727272727271</v>
      </c>
      <c r="AF37" s="338">
        <f>IFERROR(BASE_DATOS[[#This Row],[% Max Des.]]-BASE_DATOS[[#This Row],[% Des]],"")</f>
        <v>0.36363636363636365</v>
      </c>
      <c r="AG37" s="287"/>
      <c r="AH37" s="273"/>
      <c r="AI37" s="355" t="str">
        <f>IF(OR(BASE_DATOS[[#This Row],[Hr.]]="",BASE_DATOS[[#This Row],[Hr. Actual]]=""),"",BASE_DATOS[[#This Row],[Hr. Actual]]-BASE_DATOS[[#This Row],[Hr.]]+BASE_DATOS[[#This Row],[Horas Acumuladas]])</f>
        <v/>
      </c>
      <c r="AJ37" s="356" t="str">
        <f>IFERROR(BASE_DATOS[[#This Row],[Precio US$]]/BASE_DATOS[[#This Row],[Horas Rodadas]],"")</f>
        <v/>
      </c>
      <c r="AK37" s="357" t="str">
        <f>IFERROR(BASE_DATOS[[#This Row],[Horas Rodadas]]/(BASE_DATOS[[#This Row],[NSK Original]]-BASE_DATOS[[#This Row],[NSK]]),"")</f>
        <v/>
      </c>
      <c r="AL37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7" s="358" t="str">
        <f>IFERROR(BASE_DATOS[[#This Row],[Precio US$]]/BASE_DATOS[[#This Row],[Horas Proy.]],"")</f>
        <v/>
      </c>
      <c r="AN37" s="165" t="str">
        <f>IF(OR(BASE_DATOS[[#This Row],[Km.]]="",BASE_DATOS[[#This Row],[Km. Actual]]=""),"",BASE_DATOS[[#This Row],[Km. Actual]]-BASE_DATOS[[#This Row],[Km.]]+BASE_DATOS[[#This Row],[Kilómetros Acumulados]])</f>
        <v/>
      </c>
      <c r="AO37" s="166" t="str">
        <f>IFERROR(BASE_DATOS[[#This Row],[Precio US$]]/BASE_DATOS[[#This Row],[Kilómetros Rodados]],"")</f>
        <v/>
      </c>
      <c r="AP37" s="165" t="str">
        <f>IFERROR(BASE_DATOS[[#This Row],[Kilómetros Rodados]]/(BASE_DATOS[[#This Row],[NSK Original]]-BASE_DATOS[[#This Row],[NSK]]),"")</f>
        <v/>
      </c>
      <c r="AQ37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7" s="166" t="str">
        <f>IFERROR(BASE_DATOS[[#This Row],[Precio US$]]/BASE_DATOS[[#This Row],[Kilómetros Proy.]],"")</f>
        <v/>
      </c>
      <c r="AS37" s="167" t="s">
        <v>62</v>
      </c>
      <c r="AT37" s="167"/>
      <c r="AU37" s="167"/>
      <c r="AV37" s="167"/>
      <c r="AW37" s="168"/>
      <c r="AX37" s="168"/>
      <c r="AY37" s="168" t="str">
        <f>CONCATENATE(BASE_DATOS[[#This Row],[Código_U]]&amp;BASE_DATOS[[#This Row],[Pos.]]&amp;BASE_DATOS[[#This Row],[Situación Actual]])</f>
        <v>SR-1024Rodando</v>
      </c>
    </row>
    <row r="38" spans="1:51" ht="12.75" customHeight="1" x14ac:dyDescent="0.25">
      <c r="A38" s="216" t="s">
        <v>115</v>
      </c>
      <c r="B38" s="217" t="s">
        <v>116</v>
      </c>
      <c r="C38" s="218" t="s">
        <v>295</v>
      </c>
      <c r="D38" s="221" t="s">
        <v>87</v>
      </c>
      <c r="E38" s="248"/>
      <c r="F38" s="241" t="s">
        <v>97</v>
      </c>
      <c r="G38" s="241" t="s">
        <v>269</v>
      </c>
      <c r="H38" s="242" t="str">
        <f>IF(BASE_DATOS[[#This Row],[N-R]]="N",BASE_DATOS[[#This Row],[Diseño]],"Reencauche")</f>
        <v>Reencauche</v>
      </c>
      <c r="I38" s="241" t="s">
        <v>275</v>
      </c>
      <c r="J38" s="243" t="s">
        <v>82</v>
      </c>
      <c r="K38" s="244">
        <v>21</v>
      </c>
      <c r="L38" s="241">
        <v>110</v>
      </c>
      <c r="M38" s="245"/>
      <c r="N38" s="247"/>
      <c r="O38" s="270"/>
      <c r="P38" s="271"/>
      <c r="Q38" s="272"/>
      <c r="R38" s="298" t="s">
        <v>102</v>
      </c>
      <c r="S38" s="299">
        <v>45385</v>
      </c>
      <c r="T38" s="300"/>
      <c r="U38" s="301"/>
      <c r="V38" s="216">
        <v>19</v>
      </c>
      <c r="W38" s="323">
        <v>19</v>
      </c>
      <c r="X38" s="324">
        <v>19</v>
      </c>
      <c r="Y38" s="162">
        <f t="shared" si="0"/>
        <v>19</v>
      </c>
      <c r="Z38" s="163" t="s">
        <v>85</v>
      </c>
      <c r="AA38" s="336">
        <f>IFERROR(BASE_DATOS[[#This Row],[NSK Original]]-BASE_DATOS[[#This Row],[NSK]]," ")</f>
        <v>2</v>
      </c>
      <c r="AB38" s="337">
        <f>'NSK-TRACTO'!$A$2</f>
        <v>6</v>
      </c>
      <c r="AC38" s="337">
        <f>IF(BASE_DATOS[[#This Row],[NSK]]&gt;=BASE_DATOS[[#This Row],[NSK Reen]],BASE_DATOS[[#This Row],[NSK Reen]],BASE_DATOS[[#This Row],[NSK]])</f>
        <v>6</v>
      </c>
      <c r="AD38" s="338">
        <f>IFERROR(100%-(BASE_DATOS[[#This Row],[NSK Reen]]/BASE_DATOS[[#This Row],[NSK Original]]),"")</f>
        <v>0.7142857142857143</v>
      </c>
      <c r="AE38" s="338">
        <f>IFERROR(100%-BASE_DATOS[[#This Row],[NSK]]/BASE_DATOS[[#This Row],[NSK Original]],"")</f>
        <v>9.5238095238095233E-2</v>
      </c>
      <c r="AF38" s="338">
        <f>IFERROR(BASE_DATOS[[#This Row],[% Max Des.]]-BASE_DATOS[[#This Row],[% Des]],"")</f>
        <v>0.61904761904761907</v>
      </c>
      <c r="AG38" s="287"/>
      <c r="AH38" s="273"/>
      <c r="AI38" s="355" t="str">
        <f>IF(OR(BASE_DATOS[[#This Row],[Hr.]]="",BASE_DATOS[[#This Row],[Hr. Actual]]=""),"",BASE_DATOS[[#This Row],[Hr. Actual]]-BASE_DATOS[[#This Row],[Hr.]]+BASE_DATOS[[#This Row],[Horas Acumuladas]])</f>
        <v/>
      </c>
      <c r="AJ38" s="356" t="str">
        <f>IFERROR(BASE_DATOS[[#This Row],[Precio US$]]/BASE_DATOS[[#This Row],[Horas Rodadas]],"")</f>
        <v/>
      </c>
      <c r="AK38" s="357" t="str">
        <f>IFERROR(BASE_DATOS[[#This Row],[Horas Rodadas]]/(BASE_DATOS[[#This Row],[NSK Original]]-BASE_DATOS[[#This Row],[NSK]]),"")</f>
        <v/>
      </c>
      <c r="AL38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8" s="358" t="str">
        <f>IFERROR(BASE_DATOS[[#This Row],[Precio US$]]/BASE_DATOS[[#This Row],[Horas Proy.]],"")</f>
        <v/>
      </c>
      <c r="AN38" s="165" t="str">
        <f>IF(OR(BASE_DATOS[[#This Row],[Km.]]="",BASE_DATOS[[#This Row],[Km. Actual]]=""),"",BASE_DATOS[[#This Row],[Km. Actual]]-BASE_DATOS[[#This Row],[Km.]]+BASE_DATOS[[#This Row],[Kilómetros Acumulados]])</f>
        <v/>
      </c>
      <c r="AO38" s="166" t="str">
        <f>IFERROR(BASE_DATOS[[#This Row],[Precio US$]]/BASE_DATOS[[#This Row],[Kilómetros Rodados]],"")</f>
        <v/>
      </c>
      <c r="AP38" s="165" t="str">
        <f>IFERROR(BASE_DATOS[[#This Row],[Kilómetros Rodados]]/(BASE_DATOS[[#This Row],[NSK Original]]-BASE_DATOS[[#This Row],[NSK]]),"")</f>
        <v/>
      </c>
      <c r="AQ38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8" s="166" t="str">
        <f>IFERROR(BASE_DATOS[[#This Row],[Precio US$]]/BASE_DATOS[[#This Row],[Kilómetros Proy.]],"")</f>
        <v/>
      </c>
      <c r="AS38" s="167" t="s">
        <v>62</v>
      </c>
      <c r="AT38" s="167"/>
      <c r="AU38" s="167"/>
      <c r="AV38" s="167"/>
      <c r="AW38" s="169"/>
      <c r="AX38" s="168"/>
      <c r="AY38" s="168" t="str">
        <f>CONCATENATE(BASE_DATOS[[#This Row],[Código_U]]&amp;BASE_DATOS[[#This Row],[Pos.]]&amp;BASE_DATOS[[#This Row],[Situación Actual]])</f>
        <v>SR-1025Rodando</v>
      </c>
    </row>
    <row r="39" spans="1:51" ht="12.75" customHeight="1" x14ac:dyDescent="0.25">
      <c r="A39" s="216" t="s">
        <v>115</v>
      </c>
      <c r="B39" s="217" t="s">
        <v>116</v>
      </c>
      <c r="C39" s="218" t="s">
        <v>295</v>
      </c>
      <c r="D39" s="221" t="s">
        <v>87</v>
      </c>
      <c r="E39" s="248" t="s">
        <v>431</v>
      </c>
      <c r="F39" s="241" t="s">
        <v>97</v>
      </c>
      <c r="G39" s="241" t="s">
        <v>269</v>
      </c>
      <c r="H39" s="242" t="str">
        <f>IF(BASE_DATOS[[#This Row],[N-R]]="N",BASE_DATOS[[#This Row],[Diseño]],"Reencauche")</f>
        <v>Reencauche</v>
      </c>
      <c r="I39" s="241" t="s">
        <v>275</v>
      </c>
      <c r="J39" s="243" t="s">
        <v>82</v>
      </c>
      <c r="K39" s="244">
        <v>21</v>
      </c>
      <c r="L39" s="241">
        <v>110</v>
      </c>
      <c r="M39" s="245"/>
      <c r="N39" s="247"/>
      <c r="O39" s="270"/>
      <c r="P39" s="271"/>
      <c r="Q39" s="272"/>
      <c r="R39" s="298" t="s">
        <v>103</v>
      </c>
      <c r="S39" s="299">
        <v>45385</v>
      </c>
      <c r="T39" s="300"/>
      <c r="U39" s="301"/>
      <c r="V39" s="216">
        <v>19</v>
      </c>
      <c r="W39" s="323">
        <v>19</v>
      </c>
      <c r="X39" s="324">
        <v>19</v>
      </c>
      <c r="Y39" s="162">
        <f t="shared" si="0"/>
        <v>19</v>
      </c>
      <c r="Z39" s="163" t="s">
        <v>85</v>
      </c>
      <c r="AA39" s="336">
        <f>IFERROR(BASE_DATOS[[#This Row],[NSK Original]]-BASE_DATOS[[#This Row],[NSK]]," ")</f>
        <v>2</v>
      </c>
      <c r="AB39" s="337">
        <f>'NSK-TRACTO'!$A$2</f>
        <v>6</v>
      </c>
      <c r="AC39" s="337">
        <f>IF(BASE_DATOS[[#This Row],[NSK]]&gt;=BASE_DATOS[[#This Row],[NSK Reen]],BASE_DATOS[[#This Row],[NSK Reen]],BASE_DATOS[[#This Row],[NSK]])</f>
        <v>6</v>
      </c>
      <c r="AD39" s="338">
        <f>IFERROR(100%-(BASE_DATOS[[#This Row],[NSK Reen]]/BASE_DATOS[[#This Row],[NSK Original]]),"")</f>
        <v>0.7142857142857143</v>
      </c>
      <c r="AE39" s="338">
        <f>IFERROR(100%-BASE_DATOS[[#This Row],[NSK]]/BASE_DATOS[[#This Row],[NSK Original]],"")</f>
        <v>9.5238095238095233E-2</v>
      </c>
      <c r="AF39" s="338">
        <f>IFERROR(BASE_DATOS[[#This Row],[% Max Des.]]-BASE_DATOS[[#This Row],[% Des]],"")</f>
        <v>0.61904761904761907</v>
      </c>
      <c r="AG39" s="287"/>
      <c r="AH39" s="273"/>
      <c r="AI39" s="355" t="str">
        <f>IF(OR(BASE_DATOS[[#This Row],[Hr.]]="",BASE_DATOS[[#This Row],[Hr. Actual]]=""),"",BASE_DATOS[[#This Row],[Hr. Actual]]-BASE_DATOS[[#This Row],[Hr.]]+BASE_DATOS[[#This Row],[Horas Acumuladas]])</f>
        <v/>
      </c>
      <c r="AJ39" s="356" t="str">
        <f>IFERROR(BASE_DATOS[[#This Row],[Precio US$]]/BASE_DATOS[[#This Row],[Horas Rodadas]],"")</f>
        <v/>
      </c>
      <c r="AK39" s="357" t="str">
        <f>IFERROR(BASE_DATOS[[#This Row],[Horas Rodadas]]/(BASE_DATOS[[#This Row],[NSK Original]]-BASE_DATOS[[#This Row],[NSK]]),"")</f>
        <v/>
      </c>
      <c r="AL39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9" s="358" t="str">
        <f>IFERROR(BASE_DATOS[[#This Row],[Precio US$]]/BASE_DATOS[[#This Row],[Horas Proy.]],"")</f>
        <v/>
      </c>
      <c r="AN39" s="165" t="str">
        <f>IF(OR(BASE_DATOS[[#This Row],[Km.]]="",BASE_DATOS[[#This Row],[Km. Actual]]=""),"",BASE_DATOS[[#This Row],[Km. Actual]]-BASE_DATOS[[#This Row],[Km.]]+BASE_DATOS[[#This Row],[Kilómetros Acumulados]])</f>
        <v/>
      </c>
      <c r="AO39" s="166" t="str">
        <f>IFERROR(BASE_DATOS[[#This Row],[Precio US$]]/BASE_DATOS[[#This Row],[Kilómetros Rodados]],"")</f>
        <v/>
      </c>
      <c r="AP39" s="165" t="str">
        <f>IFERROR(BASE_DATOS[[#This Row],[Kilómetros Rodados]]/(BASE_DATOS[[#This Row],[NSK Original]]-BASE_DATOS[[#This Row],[NSK]]),"")</f>
        <v/>
      </c>
      <c r="AQ39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9" s="166" t="str">
        <f>IFERROR(BASE_DATOS[[#This Row],[Precio US$]]/BASE_DATOS[[#This Row],[Kilómetros Proy.]],"")</f>
        <v/>
      </c>
      <c r="AS39" s="167" t="s">
        <v>62</v>
      </c>
      <c r="AT39" s="167"/>
      <c r="AU39" s="167"/>
      <c r="AV39" s="167"/>
      <c r="AW39" s="169"/>
      <c r="AX39" s="168"/>
      <c r="AY39" s="168" t="str">
        <f>CONCATENATE(BASE_DATOS[[#This Row],[Código_U]]&amp;BASE_DATOS[[#This Row],[Pos.]]&amp;BASE_DATOS[[#This Row],[Situación Actual]])</f>
        <v>SR-1026Rodando</v>
      </c>
    </row>
    <row r="40" spans="1:51" ht="12.75" customHeight="1" x14ac:dyDescent="0.25">
      <c r="A40" s="216" t="s">
        <v>115</v>
      </c>
      <c r="B40" s="217" t="s">
        <v>116</v>
      </c>
      <c r="C40" s="218" t="s">
        <v>295</v>
      </c>
      <c r="D40" s="221" t="s">
        <v>384</v>
      </c>
      <c r="E40" s="248"/>
      <c r="F40" s="241" t="s">
        <v>273</v>
      </c>
      <c r="G40" s="241" t="s">
        <v>274</v>
      </c>
      <c r="H40" s="242" t="str">
        <f>IF(BASE_DATOS[[#This Row],[N-R]]="N",BASE_DATOS[[#This Row],[Diseño]],"Reencauche")</f>
        <v>XZY3</v>
      </c>
      <c r="I40" s="241" t="s">
        <v>277</v>
      </c>
      <c r="J40" s="243" t="s">
        <v>72</v>
      </c>
      <c r="K40" s="244">
        <v>0</v>
      </c>
      <c r="L40" s="241">
        <v>110</v>
      </c>
      <c r="M40" s="245"/>
      <c r="N40" s="247"/>
      <c r="O40" s="270"/>
      <c r="P40" s="271"/>
      <c r="Q40" s="272"/>
      <c r="R40" s="304" t="s">
        <v>509</v>
      </c>
      <c r="S40" s="299">
        <v>45385</v>
      </c>
      <c r="T40" s="300"/>
      <c r="U40" s="301"/>
      <c r="V40" s="216">
        <v>8</v>
      </c>
      <c r="W40" s="323">
        <v>8</v>
      </c>
      <c r="X40" s="324">
        <v>8</v>
      </c>
      <c r="Y40" s="162">
        <f t="shared" si="0"/>
        <v>8</v>
      </c>
      <c r="Z40" s="163" t="s">
        <v>85</v>
      </c>
      <c r="AA40" s="336">
        <f>IFERROR(BASE_DATOS[[#This Row],[NSK Original]]-BASE_DATOS[[#This Row],[NSK]]," ")</f>
        <v>-8</v>
      </c>
      <c r="AB40" s="337">
        <f>'NSK-TRACTO'!$A$2</f>
        <v>6</v>
      </c>
      <c r="AC40" s="337">
        <f>IF(BASE_DATOS[[#This Row],[NSK]]&gt;=BASE_DATOS[[#This Row],[NSK Reen]],BASE_DATOS[[#This Row],[NSK Reen]],BASE_DATOS[[#This Row],[NSK]])</f>
        <v>6</v>
      </c>
      <c r="AD40" s="338" t="str">
        <f>IFERROR(100%-(BASE_DATOS[[#This Row],[NSK Reen]]/BASE_DATOS[[#This Row],[NSK Original]]),"")</f>
        <v/>
      </c>
      <c r="AE40" s="338" t="str">
        <f>IFERROR(100%-BASE_DATOS[[#This Row],[NSK]]/BASE_DATOS[[#This Row],[NSK Original]],"")</f>
        <v/>
      </c>
      <c r="AF40" s="338" t="str">
        <f>IFERROR(BASE_DATOS[[#This Row],[% Max Des.]]-BASE_DATOS[[#This Row],[% Des]],"")</f>
        <v/>
      </c>
      <c r="AG40" s="287"/>
      <c r="AH40" s="273"/>
      <c r="AI40" s="355" t="str">
        <f>IF(OR(BASE_DATOS[[#This Row],[Hr.]]="",BASE_DATOS[[#This Row],[Hr. Actual]]=""),"",BASE_DATOS[[#This Row],[Hr. Actual]]-BASE_DATOS[[#This Row],[Hr.]]+BASE_DATOS[[#This Row],[Horas Acumuladas]])</f>
        <v/>
      </c>
      <c r="AJ40" s="356" t="str">
        <f>IFERROR(BASE_DATOS[[#This Row],[Precio US$]]/BASE_DATOS[[#This Row],[Horas Rodadas]],"")</f>
        <v/>
      </c>
      <c r="AK40" s="357" t="str">
        <f>IFERROR(BASE_DATOS[[#This Row],[Horas Rodadas]]/(BASE_DATOS[[#This Row],[NSK Original]]-BASE_DATOS[[#This Row],[NSK]]),"")</f>
        <v/>
      </c>
      <c r="AL40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0" s="358" t="str">
        <f>IFERROR(BASE_DATOS[[#This Row],[Precio US$]]/BASE_DATOS[[#This Row],[Horas Proy.]],"")</f>
        <v/>
      </c>
      <c r="AN40" s="165" t="str">
        <f>IF(OR(BASE_DATOS[[#This Row],[Km.]]="",BASE_DATOS[[#This Row],[Km. Actual]]=""),"",BASE_DATOS[[#This Row],[Km. Actual]]-BASE_DATOS[[#This Row],[Km.]]+BASE_DATOS[[#This Row],[Kilómetros Acumulados]])</f>
        <v/>
      </c>
      <c r="AO40" s="166" t="str">
        <f>IFERROR(BASE_DATOS[[#This Row],[Precio US$]]/BASE_DATOS[[#This Row],[Kilómetros Rodados]],"")</f>
        <v/>
      </c>
      <c r="AP40" s="165" t="str">
        <f>IFERROR(BASE_DATOS[[#This Row],[Kilómetros Rodados]]/(BASE_DATOS[[#This Row],[NSK Original]]-BASE_DATOS[[#This Row],[NSK]]),"")</f>
        <v/>
      </c>
      <c r="AQ40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0" s="166" t="str">
        <f>IFERROR(BASE_DATOS[[#This Row],[Precio US$]]/BASE_DATOS[[#This Row],[Kilómetros Proy.]],"")</f>
        <v/>
      </c>
      <c r="AS40" s="167" t="s">
        <v>62</v>
      </c>
      <c r="AT40" s="167"/>
      <c r="AU40" s="167"/>
      <c r="AV40" s="167"/>
      <c r="AW40" s="168"/>
      <c r="AX40" s="168"/>
      <c r="AY40" s="168" t="str">
        <f>CONCATENATE(BASE_DATOS[[#This Row],[Código_U]]&amp;BASE_DATOS[[#This Row],[Pos.]]&amp;BASE_DATOS[[#This Row],[Situación Actual]])</f>
        <v>SR-102RERodando</v>
      </c>
    </row>
    <row r="41" spans="1:51" ht="12.75" customHeight="1" x14ac:dyDescent="0.25">
      <c r="A41" s="216" t="s">
        <v>115</v>
      </c>
      <c r="B41" s="217" t="s">
        <v>116</v>
      </c>
      <c r="C41" s="218" t="s">
        <v>295</v>
      </c>
      <c r="D41" s="221" t="s">
        <v>108</v>
      </c>
      <c r="E41" s="248"/>
      <c r="F41" s="241" t="s">
        <v>273</v>
      </c>
      <c r="G41" s="241" t="s">
        <v>271</v>
      </c>
      <c r="H41" s="242" t="str">
        <f>IF(BASE_DATOS[[#This Row],[N-R]]="N",BASE_DATOS[[#This Row],[Diseño]],"Reencauche")</f>
        <v>Reencauche</v>
      </c>
      <c r="I41" s="241" t="s">
        <v>282</v>
      </c>
      <c r="J41" s="243" t="s">
        <v>84</v>
      </c>
      <c r="K41" s="244">
        <v>22</v>
      </c>
      <c r="L41" s="241">
        <v>110</v>
      </c>
      <c r="M41" s="245"/>
      <c r="N41" s="247"/>
      <c r="O41" s="270"/>
      <c r="P41" s="271"/>
      <c r="Q41" s="272"/>
      <c r="R41" s="304" t="s">
        <v>108</v>
      </c>
      <c r="S41" s="299">
        <v>45385</v>
      </c>
      <c r="T41" s="300"/>
      <c r="U41" s="301"/>
      <c r="V41" s="216">
        <v>13</v>
      </c>
      <c r="W41" s="323"/>
      <c r="X41" s="324">
        <v>13</v>
      </c>
      <c r="Y41" s="162">
        <f t="shared" si="0"/>
        <v>13</v>
      </c>
      <c r="Z41" s="163" t="s">
        <v>85</v>
      </c>
      <c r="AA41" s="336">
        <f>IFERROR(BASE_DATOS[[#This Row],[NSK Original]]-BASE_DATOS[[#This Row],[NSK]]," ")</f>
        <v>9</v>
      </c>
      <c r="AB41" s="337">
        <f>'NSK-TRACTO'!$A$2</f>
        <v>6</v>
      </c>
      <c r="AC41" s="337">
        <f>IF(BASE_DATOS[[#This Row],[NSK]]&gt;=BASE_DATOS[[#This Row],[NSK Reen]],BASE_DATOS[[#This Row],[NSK Reen]],BASE_DATOS[[#This Row],[NSK]])</f>
        <v>6</v>
      </c>
      <c r="AD41" s="338">
        <f>IFERROR(100%-(BASE_DATOS[[#This Row],[NSK Reen]]/BASE_DATOS[[#This Row],[NSK Original]]),"")</f>
        <v>0.72727272727272729</v>
      </c>
      <c r="AE41" s="338">
        <f>IFERROR(100%-BASE_DATOS[[#This Row],[NSK]]/BASE_DATOS[[#This Row],[NSK Original]],"")</f>
        <v>0.40909090909090906</v>
      </c>
      <c r="AF41" s="338">
        <f>IFERROR(BASE_DATOS[[#This Row],[% Max Des.]]-BASE_DATOS[[#This Row],[% Des]],"")</f>
        <v>0.31818181818181823</v>
      </c>
      <c r="AG41" s="287"/>
      <c r="AH41" s="273"/>
      <c r="AI41" s="355" t="str">
        <f>IF(OR(BASE_DATOS[[#This Row],[Hr.]]="",BASE_DATOS[[#This Row],[Hr. Actual]]=""),"",BASE_DATOS[[#This Row],[Hr. Actual]]-BASE_DATOS[[#This Row],[Hr.]]+BASE_DATOS[[#This Row],[Horas Acumuladas]])</f>
        <v/>
      </c>
      <c r="AJ41" s="356" t="str">
        <f>IFERROR(BASE_DATOS[[#This Row],[Precio US$]]/BASE_DATOS[[#This Row],[Horas Rodadas]],"")</f>
        <v/>
      </c>
      <c r="AK41" s="357" t="str">
        <f>IFERROR(BASE_DATOS[[#This Row],[Horas Rodadas]]/(BASE_DATOS[[#This Row],[NSK Original]]-BASE_DATOS[[#This Row],[NSK]]),"")</f>
        <v/>
      </c>
      <c r="AL41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1" s="358" t="str">
        <f>IFERROR(BASE_DATOS[[#This Row],[Precio US$]]/BASE_DATOS[[#This Row],[Horas Proy.]],"")</f>
        <v/>
      </c>
      <c r="AN41" s="165" t="str">
        <f>IF(OR(BASE_DATOS[[#This Row],[Km.]]="",BASE_DATOS[[#This Row],[Km. Actual]]=""),"",BASE_DATOS[[#This Row],[Km. Actual]]-BASE_DATOS[[#This Row],[Km.]]+BASE_DATOS[[#This Row],[Kilómetros Acumulados]])</f>
        <v/>
      </c>
      <c r="AO41" s="166" t="str">
        <f>IFERROR(BASE_DATOS[[#This Row],[Precio US$]]/BASE_DATOS[[#This Row],[Kilómetros Rodados]],"")</f>
        <v/>
      </c>
      <c r="AP41" s="165" t="str">
        <f>IFERROR(BASE_DATOS[[#This Row],[Kilómetros Rodados]]/(BASE_DATOS[[#This Row],[NSK Original]]-BASE_DATOS[[#This Row],[NSK]]),"")</f>
        <v/>
      </c>
      <c r="AQ41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1" s="166" t="str">
        <f>IFERROR(BASE_DATOS[[#This Row],[Precio US$]]/BASE_DATOS[[#This Row],[Kilómetros Proy.]],"")</f>
        <v/>
      </c>
      <c r="AS41" s="167" t="s">
        <v>62</v>
      </c>
      <c r="AT41" s="167" t="s">
        <v>515</v>
      </c>
      <c r="AU41" s="167"/>
      <c r="AV41" s="167"/>
      <c r="AW41" s="169" t="s">
        <v>429</v>
      </c>
      <c r="AX41" s="168"/>
      <c r="AY41" s="168" t="str">
        <f>CONCATENATE(BASE_DATOS[[#This Row],[Código_U]]&amp;BASE_DATOS[[#This Row],[Pos.]]&amp;BASE_DATOS[[#This Row],[Situación Actual]])</f>
        <v>SR-102RTRodando</v>
      </c>
    </row>
    <row r="42" spans="1:51" ht="12.75" customHeight="1" x14ac:dyDescent="0.25">
      <c r="A42" s="212" t="s">
        <v>117</v>
      </c>
      <c r="B42" s="213" t="s">
        <v>118</v>
      </c>
      <c r="C42" s="214" t="s">
        <v>296</v>
      </c>
      <c r="D42" s="215" t="s">
        <v>86</v>
      </c>
      <c r="E42" s="232"/>
      <c r="F42" s="233" t="s">
        <v>71</v>
      </c>
      <c r="G42" s="233" t="s">
        <v>271</v>
      </c>
      <c r="H42" s="234" t="str">
        <f>IF(BASE_DATOS[[#This Row],[N-R]]="N",BASE_DATOS[[#This Row],[Diseño]],"Reencauche")</f>
        <v>KMAX S</v>
      </c>
      <c r="I42" s="233" t="s">
        <v>287</v>
      </c>
      <c r="J42" s="235" t="s">
        <v>72</v>
      </c>
      <c r="K42" s="236">
        <v>15.8</v>
      </c>
      <c r="L42" s="233">
        <v>100</v>
      </c>
      <c r="M42" s="237"/>
      <c r="N42" s="239"/>
      <c r="O42" s="267"/>
      <c r="P42" s="268"/>
      <c r="Q42" s="269"/>
      <c r="R42" s="294" t="s">
        <v>98</v>
      </c>
      <c r="S42" s="303">
        <v>45385</v>
      </c>
      <c r="T42" s="296"/>
      <c r="U42" s="297"/>
      <c r="V42" s="212">
        <v>10</v>
      </c>
      <c r="W42" s="321">
        <v>13</v>
      </c>
      <c r="X42" s="322">
        <v>13</v>
      </c>
      <c r="Y42" s="186">
        <f t="shared" ref="Y42:Y67" si="1">IFERROR(MIN(V42:X42),"")</f>
        <v>10</v>
      </c>
      <c r="Z42" s="187" t="s">
        <v>85</v>
      </c>
      <c r="AA42" s="332">
        <f>IFERROR(BASE_DATOS[[#This Row],[NSK Original]]-BASE_DATOS[[#This Row],[NSK]]," ")</f>
        <v>5.8000000000000007</v>
      </c>
      <c r="AB42" s="333">
        <f>'NSK-TRACTO'!$A$2</f>
        <v>6</v>
      </c>
      <c r="AC42" s="333">
        <f>IF(BASE_DATOS[[#This Row],[NSK]]&gt;=BASE_DATOS[[#This Row],[NSK Reen]],BASE_DATOS[[#This Row],[NSK Reen]],BASE_DATOS[[#This Row],[NSK]])</f>
        <v>6</v>
      </c>
      <c r="AD42" s="334">
        <f>IFERROR(100%-(BASE_DATOS[[#This Row],[NSK Reen]]/BASE_DATOS[[#This Row],[NSK Original]]),"")</f>
        <v>0.620253164556962</v>
      </c>
      <c r="AE42" s="334">
        <f>IFERROR(100%-BASE_DATOS[[#This Row],[NSK]]/BASE_DATOS[[#This Row],[NSK Original]],"")</f>
        <v>0.36708860759493678</v>
      </c>
      <c r="AF42" s="334">
        <f>IFERROR(BASE_DATOS[[#This Row],[% Max Des.]]-BASE_DATOS[[#This Row],[% Des]],"")</f>
        <v>0.25316455696202522</v>
      </c>
      <c r="AG42" s="284"/>
      <c r="AH42" s="335"/>
      <c r="AI42" s="351" t="str">
        <f>IF(OR(BASE_DATOS[[#This Row],[Hr.]]="",BASE_DATOS[[#This Row],[Hr. Actual]]=""),"",BASE_DATOS[[#This Row],[Hr. Actual]]-BASE_DATOS[[#This Row],[Hr.]]+BASE_DATOS[[#This Row],[Horas Acumuladas]])</f>
        <v/>
      </c>
      <c r="AJ42" s="352" t="str">
        <f>IFERROR(BASE_DATOS[[#This Row],[Precio US$]]/BASE_DATOS[[#This Row],[Horas Rodadas]],"")</f>
        <v/>
      </c>
      <c r="AK42" s="353" t="str">
        <f>IFERROR(BASE_DATOS[[#This Row],[Horas Rodadas]]/(BASE_DATOS[[#This Row],[NSK Original]]-BASE_DATOS[[#This Row],[NSK]]),"")</f>
        <v/>
      </c>
      <c r="AL42" s="35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2" s="354" t="str">
        <f>IFERROR(BASE_DATOS[[#This Row],[Precio US$]]/BASE_DATOS[[#This Row],[Horas Proy.]],"")</f>
        <v/>
      </c>
      <c r="AN42" s="189" t="str">
        <f>IF(OR(BASE_DATOS[[#This Row],[Km.]]="",BASE_DATOS[[#This Row],[Km. Actual]]=""),"",BASE_DATOS[[#This Row],[Km. Actual]]-BASE_DATOS[[#This Row],[Km.]]+BASE_DATOS[[#This Row],[Kilómetros Acumulados]])</f>
        <v/>
      </c>
      <c r="AO42" s="190" t="str">
        <f>IFERROR(BASE_DATOS[[#This Row],[Precio US$]]/BASE_DATOS[[#This Row],[Kilómetros Rodados]],"")</f>
        <v/>
      </c>
      <c r="AP42" s="189" t="str">
        <f>IFERROR(BASE_DATOS[[#This Row],[Kilómetros Rodados]]/(BASE_DATOS[[#This Row],[NSK Original]]-BASE_DATOS[[#This Row],[NSK]]),"")</f>
        <v/>
      </c>
      <c r="AQ42" s="18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2" s="190" t="str">
        <f>IFERROR(BASE_DATOS[[#This Row],[Precio US$]]/BASE_DATOS[[#This Row],[Kilómetros Proy.]],"")</f>
        <v/>
      </c>
      <c r="AS42" s="191" t="s">
        <v>62</v>
      </c>
      <c r="AT42" s="191"/>
      <c r="AU42" s="191" t="s">
        <v>515</v>
      </c>
      <c r="AV42" s="191"/>
      <c r="AW42" s="193"/>
      <c r="AX42" s="192" t="s">
        <v>371</v>
      </c>
      <c r="AY42" s="192" t="str">
        <f>CONCATENATE(BASE_DATOS[[#This Row],[Código_U]]&amp;BASE_DATOS[[#This Row],[Pos.]]&amp;BASE_DATOS[[#This Row],[Situación Actual]])</f>
        <v>TC-1081Rodando</v>
      </c>
    </row>
    <row r="43" spans="1:51" ht="12.75" customHeight="1" x14ac:dyDescent="0.25">
      <c r="A43" s="216" t="s">
        <v>117</v>
      </c>
      <c r="B43" s="217" t="s">
        <v>118</v>
      </c>
      <c r="C43" s="218" t="s">
        <v>296</v>
      </c>
      <c r="D43" s="219" t="s">
        <v>86</v>
      </c>
      <c r="E43" s="240"/>
      <c r="F43" s="241" t="s">
        <v>71</v>
      </c>
      <c r="G43" s="241" t="s">
        <v>271</v>
      </c>
      <c r="H43" s="242" t="str">
        <f>IF(BASE_DATOS[[#This Row],[N-R]]="N",BASE_DATOS[[#This Row],[Diseño]],"Reencauche")</f>
        <v>KMAX S</v>
      </c>
      <c r="I43" s="241" t="s">
        <v>287</v>
      </c>
      <c r="J43" s="243" t="s">
        <v>72</v>
      </c>
      <c r="K43" s="244">
        <v>15.8</v>
      </c>
      <c r="L43" s="241">
        <v>100</v>
      </c>
      <c r="M43" s="245"/>
      <c r="N43" s="247"/>
      <c r="O43" s="270"/>
      <c r="P43" s="271"/>
      <c r="Q43" s="272"/>
      <c r="R43" s="298" t="s">
        <v>99</v>
      </c>
      <c r="S43" s="299">
        <v>45385</v>
      </c>
      <c r="T43" s="300"/>
      <c r="U43" s="301"/>
      <c r="V43" s="216">
        <v>12</v>
      </c>
      <c r="W43" s="323">
        <v>13</v>
      </c>
      <c r="X43" s="324">
        <v>12</v>
      </c>
      <c r="Y43" s="162">
        <f t="shared" si="1"/>
        <v>12</v>
      </c>
      <c r="Z43" s="163" t="s">
        <v>85</v>
      </c>
      <c r="AA43" s="336">
        <f>IFERROR(BASE_DATOS[[#This Row],[NSK Original]]-BASE_DATOS[[#This Row],[NSK]]," ")</f>
        <v>3.8000000000000007</v>
      </c>
      <c r="AB43" s="337">
        <f>'NSK-TRACTO'!$A$2</f>
        <v>6</v>
      </c>
      <c r="AC43" s="337">
        <f>IF(BASE_DATOS[[#This Row],[NSK]]&gt;=BASE_DATOS[[#This Row],[NSK Reen]],BASE_DATOS[[#This Row],[NSK Reen]],BASE_DATOS[[#This Row],[NSK]])</f>
        <v>6</v>
      </c>
      <c r="AD43" s="338">
        <f>IFERROR(100%-(BASE_DATOS[[#This Row],[NSK Reen]]/BASE_DATOS[[#This Row],[NSK Original]]),"")</f>
        <v>0.620253164556962</v>
      </c>
      <c r="AE43" s="338">
        <f>IFERROR(100%-BASE_DATOS[[#This Row],[NSK]]/BASE_DATOS[[#This Row],[NSK Original]],"")</f>
        <v>0.24050632911392411</v>
      </c>
      <c r="AF43" s="338">
        <f>IFERROR(BASE_DATOS[[#This Row],[% Max Des.]]-BASE_DATOS[[#This Row],[% Des]],"")</f>
        <v>0.37974683544303789</v>
      </c>
      <c r="AG43" s="287"/>
      <c r="AH43" s="273"/>
      <c r="AI43" s="355" t="str">
        <f>IF(OR(BASE_DATOS[[#This Row],[Hr.]]="",BASE_DATOS[[#This Row],[Hr. Actual]]=""),"",BASE_DATOS[[#This Row],[Hr. Actual]]-BASE_DATOS[[#This Row],[Hr.]]+BASE_DATOS[[#This Row],[Horas Acumuladas]])</f>
        <v/>
      </c>
      <c r="AJ43" s="356" t="str">
        <f>IFERROR(BASE_DATOS[[#This Row],[Precio US$]]/BASE_DATOS[[#This Row],[Horas Rodadas]],"")</f>
        <v/>
      </c>
      <c r="AK43" s="357" t="str">
        <f>IFERROR(BASE_DATOS[[#This Row],[Horas Rodadas]]/(BASE_DATOS[[#This Row],[NSK Original]]-BASE_DATOS[[#This Row],[NSK]]),"")</f>
        <v/>
      </c>
      <c r="AL43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3" s="358" t="str">
        <f>IFERROR(BASE_DATOS[[#This Row],[Precio US$]]/BASE_DATOS[[#This Row],[Horas Proy.]],"")</f>
        <v/>
      </c>
      <c r="AN43" s="165" t="str">
        <f>IF(OR(BASE_DATOS[[#This Row],[Km.]]="",BASE_DATOS[[#This Row],[Km. Actual]]=""),"",BASE_DATOS[[#This Row],[Km. Actual]]-BASE_DATOS[[#This Row],[Km.]]+BASE_DATOS[[#This Row],[Kilómetros Acumulados]])</f>
        <v/>
      </c>
      <c r="AO43" s="166" t="str">
        <f>IFERROR(BASE_DATOS[[#This Row],[Precio US$]]/BASE_DATOS[[#This Row],[Kilómetros Rodados]],"")</f>
        <v/>
      </c>
      <c r="AP43" s="165" t="str">
        <f>IFERROR(BASE_DATOS[[#This Row],[Kilómetros Rodados]]/(BASE_DATOS[[#This Row],[NSK Original]]-BASE_DATOS[[#This Row],[NSK]]),"")</f>
        <v/>
      </c>
      <c r="AQ43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3" s="166" t="str">
        <f>IFERROR(BASE_DATOS[[#This Row],[Precio US$]]/BASE_DATOS[[#This Row],[Kilómetros Proy.]],"")</f>
        <v/>
      </c>
      <c r="AS43" s="167" t="s">
        <v>62</v>
      </c>
      <c r="AT43" s="167"/>
      <c r="AU43" s="167" t="s">
        <v>515</v>
      </c>
      <c r="AV43" s="167"/>
      <c r="AW43" s="168"/>
      <c r="AX43" s="169" t="s">
        <v>371</v>
      </c>
      <c r="AY43" s="169" t="str">
        <f>CONCATENATE(BASE_DATOS[[#This Row],[Código_U]]&amp;BASE_DATOS[[#This Row],[Pos.]]&amp;BASE_DATOS[[#This Row],[Situación Actual]])</f>
        <v>TC-1082Rodando</v>
      </c>
    </row>
    <row r="44" spans="1:51" ht="12.75" customHeight="1" x14ac:dyDescent="0.25">
      <c r="A44" s="216" t="s">
        <v>117</v>
      </c>
      <c r="B44" s="217" t="s">
        <v>118</v>
      </c>
      <c r="C44" s="218" t="s">
        <v>296</v>
      </c>
      <c r="D44" s="219" t="s">
        <v>61</v>
      </c>
      <c r="E44" s="240"/>
      <c r="F44" s="241" t="s">
        <v>273</v>
      </c>
      <c r="G44" s="241" t="s">
        <v>271</v>
      </c>
      <c r="H44" s="242" t="str">
        <f>IF(BASE_DATOS[[#This Row],[N-R]]="N",BASE_DATOS[[#This Row],[Diseño]],"Reencauche")</f>
        <v>Reencauche</v>
      </c>
      <c r="I44" s="241" t="s">
        <v>282</v>
      </c>
      <c r="J44" s="243" t="s">
        <v>83</v>
      </c>
      <c r="K44" s="244">
        <v>22</v>
      </c>
      <c r="L44" s="241">
        <v>110</v>
      </c>
      <c r="M44" s="245"/>
      <c r="N44" s="247"/>
      <c r="O44" s="270"/>
      <c r="P44" s="271"/>
      <c r="Q44" s="272"/>
      <c r="R44" s="298" t="s">
        <v>100</v>
      </c>
      <c r="S44" s="299">
        <v>45385</v>
      </c>
      <c r="T44" s="300"/>
      <c r="U44" s="301"/>
      <c r="V44" s="216">
        <v>10</v>
      </c>
      <c r="W44" s="323"/>
      <c r="X44" s="324">
        <v>7</v>
      </c>
      <c r="Y44" s="162">
        <f t="shared" si="1"/>
        <v>7</v>
      </c>
      <c r="Z44" s="163" t="s">
        <v>85</v>
      </c>
      <c r="AA44" s="336">
        <f>IFERROR(BASE_DATOS[[#This Row],[NSK Original]]-BASE_DATOS[[#This Row],[NSK]]," ")</f>
        <v>15</v>
      </c>
      <c r="AB44" s="337">
        <f>'NSK-TRACTO'!$A$2</f>
        <v>6</v>
      </c>
      <c r="AC44" s="337">
        <f>IF(BASE_DATOS[[#This Row],[NSK]]&gt;=BASE_DATOS[[#This Row],[NSK Reen]],BASE_DATOS[[#This Row],[NSK Reen]],BASE_DATOS[[#This Row],[NSK]])</f>
        <v>6</v>
      </c>
      <c r="AD44" s="338">
        <f>IFERROR(100%-(BASE_DATOS[[#This Row],[NSK Reen]]/BASE_DATOS[[#This Row],[NSK Original]]),"")</f>
        <v>0.72727272727272729</v>
      </c>
      <c r="AE44" s="338">
        <f>IFERROR(100%-BASE_DATOS[[#This Row],[NSK]]/BASE_DATOS[[#This Row],[NSK Original]],"")</f>
        <v>0.68181818181818188</v>
      </c>
      <c r="AF44" s="338">
        <f>IFERROR(BASE_DATOS[[#This Row],[% Max Des.]]-BASE_DATOS[[#This Row],[% Des]],"")</f>
        <v>4.5454545454545414E-2</v>
      </c>
      <c r="AG44" s="287"/>
      <c r="AH44" s="273"/>
      <c r="AI44" s="355" t="str">
        <f>IF(OR(BASE_DATOS[[#This Row],[Hr.]]="",BASE_DATOS[[#This Row],[Hr. Actual]]=""),"",BASE_DATOS[[#This Row],[Hr. Actual]]-BASE_DATOS[[#This Row],[Hr.]]+BASE_DATOS[[#This Row],[Horas Acumuladas]])</f>
        <v/>
      </c>
      <c r="AJ44" s="356" t="str">
        <f>IFERROR(BASE_DATOS[[#This Row],[Precio US$]]/BASE_DATOS[[#This Row],[Horas Rodadas]],"")</f>
        <v/>
      </c>
      <c r="AK44" s="357" t="str">
        <f>IFERROR(BASE_DATOS[[#This Row],[Horas Rodadas]]/(BASE_DATOS[[#This Row],[NSK Original]]-BASE_DATOS[[#This Row],[NSK]]),"")</f>
        <v/>
      </c>
      <c r="AL44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4" s="358" t="str">
        <f>IFERROR(BASE_DATOS[[#This Row],[Precio US$]]/BASE_DATOS[[#This Row],[Horas Proy.]],"")</f>
        <v/>
      </c>
      <c r="AN44" s="165" t="str">
        <f>IF(OR(BASE_DATOS[[#This Row],[Km.]]="",BASE_DATOS[[#This Row],[Km. Actual]]=""),"",BASE_DATOS[[#This Row],[Km. Actual]]-BASE_DATOS[[#This Row],[Km.]]+BASE_DATOS[[#This Row],[Kilómetros Acumulados]])</f>
        <v/>
      </c>
      <c r="AO44" s="166" t="str">
        <f>IFERROR(BASE_DATOS[[#This Row],[Precio US$]]/BASE_DATOS[[#This Row],[Kilómetros Rodados]],"")</f>
        <v/>
      </c>
      <c r="AP44" s="165" t="str">
        <f>IFERROR(BASE_DATOS[[#This Row],[Kilómetros Rodados]]/(BASE_DATOS[[#This Row],[NSK Original]]-BASE_DATOS[[#This Row],[NSK]]),"")</f>
        <v/>
      </c>
      <c r="AQ44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4" s="166" t="str">
        <f>IFERROR(BASE_DATOS[[#This Row],[Precio US$]]/BASE_DATOS[[#This Row],[Kilómetros Proy.]],"")</f>
        <v/>
      </c>
      <c r="AS44" s="167" t="s">
        <v>62</v>
      </c>
      <c r="AT44" s="167"/>
      <c r="AU44" s="167"/>
      <c r="AV44" s="167"/>
      <c r="AW44" s="168"/>
      <c r="AX44" s="168"/>
      <c r="AY44" s="168" t="str">
        <f>CONCATENATE(BASE_DATOS[[#This Row],[Código_U]]&amp;BASE_DATOS[[#This Row],[Pos.]]&amp;BASE_DATOS[[#This Row],[Situación Actual]])</f>
        <v>TC-1083Rodando</v>
      </c>
    </row>
    <row r="45" spans="1:51" ht="12.75" customHeight="1" x14ac:dyDescent="0.25">
      <c r="A45" s="216" t="s">
        <v>117</v>
      </c>
      <c r="B45" s="217" t="s">
        <v>118</v>
      </c>
      <c r="C45" s="218" t="s">
        <v>296</v>
      </c>
      <c r="D45" s="219" t="s">
        <v>61</v>
      </c>
      <c r="E45" s="240"/>
      <c r="F45" s="241" t="s">
        <v>273</v>
      </c>
      <c r="G45" s="241" t="s">
        <v>271</v>
      </c>
      <c r="H45" s="242" t="str">
        <f>IF(BASE_DATOS[[#This Row],[N-R]]="N",BASE_DATOS[[#This Row],[Diseño]],"Reencauche")</f>
        <v>Reencauche</v>
      </c>
      <c r="I45" s="241" t="s">
        <v>282</v>
      </c>
      <c r="J45" s="243" t="s">
        <v>82</v>
      </c>
      <c r="K45" s="244">
        <v>22</v>
      </c>
      <c r="L45" s="241">
        <v>110</v>
      </c>
      <c r="M45" s="245"/>
      <c r="N45" s="247"/>
      <c r="O45" s="270"/>
      <c r="P45" s="271"/>
      <c r="Q45" s="272"/>
      <c r="R45" s="298" t="s">
        <v>101</v>
      </c>
      <c r="S45" s="299">
        <v>45385</v>
      </c>
      <c r="T45" s="300"/>
      <c r="U45" s="301"/>
      <c r="V45" s="216">
        <v>7</v>
      </c>
      <c r="W45" s="323"/>
      <c r="X45" s="324">
        <v>8</v>
      </c>
      <c r="Y45" s="162">
        <f t="shared" si="1"/>
        <v>7</v>
      </c>
      <c r="Z45" s="163" t="s">
        <v>85</v>
      </c>
      <c r="AA45" s="336">
        <f>IFERROR(BASE_DATOS[[#This Row],[NSK Original]]-BASE_DATOS[[#This Row],[NSK]]," ")</f>
        <v>15</v>
      </c>
      <c r="AB45" s="337">
        <f>'NSK-TRACTO'!$A$2</f>
        <v>6</v>
      </c>
      <c r="AC45" s="337">
        <f>IF(BASE_DATOS[[#This Row],[NSK]]&gt;=BASE_DATOS[[#This Row],[NSK Reen]],BASE_DATOS[[#This Row],[NSK Reen]],BASE_DATOS[[#This Row],[NSK]])</f>
        <v>6</v>
      </c>
      <c r="AD45" s="338">
        <f>IFERROR(100%-(BASE_DATOS[[#This Row],[NSK Reen]]/BASE_DATOS[[#This Row],[NSK Original]]),"")</f>
        <v>0.72727272727272729</v>
      </c>
      <c r="AE45" s="338">
        <f>IFERROR(100%-BASE_DATOS[[#This Row],[NSK]]/BASE_DATOS[[#This Row],[NSK Original]],"")</f>
        <v>0.68181818181818188</v>
      </c>
      <c r="AF45" s="338">
        <f>IFERROR(BASE_DATOS[[#This Row],[% Max Des.]]-BASE_DATOS[[#This Row],[% Des]],"")</f>
        <v>4.5454545454545414E-2</v>
      </c>
      <c r="AG45" s="287"/>
      <c r="AH45" s="273"/>
      <c r="AI45" s="355" t="str">
        <f>IF(OR(BASE_DATOS[[#This Row],[Hr.]]="",BASE_DATOS[[#This Row],[Hr. Actual]]=""),"",BASE_DATOS[[#This Row],[Hr. Actual]]-BASE_DATOS[[#This Row],[Hr.]]+BASE_DATOS[[#This Row],[Horas Acumuladas]])</f>
        <v/>
      </c>
      <c r="AJ45" s="356" t="str">
        <f>IFERROR(BASE_DATOS[[#This Row],[Precio US$]]/BASE_DATOS[[#This Row],[Horas Rodadas]],"")</f>
        <v/>
      </c>
      <c r="AK45" s="357" t="str">
        <f>IFERROR(BASE_DATOS[[#This Row],[Horas Rodadas]]/(BASE_DATOS[[#This Row],[NSK Original]]-BASE_DATOS[[#This Row],[NSK]]),"")</f>
        <v/>
      </c>
      <c r="AL45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5" s="358" t="str">
        <f>IFERROR(BASE_DATOS[[#This Row],[Precio US$]]/BASE_DATOS[[#This Row],[Horas Proy.]],"")</f>
        <v/>
      </c>
      <c r="AN45" s="165" t="str">
        <f>IF(OR(BASE_DATOS[[#This Row],[Km.]]="",BASE_DATOS[[#This Row],[Km. Actual]]=""),"",BASE_DATOS[[#This Row],[Km. Actual]]-BASE_DATOS[[#This Row],[Km.]]+BASE_DATOS[[#This Row],[Kilómetros Acumulados]])</f>
        <v/>
      </c>
      <c r="AO45" s="166" t="str">
        <f>IFERROR(BASE_DATOS[[#This Row],[Precio US$]]/BASE_DATOS[[#This Row],[Kilómetros Rodados]],"")</f>
        <v/>
      </c>
      <c r="AP45" s="165" t="str">
        <f>IFERROR(BASE_DATOS[[#This Row],[Kilómetros Rodados]]/(BASE_DATOS[[#This Row],[NSK Original]]-BASE_DATOS[[#This Row],[NSK]]),"")</f>
        <v/>
      </c>
      <c r="AQ45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5" s="166" t="str">
        <f>IFERROR(BASE_DATOS[[#This Row],[Precio US$]]/BASE_DATOS[[#This Row],[Kilómetros Proy.]],"")</f>
        <v/>
      </c>
      <c r="AS45" s="167" t="s">
        <v>62</v>
      </c>
      <c r="AT45" s="167"/>
      <c r="AU45" s="167"/>
      <c r="AV45" s="167"/>
      <c r="AW45" s="168"/>
      <c r="AX45" s="168"/>
      <c r="AY45" s="168" t="str">
        <f>CONCATENATE(BASE_DATOS[[#This Row],[Código_U]]&amp;BASE_DATOS[[#This Row],[Pos.]]&amp;BASE_DATOS[[#This Row],[Situación Actual]])</f>
        <v>TC-1084Rodando</v>
      </c>
    </row>
    <row r="46" spans="1:51" ht="12.75" customHeight="1" x14ac:dyDescent="0.25">
      <c r="A46" s="216" t="s">
        <v>117</v>
      </c>
      <c r="B46" s="217" t="s">
        <v>118</v>
      </c>
      <c r="C46" s="218" t="s">
        <v>296</v>
      </c>
      <c r="D46" s="219" t="s">
        <v>61</v>
      </c>
      <c r="E46" s="248"/>
      <c r="F46" s="241" t="s">
        <v>71</v>
      </c>
      <c r="G46" s="241" t="s">
        <v>271</v>
      </c>
      <c r="H46" s="242" t="str">
        <f>IF(BASE_DATOS[[#This Row],[N-R]]="N",BASE_DATOS[[#This Row],[Diseño]],"Reencauche")</f>
        <v>Reencauche</v>
      </c>
      <c r="I46" s="241" t="s">
        <v>282</v>
      </c>
      <c r="J46" s="243" t="s">
        <v>82</v>
      </c>
      <c r="K46" s="244">
        <v>22</v>
      </c>
      <c r="L46" s="241">
        <v>110</v>
      </c>
      <c r="M46" s="245"/>
      <c r="N46" s="247"/>
      <c r="O46" s="270"/>
      <c r="P46" s="271"/>
      <c r="Q46" s="272"/>
      <c r="R46" s="298" t="s">
        <v>102</v>
      </c>
      <c r="S46" s="299">
        <v>45385</v>
      </c>
      <c r="T46" s="300"/>
      <c r="U46" s="301"/>
      <c r="V46" s="216">
        <v>8</v>
      </c>
      <c r="W46" s="323"/>
      <c r="X46" s="324">
        <v>10</v>
      </c>
      <c r="Y46" s="162">
        <f t="shared" si="1"/>
        <v>8</v>
      </c>
      <c r="Z46" s="163" t="s">
        <v>85</v>
      </c>
      <c r="AA46" s="336">
        <f>IFERROR(BASE_DATOS[[#This Row],[NSK Original]]-BASE_DATOS[[#This Row],[NSK]]," ")</f>
        <v>14</v>
      </c>
      <c r="AB46" s="337">
        <f>'NSK-TRACTO'!$A$2</f>
        <v>6</v>
      </c>
      <c r="AC46" s="337">
        <f>IF(BASE_DATOS[[#This Row],[NSK]]&gt;=BASE_DATOS[[#This Row],[NSK Reen]],BASE_DATOS[[#This Row],[NSK Reen]],BASE_DATOS[[#This Row],[NSK]])</f>
        <v>6</v>
      </c>
      <c r="AD46" s="338">
        <f>IFERROR(100%-(BASE_DATOS[[#This Row],[NSK Reen]]/BASE_DATOS[[#This Row],[NSK Original]]),"")</f>
        <v>0.72727272727272729</v>
      </c>
      <c r="AE46" s="338">
        <f>IFERROR(100%-BASE_DATOS[[#This Row],[NSK]]/BASE_DATOS[[#This Row],[NSK Original]],"")</f>
        <v>0.63636363636363635</v>
      </c>
      <c r="AF46" s="338">
        <f>IFERROR(BASE_DATOS[[#This Row],[% Max Des.]]-BASE_DATOS[[#This Row],[% Des]],"")</f>
        <v>9.0909090909090939E-2</v>
      </c>
      <c r="AG46" s="287"/>
      <c r="AH46" s="273"/>
      <c r="AI46" s="355" t="str">
        <f>IF(OR(BASE_DATOS[[#This Row],[Hr.]]="",BASE_DATOS[[#This Row],[Hr. Actual]]=""),"",BASE_DATOS[[#This Row],[Hr. Actual]]-BASE_DATOS[[#This Row],[Hr.]]+BASE_DATOS[[#This Row],[Horas Acumuladas]])</f>
        <v/>
      </c>
      <c r="AJ46" s="356" t="str">
        <f>IFERROR(BASE_DATOS[[#This Row],[Precio US$]]/BASE_DATOS[[#This Row],[Horas Rodadas]],"")</f>
        <v/>
      </c>
      <c r="AK46" s="357" t="str">
        <f>IFERROR(BASE_DATOS[[#This Row],[Horas Rodadas]]/(BASE_DATOS[[#This Row],[NSK Original]]-BASE_DATOS[[#This Row],[NSK]]),"")</f>
        <v/>
      </c>
      <c r="AL46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6" s="358" t="str">
        <f>IFERROR(BASE_DATOS[[#This Row],[Precio US$]]/BASE_DATOS[[#This Row],[Horas Proy.]],"")</f>
        <v/>
      </c>
      <c r="AN46" s="165" t="str">
        <f>IF(OR(BASE_DATOS[[#This Row],[Km.]]="",BASE_DATOS[[#This Row],[Km. Actual]]=""),"",BASE_DATOS[[#This Row],[Km. Actual]]-BASE_DATOS[[#This Row],[Km.]]+BASE_DATOS[[#This Row],[Kilómetros Acumulados]])</f>
        <v/>
      </c>
      <c r="AO46" s="166" t="str">
        <f>IFERROR(BASE_DATOS[[#This Row],[Precio US$]]/BASE_DATOS[[#This Row],[Kilómetros Rodados]],"")</f>
        <v/>
      </c>
      <c r="AP46" s="165" t="str">
        <f>IFERROR(BASE_DATOS[[#This Row],[Kilómetros Rodados]]/(BASE_DATOS[[#This Row],[NSK Original]]-BASE_DATOS[[#This Row],[NSK]]),"")</f>
        <v/>
      </c>
      <c r="AQ46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6" s="166" t="str">
        <f>IFERROR(BASE_DATOS[[#This Row],[Precio US$]]/BASE_DATOS[[#This Row],[Kilómetros Proy.]],"")</f>
        <v/>
      </c>
      <c r="AS46" s="167" t="s">
        <v>62</v>
      </c>
      <c r="AT46" s="167"/>
      <c r="AU46" s="167"/>
      <c r="AV46" s="167"/>
      <c r="AW46" s="169"/>
      <c r="AX46" s="168"/>
      <c r="AY46" s="168" t="str">
        <f>CONCATENATE(BASE_DATOS[[#This Row],[Código_U]]&amp;BASE_DATOS[[#This Row],[Pos.]]&amp;BASE_DATOS[[#This Row],[Situación Actual]])</f>
        <v>TC-1085Rodando</v>
      </c>
    </row>
    <row r="47" spans="1:51" ht="12.75" customHeight="1" x14ac:dyDescent="0.25">
      <c r="A47" s="216" t="s">
        <v>117</v>
      </c>
      <c r="B47" s="217" t="s">
        <v>118</v>
      </c>
      <c r="C47" s="218" t="s">
        <v>296</v>
      </c>
      <c r="D47" s="219" t="s">
        <v>61</v>
      </c>
      <c r="E47" s="248"/>
      <c r="F47" s="241" t="s">
        <v>71</v>
      </c>
      <c r="G47" s="241" t="s">
        <v>271</v>
      </c>
      <c r="H47" s="242" t="str">
        <f>IF(BASE_DATOS[[#This Row],[N-R]]="N",BASE_DATOS[[#This Row],[Diseño]],"Reencauche")</f>
        <v>Reencauche</v>
      </c>
      <c r="I47" s="241" t="s">
        <v>282</v>
      </c>
      <c r="J47" s="243" t="s">
        <v>82</v>
      </c>
      <c r="K47" s="244">
        <v>22</v>
      </c>
      <c r="L47" s="241">
        <v>110</v>
      </c>
      <c r="M47" s="245"/>
      <c r="N47" s="247"/>
      <c r="O47" s="270"/>
      <c r="P47" s="271"/>
      <c r="Q47" s="272"/>
      <c r="R47" s="298" t="s">
        <v>103</v>
      </c>
      <c r="S47" s="299">
        <v>45385</v>
      </c>
      <c r="T47" s="300"/>
      <c r="U47" s="301"/>
      <c r="V47" s="216">
        <v>10</v>
      </c>
      <c r="W47" s="323"/>
      <c r="X47" s="324">
        <v>10</v>
      </c>
      <c r="Y47" s="162">
        <f t="shared" si="1"/>
        <v>10</v>
      </c>
      <c r="Z47" s="163" t="s">
        <v>85</v>
      </c>
      <c r="AA47" s="336">
        <f>IFERROR(BASE_DATOS[[#This Row],[NSK Original]]-BASE_DATOS[[#This Row],[NSK]]," ")</f>
        <v>12</v>
      </c>
      <c r="AB47" s="337">
        <f>'NSK-TRACTO'!$A$2</f>
        <v>6</v>
      </c>
      <c r="AC47" s="337">
        <f>IF(BASE_DATOS[[#This Row],[NSK]]&gt;=BASE_DATOS[[#This Row],[NSK Reen]],BASE_DATOS[[#This Row],[NSK Reen]],BASE_DATOS[[#This Row],[NSK]])</f>
        <v>6</v>
      </c>
      <c r="AD47" s="338">
        <f>IFERROR(100%-(BASE_DATOS[[#This Row],[NSK Reen]]/BASE_DATOS[[#This Row],[NSK Original]]),"")</f>
        <v>0.72727272727272729</v>
      </c>
      <c r="AE47" s="338">
        <f>IFERROR(100%-BASE_DATOS[[#This Row],[NSK]]/BASE_DATOS[[#This Row],[NSK Original]],"")</f>
        <v>0.54545454545454541</v>
      </c>
      <c r="AF47" s="338">
        <f>IFERROR(BASE_DATOS[[#This Row],[% Max Des.]]-BASE_DATOS[[#This Row],[% Des]],"")</f>
        <v>0.18181818181818188</v>
      </c>
      <c r="AG47" s="287"/>
      <c r="AH47" s="273"/>
      <c r="AI47" s="355" t="str">
        <f>IF(OR(BASE_DATOS[[#This Row],[Hr.]]="",BASE_DATOS[[#This Row],[Hr. Actual]]=""),"",BASE_DATOS[[#This Row],[Hr. Actual]]-BASE_DATOS[[#This Row],[Hr.]]+BASE_DATOS[[#This Row],[Horas Acumuladas]])</f>
        <v/>
      </c>
      <c r="AJ47" s="356" t="str">
        <f>IFERROR(BASE_DATOS[[#This Row],[Precio US$]]/BASE_DATOS[[#This Row],[Horas Rodadas]],"")</f>
        <v/>
      </c>
      <c r="AK47" s="357" t="str">
        <f>IFERROR(BASE_DATOS[[#This Row],[Horas Rodadas]]/(BASE_DATOS[[#This Row],[NSK Original]]-BASE_DATOS[[#This Row],[NSK]]),"")</f>
        <v/>
      </c>
      <c r="AL47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7" s="358" t="str">
        <f>IFERROR(BASE_DATOS[[#This Row],[Precio US$]]/BASE_DATOS[[#This Row],[Horas Proy.]],"")</f>
        <v/>
      </c>
      <c r="AN47" s="165" t="str">
        <f>IF(OR(BASE_DATOS[[#This Row],[Km.]]="",BASE_DATOS[[#This Row],[Km. Actual]]=""),"",BASE_DATOS[[#This Row],[Km. Actual]]-BASE_DATOS[[#This Row],[Km.]]+BASE_DATOS[[#This Row],[Kilómetros Acumulados]])</f>
        <v/>
      </c>
      <c r="AO47" s="166" t="str">
        <f>IFERROR(BASE_DATOS[[#This Row],[Precio US$]]/BASE_DATOS[[#This Row],[Kilómetros Rodados]],"")</f>
        <v/>
      </c>
      <c r="AP47" s="165" t="str">
        <f>IFERROR(BASE_DATOS[[#This Row],[Kilómetros Rodados]]/(BASE_DATOS[[#This Row],[NSK Original]]-BASE_DATOS[[#This Row],[NSK]]),"")</f>
        <v/>
      </c>
      <c r="AQ47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7" s="166" t="str">
        <f>IFERROR(BASE_DATOS[[#This Row],[Precio US$]]/BASE_DATOS[[#This Row],[Kilómetros Proy.]],"")</f>
        <v/>
      </c>
      <c r="AS47" s="167" t="s">
        <v>62</v>
      </c>
      <c r="AT47" s="167"/>
      <c r="AU47" s="167"/>
      <c r="AV47" s="167"/>
      <c r="AW47" s="168"/>
      <c r="AX47" s="168"/>
      <c r="AY47" s="168" t="str">
        <f>CONCATENATE(BASE_DATOS[[#This Row],[Código_U]]&amp;BASE_DATOS[[#This Row],[Pos.]]&amp;BASE_DATOS[[#This Row],[Situación Actual]])</f>
        <v>TC-1086Rodando</v>
      </c>
    </row>
    <row r="48" spans="1:51" ht="12.75" customHeight="1" x14ac:dyDescent="0.25">
      <c r="A48" s="216" t="s">
        <v>117</v>
      </c>
      <c r="B48" s="217" t="s">
        <v>118</v>
      </c>
      <c r="C48" s="218" t="s">
        <v>296</v>
      </c>
      <c r="D48" s="219" t="s">
        <v>61</v>
      </c>
      <c r="E48" s="248"/>
      <c r="F48" s="241" t="s">
        <v>71</v>
      </c>
      <c r="G48" s="241" t="s">
        <v>271</v>
      </c>
      <c r="H48" s="242" t="str">
        <f>IF(BASE_DATOS[[#This Row],[N-R]]="N",BASE_DATOS[[#This Row],[Diseño]],"Reencauche")</f>
        <v>KMAXD</v>
      </c>
      <c r="I48" s="241" t="s">
        <v>294</v>
      </c>
      <c r="J48" s="243" t="s">
        <v>72</v>
      </c>
      <c r="K48" s="244">
        <v>22.2</v>
      </c>
      <c r="L48" s="241">
        <v>110</v>
      </c>
      <c r="M48" s="245"/>
      <c r="N48" s="247"/>
      <c r="O48" s="270"/>
      <c r="P48" s="271"/>
      <c r="Q48" s="272"/>
      <c r="R48" s="298" t="s">
        <v>104</v>
      </c>
      <c r="S48" s="299">
        <v>45385</v>
      </c>
      <c r="T48" s="300"/>
      <c r="U48" s="301"/>
      <c r="V48" s="216">
        <v>20</v>
      </c>
      <c r="W48" s="323"/>
      <c r="X48" s="324">
        <v>20</v>
      </c>
      <c r="Y48" s="162">
        <f t="shared" si="1"/>
        <v>20</v>
      </c>
      <c r="Z48" s="163" t="s">
        <v>85</v>
      </c>
      <c r="AA48" s="336">
        <f>IFERROR(BASE_DATOS[[#This Row],[NSK Original]]-BASE_DATOS[[#This Row],[NSK]]," ")</f>
        <v>2.1999999999999993</v>
      </c>
      <c r="AB48" s="337">
        <f>'NSK-TRACTO'!$A$2</f>
        <v>6</v>
      </c>
      <c r="AC48" s="337">
        <f>IF(BASE_DATOS[[#This Row],[NSK]]&gt;=BASE_DATOS[[#This Row],[NSK Reen]],BASE_DATOS[[#This Row],[NSK Reen]],BASE_DATOS[[#This Row],[NSK]])</f>
        <v>6</v>
      </c>
      <c r="AD48" s="338">
        <f>IFERROR(100%-(BASE_DATOS[[#This Row],[NSK Reen]]/BASE_DATOS[[#This Row],[NSK Original]]),"")</f>
        <v>0.72972972972972971</v>
      </c>
      <c r="AE48" s="338">
        <f>IFERROR(100%-BASE_DATOS[[#This Row],[NSK]]/BASE_DATOS[[#This Row],[NSK Original]],"")</f>
        <v>9.9099099099099086E-2</v>
      </c>
      <c r="AF48" s="338">
        <f>IFERROR(BASE_DATOS[[#This Row],[% Max Des.]]-BASE_DATOS[[#This Row],[% Des]],"")</f>
        <v>0.63063063063063063</v>
      </c>
      <c r="AG48" s="287"/>
      <c r="AH48" s="273"/>
      <c r="AI48" s="355" t="str">
        <f>IF(OR(BASE_DATOS[[#This Row],[Hr.]]="",BASE_DATOS[[#This Row],[Hr. Actual]]=""),"",BASE_DATOS[[#This Row],[Hr. Actual]]-BASE_DATOS[[#This Row],[Hr.]]+BASE_DATOS[[#This Row],[Horas Acumuladas]])</f>
        <v/>
      </c>
      <c r="AJ48" s="356" t="str">
        <f>IFERROR(BASE_DATOS[[#This Row],[Precio US$]]/BASE_DATOS[[#This Row],[Horas Rodadas]],"")</f>
        <v/>
      </c>
      <c r="AK48" s="357" t="str">
        <f>IFERROR(BASE_DATOS[[#This Row],[Horas Rodadas]]/(BASE_DATOS[[#This Row],[NSK Original]]-BASE_DATOS[[#This Row],[NSK]]),"")</f>
        <v/>
      </c>
      <c r="AL48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8" s="358" t="str">
        <f>IFERROR(BASE_DATOS[[#This Row],[Precio US$]]/BASE_DATOS[[#This Row],[Horas Proy.]],"")</f>
        <v/>
      </c>
      <c r="AN48" s="165" t="str">
        <f>IF(OR(BASE_DATOS[[#This Row],[Km.]]="",BASE_DATOS[[#This Row],[Km. Actual]]=""),"",BASE_DATOS[[#This Row],[Km. Actual]]-BASE_DATOS[[#This Row],[Km.]]+BASE_DATOS[[#This Row],[Kilómetros Acumulados]])</f>
        <v/>
      </c>
      <c r="AO48" s="166" t="str">
        <f>IFERROR(BASE_DATOS[[#This Row],[Precio US$]]/BASE_DATOS[[#This Row],[Kilómetros Rodados]],"")</f>
        <v/>
      </c>
      <c r="AP48" s="165" t="str">
        <f>IFERROR(BASE_DATOS[[#This Row],[Kilómetros Rodados]]/(BASE_DATOS[[#This Row],[NSK Original]]-BASE_DATOS[[#This Row],[NSK]]),"")</f>
        <v/>
      </c>
      <c r="AQ48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8" s="166" t="str">
        <f>IFERROR(BASE_DATOS[[#This Row],[Precio US$]]/BASE_DATOS[[#This Row],[Kilómetros Proy.]],"")</f>
        <v/>
      </c>
      <c r="AS48" s="167" t="s">
        <v>62</v>
      </c>
      <c r="AT48" s="167"/>
      <c r="AU48" s="167"/>
      <c r="AV48" s="167"/>
      <c r="AW48" s="168"/>
      <c r="AX48" s="168"/>
      <c r="AY48" s="168" t="str">
        <f>CONCATENATE(BASE_DATOS[[#This Row],[Código_U]]&amp;BASE_DATOS[[#This Row],[Pos.]]&amp;BASE_DATOS[[#This Row],[Situación Actual]])</f>
        <v>TC-1087Rodando</v>
      </c>
    </row>
    <row r="49" spans="1:51" ht="12.75" customHeight="1" x14ac:dyDescent="0.25">
      <c r="A49" s="216" t="s">
        <v>117</v>
      </c>
      <c r="B49" s="217" t="s">
        <v>118</v>
      </c>
      <c r="C49" s="218" t="s">
        <v>296</v>
      </c>
      <c r="D49" s="219" t="s">
        <v>61</v>
      </c>
      <c r="E49" s="248"/>
      <c r="F49" s="241" t="s">
        <v>71</v>
      </c>
      <c r="G49" s="241" t="s">
        <v>271</v>
      </c>
      <c r="H49" s="242" t="str">
        <f>IF(BASE_DATOS[[#This Row],[N-R]]="N",BASE_DATOS[[#This Row],[Diseño]],"Reencauche")</f>
        <v>KMAXD</v>
      </c>
      <c r="I49" s="241" t="s">
        <v>294</v>
      </c>
      <c r="J49" s="243" t="s">
        <v>72</v>
      </c>
      <c r="K49" s="244">
        <v>22.2</v>
      </c>
      <c r="L49" s="241">
        <v>110</v>
      </c>
      <c r="M49" s="245"/>
      <c r="N49" s="247"/>
      <c r="O49" s="270"/>
      <c r="P49" s="271"/>
      <c r="Q49" s="272"/>
      <c r="R49" s="298" t="s">
        <v>105</v>
      </c>
      <c r="S49" s="299">
        <v>45385</v>
      </c>
      <c r="T49" s="300"/>
      <c r="U49" s="301"/>
      <c r="V49" s="216">
        <v>20</v>
      </c>
      <c r="W49" s="323"/>
      <c r="X49" s="324">
        <v>20</v>
      </c>
      <c r="Y49" s="162">
        <f t="shared" si="1"/>
        <v>20</v>
      </c>
      <c r="Z49" s="163" t="s">
        <v>85</v>
      </c>
      <c r="AA49" s="336">
        <f>IFERROR(BASE_DATOS[[#This Row],[NSK Original]]-BASE_DATOS[[#This Row],[NSK]]," ")</f>
        <v>2.1999999999999993</v>
      </c>
      <c r="AB49" s="337">
        <f>'NSK-TRACTO'!$A$2</f>
        <v>6</v>
      </c>
      <c r="AC49" s="337">
        <f>IF(BASE_DATOS[[#This Row],[NSK]]&gt;=BASE_DATOS[[#This Row],[NSK Reen]],BASE_DATOS[[#This Row],[NSK Reen]],BASE_DATOS[[#This Row],[NSK]])</f>
        <v>6</v>
      </c>
      <c r="AD49" s="338">
        <f>IFERROR(100%-(BASE_DATOS[[#This Row],[NSK Reen]]/BASE_DATOS[[#This Row],[NSK Original]]),"")</f>
        <v>0.72972972972972971</v>
      </c>
      <c r="AE49" s="338">
        <f>IFERROR(100%-BASE_DATOS[[#This Row],[NSK]]/BASE_DATOS[[#This Row],[NSK Original]],"")</f>
        <v>9.9099099099099086E-2</v>
      </c>
      <c r="AF49" s="338">
        <f>IFERROR(BASE_DATOS[[#This Row],[% Max Des.]]-BASE_DATOS[[#This Row],[% Des]],"")</f>
        <v>0.63063063063063063</v>
      </c>
      <c r="AG49" s="287"/>
      <c r="AH49" s="273"/>
      <c r="AI49" s="355" t="str">
        <f>IF(OR(BASE_DATOS[[#This Row],[Hr.]]="",BASE_DATOS[[#This Row],[Hr. Actual]]=""),"",BASE_DATOS[[#This Row],[Hr. Actual]]-BASE_DATOS[[#This Row],[Hr.]]+BASE_DATOS[[#This Row],[Horas Acumuladas]])</f>
        <v/>
      </c>
      <c r="AJ49" s="356" t="str">
        <f>IFERROR(BASE_DATOS[[#This Row],[Precio US$]]/BASE_DATOS[[#This Row],[Horas Rodadas]],"")</f>
        <v/>
      </c>
      <c r="AK49" s="357" t="str">
        <f>IFERROR(BASE_DATOS[[#This Row],[Horas Rodadas]]/(BASE_DATOS[[#This Row],[NSK Original]]-BASE_DATOS[[#This Row],[NSK]]),"")</f>
        <v/>
      </c>
      <c r="AL49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9" s="358" t="str">
        <f>IFERROR(BASE_DATOS[[#This Row],[Precio US$]]/BASE_DATOS[[#This Row],[Horas Proy.]],"")</f>
        <v/>
      </c>
      <c r="AN49" s="165" t="str">
        <f>IF(OR(BASE_DATOS[[#This Row],[Km.]]="",BASE_DATOS[[#This Row],[Km. Actual]]=""),"",BASE_DATOS[[#This Row],[Km. Actual]]-BASE_DATOS[[#This Row],[Km.]]+BASE_DATOS[[#This Row],[Kilómetros Acumulados]])</f>
        <v/>
      </c>
      <c r="AO49" s="166" t="str">
        <f>IFERROR(BASE_DATOS[[#This Row],[Precio US$]]/BASE_DATOS[[#This Row],[Kilómetros Rodados]],"")</f>
        <v/>
      </c>
      <c r="AP49" s="165" t="str">
        <f>IFERROR(BASE_DATOS[[#This Row],[Kilómetros Rodados]]/(BASE_DATOS[[#This Row],[NSK Original]]-BASE_DATOS[[#This Row],[NSK]]),"")</f>
        <v/>
      </c>
      <c r="AQ49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9" s="166" t="str">
        <f>IFERROR(BASE_DATOS[[#This Row],[Precio US$]]/BASE_DATOS[[#This Row],[Kilómetros Proy.]],"")</f>
        <v/>
      </c>
      <c r="AS49" s="167" t="s">
        <v>62</v>
      </c>
      <c r="AT49" s="167"/>
      <c r="AU49" s="167"/>
      <c r="AV49" s="167"/>
      <c r="AW49" s="168"/>
      <c r="AX49" s="168"/>
      <c r="AY49" s="168" t="str">
        <f>CONCATENATE(BASE_DATOS[[#This Row],[Código_U]]&amp;BASE_DATOS[[#This Row],[Pos.]]&amp;BASE_DATOS[[#This Row],[Situación Actual]])</f>
        <v>TC-1088Rodando</v>
      </c>
    </row>
    <row r="50" spans="1:51" ht="12.75" customHeight="1" x14ac:dyDescent="0.25">
      <c r="A50" s="216" t="s">
        <v>117</v>
      </c>
      <c r="B50" s="217" t="s">
        <v>118</v>
      </c>
      <c r="C50" s="218" t="s">
        <v>296</v>
      </c>
      <c r="D50" s="221" t="s">
        <v>61</v>
      </c>
      <c r="E50" s="248"/>
      <c r="F50" s="241" t="s">
        <v>71</v>
      </c>
      <c r="G50" s="241" t="s">
        <v>271</v>
      </c>
      <c r="H50" s="242" t="str">
        <f>IF(BASE_DATOS[[#This Row],[N-R]]="N",BASE_DATOS[[#This Row],[Diseño]],"Reencauche")</f>
        <v>KMAXD</v>
      </c>
      <c r="I50" s="241" t="s">
        <v>294</v>
      </c>
      <c r="J50" s="243" t="s">
        <v>72</v>
      </c>
      <c r="K50" s="244">
        <v>22.2</v>
      </c>
      <c r="L50" s="241">
        <v>110</v>
      </c>
      <c r="M50" s="245"/>
      <c r="N50" s="247"/>
      <c r="O50" s="270"/>
      <c r="P50" s="271"/>
      <c r="Q50" s="272"/>
      <c r="R50" s="298" t="s">
        <v>106</v>
      </c>
      <c r="S50" s="299">
        <v>45385</v>
      </c>
      <c r="T50" s="300"/>
      <c r="U50" s="301"/>
      <c r="V50" s="216">
        <v>20</v>
      </c>
      <c r="W50" s="323"/>
      <c r="X50" s="324">
        <v>20</v>
      </c>
      <c r="Y50" s="162">
        <f t="shared" si="1"/>
        <v>20</v>
      </c>
      <c r="Z50" s="163" t="s">
        <v>85</v>
      </c>
      <c r="AA50" s="336">
        <f>IFERROR(BASE_DATOS[[#This Row],[NSK Original]]-BASE_DATOS[[#This Row],[NSK]]," ")</f>
        <v>2.1999999999999993</v>
      </c>
      <c r="AB50" s="337">
        <f>'NSK-TRACTO'!$A$2</f>
        <v>6</v>
      </c>
      <c r="AC50" s="337">
        <f>IF(BASE_DATOS[[#This Row],[NSK]]&gt;=BASE_DATOS[[#This Row],[NSK Reen]],BASE_DATOS[[#This Row],[NSK Reen]],BASE_DATOS[[#This Row],[NSK]])</f>
        <v>6</v>
      </c>
      <c r="AD50" s="338">
        <f>IFERROR(100%-(BASE_DATOS[[#This Row],[NSK Reen]]/BASE_DATOS[[#This Row],[NSK Original]]),"")</f>
        <v>0.72972972972972971</v>
      </c>
      <c r="AE50" s="338">
        <f>IFERROR(100%-BASE_DATOS[[#This Row],[NSK]]/BASE_DATOS[[#This Row],[NSK Original]],"")</f>
        <v>9.9099099099099086E-2</v>
      </c>
      <c r="AF50" s="338">
        <f>IFERROR(BASE_DATOS[[#This Row],[% Max Des.]]-BASE_DATOS[[#This Row],[% Des]],"")</f>
        <v>0.63063063063063063</v>
      </c>
      <c r="AG50" s="287"/>
      <c r="AH50" s="273"/>
      <c r="AI50" s="355" t="str">
        <f>IF(OR(BASE_DATOS[[#This Row],[Hr.]]="",BASE_DATOS[[#This Row],[Hr. Actual]]=""),"",BASE_DATOS[[#This Row],[Hr. Actual]]-BASE_DATOS[[#This Row],[Hr.]]+BASE_DATOS[[#This Row],[Horas Acumuladas]])</f>
        <v/>
      </c>
      <c r="AJ50" s="356" t="str">
        <f>IFERROR(BASE_DATOS[[#This Row],[Precio US$]]/BASE_DATOS[[#This Row],[Horas Rodadas]],"")</f>
        <v/>
      </c>
      <c r="AK50" s="357" t="str">
        <f>IFERROR(BASE_DATOS[[#This Row],[Horas Rodadas]]/(BASE_DATOS[[#This Row],[NSK Original]]-BASE_DATOS[[#This Row],[NSK]]),"")</f>
        <v/>
      </c>
      <c r="AL50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0" s="358" t="str">
        <f>IFERROR(BASE_DATOS[[#This Row],[Precio US$]]/BASE_DATOS[[#This Row],[Horas Proy.]],"")</f>
        <v/>
      </c>
      <c r="AN50" s="165" t="str">
        <f>IF(OR(BASE_DATOS[[#This Row],[Km.]]="",BASE_DATOS[[#This Row],[Km. Actual]]=""),"",BASE_DATOS[[#This Row],[Km. Actual]]-BASE_DATOS[[#This Row],[Km.]]+BASE_DATOS[[#This Row],[Kilómetros Acumulados]])</f>
        <v/>
      </c>
      <c r="AO50" s="166" t="str">
        <f>IFERROR(BASE_DATOS[[#This Row],[Precio US$]]/BASE_DATOS[[#This Row],[Kilómetros Rodados]],"")</f>
        <v/>
      </c>
      <c r="AP50" s="165" t="str">
        <f>IFERROR(BASE_DATOS[[#This Row],[Kilómetros Rodados]]/(BASE_DATOS[[#This Row],[NSK Original]]-BASE_DATOS[[#This Row],[NSK]]),"")</f>
        <v/>
      </c>
      <c r="AQ50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0" s="166" t="str">
        <f>IFERROR(BASE_DATOS[[#This Row],[Precio US$]]/BASE_DATOS[[#This Row],[Kilómetros Proy.]],"")</f>
        <v/>
      </c>
      <c r="AS50" s="167" t="s">
        <v>62</v>
      </c>
      <c r="AT50" s="167"/>
      <c r="AU50" s="167"/>
      <c r="AV50" s="167"/>
      <c r="AW50" s="168"/>
      <c r="AX50" s="168"/>
      <c r="AY50" s="168" t="str">
        <f>CONCATENATE(BASE_DATOS[[#This Row],[Código_U]]&amp;BASE_DATOS[[#This Row],[Pos.]]&amp;BASE_DATOS[[#This Row],[Situación Actual]])</f>
        <v>TC-1089Rodando</v>
      </c>
    </row>
    <row r="51" spans="1:51" ht="12.75" customHeight="1" x14ac:dyDescent="0.25">
      <c r="A51" s="216" t="s">
        <v>117</v>
      </c>
      <c r="B51" s="217" t="s">
        <v>118</v>
      </c>
      <c r="C51" s="218" t="s">
        <v>296</v>
      </c>
      <c r="D51" s="221" t="s">
        <v>61</v>
      </c>
      <c r="E51" s="248"/>
      <c r="F51" s="241" t="s">
        <v>71</v>
      </c>
      <c r="G51" s="241" t="s">
        <v>271</v>
      </c>
      <c r="H51" s="242" t="str">
        <f>IF(BASE_DATOS[[#This Row],[N-R]]="N",BASE_DATOS[[#This Row],[Diseño]],"Reencauche")</f>
        <v>KMAXD</v>
      </c>
      <c r="I51" s="241" t="s">
        <v>294</v>
      </c>
      <c r="J51" s="243" t="s">
        <v>72</v>
      </c>
      <c r="K51" s="244">
        <v>22.2</v>
      </c>
      <c r="L51" s="241">
        <v>110</v>
      </c>
      <c r="M51" s="245"/>
      <c r="N51" s="247"/>
      <c r="O51" s="270"/>
      <c r="P51" s="271"/>
      <c r="Q51" s="272"/>
      <c r="R51" s="298" t="s">
        <v>107</v>
      </c>
      <c r="S51" s="299">
        <v>45385</v>
      </c>
      <c r="T51" s="300"/>
      <c r="U51" s="301"/>
      <c r="V51" s="216">
        <v>20</v>
      </c>
      <c r="W51" s="323"/>
      <c r="X51" s="324">
        <v>20</v>
      </c>
      <c r="Y51" s="162">
        <f t="shared" si="1"/>
        <v>20</v>
      </c>
      <c r="Z51" s="163" t="s">
        <v>85</v>
      </c>
      <c r="AA51" s="336">
        <f>IFERROR(BASE_DATOS[[#This Row],[NSK Original]]-BASE_DATOS[[#This Row],[NSK]]," ")</f>
        <v>2.1999999999999993</v>
      </c>
      <c r="AB51" s="337">
        <f>'NSK-TRACTO'!$A$2</f>
        <v>6</v>
      </c>
      <c r="AC51" s="337">
        <f>IF(BASE_DATOS[[#This Row],[NSK]]&gt;=BASE_DATOS[[#This Row],[NSK Reen]],BASE_DATOS[[#This Row],[NSK Reen]],BASE_DATOS[[#This Row],[NSK]])</f>
        <v>6</v>
      </c>
      <c r="AD51" s="338">
        <f>IFERROR(100%-(BASE_DATOS[[#This Row],[NSK Reen]]/BASE_DATOS[[#This Row],[NSK Original]]),"")</f>
        <v>0.72972972972972971</v>
      </c>
      <c r="AE51" s="338">
        <f>IFERROR(100%-BASE_DATOS[[#This Row],[NSK]]/BASE_DATOS[[#This Row],[NSK Original]],"")</f>
        <v>9.9099099099099086E-2</v>
      </c>
      <c r="AF51" s="338">
        <f>IFERROR(BASE_DATOS[[#This Row],[% Max Des.]]-BASE_DATOS[[#This Row],[% Des]],"")</f>
        <v>0.63063063063063063</v>
      </c>
      <c r="AG51" s="287"/>
      <c r="AH51" s="273"/>
      <c r="AI51" s="355" t="str">
        <f>IF(OR(BASE_DATOS[[#This Row],[Hr.]]="",BASE_DATOS[[#This Row],[Hr. Actual]]=""),"",BASE_DATOS[[#This Row],[Hr. Actual]]-BASE_DATOS[[#This Row],[Hr.]]+BASE_DATOS[[#This Row],[Horas Acumuladas]])</f>
        <v/>
      </c>
      <c r="AJ51" s="356" t="str">
        <f>IFERROR(BASE_DATOS[[#This Row],[Precio US$]]/BASE_DATOS[[#This Row],[Horas Rodadas]],"")</f>
        <v/>
      </c>
      <c r="AK51" s="357" t="str">
        <f>IFERROR(BASE_DATOS[[#This Row],[Horas Rodadas]]/(BASE_DATOS[[#This Row],[NSK Original]]-BASE_DATOS[[#This Row],[NSK]]),"")</f>
        <v/>
      </c>
      <c r="AL51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1" s="358" t="str">
        <f>IFERROR(BASE_DATOS[[#This Row],[Precio US$]]/BASE_DATOS[[#This Row],[Horas Proy.]],"")</f>
        <v/>
      </c>
      <c r="AN51" s="165" t="str">
        <f>IF(OR(BASE_DATOS[[#This Row],[Km.]]="",BASE_DATOS[[#This Row],[Km. Actual]]=""),"",BASE_DATOS[[#This Row],[Km. Actual]]-BASE_DATOS[[#This Row],[Km.]]+BASE_DATOS[[#This Row],[Kilómetros Acumulados]])</f>
        <v/>
      </c>
      <c r="AO51" s="166" t="str">
        <f>IFERROR(BASE_DATOS[[#This Row],[Precio US$]]/BASE_DATOS[[#This Row],[Kilómetros Rodados]],"")</f>
        <v/>
      </c>
      <c r="AP51" s="165" t="str">
        <f>IFERROR(BASE_DATOS[[#This Row],[Kilómetros Rodados]]/(BASE_DATOS[[#This Row],[NSK Original]]-BASE_DATOS[[#This Row],[NSK]]),"")</f>
        <v/>
      </c>
      <c r="AQ51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1" s="166" t="str">
        <f>IFERROR(BASE_DATOS[[#This Row],[Precio US$]]/BASE_DATOS[[#This Row],[Kilómetros Proy.]],"")</f>
        <v/>
      </c>
      <c r="AS51" s="167" t="s">
        <v>62</v>
      </c>
      <c r="AT51" s="167"/>
      <c r="AU51" s="167"/>
      <c r="AV51" s="167"/>
      <c r="AW51" s="168"/>
      <c r="AX51" s="168"/>
      <c r="AY51" s="168" t="str">
        <f>CONCATENATE(BASE_DATOS[[#This Row],[Código_U]]&amp;BASE_DATOS[[#This Row],[Pos.]]&amp;BASE_DATOS[[#This Row],[Situación Actual]])</f>
        <v>TC-10810Rodando</v>
      </c>
    </row>
    <row r="52" spans="1:51" ht="12.75" customHeight="1" x14ac:dyDescent="0.25">
      <c r="A52" s="212" t="s">
        <v>119</v>
      </c>
      <c r="B52" s="213" t="s">
        <v>120</v>
      </c>
      <c r="C52" s="214" t="s">
        <v>295</v>
      </c>
      <c r="D52" s="220" t="s">
        <v>87</v>
      </c>
      <c r="E52" s="232" t="s">
        <v>427</v>
      </c>
      <c r="F52" s="233" t="s">
        <v>97</v>
      </c>
      <c r="G52" s="233" t="s">
        <v>269</v>
      </c>
      <c r="H52" s="234" t="str">
        <f>IF(BASE_DATOS[[#This Row],[N-R]]="N",BASE_DATOS[[#This Row],[Diseño]],"Reencauche")</f>
        <v>AGC28</v>
      </c>
      <c r="I52" s="233" t="s">
        <v>270</v>
      </c>
      <c r="J52" s="235" t="s">
        <v>72</v>
      </c>
      <c r="K52" s="236">
        <v>16.5</v>
      </c>
      <c r="L52" s="233">
        <v>110</v>
      </c>
      <c r="M52" s="237"/>
      <c r="N52" s="239"/>
      <c r="O52" s="267"/>
      <c r="P52" s="268"/>
      <c r="Q52" s="269"/>
      <c r="R52" s="294" t="s">
        <v>98</v>
      </c>
      <c r="S52" s="303">
        <v>45385</v>
      </c>
      <c r="T52" s="296"/>
      <c r="U52" s="297"/>
      <c r="V52" s="212">
        <v>16</v>
      </c>
      <c r="W52" s="321">
        <v>16</v>
      </c>
      <c r="X52" s="322">
        <v>16</v>
      </c>
      <c r="Y52" s="186">
        <f t="shared" si="1"/>
        <v>16</v>
      </c>
      <c r="Z52" s="187" t="s">
        <v>85</v>
      </c>
      <c r="AA52" s="332">
        <f>IFERROR(BASE_DATOS[[#This Row],[NSK Original]]-BASE_DATOS[[#This Row],[NSK]]," ")</f>
        <v>0.5</v>
      </c>
      <c r="AB52" s="333">
        <f>'NSK-TRACTO'!$A$2</f>
        <v>6</v>
      </c>
      <c r="AC52" s="333">
        <f>IF(BASE_DATOS[[#This Row],[NSK]]&gt;=BASE_DATOS[[#This Row],[NSK Reen]],BASE_DATOS[[#This Row],[NSK Reen]],BASE_DATOS[[#This Row],[NSK]])</f>
        <v>6</v>
      </c>
      <c r="AD52" s="334">
        <f>IFERROR(100%-(BASE_DATOS[[#This Row],[NSK Reen]]/BASE_DATOS[[#This Row],[NSK Original]]),"")</f>
        <v>0.63636363636363635</v>
      </c>
      <c r="AE52" s="334">
        <f>IFERROR(100%-BASE_DATOS[[#This Row],[NSK]]/BASE_DATOS[[#This Row],[NSK Original]],"")</f>
        <v>3.0303030303030276E-2</v>
      </c>
      <c r="AF52" s="334">
        <f>IFERROR(BASE_DATOS[[#This Row],[% Max Des.]]-BASE_DATOS[[#This Row],[% Des]],"")</f>
        <v>0.60606060606060608</v>
      </c>
      <c r="AG52" s="284"/>
      <c r="AH52" s="335"/>
      <c r="AI52" s="351" t="str">
        <f>IF(OR(BASE_DATOS[[#This Row],[Hr.]]="",BASE_DATOS[[#This Row],[Hr. Actual]]=""),"",BASE_DATOS[[#This Row],[Hr. Actual]]-BASE_DATOS[[#This Row],[Hr.]]+BASE_DATOS[[#This Row],[Horas Acumuladas]])</f>
        <v/>
      </c>
      <c r="AJ52" s="352" t="str">
        <f>IFERROR(BASE_DATOS[[#This Row],[Precio US$]]/BASE_DATOS[[#This Row],[Horas Rodadas]],"")</f>
        <v/>
      </c>
      <c r="AK52" s="353" t="str">
        <f>IFERROR(BASE_DATOS[[#This Row],[Horas Rodadas]]/(BASE_DATOS[[#This Row],[NSK Original]]-BASE_DATOS[[#This Row],[NSK]]),"")</f>
        <v/>
      </c>
      <c r="AL52" s="35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2" s="354" t="str">
        <f>IFERROR(BASE_DATOS[[#This Row],[Precio US$]]/BASE_DATOS[[#This Row],[Horas Proy.]],"")</f>
        <v/>
      </c>
      <c r="AN52" s="189" t="str">
        <f>IF(OR(BASE_DATOS[[#This Row],[Km.]]="",BASE_DATOS[[#This Row],[Km. Actual]]=""),"",BASE_DATOS[[#This Row],[Km. Actual]]-BASE_DATOS[[#This Row],[Km.]]+BASE_DATOS[[#This Row],[Kilómetros Acumulados]])</f>
        <v/>
      </c>
      <c r="AO52" s="190" t="str">
        <f>IFERROR(BASE_DATOS[[#This Row],[Precio US$]]/BASE_DATOS[[#This Row],[Kilómetros Rodados]],"")</f>
        <v/>
      </c>
      <c r="AP52" s="189" t="str">
        <f>IFERROR(BASE_DATOS[[#This Row],[Kilómetros Rodados]]/(BASE_DATOS[[#This Row],[NSK Original]]-BASE_DATOS[[#This Row],[NSK]]),"")</f>
        <v/>
      </c>
      <c r="AQ52" s="18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2" s="190" t="str">
        <f>IFERROR(BASE_DATOS[[#This Row],[Precio US$]]/BASE_DATOS[[#This Row],[Kilómetros Proy.]],"")</f>
        <v/>
      </c>
      <c r="AS52" s="191" t="s">
        <v>62</v>
      </c>
      <c r="AT52" s="191"/>
      <c r="AU52" s="191"/>
      <c r="AV52" s="191"/>
      <c r="AW52" s="193"/>
      <c r="AX52" s="193"/>
      <c r="AY52" s="193" t="str">
        <f>CONCATENATE(BASE_DATOS[[#This Row],[Código_U]]&amp;BASE_DATOS[[#This Row],[Pos.]]&amp;BASE_DATOS[[#This Row],[Situación Actual]])</f>
        <v>SR-1081Rodando</v>
      </c>
    </row>
    <row r="53" spans="1:51" ht="12.75" customHeight="1" x14ac:dyDescent="0.25">
      <c r="A53" s="216" t="s">
        <v>119</v>
      </c>
      <c r="B53" s="217" t="s">
        <v>120</v>
      </c>
      <c r="C53" s="218" t="s">
        <v>295</v>
      </c>
      <c r="D53" s="221" t="s">
        <v>87</v>
      </c>
      <c r="E53" s="248" t="s">
        <v>427</v>
      </c>
      <c r="F53" s="241" t="s">
        <v>97</v>
      </c>
      <c r="G53" s="241" t="s">
        <v>269</v>
      </c>
      <c r="H53" s="242" t="str">
        <f>IF(BASE_DATOS[[#This Row],[N-R]]="N",BASE_DATOS[[#This Row],[Diseño]],"Reencauche")</f>
        <v>AGC28</v>
      </c>
      <c r="I53" s="241" t="s">
        <v>270</v>
      </c>
      <c r="J53" s="243" t="s">
        <v>72</v>
      </c>
      <c r="K53" s="244">
        <v>16.5</v>
      </c>
      <c r="L53" s="241">
        <v>110</v>
      </c>
      <c r="M53" s="245"/>
      <c r="N53" s="247"/>
      <c r="O53" s="270"/>
      <c r="P53" s="271"/>
      <c r="Q53" s="272"/>
      <c r="R53" s="298" t="s">
        <v>99</v>
      </c>
      <c r="S53" s="299">
        <v>45385</v>
      </c>
      <c r="T53" s="300"/>
      <c r="U53" s="301"/>
      <c r="V53" s="216">
        <v>15</v>
      </c>
      <c r="W53" s="323">
        <v>15</v>
      </c>
      <c r="X53" s="324">
        <v>15</v>
      </c>
      <c r="Y53" s="162">
        <f t="shared" si="1"/>
        <v>15</v>
      </c>
      <c r="Z53" s="163" t="s">
        <v>85</v>
      </c>
      <c r="AA53" s="336">
        <f>IFERROR(BASE_DATOS[[#This Row],[NSK Original]]-BASE_DATOS[[#This Row],[NSK]]," ")</f>
        <v>1.5</v>
      </c>
      <c r="AB53" s="337">
        <f>'NSK-TRACTO'!$A$2</f>
        <v>6</v>
      </c>
      <c r="AC53" s="337">
        <f>IF(BASE_DATOS[[#This Row],[NSK]]&gt;=BASE_DATOS[[#This Row],[NSK Reen]],BASE_DATOS[[#This Row],[NSK Reen]],BASE_DATOS[[#This Row],[NSK]])</f>
        <v>6</v>
      </c>
      <c r="AD53" s="338">
        <f>IFERROR(100%-(BASE_DATOS[[#This Row],[NSK Reen]]/BASE_DATOS[[#This Row],[NSK Original]]),"")</f>
        <v>0.63636363636363635</v>
      </c>
      <c r="AE53" s="338">
        <f>IFERROR(100%-BASE_DATOS[[#This Row],[NSK]]/BASE_DATOS[[#This Row],[NSK Original]],"")</f>
        <v>9.0909090909090939E-2</v>
      </c>
      <c r="AF53" s="338">
        <f>IFERROR(BASE_DATOS[[#This Row],[% Max Des.]]-BASE_DATOS[[#This Row],[% Des]],"")</f>
        <v>0.54545454545454541</v>
      </c>
      <c r="AG53" s="287"/>
      <c r="AH53" s="273"/>
      <c r="AI53" s="355" t="str">
        <f>IF(OR(BASE_DATOS[[#This Row],[Hr.]]="",BASE_DATOS[[#This Row],[Hr. Actual]]=""),"",BASE_DATOS[[#This Row],[Hr. Actual]]-BASE_DATOS[[#This Row],[Hr.]]+BASE_DATOS[[#This Row],[Horas Acumuladas]])</f>
        <v/>
      </c>
      <c r="AJ53" s="356" t="str">
        <f>IFERROR(BASE_DATOS[[#This Row],[Precio US$]]/BASE_DATOS[[#This Row],[Horas Rodadas]],"")</f>
        <v/>
      </c>
      <c r="AK53" s="357" t="str">
        <f>IFERROR(BASE_DATOS[[#This Row],[Horas Rodadas]]/(BASE_DATOS[[#This Row],[NSK Original]]-BASE_DATOS[[#This Row],[NSK]]),"")</f>
        <v/>
      </c>
      <c r="AL53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3" s="358" t="str">
        <f>IFERROR(BASE_DATOS[[#This Row],[Precio US$]]/BASE_DATOS[[#This Row],[Horas Proy.]],"")</f>
        <v/>
      </c>
      <c r="AN53" s="165" t="str">
        <f>IF(OR(BASE_DATOS[[#This Row],[Km.]]="",BASE_DATOS[[#This Row],[Km. Actual]]=""),"",BASE_DATOS[[#This Row],[Km. Actual]]-BASE_DATOS[[#This Row],[Km.]]+BASE_DATOS[[#This Row],[Kilómetros Acumulados]])</f>
        <v/>
      </c>
      <c r="AO53" s="166" t="str">
        <f>IFERROR(BASE_DATOS[[#This Row],[Precio US$]]/BASE_DATOS[[#This Row],[Kilómetros Rodados]],"")</f>
        <v/>
      </c>
      <c r="AP53" s="165" t="str">
        <f>IFERROR(BASE_DATOS[[#This Row],[Kilómetros Rodados]]/(BASE_DATOS[[#This Row],[NSK Original]]-BASE_DATOS[[#This Row],[NSK]]),"")</f>
        <v/>
      </c>
      <c r="AQ53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3" s="166" t="str">
        <f>IFERROR(BASE_DATOS[[#This Row],[Precio US$]]/BASE_DATOS[[#This Row],[Kilómetros Proy.]],"")</f>
        <v/>
      </c>
      <c r="AS53" s="167" t="s">
        <v>62</v>
      </c>
      <c r="AT53" s="167"/>
      <c r="AU53" s="167"/>
      <c r="AV53" s="167"/>
      <c r="AW53" s="168"/>
      <c r="AX53" s="168"/>
      <c r="AY53" s="168" t="str">
        <f>CONCATENATE(BASE_DATOS[[#This Row],[Código_U]]&amp;BASE_DATOS[[#This Row],[Pos.]]&amp;BASE_DATOS[[#This Row],[Situación Actual]])</f>
        <v>SR-1082Rodando</v>
      </c>
    </row>
    <row r="54" spans="1:51" ht="12.75" customHeight="1" x14ac:dyDescent="0.25">
      <c r="A54" s="216" t="s">
        <v>119</v>
      </c>
      <c r="B54" s="217" t="s">
        <v>120</v>
      </c>
      <c r="C54" s="218" t="s">
        <v>295</v>
      </c>
      <c r="D54" s="221" t="s">
        <v>87</v>
      </c>
      <c r="E54" s="248"/>
      <c r="F54" s="241" t="s">
        <v>97</v>
      </c>
      <c r="G54" s="241" t="s">
        <v>269</v>
      </c>
      <c r="H54" s="242" t="str">
        <f>IF(BASE_DATOS[[#This Row],[N-R]]="N",BASE_DATOS[[#This Row],[Diseño]],"Reencauche")</f>
        <v>AGC28</v>
      </c>
      <c r="I54" s="241" t="s">
        <v>270</v>
      </c>
      <c r="J54" s="243" t="s">
        <v>72</v>
      </c>
      <c r="K54" s="244">
        <v>16.5</v>
      </c>
      <c r="L54" s="241">
        <v>110</v>
      </c>
      <c r="M54" s="245"/>
      <c r="N54" s="247"/>
      <c r="O54" s="270"/>
      <c r="P54" s="271"/>
      <c r="Q54" s="272"/>
      <c r="R54" s="298" t="s">
        <v>100</v>
      </c>
      <c r="S54" s="299">
        <v>45385</v>
      </c>
      <c r="T54" s="300"/>
      <c r="U54" s="301"/>
      <c r="V54" s="216">
        <v>10</v>
      </c>
      <c r="W54" s="323">
        <v>9</v>
      </c>
      <c r="X54" s="324">
        <v>9</v>
      </c>
      <c r="Y54" s="162">
        <f t="shared" si="1"/>
        <v>9</v>
      </c>
      <c r="Z54" s="163" t="s">
        <v>85</v>
      </c>
      <c r="AA54" s="336">
        <f>IFERROR(BASE_DATOS[[#This Row],[NSK Original]]-BASE_DATOS[[#This Row],[NSK]]," ")</f>
        <v>7.5</v>
      </c>
      <c r="AB54" s="337">
        <f>'NSK-TRACTO'!$A$2</f>
        <v>6</v>
      </c>
      <c r="AC54" s="337">
        <f>IF(BASE_DATOS[[#This Row],[NSK]]&gt;=BASE_DATOS[[#This Row],[NSK Reen]],BASE_DATOS[[#This Row],[NSK Reen]],BASE_DATOS[[#This Row],[NSK]])</f>
        <v>6</v>
      </c>
      <c r="AD54" s="338">
        <f>IFERROR(100%-(BASE_DATOS[[#This Row],[NSK Reen]]/BASE_DATOS[[#This Row],[NSK Original]]),"")</f>
        <v>0.63636363636363635</v>
      </c>
      <c r="AE54" s="338">
        <f>IFERROR(100%-BASE_DATOS[[#This Row],[NSK]]/BASE_DATOS[[#This Row],[NSK Original]],"")</f>
        <v>0.45454545454545459</v>
      </c>
      <c r="AF54" s="338">
        <f>IFERROR(BASE_DATOS[[#This Row],[% Max Des.]]-BASE_DATOS[[#This Row],[% Des]],"")</f>
        <v>0.18181818181818177</v>
      </c>
      <c r="AG54" s="287"/>
      <c r="AH54" s="273"/>
      <c r="AI54" s="355" t="str">
        <f>IF(OR(BASE_DATOS[[#This Row],[Hr.]]="",BASE_DATOS[[#This Row],[Hr. Actual]]=""),"",BASE_DATOS[[#This Row],[Hr. Actual]]-BASE_DATOS[[#This Row],[Hr.]]+BASE_DATOS[[#This Row],[Horas Acumuladas]])</f>
        <v/>
      </c>
      <c r="AJ54" s="356" t="str">
        <f>IFERROR(BASE_DATOS[[#This Row],[Precio US$]]/BASE_DATOS[[#This Row],[Horas Rodadas]],"")</f>
        <v/>
      </c>
      <c r="AK54" s="357" t="str">
        <f>IFERROR(BASE_DATOS[[#This Row],[Horas Rodadas]]/(BASE_DATOS[[#This Row],[NSK Original]]-BASE_DATOS[[#This Row],[NSK]]),"")</f>
        <v/>
      </c>
      <c r="AL54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4" s="358" t="str">
        <f>IFERROR(BASE_DATOS[[#This Row],[Precio US$]]/BASE_DATOS[[#This Row],[Horas Proy.]],"")</f>
        <v/>
      </c>
      <c r="AN54" s="165" t="str">
        <f>IF(OR(BASE_DATOS[[#This Row],[Km.]]="",BASE_DATOS[[#This Row],[Km. Actual]]=""),"",BASE_DATOS[[#This Row],[Km. Actual]]-BASE_DATOS[[#This Row],[Km.]]+BASE_DATOS[[#This Row],[Kilómetros Acumulados]])</f>
        <v/>
      </c>
      <c r="AO54" s="166" t="str">
        <f>IFERROR(BASE_DATOS[[#This Row],[Precio US$]]/BASE_DATOS[[#This Row],[Kilómetros Rodados]],"")</f>
        <v/>
      </c>
      <c r="AP54" s="165" t="str">
        <f>IFERROR(BASE_DATOS[[#This Row],[Kilómetros Rodados]]/(BASE_DATOS[[#This Row],[NSK Original]]-BASE_DATOS[[#This Row],[NSK]]),"")</f>
        <v/>
      </c>
      <c r="AQ54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4" s="166" t="str">
        <f>IFERROR(BASE_DATOS[[#This Row],[Precio US$]]/BASE_DATOS[[#This Row],[Kilómetros Proy.]],"")</f>
        <v/>
      </c>
      <c r="AS54" s="167" t="s">
        <v>62</v>
      </c>
      <c r="AT54" s="167"/>
      <c r="AU54" s="167"/>
      <c r="AV54" s="167"/>
      <c r="AW54" s="168"/>
      <c r="AX54" s="168"/>
      <c r="AY54" s="168" t="str">
        <f>CONCATENATE(BASE_DATOS[[#This Row],[Código_U]]&amp;BASE_DATOS[[#This Row],[Pos.]]&amp;BASE_DATOS[[#This Row],[Situación Actual]])</f>
        <v>SR-1083Rodando</v>
      </c>
    </row>
    <row r="55" spans="1:51" ht="12.75" customHeight="1" x14ac:dyDescent="0.25">
      <c r="A55" s="216" t="s">
        <v>119</v>
      </c>
      <c r="B55" s="217" t="s">
        <v>120</v>
      </c>
      <c r="C55" s="218" t="s">
        <v>295</v>
      </c>
      <c r="D55" s="221" t="s">
        <v>87</v>
      </c>
      <c r="E55" s="248"/>
      <c r="F55" s="241" t="s">
        <v>97</v>
      </c>
      <c r="G55" s="241" t="s">
        <v>269</v>
      </c>
      <c r="H55" s="242" t="str">
        <f>IF(BASE_DATOS[[#This Row],[N-R]]="N",BASE_DATOS[[#This Row],[Diseño]],"Reencauche")</f>
        <v>AGC28</v>
      </c>
      <c r="I55" s="241" t="s">
        <v>270</v>
      </c>
      <c r="J55" s="243" t="s">
        <v>72</v>
      </c>
      <c r="K55" s="244">
        <v>16.5</v>
      </c>
      <c r="L55" s="241">
        <v>110</v>
      </c>
      <c r="M55" s="245"/>
      <c r="N55" s="247"/>
      <c r="O55" s="270"/>
      <c r="P55" s="271"/>
      <c r="Q55" s="272"/>
      <c r="R55" s="298" t="s">
        <v>101</v>
      </c>
      <c r="S55" s="299">
        <v>45385</v>
      </c>
      <c r="T55" s="300"/>
      <c r="U55" s="301"/>
      <c r="V55" s="216">
        <v>7</v>
      </c>
      <c r="W55" s="323">
        <v>7</v>
      </c>
      <c r="X55" s="324">
        <v>7</v>
      </c>
      <c r="Y55" s="162">
        <f t="shared" si="1"/>
        <v>7</v>
      </c>
      <c r="Z55" s="163" t="s">
        <v>85</v>
      </c>
      <c r="AA55" s="336">
        <f>IFERROR(BASE_DATOS[[#This Row],[NSK Original]]-BASE_DATOS[[#This Row],[NSK]]," ")</f>
        <v>9.5</v>
      </c>
      <c r="AB55" s="337">
        <f>'NSK-TRACTO'!$A$2</f>
        <v>6</v>
      </c>
      <c r="AC55" s="337">
        <f>IF(BASE_DATOS[[#This Row],[NSK]]&gt;=BASE_DATOS[[#This Row],[NSK Reen]],BASE_DATOS[[#This Row],[NSK Reen]],BASE_DATOS[[#This Row],[NSK]])</f>
        <v>6</v>
      </c>
      <c r="AD55" s="338">
        <f>IFERROR(100%-(BASE_DATOS[[#This Row],[NSK Reen]]/BASE_DATOS[[#This Row],[NSK Original]]),"")</f>
        <v>0.63636363636363635</v>
      </c>
      <c r="AE55" s="338">
        <f>IFERROR(100%-BASE_DATOS[[#This Row],[NSK]]/BASE_DATOS[[#This Row],[NSK Original]],"")</f>
        <v>0.57575757575757569</v>
      </c>
      <c r="AF55" s="338">
        <f>IFERROR(BASE_DATOS[[#This Row],[% Max Des.]]-BASE_DATOS[[#This Row],[% Des]],"")</f>
        <v>6.0606060606060663E-2</v>
      </c>
      <c r="AG55" s="287"/>
      <c r="AH55" s="273"/>
      <c r="AI55" s="355" t="str">
        <f>IF(OR(BASE_DATOS[[#This Row],[Hr.]]="",BASE_DATOS[[#This Row],[Hr. Actual]]=""),"",BASE_DATOS[[#This Row],[Hr. Actual]]-BASE_DATOS[[#This Row],[Hr.]]+BASE_DATOS[[#This Row],[Horas Acumuladas]])</f>
        <v/>
      </c>
      <c r="AJ55" s="356" t="str">
        <f>IFERROR(BASE_DATOS[[#This Row],[Precio US$]]/BASE_DATOS[[#This Row],[Horas Rodadas]],"")</f>
        <v/>
      </c>
      <c r="AK55" s="357" t="str">
        <f>IFERROR(BASE_DATOS[[#This Row],[Horas Rodadas]]/(BASE_DATOS[[#This Row],[NSK Original]]-BASE_DATOS[[#This Row],[NSK]]),"")</f>
        <v/>
      </c>
      <c r="AL55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5" s="358" t="str">
        <f>IFERROR(BASE_DATOS[[#This Row],[Precio US$]]/BASE_DATOS[[#This Row],[Horas Proy.]],"")</f>
        <v/>
      </c>
      <c r="AN55" s="165" t="str">
        <f>IF(OR(BASE_DATOS[[#This Row],[Km.]]="",BASE_DATOS[[#This Row],[Km. Actual]]=""),"",BASE_DATOS[[#This Row],[Km. Actual]]-BASE_DATOS[[#This Row],[Km.]]+BASE_DATOS[[#This Row],[Kilómetros Acumulados]])</f>
        <v/>
      </c>
      <c r="AO55" s="166" t="str">
        <f>IFERROR(BASE_DATOS[[#This Row],[Precio US$]]/BASE_DATOS[[#This Row],[Kilómetros Rodados]],"")</f>
        <v/>
      </c>
      <c r="AP55" s="165" t="str">
        <f>IFERROR(BASE_DATOS[[#This Row],[Kilómetros Rodados]]/(BASE_DATOS[[#This Row],[NSK Original]]-BASE_DATOS[[#This Row],[NSK]]),"")</f>
        <v/>
      </c>
      <c r="AQ55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5" s="166" t="str">
        <f>IFERROR(BASE_DATOS[[#This Row],[Precio US$]]/BASE_DATOS[[#This Row],[Kilómetros Proy.]],"")</f>
        <v/>
      </c>
      <c r="AS55" s="167" t="s">
        <v>62</v>
      </c>
      <c r="AT55" s="167"/>
      <c r="AU55" s="167"/>
      <c r="AV55" s="167"/>
      <c r="AW55" s="168"/>
      <c r="AX55" s="168"/>
      <c r="AY55" s="168" t="str">
        <f>CONCATENATE(BASE_DATOS[[#This Row],[Código_U]]&amp;BASE_DATOS[[#This Row],[Pos.]]&amp;BASE_DATOS[[#This Row],[Situación Actual]])</f>
        <v>SR-1084Rodando</v>
      </c>
    </row>
    <row r="56" spans="1:51" ht="12.75" customHeight="1" x14ac:dyDescent="0.25">
      <c r="A56" s="216" t="s">
        <v>119</v>
      </c>
      <c r="B56" s="217" t="s">
        <v>120</v>
      </c>
      <c r="C56" s="218" t="s">
        <v>295</v>
      </c>
      <c r="D56" s="221" t="s">
        <v>87</v>
      </c>
      <c r="E56" s="248" t="s">
        <v>359</v>
      </c>
      <c r="F56" s="241" t="s">
        <v>97</v>
      </c>
      <c r="G56" s="241" t="s">
        <v>269</v>
      </c>
      <c r="H56" s="242" t="str">
        <f>IF(BASE_DATOS[[#This Row],[N-R]]="N",BASE_DATOS[[#This Row],[Diseño]],"Reencauche")</f>
        <v>AGC28</v>
      </c>
      <c r="I56" s="241" t="s">
        <v>270</v>
      </c>
      <c r="J56" s="243" t="s">
        <v>72</v>
      </c>
      <c r="K56" s="244">
        <v>16.5</v>
      </c>
      <c r="L56" s="241">
        <v>110</v>
      </c>
      <c r="M56" s="245"/>
      <c r="N56" s="247"/>
      <c r="O56" s="270"/>
      <c r="P56" s="271"/>
      <c r="Q56" s="272"/>
      <c r="R56" s="298" t="s">
        <v>102</v>
      </c>
      <c r="S56" s="299">
        <v>45385</v>
      </c>
      <c r="T56" s="300"/>
      <c r="U56" s="301"/>
      <c r="V56" s="216">
        <v>13</v>
      </c>
      <c r="W56" s="323">
        <v>13</v>
      </c>
      <c r="X56" s="324">
        <v>13</v>
      </c>
      <c r="Y56" s="162">
        <f t="shared" si="1"/>
        <v>13</v>
      </c>
      <c r="Z56" s="163" t="s">
        <v>85</v>
      </c>
      <c r="AA56" s="336">
        <f>IFERROR(BASE_DATOS[[#This Row],[NSK Original]]-BASE_DATOS[[#This Row],[NSK]]," ")</f>
        <v>3.5</v>
      </c>
      <c r="AB56" s="337">
        <f>'NSK-TRACTO'!$A$2</f>
        <v>6</v>
      </c>
      <c r="AC56" s="337">
        <f>IF(BASE_DATOS[[#This Row],[NSK]]&gt;=BASE_DATOS[[#This Row],[NSK Reen]],BASE_DATOS[[#This Row],[NSK Reen]],BASE_DATOS[[#This Row],[NSK]])</f>
        <v>6</v>
      </c>
      <c r="AD56" s="338">
        <f>IFERROR(100%-(BASE_DATOS[[#This Row],[NSK Reen]]/BASE_DATOS[[#This Row],[NSK Original]]),"")</f>
        <v>0.63636363636363635</v>
      </c>
      <c r="AE56" s="338">
        <f>IFERROR(100%-BASE_DATOS[[#This Row],[NSK]]/BASE_DATOS[[#This Row],[NSK Original]],"")</f>
        <v>0.21212121212121215</v>
      </c>
      <c r="AF56" s="338">
        <f>IFERROR(BASE_DATOS[[#This Row],[% Max Des.]]-BASE_DATOS[[#This Row],[% Des]],"")</f>
        <v>0.4242424242424242</v>
      </c>
      <c r="AG56" s="287"/>
      <c r="AH56" s="273"/>
      <c r="AI56" s="355" t="str">
        <f>IF(OR(BASE_DATOS[[#This Row],[Hr.]]="",BASE_DATOS[[#This Row],[Hr. Actual]]=""),"",BASE_DATOS[[#This Row],[Hr. Actual]]-BASE_DATOS[[#This Row],[Hr.]]+BASE_DATOS[[#This Row],[Horas Acumuladas]])</f>
        <v/>
      </c>
      <c r="AJ56" s="356" t="str">
        <f>IFERROR(BASE_DATOS[[#This Row],[Precio US$]]/BASE_DATOS[[#This Row],[Horas Rodadas]],"")</f>
        <v/>
      </c>
      <c r="AK56" s="357" t="str">
        <f>IFERROR(BASE_DATOS[[#This Row],[Horas Rodadas]]/(BASE_DATOS[[#This Row],[NSK Original]]-BASE_DATOS[[#This Row],[NSK]]),"")</f>
        <v/>
      </c>
      <c r="AL56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6" s="358" t="str">
        <f>IFERROR(BASE_DATOS[[#This Row],[Precio US$]]/BASE_DATOS[[#This Row],[Horas Proy.]],"")</f>
        <v/>
      </c>
      <c r="AN56" s="165" t="str">
        <f>IF(OR(BASE_DATOS[[#This Row],[Km.]]="",BASE_DATOS[[#This Row],[Km. Actual]]=""),"",BASE_DATOS[[#This Row],[Km. Actual]]-BASE_DATOS[[#This Row],[Km.]]+BASE_DATOS[[#This Row],[Kilómetros Acumulados]])</f>
        <v/>
      </c>
      <c r="AO56" s="166" t="str">
        <f>IFERROR(BASE_DATOS[[#This Row],[Precio US$]]/BASE_DATOS[[#This Row],[Kilómetros Rodados]],"")</f>
        <v/>
      </c>
      <c r="AP56" s="165" t="str">
        <f>IFERROR(BASE_DATOS[[#This Row],[Kilómetros Rodados]]/(BASE_DATOS[[#This Row],[NSK Original]]-BASE_DATOS[[#This Row],[NSK]]),"")</f>
        <v/>
      </c>
      <c r="AQ56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6" s="166" t="str">
        <f>IFERROR(BASE_DATOS[[#This Row],[Precio US$]]/BASE_DATOS[[#This Row],[Kilómetros Proy.]],"")</f>
        <v/>
      </c>
      <c r="AS56" s="167" t="s">
        <v>62</v>
      </c>
      <c r="AT56" s="167"/>
      <c r="AU56" s="167"/>
      <c r="AV56" s="167"/>
      <c r="AW56" s="169"/>
      <c r="AX56" s="168"/>
      <c r="AY56" s="168" t="str">
        <f>CONCATENATE(BASE_DATOS[[#This Row],[Código_U]]&amp;BASE_DATOS[[#This Row],[Pos.]]&amp;BASE_DATOS[[#This Row],[Situación Actual]])</f>
        <v>SR-1085Rodando</v>
      </c>
    </row>
    <row r="57" spans="1:51" ht="12.75" customHeight="1" x14ac:dyDescent="0.25">
      <c r="A57" s="216" t="s">
        <v>119</v>
      </c>
      <c r="B57" s="217" t="s">
        <v>120</v>
      </c>
      <c r="C57" s="218" t="s">
        <v>295</v>
      </c>
      <c r="D57" s="221" t="s">
        <v>87</v>
      </c>
      <c r="E57" s="248" t="s">
        <v>360</v>
      </c>
      <c r="F57" s="241" t="s">
        <v>97</v>
      </c>
      <c r="G57" s="241" t="s">
        <v>269</v>
      </c>
      <c r="H57" s="242" t="str">
        <f>IF(BASE_DATOS[[#This Row],[N-R]]="N",BASE_DATOS[[#This Row],[Diseño]],"Reencauche")</f>
        <v>AGC28</v>
      </c>
      <c r="I57" s="241" t="s">
        <v>270</v>
      </c>
      <c r="J57" s="243" t="s">
        <v>72</v>
      </c>
      <c r="K57" s="244">
        <v>16.5</v>
      </c>
      <c r="L57" s="241">
        <v>110</v>
      </c>
      <c r="M57" s="245"/>
      <c r="N57" s="247"/>
      <c r="O57" s="270"/>
      <c r="P57" s="271"/>
      <c r="Q57" s="272"/>
      <c r="R57" s="298" t="s">
        <v>103</v>
      </c>
      <c r="S57" s="299">
        <v>45385</v>
      </c>
      <c r="T57" s="300"/>
      <c r="U57" s="301"/>
      <c r="V57" s="216">
        <v>13</v>
      </c>
      <c r="W57" s="323">
        <v>13</v>
      </c>
      <c r="X57" s="324">
        <v>13</v>
      </c>
      <c r="Y57" s="162">
        <f t="shared" si="1"/>
        <v>13</v>
      </c>
      <c r="Z57" s="163" t="s">
        <v>85</v>
      </c>
      <c r="AA57" s="336">
        <f>IFERROR(BASE_DATOS[[#This Row],[NSK Original]]-BASE_DATOS[[#This Row],[NSK]]," ")</f>
        <v>3.5</v>
      </c>
      <c r="AB57" s="337">
        <f>'NSK-TRACTO'!$A$2</f>
        <v>6</v>
      </c>
      <c r="AC57" s="337">
        <f>IF(BASE_DATOS[[#This Row],[NSK]]&gt;=BASE_DATOS[[#This Row],[NSK Reen]],BASE_DATOS[[#This Row],[NSK Reen]],BASE_DATOS[[#This Row],[NSK]])</f>
        <v>6</v>
      </c>
      <c r="AD57" s="338">
        <f>IFERROR(100%-(BASE_DATOS[[#This Row],[NSK Reen]]/BASE_DATOS[[#This Row],[NSK Original]]),"")</f>
        <v>0.63636363636363635</v>
      </c>
      <c r="AE57" s="338">
        <f>IFERROR(100%-BASE_DATOS[[#This Row],[NSK]]/BASE_DATOS[[#This Row],[NSK Original]],"")</f>
        <v>0.21212121212121215</v>
      </c>
      <c r="AF57" s="338">
        <f>IFERROR(BASE_DATOS[[#This Row],[% Max Des.]]-BASE_DATOS[[#This Row],[% Des]],"")</f>
        <v>0.4242424242424242</v>
      </c>
      <c r="AG57" s="287"/>
      <c r="AH57" s="273"/>
      <c r="AI57" s="355" t="str">
        <f>IF(OR(BASE_DATOS[[#This Row],[Hr.]]="",BASE_DATOS[[#This Row],[Hr. Actual]]=""),"",BASE_DATOS[[#This Row],[Hr. Actual]]-BASE_DATOS[[#This Row],[Hr.]]+BASE_DATOS[[#This Row],[Horas Acumuladas]])</f>
        <v/>
      </c>
      <c r="AJ57" s="356" t="str">
        <f>IFERROR(BASE_DATOS[[#This Row],[Precio US$]]/BASE_DATOS[[#This Row],[Horas Rodadas]],"")</f>
        <v/>
      </c>
      <c r="AK57" s="357" t="str">
        <f>IFERROR(BASE_DATOS[[#This Row],[Horas Rodadas]]/(BASE_DATOS[[#This Row],[NSK Original]]-BASE_DATOS[[#This Row],[NSK]]),"")</f>
        <v/>
      </c>
      <c r="AL57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7" s="358" t="str">
        <f>IFERROR(BASE_DATOS[[#This Row],[Precio US$]]/BASE_DATOS[[#This Row],[Horas Proy.]],"")</f>
        <v/>
      </c>
      <c r="AN57" s="165" t="str">
        <f>IF(OR(BASE_DATOS[[#This Row],[Km.]]="",BASE_DATOS[[#This Row],[Km. Actual]]=""),"",BASE_DATOS[[#This Row],[Km. Actual]]-BASE_DATOS[[#This Row],[Km.]]+BASE_DATOS[[#This Row],[Kilómetros Acumulados]])</f>
        <v/>
      </c>
      <c r="AO57" s="166" t="str">
        <f>IFERROR(BASE_DATOS[[#This Row],[Precio US$]]/BASE_DATOS[[#This Row],[Kilómetros Rodados]],"")</f>
        <v/>
      </c>
      <c r="AP57" s="165" t="str">
        <f>IFERROR(BASE_DATOS[[#This Row],[Kilómetros Rodados]]/(BASE_DATOS[[#This Row],[NSK Original]]-BASE_DATOS[[#This Row],[NSK]]),"")</f>
        <v/>
      </c>
      <c r="AQ57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7" s="166" t="str">
        <f>IFERROR(BASE_DATOS[[#This Row],[Precio US$]]/BASE_DATOS[[#This Row],[Kilómetros Proy.]],"")</f>
        <v/>
      </c>
      <c r="AS57" s="167" t="s">
        <v>62</v>
      </c>
      <c r="AT57" s="167"/>
      <c r="AU57" s="167"/>
      <c r="AV57" s="167"/>
      <c r="AW57" s="168"/>
      <c r="AX57" s="168"/>
      <c r="AY57" s="168" t="str">
        <f>CONCATENATE(BASE_DATOS[[#This Row],[Código_U]]&amp;BASE_DATOS[[#This Row],[Pos.]]&amp;BASE_DATOS[[#This Row],[Situación Actual]])</f>
        <v>SR-1086Rodando</v>
      </c>
    </row>
    <row r="58" spans="1:51" ht="12.75" customHeight="1" x14ac:dyDescent="0.25">
      <c r="A58" s="216" t="s">
        <v>119</v>
      </c>
      <c r="B58" s="217" t="s">
        <v>120</v>
      </c>
      <c r="C58" s="218" t="s">
        <v>295</v>
      </c>
      <c r="D58" s="221" t="s">
        <v>384</v>
      </c>
      <c r="E58" s="248" t="s">
        <v>428</v>
      </c>
      <c r="F58" s="241" t="s">
        <v>71</v>
      </c>
      <c r="G58" s="241" t="s">
        <v>269</v>
      </c>
      <c r="H58" s="242" t="str">
        <f>IF(BASE_DATOS[[#This Row],[N-R]]="N",BASE_DATOS[[#This Row],[Diseño]],"Reencauche")</f>
        <v>OMNITRAC MST2</v>
      </c>
      <c r="I58" s="241" t="s">
        <v>281</v>
      </c>
      <c r="J58" s="243" t="s">
        <v>72</v>
      </c>
      <c r="K58" s="244">
        <v>15.6</v>
      </c>
      <c r="L58" s="241">
        <v>110</v>
      </c>
      <c r="M58" s="245"/>
      <c r="N58" s="247"/>
      <c r="O58" s="270"/>
      <c r="P58" s="271"/>
      <c r="Q58" s="272"/>
      <c r="R58" s="304" t="s">
        <v>509</v>
      </c>
      <c r="S58" s="299">
        <v>45385</v>
      </c>
      <c r="T58" s="300"/>
      <c r="U58" s="301"/>
      <c r="V58" s="216">
        <v>7</v>
      </c>
      <c r="W58" s="323">
        <v>6</v>
      </c>
      <c r="X58" s="324">
        <v>7</v>
      </c>
      <c r="Y58" s="162">
        <f t="shared" si="1"/>
        <v>6</v>
      </c>
      <c r="Z58" s="163" t="s">
        <v>85</v>
      </c>
      <c r="AA58" s="336">
        <f>IFERROR(BASE_DATOS[[#This Row],[NSK Original]]-BASE_DATOS[[#This Row],[NSK]]," ")</f>
        <v>9.6</v>
      </c>
      <c r="AB58" s="337">
        <f>'NSK-TRACTO'!$A$2</f>
        <v>6</v>
      </c>
      <c r="AC58" s="337">
        <f>IF(BASE_DATOS[[#This Row],[NSK]]&gt;=BASE_DATOS[[#This Row],[NSK Reen]],BASE_DATOS[[#This Row],[NSK Reen]],BASE_DATOS[[#This Row],[NSK]])</f>
        <v>6</v>
      </c>
      <c r="AD58" s="338">
        <f>IFERROR(100%-(BASE_DATOS[[#This Row],[NSK Reen]]/BASE_DATOS[[#This Row],[NSK Original]]),"")</f>
        <v>0.61538461538461542</v>
      </c>
      <c r="AE58" s="338">
        <f>IFERROR(100%-BASE_DATOS[[#This Row],[NSK]]/BASE_DATOS[[#This Row],[NSK Original]],"")</f>
        <v>0.61538461538461542</v>
      </c>
      <c r="AF58" s="338">
        <f>IFERROR(BASE_DATOS[[#This Row],[% Max Des.]]-BASE_DATOS[[#This Row],[% Des]],"")</f>
        <v>0</v>
      </c>
      <c r="AG58" s="287"/>
      <c r="AH58" s="273"/>
      <c r="AI58" s="355" t="str">
        <f>IF(OR(BASE_DATOS[[#This Row],[Hr.]]="",BASE_DATOS[[#This Row],[Hr. Actual]]=""),"",BASE_DATOS[[#This Row],[Hr. Actual]]-BASE_DATOS[[#This Row],[Hr.]]+BASE_DATOS[[#This Row],[Horas Acumuladas]])</f>
        <v/>
      </c>
      <c r="AJ58" s="356" t="str">
        <f>IFERROR(BASE_DATOS[[#This Row],[Precio US$]]/BASE_DATOS[[#This Row],[Horas Rodadas]],"")</f>
        <v/>
      </c>
      <c r="AK58" s="357" t="str">
        <f>IFERROR(BASE_DATOS[[#This Row],[Horas Rodadas]]/(BASE_DATOS[[#This Row],[NSK Original]]-BASE_DATOS[[#This Row],[NSK]]),"")</f>
        <v/>
      </c>
      <c r="AL58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8" s="358" t="str">
        <f>IFERROR(BASE_DATOS[[#This Row],[Precio US$]]/BASE_DATOS[[#This Row],[Horas Proy.]],"")</f>
        <v/>
      </c>
      <c r="AN58" s="165" t="str">
        <f>IF(OR(BASE_DATOS[[#This Row],[Km.]]="",BASE_DATOS[[#This Row],[Km. Actual]]=""),"",BASE_DATOS[[#This Row],[Km. Actual]]-BASE_DATOS[[#This Row],[Km.]]+BASE_DATOS[[#This Row],[Kilómetros Acumulados]])</f>
        <v/>
      </c>
      <c r="AO58" s="166" t="str">
        <f>IFERROR(BASE_DATOS[[#This Row],[Precio US$]]/BASE_DATOS[[#This Row],[Kilómetros Rodados]],"")</f>
        <v/>
      </c>
      <c r="AP58" s="165" t="str">
        <f>IFERROR(BASE_DATOS[[#This Row],[Kilómetros Rodados]]/(BASE_DATOS[[#This Row],[NSK Original]]-BASE_DATOS[[#This Row],[NSK]]),"")</f>
        <v/>
      </c>
      <c r="AQ58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8" s="166" t="str">
        <f>IFERROR(BASE_DATOS[[#This Row],[Precio US$]]/BASE_DATOS[[#This Row],[Kilómetros Proy.]],"")</f>
        <v/>
      </c>
      <c r="AS58" s="167" t="s">
        <v>62</v>
      </c>
      <c r="AT58" s="167"/>
      <c r="AU58" s="167"/>
      <c r="AV58" s="167"/>
      <c r="AW58" s="169"/>
      <c r="AX58" s="168"/>
      <c r="AY58" s="168" t="str">
        <f>CONCATENATE(BASE_DATOS[[#This Row],[Código_U]]&amp;BASE_DATOS[[#This Row],[Pos.]]&amp;BASE_DATOS[[#This Row],[Situación Actual]])</f>
        <v>SR-108RERodando</v>
      </c>
    </row>
    <row r="59" spans="1:51" ht="12.75" customHeight="1" x14ac:dyDescent="0.25">
      <c r="A59" s="216" t="s">
        <v>119</v>
      </c>
      <c r="B59" s="217" t="s">
        <v>120</v>
      </c>
      <c r="C59" s="218" t="s">
        <v>295</v>
      </c>
      <c r="D59" s="221" t="s">
        <v>108</v>
      </c>
      <c r="E59" s="248"/>
      <c r="F59" s="241" t="s">
        <v>273</v>
      </c>
      <c r="G59" s="241" t="s">
        <v>271</v>
      </c>
      <c r="H59" s="242" t="str">
        <f>IF(BASE_DATOS[[#This Row],[N-R]]="N",BASE_DATOS[[#This Row],[Diseño]],"Reencauche")</f>
        <v>Reencauche</v>
      </c>
      <c r="I59" s="241" t="s">
        <v>282</v>
      </c>
      <c r="J59" s="243" t="s">
        <v>82</v>
      </c>
      <c r="K59" s="244">
        <v>22</v>
      </c>
      <c r="L59" s="241">
        <v>110</v>
      </c>
      <c r="M59" s="245"/>
      <c r="N59" s="247"/>
      <c r="O59" s="270"/>
      <c r="P59" s="271"/>
      <c r="Q59" s="272"/>
      <c r="R59" s="304" t="s">
        <v>108</v>
      </c>
      <c r="S59" s="299">
        <v>45385</v>
      </c>
      <c r="T59" s="300"/>
      <c r="U59" s="301"/>
      <c r="V59" s="216">
        <v>7</v>
      </c>
      <c r="W59" s="323"/>
      <c r="X59" s="324">
        <v>7</v>
      </c>
      <c r="Y59" s="162">
        <f t="shared" si="1"/>
        <v>7</v>
      </c>
      <c r="Z59" s="163" t="s">
        <v>85</v>
      </c>
      <c r="AA59" s="336">
        <f>IFERROR(BASE_DATOS[[#This Row],[NSK Original]]-BASE_DATOS[[#This Row],[NSK]]," ")</f>
        <v>15</v>
      </c>
      <c r="AB59" s="337">
        <f>'NSK-TRACTO'!$A$2</f>
        <v>6</v>
      </c>
      <c r="AC59" s="337">
        <f>IF(BASE_DATOS[[#This Row],[NSK]]&gt;=BASE_DATOS[[#This Row],[NSK Reen]],BASE_DATOS[[#This Row],[NSK Reen]],BASE_DATOS[[#This Row],[NSK]])</f>
        <v>6</v>
      </c>
      <c r="AD59" s="338">
        <f>IFERROR(100%-(BASE_DATOS[[#This Row],[NSK Reen]]/BASE_DATOS[[#This Row],[NSK Original]]),"")</f>
        <v>0.72727272727272729</v>
      </c>
      <c r="AE59" s="338">
        <f>IFERROR(100%-BASE_DATOS[[#This Row],[NSK]]/BASE_DATOS[[#This Row],[NSK Original]],"")</f>
        <v>0.68181818181818188</v>
      </c>
      <c r="AF59" s="338">
        <f>IFERROR(BASE_DATOS[[#This Row],[% Max Des.]]-BASE_DATOS[[#This Row],[% Des]],"")</f>
        <v>4.5454545454545414E-2</v>
      </c>
      <c r="AG59" s="287"/>
      <c r="AH59" s="273"/>
      <c r="AI59" s="355" t="str">
        <f>IF(OR(BASE_DATOS[[#This Row],[Hr.]]="",BASE_DATOS[[#This Row],[Hr. Actual]]=""),"",BASE_DATOS[[#This Row],[Hr. Actual]]-BASE_DATOS[[#This Row],[Hr.]]+BASE_DATOS[[#This Row],[Horas Acumuladas]])</f>
        <v/>
      </c>
      <c r="AJ59" s="356" t="str">
        <f>IFERROR(BASE_DATOS[[#This Row],[Precio US$]]/BASE_DATOS[[#This Row],[Horas Rodadas]],"")</f>
        <v/>
      </c>
      <c r="AK59" s="357" t="str">
        <f>IFERROR(BASE_DATOS[[#This Row],[Horas Rodadas]]/(BASE_DATOS[[#This Row],[NSK Original]]-BASE_DATOS[[#This Row],[NSK]]),"")</f>
        <v/>
      </c>
      <c r="AL59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9" s="358" t="str">
        <f>IFERROR(BASE_DATOS[[#This Row],[Precio US$]]/BASE_DATOS[[#This Row],[Horas Proy.]],"")</f>
        <v/>
      </c>
      <c r="AN59" s="165" t="str">
        <f>IF(OR(BASE_DATOS[[#This Row],[Km.]]="",BASE_DATOS[[#This Row],[Km. Actual]]=""),"",BASE_DATOS[[#This Row],[Km. Actual]]-BASE_DATOS[[#This Row],[Km.]]+BASE_DATOS[[#This Row],[Kilómetros Acumulados]])</f>
        <v/>
      </c>
      <c r="AO59" s="166" t="str">
        <f>IFERROR(BASE_DATOS[[#This Row],[Precio US$]]/BASE_DATOS[[#This Row],[Kilómetros Rodados]],"")</f>
        <v/>
      </c>
      <c r="AP59" s="165" t="str">
        <f>IFERROR(BASE_DATOS[[#This Row],[Kilómetros Rodados]]/(BASE_DATOS[[#This Row],[NSK Original]]-BASE_DATOS[[#This Row],[NSK]]),"")</f>
        <v/>
      </c>
      <c r="AQ59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9" s="166" t="str">
        <f>IFERROR(BASE_DATOS[[#This Row],[Precio US$]]/BASE_DATOS[[#This Row],[Kilómetros Proy.]],"")</f>
        <v/>
      </c>
      <c r="AS59" s="167" t="s">
        <v>62</v>
      </c>
      <c r="AT59" s="167" t="s">
        <v>515</v>
      </c>
      <c r="AU59" s="167"/>
      <c r="AV59" s="167"/>
      <c r="AW59" s="169" t="s">
        <v>429</v>
      </c>
      <c r="AX59" s="168"/>
      <c r="AY59" s="168" t="str">
        <f>CONCATENATE(BASE_DATOS[[#This Row],[Código_U]]&amp;BASE_DATOS[[#This Row],[Pos.]]&amp;BASE_DATOS[[#This Row],[Situación Actual]])</f>
        <v>SR-108RTRodando</v>
      </c>
    </row>
    <row r="60" spans="1:51" ht="12.75" customHeight="1" x14ac:dyDescent="0.25">
      <c r="A60" s="212" t="s">
        <v>121</v>
      </c>
      <c r="B60" s="213" t="s">
        <v>122</v>
      </c>
      <c r="C60" s="214" t="s">
        <v>296</v>
      </c>
      <c r="D60" s="215" t="s">
        <v>86</v>
      </c>
      <c r="E60" s="232" t="s">
        <v>388</v>
      </c>
      <c r="F60" s="233" t="s">
        <v>71</v>
      </c>
      <c r="G60" s="233" t="s">
        <v>271</v>
      </c>
      <c r="H60" s="234" t="str">
        <f>IF(BASE_DATOS[[#This Row],[N-R]]="N",BASE_DATOS[[#This Row],[Diseño]],"Reencauche")</f>
        <v>KMAX S</v>
      </c>
      <c r="I60" s="233" t="s">
        <v>287</v>
      </c>
      <c r="J60" s="235" t="s">
        <v>72</v>
      </c>
      <c r="K60" s="236">
        <v>15.8</v>
      </c>
      <c r="L60" s="233">
        <v>100</v>
      </c>
      <c r="M60" s="237"/>
      <c r="N60" s="239"/>
      <c r="O60" s="267"/>
      <c r="P60" s="268"/>
      <c r="Q60" s="269"/>
      <c r="R60" s="294" t="s">
        <v>98</v>
      </c>
      <c r="S60" s="303">
        <v>45384</v>
      </c>
      <c r="T60" s="296"/>
      <c r="U60" s="297"/>
      <c r="V60" s="212">
        <v>11</v>
      </c>
      <c r="W60" s="321">
        <v>13</v>
      </c>
      <c r="X60" s="322">
        <v>12</v>
      </c>
      <c r="Y60" s="186">
        <f t="shared" si="1"/>
        <v>11</v>
      </c>
      <c r="Z60" s="187" t="s">
        <v>85</v>
      </c>
      <c r="AA60" s="332">
        <f>IFERROR(BASE_DATOS[[#This Row],[NSK Original]]-BASE_DATOS[[#This Row],[NSK]]," ")</f>
        <v>4.8000000000000007</v>
      </c>
      <c r="AB60" s="333">
        <f>'NSK-TRACTO'!$A$2</f>
        <v>6</v>
      </c>
      <c r="AC60" s="333">
        <f>IF(BASE_DATOS[[#This Row],[NSK]]&gt;=BASE_DATOS[[#This Row],[NSK Reen]],BASE_DATOS[[#This Row],[NSK Reen]],BASE_DATOS[[#This Row],[NSK]])</f>
        <v>6</v>
      </c>
      <c r="AD60" s="334">
        <f>IFERROR(100%-(BASE_DATOS[[#This Row],[NSK Reen]]/BASE_DATOS[[#This Row],[NSK Original]]),"")</f>
        <v>0.620253164556962</v>
      </c>
      <c r="AE60" s="334">
        <f>IFERROR(100%-BASE_DATOS[[#This Row],[NSK]]/BASE_DATOS[[#This Row],[NSK Original]],"")</f>
        <v>0.30379746835443044</v>
      </c>
      <c r="AF60" s="334">
        <f>IFERROR(BASE_DATOS[[#This Row],[% Max Des.]]-BASE_DATOS[[#This Row],[% Des]],"")</f>
        <v>0.31645569620253156</v>
      </c>
      <c r="AG60" s="284"/>
      <c r="AH60" s="335"/>
      <c r="AI60" s="351" t="str">
        <f>IF(OR(BASE_DATOS[[#This Row],[Hr.]]="",BASE_DATOS[[#This Row],[Hr. Actual]]=""),"",BASE_DATOS[[#This Row],[Hr. Actual]]-BASE_DATOS[[#This Row],[Hr.]]+BASE_DATOS[[#This Row],[Horas Acumuladas]])</f>
        <v/>
      </c>
      <c r="AJ60" s="352" t="str">
        <f>IFERROR(BASE_DATOS[[#This Row],[Precio US$]]/BASE_DATOS[[#This Row],[Horas Rodadas]],"")</f>
        <v/>
      </c>
      <c r="AK60" s="353" t="str">
        <f>IFERROR(BASE_DATOS[[#This Row],[Horas Rodadas]]/(BASE_DATOS[[#This Row],[NSK Original]]-BASE_DATOS[[#This Row],[NSK]]),"")</f>
        <v/>
      </c>
      <c r="AL60" s="35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0" s="354" t="str">
        <f>IFERROR(BASE_DATOS[[#This Row],[Precio US$]]/BASE_DATOS[[#This Row],[Horas Proy.]],"")</f>
        <v/>
      </c>
      <c r="AN60" s="189" t="str">
        <f>IF(OR(BASE_DATOS[[#This Row],[Km.]]="",BASE_DATOS[[#This Row],[Km. Actual]]=""),"",BASE_DATOS[[#This Row],[Km. Actual]]-BASE_DATOS[[#This Row],[Km.]]+BASE_DATOS[[#This Row],[Kilómetros Acumulados]])</f>
        <v/>
      </c>
      <c r="AO60" s="190" t="str">
        <f>IFERROR(BASE_DATOS[[#This Row],[Precio US$]]/BASE_DATOS[[#This Row],[Kilómetros Rodados]],"")</f>
        <v/>
      </c>
      <c r="AP60" s="189" t="str">
        <f>IFERROR(BASE_DATOS[[#This Row],[Kilómetros Rodados]]/(BASE_DATOS[[#This Row],[NSK Original]]-BASE_DATOS[[#This Row],[NSK]]),"")</f>
        <v/>
      </c>
      <c r="AQ60" s="18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0" s="190" t="str">
        <f>IFERROR(BASE_DATOS[[#This Row],[Precio US$]]/BASE_DATOS[[#This Row],[Kilómetros Proy.]],"")</f>
        <v/>
      </c>
      <c r="AS60" s="191" t="s">
        <v>62</v>
      </c>
      <c r="AT60" s="191"/>
      <c r="AU60" s="191"/>
      <c r="AV60" s="191"/>
      <c r="AW60" s="193"/>
      <c r="AX60" s="193"/>
      <c r="AY60" s="193" t="str">
        <f>CONCATENATE(BASE_DATOS[[#This Row],[Código_U]]&amp;BASE_DATOS[[#This Row],[Pos.]]&amp;BASE_DATOS[[#This Row],[Situación Actual]])</f>
        <v>TC-1101Rodando</v>
      </c>
    </row>
    <row r="61" spans="1:51" ht="12.75" customHeight="1" x14ac:dyDescent="0.25">
      <c r="A61" s="216" t="s">
        <v>121</v>
      </c>
      <c r="B61" s="217" t="s">
        <v>122</v>
      </c>
      <c r="C61" s="218" t="s">
        <v>296</v>
      </c>
      <c r="D61" s="219" t="s">
        <v>86</v>
      </c>
      <c r="E61" s="248" t="s">
        <v>389</v>
      </c>
      <c r="F61" s="241" t="s">
        <v>71</v>
      </c>
      <c r="G61" s="241" t="s">
        <v>271</v>
      </c>
      <c r="H61" s="242" t="str">
        <f>IF(BASE_DATOS[[#This Row],[N-R]]="N",BASE_DATOS[[#This Row],[Diseño]],"Reencauche")</f>
        <v>KMAX S</v>
      </c>
      <c r="I61" s="241" t="s">
        <v>287</v>
      </c>
      <c r="J61" s="243" t="s">
        <v>72</v>
      </c>
      <c r="K61" s="244">
        <v>15.8</v>
      </c>
      <c r="L61" s="241">
        <v>100</v>
      </c>
      <c r="M61" s="245"/>
      <c r="N61" s="247"/>
      <c r="O61" s="270"/>
      <c r="P61" s="271"/>
      <c r="Q61" s="272"/>
      <c r="R61" s="298" t="s">
        <v>99</v>
      </c>
      <c r="S61" s="299">
        <v>45384</v>
      </c>
      <c r="T61" s="300"/>
      <c r="U61" s="301"/>
      <c r="V61" s="216">
        <v>11</v>
      </c>
      <c r="W61" s="323">
        <v>13</v>
      </c>
      <c r="X61" s="324">
        <v>12</v>
      </c>
      <c r="Y61" s="162">
        <f t="shared" si="1"/>
        <v>11</v>
      </c>
      <c r="Z61" s="161" t="s">
        <v>73</v>
      </c>
      <c r="AA61" s="336">
        <f>IFERROR(BASE_DATOS[[#This Row],[NSK Original]]-BASE_DATOS[[#This Row],[NSK]]," ")</f>
        <v>4.8000000000000007</v>
      </c>
      <c r="AB61" s="337">
        <f>'NSK-TRACTO'!$A$2</f>
        <v>6</v>
      </c>
      <c r="AC61" s="337">
        <f>IF(BASE_DATOS[[#This Row],[NSK]]&gt;=BASE_DATOS[[#This Row],[NSK Reen]],BASE_DATOS[[#This Row],[NSK Reen]],BASE_DATOS[[#This Row],[NSK]])</f>
        <v>6</v>
      </c>
      <c r="AD61" s="338">
        <f>IFERROR(100%-(BASE_DATOS[[#This Row],[NSK Reen]]/BASE_DATOS[[#This Row],[NSK Original]]),"")</f>
        <v>0.620253164556962</v>
      </c>
      <c r="AE61" s="338">
        <f>IFERROR(100%-BASE_DATOS[[#This Row],[NSK]]/BASE_DATOS[[#This Row],[NSK Original]],"")</f>
        <v>0.30379746835443044</v>
      </c>
      <c r="AF61" s="338">
        <f>IFERROR(BASE_DATOS[[#This Row],[% Max Des.]]-BASE_DATOS[[#This Row],[% Des]],"")</f>
        <v>0.31645569620253156</v>
      </c>
      <c r="AG61" s="287"/>
      <c r="AH61" s="273"/>
      <c r="AI61" s="355" t="str">
        <f>IF(OR(BASE_DATOS[[#This Row],[Hr.]]="",BASE_DATOS[[#This Row],[Hr. Actual]]=""),"",BASE_DATOS[[#This Row],[Hr. Actual]]-BASE_DATOS[[#This Row],[Hr.]]+BASE_DATOS[[#This Row],[Horas Acumuladas]])</f>
        <v/>
      </c>
      <c r="AJ61" s="356" t="str">
        <f>IFERROR(BASE_DATOS[[#This Row],[Precio US$]]/BASE_DATOS[[#This Row],[Horas Rodadas]],"")</f>
        <v/>
      </c>
      <c r="AK61" s="357" t="str">
        <f>IFERROR(BASE_DATOS[[#This Row],[Horas Rodadas]]/(BASE_DATOS[[#This Row],[NSK Original]]-BASE_DATOS[[#This Row],[NSK]]),"")</f>
        <v/>
      </c>
      <c r="AL61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1" s="358" t="str">
        <f>IFERROR(BASE_DATOS[[#This Row],[Precio US$]]/BASE_DATOS[[#This Row],[Horas Proy.]],"")</f>
        <v/>
      </c>
      <c r="AN61" s="165" t="str">
        <f>IF(OR(BASE_DATOS[[#This Row],[Km.]]="",BASE_DATOS[[#This Row],[Km. Actual]]=""),"",BASE_DATOS[[#This Row],[Km. Actual]]-BASE_DATOS[[#This Row],[Km.]]+BASE_DATOS[[#This Row],[Kilómetros Acumulados]])</f>
        <v/>
      </c>
      <c r="AO61" s="166" t="str">
        <f>IFERROR(BASE_DATOS[[#This Row],[Precio US$]]/BASE_DATOS[[#This Row],[Kilómetros Rodados]],"")</f>
        <v/>
      </c>
      <c r="AP61" s="165" t="str">
        <f>IFERROR(BASE_DATOS[[#This Row],[Kilómetros Rodados]]/(BASE_DATOS[[#This Row],[NSK Original]]-BASE_DATOS[[#This Row],[NSK]]),"")</f>
        <v/>
      </c>
      <c r="AQ61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1" s="166" t="str">
        <f>IFERROR(BASE_DATOS[[#This Row],[Precio US$]]/BASE_DATOS[[#This Row],[Kilómetros Proy.]],"")</f>
        <v/>
      </c>
      <c r="AS61" s="167" t="s">
        <v>62</v>
      </c>
      <c r="AT61" s="167"/>
      <c r="AU61" s="167"/>
      <c r="AV61" s="167"/>
      <c r="AW61" s="168"/>
      <c r="AX61" s="168"/>
      <c r="AY61" s="168" t="str">
        <f>CONCATENATE(BASE_DATOS[[#This Row],[Código_U]]&amp;BASE_DATOS[[#This Row],[Pos.]]&amp;BASE_DATOS[[#This Row],[Situación Actual]])</f>
        <v>TC-1102Rodando</v>
      </c>
    </row>
    <row r="62" spans="1:51" ht="12.75" customHeight="1" x14ac:dyDescent="0.25">
      <c r="A62" s="216" t="s">
        <v>121</v>
      </c>
      <c r="B62" s="217" t="s">
        <v>122</v>
      </c>
      <c r="C62" s="218" t="s">
        <v>296</v>
      </c>
      <c r="D62" s="219" t="s">
        <v>61</v>
      </c>
      <c r="E62" s="240"/>
      <c r="F62" s="241" t="s">
        <v>273</v>
      </c>
      <c r="G62" s="241" t="s">
        <v>271</v>
      </c>
      <c r="H62" s="242" t="str">
        <f>IF(BASE_DATOS[[#This Row],[N-R]]="N",BASE_DATOS[[#This Row],[Diseño]],"Reencauche")</f>
        <v>XMULTI2D</v>
      </c>
      <c r="I62" s="241" t="s">
        <v>299</v>
      </c>
      <c r="J62" s="243" t="s">
        <v>72</v>
      </c>
      <c r="K62" s="244">
        <v>21.4</v>
      </c>
      <c r="L62" s="241">
        <v>110</v>
      </c>
      <c r="M62" s="245"/>
      <c r="N62" s="247"/>
      <c r="O62" s="270"/>
      <c r="P62" s="271"/>
      <c r="Q62" s="272"/>
      <c r="R62" s="298" t="s">
        <v>100</v>
      </c>
      <c r="S62" s="299">
        <v>45384</v>
      </c>
      <c r="T62" s="300"/>
      <c r="U62" s="301"/>
      <c r="V62" s="216">
        <v>14</v>
      </c>
      <c r="W62" s="323"/>
      <c r="X62" s="324">
        <v>14</v>
      </c>
      <c r="Y62" s="162">
        <f t="shared" si="1"/>
        <v>14</v>
      </c>
      <c r="Z62" s="163" t="s">
        <v>85</v>
      </c>
      <c r="AA62" s="336">
        <f>IFERROR(BASE_DATOS[[#This Row],[NSK Original]]-BASE_DATOS[[#This Row],[NSK]]," ")</f>
        <v>7.3999999999999986</v>
      </c>
      <c r="AB62" s="337">
        <f>'NSK-TRACTO'!$A$2</f>
        <v>6</v>
      </c>
      <c r="AC62" s="337">
        <f>IF(BASE_DATOS[[#This Row],[NSK]]&gt;=BASE_DATOS[[#This Row],[NSK Reen]],BASE_DATOS[[#This Row],[NSK Reen]],BASE_DATOS[[#This Row],[NSK]])</f>
        <v>6</v>
      </c>
      <c r="AD62" s="338">
        <f>IFERROR(100%-(BASE_DATOS[[#This Row],[NSK Reen]]/BASE_DATOS[[#This Row],[NSK Original]]),"")</f>
        <v>0.71962616822429903</v>
      </c>
      <c r="AE62" s="338">
        <f>IFERROR(100%-BASE_DATOS[[#This Row],[NSK]]/BASE_DATOS[[#This Row],[NSK Original]],"")</f>
        <v>0.34579439252336441</v>
      </c>
      <c r="AF62" s="338">
        <f>IFERROR(BASE_DATOS[[#This Row],[% Max Des.]]-BASE_DATOS[[#This Row],[% Des]],"")</f>
        <v>0.37383177570093462</v>
      </c>
      <c r="AG62" s="287"/>
      <c r="AH62" s="273"/>
      <c r="AI62" s="355" t="str">
        <f>IF(OR(BASE_DATOS[[#This Row],[Hr.]]="",BASE_DATOS[[#This Row],[Hr. Actual]]=""),"",BASE_DATOS[[#This Row],[Hr. Actual]]-BASE_DATOS[[#This Row],[Hr.]]+BASE_DATOS[[#This Row],[Horas Acumuladas]])</f>
        <v/>
      </c>
      <c r="AJ62" s="356" t="str">
        <f>IFERROR(BASE_DATOS[[#This Row],[Precio US$]]/BASE_DATOS[[#This Row],[Horas Rodadas]],"")</f>
        <v/>
      </c>
      <c r="AK62" s="357" t="str">
        <f>IFERROR(BASE_DATOS[[#This Row],[Horas Rodadas]]/(BASE_DATOS[[#This Row],[NSK Original]]-BASE_DATOS[[#This Row],[NSK]]),"")</f>
        <v/>
      </c>
      <c r="AL62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2" s="358" t="str">
        <f>IFERROR(BASE_DATOS[[#This Row],[Precio US$]]/BASE_DATOS[[#This Row],[Horas Proy.]],"")</f>
        <v/>
      </c>
      <c r="AN62" s="165" t="str">
        <f>IF(OR(BASE_DATOS[[#This Row],[Km.]]="",BASE_DATOS[[#This Row],[Km. Actual]]=""),"",BASE_DATOS[[#This Row],[Km. Actual]]-BASE_DATOS[[#This Row],[Km.]]+BASE_DATOS[[#This Row],[Kilómetros Acumulados]])</f>
        <v/>
      </c>
      <c r="AO62" s="166" t="str">
        <f>IFERROR(BASE_DATOS[[#This Row],[Precio US$]]/BASE_DATOS[[#This Row],[Kilómetros Rodados]],"")</f>
        <v/>
      </c>
      <c r="AP62" s="165" t="str">
        <f>IFERROR(BASE_DATOS[[#This Row],[Kilómetros Rodados]]/(BASE_DATOS[[#This Row],[NSK Original]]-BASE_DATOS[[#This Row],[NSK]]),"")</f>
        <v/>
      </c>
      <c r="AQ62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2" s="166" t="str">
        <f>IFERROR(BASE_DATOS[[#This Row],[Precio US$]]/BASE_DATOS[[#This Row],[Kilómetros Proy.]],"")</f>
        <v/>
      </c>
      <c r="AS62" s="167" t="s">
        <v>62</v>
      </c>
      <c r="AT62" s="167"/>
      <c r="AU62" s="167"/>
      <c r="AV62" s="167"/>
      <c r="AW62" s="168"/>
      <c r="AX62" s="168"/>
      <c r="AY62" s="168" t="str">
        <f>CONCATENATE(BASE_DATOS[[#This Row],[Código_U]]&amp;BASE_DATOS[[#This Row],[Pos.]]&amp;BASE_DATOS[[#This Row],[Situación Actual]])</f>
        <v>TC-1103Rodando</v>
      </c>
    </row>
    <row r="63" spans="1:51" ht="12.75" customHeight="1" x14ac:dyDescent="0.25">
      <c r="A63" s="216" t="s">
        <v>121</v>
      </c>
      <c r="B63" s="217" t="s">
        <v>122</v>
      </c>
      <c r="C63" s="218" t="s">
        <v>296</v>
      </c>
      <c r="D63" s="219" t="s">
        <v>61</v>
      </c>
      <c r="E63" s="240"/>
      <c r="F63" s="241" t="s">
        <v>273</v>
      </c>
      <c r="G63" s="241" t="s">
        <v>271</v>
      </c>
      <c r="H63" s="242" t="str">
        <f>IF(BASE_DATOS[[#This Row],[N-R]]="N",BASE_DATOS[[#This Row],[Diseño]],"Reencauche")</f>
        <v>XMULTI2D</v>
      </c>
      <c r="I63" s="241" t="s">
        <v>299</v>
      </c>
      <c r="J63" s="243" t="s">
        <v>72</v>
      </c>
      <c r="K63" s="244">
        <v>21.4</v>
      </c>
      <c r="L63" s="241">
        <v>110</v>
      </c>
      <c r="M63" s="245"/>
      <c r="N63" s="247"/>
      <c r="O63" s="270"/>
      <c r="P63" s="271"/>
      <c r="Q63" s="272"/>
      <c r="R63" s="298" t="s">
        <v>101</v>
      </c>
      <c r="S63" s="299">
        <v>45384</v>
      </c>
      <c r="T63" s="300"/>
      <c r="U63" s="301"/>
      <c r="V63" s="216">
        <v>14</v>
      </c>
      <c r="W63" s="323"/>
      <c r="X63" s="324">
        <v>15</v>
      </c>
      <c r="Y63" s="162">
        <f t="shared" si="1"/>
        <v>14</v>
      </c>
      <c r="Z63" s="163" t="s">
        <v>85</v>
      </c>
      <c r="AA63" s="336">
        <f>IFERROR(BASE_DATOS[[#This Row],[NSK Original]]-BASE_DATOS[[#This Row],[NSK]]," ")</f>
        <v>7.3999999999999986</v>
      </c>
      <c r="AB63" s="337">
        <f>'NSK-TRACTO'!$A$2</f>
        <v>6</v>
      </c>
      <c r="AC63" s="337">
        <f>IF(BASE_DATOS[[#This Row],[NSK]]&gt;=BASE_DATOS[[#This Row],[NSK Reen]],BASE_DATOS[[#This Row],[NSK Reen]],BASE_DATOS[[#This Row],[NSK]])</f>
        <v>6</v>
      </c>
      <c r="AD63" s="338">
        <f>IFERROR(100%-(BASE_DATOS[[#This Row],[NSK Reen]]/BASE_DATOS[[#This Row],[NSK Original]]),"")</f>
        <v>0.71962616822429903</v>
      </c>
      <c r="AE63" s="338">
        <f>IFERROR(100%-BASE_DATOS[[#This Row],[NSK]]/BASE_DATOS[[#This Row],[NSK Original]],"")</f>
        <v>0.34579439252336441</v>
      </c>
      <c r="AF63" s="338">
        <f>IFERROR(BASE_DATOS[[#This Row],[% Max Des.]]-BASE_DATOS[[#This Row],[% Des]],"")</f>
        <v>0.37383177570093462</v>
      </c>
      <c r="AG63" s="287"/>
      <c r="AH63" s="273"/>
      <c r="AI63" s="355" t="str">
        <f>IF(OR(BASE_DATOS[[#This Row],[Hr.]]="",BASE_DATOS[[#This Row],[Hr. Actual]]=""),"",BASE_DATOS[[#This Row],[Hr. Actual]]-BASE_DATOS[[#This Row],[Hr.]]+BASE_DATOS[[#This Row],[Horas Acumuladas]])</f>
        <v/>
      </c>
      <c r="AJ63" s="356" t="str">
        <f>IFERROR(BASE_DATOS[[#This Row],[Precio US$]]/BASE_DATOS[[#This Row],[Horas Rodadas]],"")</f>
        <v/>
      </c>
      <c r="AK63" s="357" t="str">
        <f>IFERROR(BASE_DATOS[[#This Row],[Horas Rodadas]]/(BASE_DATOS[[#This Row],[NSK Original]]-BASE_DATOS[[#This Row],[NSK]]),"")</f>
        <v/>
      </c>
      <c r="AL63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3" s="358" t="str">
        <f>IFERROR(BASE_DATOS[[#This Row],[Precio US$]]/BASE_DATOS[[#This Row],[Horas Proy.]],"")</f>
        <v/>
      </c>
      <c r="AN63" s="165" t="str">
        <f>IF(OR(BASE_DATOS[[#This Row],[Km.]]="",BASE_DATOS[[#This Row],[Km. Actual]]=""),"",BASE_DATOS[[#This Row],[Km. Actual]]-BASE_DATOS[[#This Row],[Km.]]+BASE_DATOS[[#This Row],[Kilómetros Acumulados]])</f>
        <v/>
      </c>
      <c r="AO63" s="166" t="str">
        <f>IFERROR(BASE_DATOS[[#This Row],[Precio US$]]/BASE_DATOS[[#This Row],[Kilómetros Rodados]],"")</f>
        <v/>
      </c>
      <c r="AP63" s="165" t="str">
        <f>IFERROR(BASE_DATOS[[#This Row],[Kilómetros Rodados]]/(BASE_DATOS[[#This Row],[NSK Original]]-BASE_DATOS[[#This Row],[NSK]]),"")</f>
        <v/>
      </c>
      <c r="AQ63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3" s="166" t="str">
        <f>IFERROR(BASE_DATOS[[#This Row],[Precio US$]]/BASE_DATOS[[#This Row],[Kilómetros Proy.]],"")</f>
        <v/>
      </c>
      <c r="AS63" s="167" t="s">
        <v>62</v>
      </c>
      <c r="AT63" s="167"/>
      <c r="AU63" s="167"/>
      <c r="AV63" s="167"/>
      <c r="AW63" s="168"/>
      <c r="AX63" s="168"/>
      <c r="AY63" s="168" t="str">
        <f>CONCATENATE(BASE_DATOS[[#This Row],[Código_U]]&amp;BASE_DATOS[[#This Row],[Pos.]]&amp;BASE_DATOS[[#This Row],[Situación Actual]])</f>
        <v>TC-1104Rodando</v>
      </c>
    </row>
    <row r="64" spans="1:51" ht="12.75" customHeight="1" x14ac:dyDescent="0.25">
      <c r="A64" s="216" t="s">
        <v>121</v>
      </c>
      <c r="B64" s="217" t="s">
        <v>122</v>
      </c>
      <c r="C64" s="218" t="s">
        <v>296</v>
      </c>
      <c r="D64" s="219" t="s">
        <v>61</v>
      </c>
      <c r="E64" s="240"/>
      <c r="F64" s="241" t="s">
        <v>273</v>
      </c>
      <c r="G64" s="241" t="s">
        <v>271</v>
      </c>
      <c r="H64" s="242" t="str">
        <f>IF(BASE_DATOS[[#This Row],[N-R]]="N",BASE_DATOS[[#This Row],[Diseño]],"Reencauche")</f>
        <v>XMULTI2D</v>
      </c>
      <c r="I64" s="241" t="s">
        <v>299</v>
      </c>
      <c r="J64" s="243" t="s">
        <v>72</v>
      </c>
      <c r="K64" s="244">
        <v>21.4</v>
      </c>
      <c r="L64" s="241">
        <v>110</v>
      </c>
      <c r="M64" s="245"/>
      <c r="N64" s="247"/>
      <c r="O64" s="270"/>
      <c r="P64" s="271"/>
      <c r="Q64" s="272"/>
      <c r="R64" s="298" t="s">
        <v>102</v>
      </c>
      <c r="S64" s="299">
        <v>45384</v>
      </c>
      <c r="T64" s="300"/>
      <c r="U64" s="301"/>
      <c r="V64" s="216">
        <v>15</v>
      </c>
      <c r="W64" s="323"/>
      <c r="X64" s="324">
        <v>15</v>
      </c>
      <c r="Y64" s="162">
        <f t="shared" si="1"/>
        <v>15</v>
      </c>
      <c r="Z64" s="163" t="s">
        <v>85</v>
      </c>
      <c r="AA64" s="336">
        <f>IFERROR(BASE_DATOS[[#This Row],[NSK Original]]-BASE_DATOS[[#This Row],[NSK]]," ")</f>
        <v>6.3999999999999986</v>
      </c>
      <c r="AB64" s="337">
        <f>'NSK-TRACTO'!$A$2</f>
        <v>6</v>
      </c>
      <c r="AC64" s="337">
        <f>IF(BASE_DATOS[[#This Row],[NSK]]&gt;=BASE_DATOS[[#This Row],[NSK Reen]],BASE_DATOS[[#This Row],[NSK Reen]],BASE_DATOS[[#This Row],[NSK]])</f>
        <v>6</v>
      </c>
      <c r="AD64" s="338">
        <f>IFERROR(100%-(BASE_DATOS[[#This Row],[NSK Reen]]/BASE_DATOS[[#This Row],[NSK Original]]),"")</f>
        <v>0.71962616822429903</v>
      </c>
      <c r="AE64" s="338">
        <f>IFERROR(100%-BASE_DATOS[[#This Row],[NSK]]/BASE_DATOS[[#This Row],[NSK Original]],"")</f>
        <v>0.29906542056074759</v>
      </c>
      <c r="AF64" s="338">
        <f>IFERROR(BASE_DATOS[[#This Row],[% Max Des.]]-BASE_DATOS[[#This Row],[% Des]],"")</f>
        <v>0.42056074766355145</v>
      </c>
      <c r="AG64" s="287"/>
      <c r="AH64" s="273"/>
      <c r="AI64" s="355" t="str">
        <f>IF(OR(BASE_DATOS[[#This Row],[Hr.]]="",BASE_DATOS[[#This Row],[Hr. Actual]]=""),"",BASE_DATOS[[#This Row],[Hr. Actual]]-BASE_DATOS[[#This Row],[Hr.]]+BASE_DATOS[[#This Row],[Horas Acumuladas]])</f>
        <v/>
      </c>
      <c r="AJ64" s="356" t="str">
        <f>IFERROR(BASE_DATOS[[#This Row],[Precio US$]]/BASE_DATOS[[#This Row],[Horas Rodadas]],"")</f>
        <v/>
      </c>
      <c r="AK64" s="357" t="str">
        <f>IFERROR(BASE_DATOS[[#This Row],[Horas Rodadas]]/(BASE_DATOS[[#This Row],[NSK Original]]-BASE_DATOS[[#This Row],[NSK]]),"")</f>
        <v/>
      </c>
      <c r="AL64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4" s="358" t="str">
        <f>IFERROR(BASE_DATOS[[#This Row],[Precio US$]]/BASE_DATOS[[#This Row],[Horas Proy.]],"")</f>
        <v/>
      </c>
      <c r="AN64" s="165" t="str">
        <f>IF(OR(BASE_DATOS[[#This Row],[Km.]]="",BASE_DATOS[[#This Row],[Km. Actual]]=""),"",BASE_DATOS[[#This Row],[Km. Actual]]-BASE_DATOS[[#This Row],[Km.]]+BASE_DATOS[[#This Row],[Kilómetros Acumulados]])</f>
        <v/>
      </c>
      <c r="AO64" s="166" t="str">
        <f>IFERROR(BASE_DATOS[[#This Row],[Precio US$]]/BASE_DATOS[[#This Row],[Kilómetros Rodados]],"")</f>
        <v/>
      </c>
      <c r="AP64" s="165" t="str">
        <f>IFERROR(BASE_DATOS[[#This Row],[Kilómetros Rodados]]/(BASE_DATOS[[#This Row],[NSK Original]]-BASE_DATOS[[#This Row],[NSK]]),"")</f>
        <v/>
      </c>
      <c r="AQ64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4" s="166" t="str">
        <f>IFERROR(BASE_DATOS[[#This Row],[Precio US$]]/BASE_DATOS[[#This Row],[Kilómetros Proy.]],"")</f>
        <v/>
      </c>
      <c r="AS64" s="167" t="s">
        <v>62</v>
      </c>
      <c r="AT64" s="167"/>
      <c r="AU64" s="167"/>
      <c r="AV64" s="167"/>
      <c r="AW64" s="168"/>
      <c r="AX64" s="168"/>
      <c r="AY64" s="168" t="str">
        <f>CONCATENATE(BASE_DATOS[[#This Row],[Código_U]]&amp;BASE_DATOS[[#This Row],[Pos.]]&amp;BASE_DATOS[[#This Row],[Situación Actual]])</f>
        <v>TC-1105Rodando</v>
      </c>
    </row>
    <row r="65" spans="1:51" ht="12.75" customHeight="1" x14ac:dyDescent="0.25">
      <c r="A65" s="216" t="s">
        <v>121</v>
      </c>
      <c r="B65" s="217" t="s">
        <v>122</v>
      </c>
      <c r="C65" s="218" t="s">
        <v>296</v>
      </c>
      <c r="D65" s="219" t="s">
        <v>61</v>
      </c>
      <c r="E65" s="240"/>
      <c r="F65" s="241" t="s">
        <v>273</v>
      </c>
      <c r="G65" s="241" t="s">
        <v>271</v>
      </c>
      <c r="H65" s="242" t="str">
        <f>IF(BASE_DATOS[[#This Row],[N-R]]="N",BASE_DATOS[[#This Row],[Diseño]],"Reencauche")</f>
        <v>XMULTI2D</v>
      </c>
      <c r="I65" s="241" t="s">
        <v>299</v>
      </c>
      <c r="J65" s="243" t="s">
        <v>72</v>
      </c>
      <c r="K65" s="244">
        <v>21.4</v>
      </c>
      <c r="L65" s="241">
        <v>110</v>
      </c>
      <c r="M65" s="245"/>
      <c r="N65" s="247"/>
      <c r="O65" s="270"/>
      <c r="P65" s="271"/>
      <c r="Q65" s="273"/>
      <c r="R65" s="298" t="s">
        <v>103</v>
      </c>
      <c r="S65" s="299">
        <v>45384</v>
      </c>
      <c r="T65" s="300"/>
      <c r="U65" s="301"/>
      <c r="V65" s="216">
        <v>15</v>
      </c>
      <c r="W65" s="323"/>
      <c r="X65" s="324">
        <v>15</v>
      </c>
      <c r="Y65" s="162">
        <f t="shared" si="1"/>
        <v>15</v>
      </c>
      <c r="Z65" s="163" t="s">
        <v>85</v>
      </c>
      <c r="AA65" s="336">
        <f>IFERROR(BASE_DATOS[[#This Row],[NSK Original]]-BASE_DATOS[[#This Row],[NSK]]," ")</f>
        <v>6.3999999999999986</v>
      </c>
      <c r="AB65" s="337">
        <f>'NSK-TRACTO'!$A$2</f>
        <v>6</v>
      </c>
      <c r="AC65" s="337">
        <f>IF(BASE_DATOS[[#This Row],[NSK]]&gt;=BASE_DATOS[[#This Row],[NSK Reen]],BASE_DATOS[[#This Row],[NSK Reen]],BASE_DATOS[[#This Row],[NSK]])</f>
        <v>6</v>
      </c>
      <c r="AD65" s="338">
        <f>IFERROR(100%-(BASE_DATOS[[#This Row],[NSK Reen]]/BASE_DATOS[[#This Row],[NSK Original]]),"")</f>
        <v>0.71962616822429903</v>
      </c>
      <c r="AE65" s="338">
        <f>IFERROR(100%-BASE_DATOS[[#This Row],[NSK]]/BASE_DATOS[[#This Row],[NSK Original]],"")</f>
        <v>0.29906542056074759</v>
      </c>
      <c r="AF65" s="338">
        <f>IFERROR(BASE_DATOS[[#This Row],[% Max Des.]]-BASE_DATOS[[#This Row],[% Des]],"")</f>
        <v>0.42056074766355145</v>
      </c>
      <c r="AG65" s="287"/>
      <c r="AH65" s="273"/>
      <c r="AI65" s="355" t="str">
        <f>IF(OR(BASE_DATOS[[#This Row],[Hr.]]="",BASE_DATOS[[#This Row],[Hr. Actual]]=""),"",BASE_DATOS[[#This Row],[Hr. Actual]]-BASE_DATOS[[#This Row],[Hr.]]+BASE_DATOS[[#This Row],[Horas Acumuladas]])</f>
        <v/>
      </c>
      <c r="AJ65" s="356" t="str">
        <f>IFERROR(BASE_DATOS[[#This Row],[Precio US$]]/BASE_DATOS[[#This Row],[Horas Rodadas]],"")</f>
        <v/>
      </c>
      <c r="AK65" s="357" t="str">
        <f>IFERROR(BASE_DATOS[[#This Row],[Horas Rodadas]]/(BASE_DATOS[[#This Row],[NSK Original]]-BASE_DATOS[[#This Row],[NSK]]),"")</f>
        <v/>
      </c>
      <c r="AL65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5" s="358" t="str">
        <f>IFERROR(BASE_DATOS[[#This Row],[Precio US$]]/BASE_DATOS[[#This Row],[Horas Proy.]],"")</f>
        <v/>
      </c>
      <c r="AN65" s="165" t="str">
        <f>IF(OR(BASE_DATOS[[#This Row],[Km.]]="",BASE_DATOS[[#This Row],[Km. Actual]]=""),"",BASE_DATOS[[#This Row],[Km. Actual]]-BASE_DATOS[[#This Row],[Km.]]+BASE_DATOS[[#This Row],[Kilómetros Acumulados]])</f>
        <v/>
      </c>
      <c r="AO65" s="166" t="str">
        <f>IFERROR(BASE_DATOS[[#This Row],[Precio US$]]/BASE_DATOS[[#This Row],[Kilómetros Rodados]],"")</f>
        <v/>
      </c>
      <c r="AP65" s="165" t="str">
        <f>IFERROR(BASE_DATOS[[#This Row],[Kilómetros Rodados]]/(BASE_DATOS[[#This Row],[NSK Original]]-BASE_DATOS[[#This Row],[NSK]]),"")</f>
        <v/>
      </c>
      <c r="AQ65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5" s="166" t="str">
        <f>IFERROR(BASE_DATOS[[#This Row],[Precio US$]]/BASE_DATOS[[#This Row],[Kilómetros Proy.]],"")</f>
        <v/>
      </c>
      <c r="AS65" s="167" t="s">
        <v>62</v>
      </c>
      <c r="AT65" s="167"/>
      <c r="AU65" s="167"/>
      <c r="AV65" s="167"/>
      <c r="AW65" s="168"/>
      <c r="AX65" s="168"/>
      <c r="AY65" s="168" t="str">
        <f>CONCATENATE(BASE_DATOS[[#This Row],[Código_U]]&amp;BASE_DATOS[[#This Row],[Pos.]]&amp;BASE_DATOS[[#This Row],[Situación Actual]])</f>
        <v>TC-1106Rodando</v>
      </c>
    </row>
    <row r="66" spans="1:51" ht="12.75" customHeight="1" x14ac:dyDescent="0.25">
      <c r="A66" s="216" t="s">
        <v>121</v>
      </c>
      <c r="B66" s="217" t="s">
        <v>122</v>
      </c>
      <c r="C66" s="218" t="s">
        <v>296</v>
      </c>
      <c r="D66" s="219" t="s">
        <v>61</v>
      </c>
      <c r="E66" s="240"/>
      <c r="F66" s="241" t="s">
        <v>278</v>
      </c>
      <c r="G66" s="241" t="s">
        <v>271</v>
      </c>
      <c r="H66" s="242" t="str">
        <f>IF(BASE_DATOS[[#This Row],[N-R]]="N",BASE_DATOS[[#This Row],[Diseño]],"Reencauche")</f>
        <v>Reencauche</v>
      </c>
      <c r="I66" s="241" t="s">
        <v>282</v>
      </c>
      <c r="J66" s="243" t="s">
        <v>82</v>
      </c>
      <c r="K66" s="244">
        <v>22</v>
      </c>
      <c r="L66" s="241">
        <v>110</v>
      </c>
      <c r="M66" s="245"/>
      <c r="N66" s="247"/>
      <c r="O66" s="270"/>
      <c r="P66" s="271"/>
      <c r="Q66" s="272"/>
      <c r="R66" s="298" t="s">
        <v>104</v>
      </c>
      <c r="S66" s="299">
        <v>45384</v>
      </c>
      <c r="T66" s="300"/>
      <c r="U66" s="301"/>
      <c r="V66" s="216">
        <v>19</v>
      </c>
      <c r="W66" s="323"/>
      <c r="X66" s="324">
        <v>19</v>
      </c>
      <c r="Y66" s="162">
        <f t="shared" si="1"/>
        <v>19</v>
      </c>
      <c r="Z66" s="163" t="s">
        <v>85</v>
      </c>
      <c r="AA66" s="336">
        <f>IFERROR(BASE_DATOS[[#This Row],[NSK Original]]-BASE_DATOS[[#This Row],[NSK]]," ")</f>
        <v>3</v>
      </c>
      <c r="AB66" s="337">
        <f>'NSK-TRACTO'!$A$2</f>
        <v>6</v>
      </c>
      <c r="AC66" s="337">
        <f>IF(BASE_DATOS[[#This Row],[NSK]]&gt;=BASE_DATOS[[#This Row],[NSK Reen]],BASE_DATOS[[#This Row],[NSK Reen]],BASE_DATOS[[#This Row],[NSK]])</f>
        <v>6</v>
      </c>
      <c r="AD66" s="338">
        <f>IFERROR(100%-(BASE_DATOS[[#This Row],[NSK Reen]]/BASE_DATOS[[#This Row],[NSK Original]]),"")</f>
        <v>0.72727272727272729</v>
      </c>
      <c r="AE66" s="338">
        <f>IFERROR(100%-BASE_DATOS[[#This Row],[NSK]]/BASE_DATOS[[#This Row],[NSK Original]],"")</f>
        <v>0.13636363636363635</v>
      </c>
      <c r="AF66" s="338">
        <f>IFERROR(BASE_DATOS[[#This Row],[% Max Des.]]-BASE_DATOS[[#This Row],[% Des]],"")</f>
        <v>0.59090909090909094</v>
      </c>
      <c r="AG66" s="287"/>
      <c r="AH66" s="273"/>
      <c r="AI66" s="355" t="str">
        <f>IF(OR(BASE_DATOS[[#This Row],[Hr.]]="",BASE_DATOS[[#This Row],[Hr. Actual]]=""),"",BASE_DATOS[[#This Row],[Hr. Actual]]-BASE_DATOS[[#This Row],[Hr.]]+BASE_DATOS[[#This Row],[Horas Acumuladas]])</f>
        <v/>
      </c>
      <c r="AJ66" s="356" t="str">
        <f>IFERROR(BASE_DATOS[[#This Row],[Precio US$]]/BASE_DATOS[[#This Row],[Horas Rodadas]],"")</f>
        <v/>
      </c>
      <c r="AK66" s="357" t="str">
        <f>IFERROR(BASE_DATOS[[#This Row],[Horas Rodadas]]/(BASE_DATOS[[#This Row],[NSK Original]]-BASE_DATOS[[#This Row],[NSK]]),"")</f>
        <v/>
      </c>
      <c r="AL66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6" s="358" t="str">
        <f>IFERROR(BASE_DATOS[[#This Row],[Precio US$]]/BASE_DATOS[[#This Row],[Horas Proy.]],"")</f>
        <v/>
      </c>
      <c r="AN66" s="165" t="str">
        <f>IF(OR(BASE_DATOS[[#This Row],[Km.]]="",BASE_DATOS[[#This Row],[Km. Actual]]=""),"",BASE_DATOS[[#This Row],[Km. Actual]]-BASE_DATOS[[#This Row],[Km.]]+BASE_DATOS[[#This Row],[Kilómetros Acumulados]])</f>
        <v/>
      </c>
      <c r="AO66" s="166" t="str">
        <f>IFERROR(BASE_DATOS[[#This Row],[Precio US$]]/BASE_DATOS[[#This Row],[Kilómetros Rodados]],"")</f>
        <v/>
      </c>
      <c r="AP66" s="165" t="str">
        <f>IFERROR(BASE_DATOS[[#This Row],[Kilómetros Rodados]]/(BASE_DATOS[[#This Row],[NSK Original]]-BASE_DATOS[[#This Row],[NSK]]),"")</f>
        <v/>
      </c>
      <c r="AQ66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6" s="166" t="str">
        <f>IFERROR(BASE_DATOS[[#This Row],[Precio US$]]/BASE_DATOS[[#This Row],[Kilómetros Proy.]],"")</f>
        <v/>
      </c>
      <c r="AS66" s="167" t="s">
        <v>62</v>
      </c>
      <c r="AT66" s="167"/>
      <c r="AU66" s="167"/>
      <c r="AV66" s="167"/>
      <c r="AW66" s="168"/>
      <c r="AX66" s="168"/>
      <c r="AY66" s="168" t="str">
        <f>CONCATENATE(BASE_DATOS[[#This Row],[Código_U]]&amp;BASE_DATOS[[#This Row],[Pos.]]&amp;BASE_DATOS[[#This Row],[Situación Actual]])</f>
        <v>TC-1107Rodando</v>
      </c>
    </row>
    <row r="67" spans="1:51" ht="12.75" customHeight="1" x14ac:dyDescent="0.25">
      <c r="A67" s="216" t="s">
        <v>121</v>
      </c>
      <c r="B67" s="217" t="s">
        <v>122</v>
      </c>
      <c r="C67" s="218" t="s">
        <v>296</v>
      </c>
      <c r="D67" s="219" t="s">
        <v>61</v>
      </c>
      <c r="E67" s="240"/>
      <c r="F67" s="241" t="s">
        <v>278</v>
      </c>
      <c r="G67" s="241" t="s">
        <v>271</v>
      </c>
      <c r="H67" s="242" t="str">
        <f>IF(BASE_DATOS[[#This Row],[N-R]]="N",BASE_DATOS[[#This Row],[Diseño]],"Reencauche")</f>
        <v>Reencauche</v>
      </c>
      <c r="I67" s="241" t="s">
        <v>282</v>
      </c>
      <c r="J67" s="243" t="s">
        <v>82</v>
      </c>
      <c r="K67" s="244">
        <v>22</v>
      </c>
      <c r="L67" s="241">
        <v>110</v>
      </c>
      <c r="M67" s="245"/>
      <c r="N67" s="247"/>
      <c r="O67" s="270"/>
      <c r="P67" s="271"/>
      <c r="Q67" s="272"/>
      <c r="R67" s="298" t="s">
        <v>105</v>
      </c>
      <c r="S67" s="299">
        <v>45384</v>
      </c>
      <c r="T67" s="300"/>
      <c r="U67" s="301"/>
      <c r="V67" s="216">
        <v>18</v>
      </c>
      <c r="W67" s="323"/>
      <c r="X67" s="324">
        <v>18</v>
      </c>
      <c r="Y67" s="162">
        <f t="shared" si="1"/>
        <v>18</v>
      </c>
      <c r="Z67" s="163" t="s">
        <v>85</v>
      </c>
      <c r="AA67" s="336">
        <f>IFERROR(BASE_DATOS[[#This Row],[NSK Original]]-BASE_DATOS[[#This Row],[NSK]]," ")</f>
        <v>4</v>
      </c>
      <c r="AB67" s="337">
        <f>'NSK-TRACTO'!$A$2</f>
        <v>6</v>
      </c>
      <c r="AC67" s="337">
        <f>IF(BASE_DATOS[[#This Row],[NSK]]&gt;=BASE_DATOS[[#This Row],[NSK Reen]],BASE_DATOS[[#This Row],[NSK Reen]],BASE_DATOS[[#This Row],[NSK]])</f>
        <v>6</v>
      </c>
      <c r="AD67" s="338">
        <f>IFERROR(100%-(BASE_DATOS[[#This Row],[NSK Reen]]/BASE_DATOS[[#This Row],[NSK Original]]),"")</f>
        <v>0.72727272727272729</v>
      </c>
      <c r="AE67" s="338">
        <f>IFERROR(100%-BASE_DATOS[[#This Row],[NSK]]/BASE_DATOS[[#This Row],[NSK Original]],"")</f>
        <v>0.18181818181818177</v>
      </c>
      <c r="AF67" s="338">
        <f>IFERROR(BASE_DATOS[[#This Row],[% Max Des.]]-BASE_DATOS[[#This Row],[% Des]],"")</f>
        <v>0.54545454545454553</v>
      </c>
      <c r="AG67" s="287"/>
      <c r="AH67" s="273"/>
      <c r="AI67" s="355" t="str">
        <f>IF(OR(BASE_DATOS[[#This Row],[Hr.]]="",BASE_DATOS[[#This Row],[Hr. Actual]]=""),"",BASE_DATOS[[#This Row],[Hr. Actual]]-BASE_DATOS[[#This Row],[Hr.]]+BASE_DATOS[[#This Row],[Horas Acumuladas]])</f>
        <v/>
      </c>
      <c r="AJ67" s="356" t="str">
        <f>IFERROR(BASE_DATOS[[#This Row],[Precio US$]]/BASE_DATOS[[#This Row],[Horas Rodadas]],"")</f>
        <v/>
      </c>
      <c r="AK67" s="357" t="str">
        <f>IFERROR(BASE_DATOS[[#This Row],[Horas Rodadas]]/(BASE_DATOS[[#This Row],[NSK Original]]-BASE_DATOS[[#This Row],[NSK]]),"")</f>
        <v/>
      </c>
      <c r="AL67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7" s="358" t="str">
        <f>IFERROR(BASE_DATOS[[#This Row],[Precio US$]]/BASE_DATOS[[#This Row],[Horas Proy.]],"")</f>
        <v/>
      </c>
      <c r="AN67" s="165" t="str">
        <f>IF(OR(BASE_DATOS[[#This Row],[Km.]]="",BASE_DATOS[[#This Row],[Km. Actual]]=""),"",BASE_DATOS[[#This Row],[Km. Actual]]-BASE_DATOS[[#This Row],[Km.]]+BASE_DATOS[[#This Row],[Kilómetros Acumulados]])</f>
        <v/>
      </c>
      <c r="AO67" s="166" t="str">
        <f>IFERROR(BASE_DATOS[[#This Row],[Precio US$]]/BASE_DATOS[[#This Row],[Kilómetros Rodados]],"")</f>
        <v/>
      </c>
      <c r="AP67" s="165" t="str">
        <f>IFERROR(BASE_DATOS[[#This Row],[Kilómetros Rodados]]/(BASE_DATOS[[#This Row],[NSK Original]]-BASE_DATOS[[#This Row],[NSK]]),"")</f>
        <v/>
      </c>
      <c r="AQ67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7" s="166" t="str">
        <f>IFERROR(BASE_DATOS[[#This Row],[Precio US$]]/BASE_DATOS[[#This Row],[Kilómetros Proy.]],"")</f>
        <v/>
      </c>
      <c r="AS67" s="167" t="s">
        <v>62</v>
      </c>
      <c r="AT67" s="167"/>
      <c r="AU67" s="167"/>
      <c r="AV67" s="167"/>
      <c r="AW67" s="168"/>
      <c r="AX67" s="168"/>
      <c r="AY67" s="168" t="str">
        <f>CONCATENATE(BASE_DATOS[[#This Row],[Código_U]]&amp;BASE_DATOS[[#This Row],[Pos.]]&amp;BASE_DATOS[[#This Row],[Situación Actual]])</f>
        <v>TC-1108Rodando</v>
      </c>
    </row>
    <row r="68" spans="1:51" ht="12.75" customHeight="1" x14ac:dyDescent="0.25">
      <c r="A68" s="216" t="s">
        <v>121</v>
      </c>
      <c r="B68" s="217" t="s">
        <v>122</v>
      </c>
      <c r="C68" s="218" t="s">
        <v>296</v>
      </c>
      <c r="D68" s="219" t="s">
        <v>61</v>
      </c>
      <c r="E68" s="240"/>
      <c r="F68" s="241" t="s">
        <v>278</v>
      </c>
      <c r="G68" s="241" t="s">
        <v>271</v>
      </c>
      <c r="H68" s="242" t="str">
        <f>IF(BASE_DATOS[[#This Row],[N-R]]="N",BASE_DATOS[[#This Row],[Diseño]],"Reencauche")</f>
        <v>Reencauche</v>
      </c>
      <c r="I68" s="241" t="s">
        <v>282</v>
      </c>
      <c r="J68" s="243" t="s">
        <v>82</v>
      </c>
      <c r="K68" s="244">
        <v>22</v>
      </c>
      <c r="L68" s="241">
        <v>110</v>
      </c>
      <c r="M68" s="245"/>
      <c r="N68" s="247"/>
      <c r="O68" s="270"/>
      <c r="P68" s="271"/>
      <c r="Q68" s="272"/>
      <c r="R68" s="298" t="s">
        <v>106</v>
      </c>
      <c r="S68" s="299">
        <v>45384</v>
      </c>
      <c r="T68" s="300"/>
      <c r="U68" s="301"/>
      <c r="V68" s="216">
        <v>18</v>
      </c>
      <c r="W68" s="323"/>
      <c r="X68" s="324">
        <v>18</v>
      </c>
      <c r="Y68" s="162">
        <f t="shared" ref="Y68:Y99" si="2">IFERROR(MIN(V68:X68),"")</f>
        <v>18</v>
      </c>
      <c r="Z68" s="163" t="s">
        <v>85</v>
      </c>
      <c r="AA68" s="336">
        <f>IFERROR(BASE_DATOS[[#This Row],[NSK Original]]-BASE_DATOS[[#This Row],[NSK]]," ")</f>
        <v>4</v>
      </c>
      <c r="AB68" s="337">
        <f>'NSK-TRACTO'!$A$2</f>
        <v>6</v>
      </c>
      <c r="AC68" s="337">
        <f>IF(BASE_DATOS[[#This Row],[NSK]]&gt;=BASE_DATOS[[#This Row],[NSK Reen]],BASE_DATOS[[#This Row],[NSK Reen]],BASE_DATOS[[#This Row],[NSK]])</f>
        <v>6</v>
      </c>
      <c r="AD68" s="338">
        <f>IFERROR(100%-(BASE_DATOS[[#This Row],[NSK Reen]]/BASE_DATOS[[#This Row],[NSK Original]]),"")</f>
        <v>0.72727272727272729</v>
      </c>
      <c r="AE68" s="338">
        <f>IFERROR(100%-BASE_DATOS[[#This Row],[NSK]]/BASE_DATOS[[#This Row],[NSK Original]],"")</f>
        <v>0.18181818181818177</v>
      </c>
      <c r="AF68" s="338">
        <f>IFERROR(BASE_DATOS[[#This Row],[% Max Des.]]-BASE_DATOS[[#This Row],[% Des]],"")</f>
        <v>0.54545454545454553</v>
      </c>
      <c r="AG68" s="287"/>
      <c r="AH68" s="273"/>
      <c r="AI68" s="355" t="str">
        <f>IF(OR(BASE_DATOS[[#This Row],[Hr.]]="",BASE_DATOS[[#This Row],[Hr. Actual]]=""),"",BASE_DATOS[[#This Row],[Hr. Actual]]-BASE_DATOS[[#This Row],[Hr.]]+BASE_DATOS[[#This Row],[Horas Acumuladas]])</f>
        <v/>
      </c>
      <c r="AJ68" s="356" t="str">
        <f>IFERROR(BASE_DATOS[[#This Row],[Precio US$]]/BASE_DATOS[[#This Row],[Horas Rodadas]],"")</f>
        <v/>
      </c>
      <c r="AK68" s="357" t="str">
        <f>IFERROR(BASE_DATOS[[#This Row],[Horas Rodadas]]/(BASE_DATOS[[#This Row],[NSK Original]]-BASE_DATOS[[#This Row],[NSK]]),"")</f>
        <v/>
      </c>
      <c r="AL68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8" s="358" t="str">
        <f>IFERROR(BASE_DATOS[[#This Row],[Precio US$]]/BASE_DATOS[[#This Row],[Horas Proy.]],"")</f>
        <v/>
      </c>
      <c r="AN68" s="165" t="str">
        <f>IF(OR(BASE_DATOS[[#This Row],[Km.]]="",BASE_DATOS[[#This Row],[Km. Actual]]=""),"",BASE_DATOS[[#This Row],[Km. Actual]]-BASE_DATOS[[#This Row],[Km.]]+BASE_DATOS[[#This Row],[Kilómetros Acumulados]])</f>
        <v/>
      </c>
      <c r="AO68" s="166" t="str">
        <f>IFERROR(BASE_DATOS[[#This Row],[Precio US$]]/BASE_DATOS[[#This Row],[Kilómetros Rodados]],"")</f>
        <v/>
      </c>
      <c r="AP68" s="165" t="str">
        <f>IFERROR(BASE_DATOS[[#This Row],[Kilómetros Rodados]]/(BASE_DATOS[[#This Row],[NSK Original]]-BASE_DATOS[[#This Row],[NSK]]),"")</f>
        <v/>
      </c>
      <c r="AQ68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8" s="166" t="str">
        <f>IFERROR(BASE_DATOS[[#This Row],[Precio US$]]/BASE_DATOS[[#This Row],[Kilómetros Proy.]],"")</f>
        <v/>
      </c>
      <c r="AS68" s="167" t="s">
        <v>62</v>
      </c>
      <c r="AT68" s="167"/>
      <c r="AU68" s="167"/>
      <c r="AV68" s="167"/>
      <c r="AW68" s="168"/>
      <c r="AX68" s="168"/>
      <c r="AY68" s="168" t="str">
        <f>CONCATENATE(BASE_DATOS[[#This Row],[Código_U]]&amp;BASE_DATOS[[#This Row],[Pos.]]&amp;BASE_DATOS[[#This Row],[Situación Actual]])</f>
        <v>TC-1109Rodando</v>
      </c>
    </row>
    <row r="69" spans="1:51" ht="12.75" customHeight="1" x14ac:dyDescent="0.25">
      <c r="A69" s="216" t="s">
        <v>121</v>
      </c>
      <c r="B69" s="217" t="s">
        <v>122</v>
      </c>
      <c r="C69" s="218" t="s">
        <v>296</v>
      </c>
      <c r="D69" s="219" t="s">
        <v>61</v>
      </c>
      <c r="E69" s="240"/>
      <c r="F69" s="241" t="s">
        <v>278</v>
      </c>
      <c r="G69" s="241" t="s">
        <v>271</v>
      </c>
      <c r="H69" s="242" t="str">
        <f>IF(BASE_DATOS[[#This Row],[N-R]]="N",BASE_DATOS[[#This Row],[Diseño]],"Reencauche")</f>
        <v>Reencauche</v>
      </c>
      <c r="I69" s="241" t="s">
        <v>282</v>
      </c>
      <c r="J69" s="243" t="s">
        <v>82</v>
      </c>
      <c r="K69" s="244">
        <v>22</v>
      </c>
      <c r="L69" s="241">
        <v>110</v>
      </c>
      <c r="M69" s="245"/>
      <c r="N69" s="247"/>
      <c r="O69" s="270"/>
      <c r="P69" s="271"/>
      <c r="Q69" s="272"/>
      <c r="R69" s="298" t="s">
        <v>107</v>
      </c>
      <c r="S69" s="299">
        <v>45384</v>
      </c>
      <c r="T69" s="300"/>
      <c r="U69" s="301"/>
      <c r="V69" s="216">
        <v>18</v>
      </c>
      <c r="W69" s="323"/>
      <c r="X69" s="324">
        <v>18</v>
      </c>
      <c r="Y69" s="162">
        <f t="shared" si="2"/>
        <v>18</v>
      </c>
      <c r="Z69" s="163" t="s">
        <v>85</v>
      </c>
      <c r="AA69" s="336">
        <f>IFERROR(BASE_DATOS[[#This Row],[NSK Original]]-BASE_DATOS[[#This Row],[NSK]]," ")</f>
        <v>4</v>
      </c>
      <c r="AB69" s="337">
        <f>'NSK-TRACTO'!$A$2</f>
        <v>6</v>
      </c>
      <c r="AC69" s="337">
        <f>IF(BASE_DATOS[[#This Row],[NSK]]&gt;=BASE_DATOS[[#This Row],[NSK Reen]],BASE_DATOS[[#This Row],[NSK Reen]],BASE_DATOS[[#This Row],[NSK]])</f>
        <v>6</v>
      </c>
      <c r="AD69" s="338">
        <f>IFERROR(100%-(BASE_DATOS[[#This Row],[NSK Reen]]/BASE_DATOS[[#This Row],[NSK Original]]),"")</f>
        <v>0.72727272727272729</v>
      </c>
      <c r="AE69" s="338">
        <f>IFERROR(100%-BASE_DATOS[[#This Row],[NSK]]/BASE_DATOS[[#This Row],[NSK Original]],"")</f>
        <v>0.18181818181818177</v>
      </c>
      <c r="AF69" s="338">
        <f>IFERROR(BASE_DATOS[[#This Row],[% Max Des.]]-BASE_DATOS[[#This Row],[% Des]],"")</f>
        <v>0.54545454545454553</v>
      </c>
      <c r="AG69" s="287"/>
      <c r="AH69" s="273"/>
      <c r="AI69" s="355" t="str">
        <f>IF(OR(BASE_DATOS[[#This Row],[Hr.]]="",BASE_DATOS[[#This Row],[Hr. Actual]]=""),"",BASE_DATOS[[#This Row],[Hr. Actual]]-BASE_DATOS[[#This Row],[Hr.]]+BASE_DATOS[[#This Row],[Horas Acumuladas]])</f>
        <v/>
      </c>
      <c r="AJ69" s="356" t="str">
        <f>IFERROR(BASE_DATOS[[#This Row],[Precio US$]]/BASE_DATOS[[#This Row],[Horas Rodadas]],"")</f>
        <v/>
      </c>
      <c r="AK69" s="357" t="str">
        <f>IFERROR(BASE_DATOS[[#This Row],[Horas Rodadas]]/(BASE_DATOS[[#This Row],[NSK Original]]-BASE_DATOS[[#This Row],[NSK]]),"")</f>
        <v/>
      </c>
      <c r="AL69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9" s="358" t="str">
        <f>IFERROR(BASE_DATOS[[#This Row],[Precio US$]]/BASE_DATOS[[#This Row],[Horas Proy.]],"")</f>
        <v/>
      </c>
      <c r="AN69" s="165" t="str">
        <f>IF(OR(BASE_DATOS[[#This Row],[Km.]]="",BASE_DATOS[[#This Row],[Km. Actual]]=""),"",BASE_DATOS[[#This Row],[Km. Actual]]-BASE_DATOS[[#This Row],[Km.]]+BASE_DATOS[[#This Row],[Kilómetros Acumulados]])</f>
        <v/>
      </c>
      <c r="AO69" s="166" t="str">
        <f>IFERROR(BASE_DATOS[[#This Row],[Precio US$]]/BASE_DATOS[[#This Row],[Kilómetros Rodados]],"")</f>
        <v/>
      </c>
      <c r="AP69" s="165" t="str">
        <f>IFERROR(BASE_DATOS[[#This Row],[Kilómetros Rodados]]/(BASE_DATOS[[#This Row],[NSK Original]]-BASE_DATOS[[#This Row],[NSK]]),"")</f>
        <v/>
      </c>
      <c r="AQ69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9" s="166" t="str">
        <f>IFERROR(BASE_DATOS[[#This Row],[Precio US$]]/BASE_DATOS[[#This Row],[Kilómetros Proy.]],"")</f>
        <v/>
      </c>
      <c r="AS69" s="167" t="s">
        <v>62</v>
      </c>
      <c r="AT69" s="167"/>
      <c r="AU69" s="167"/>
      <c r="AV69" s="167"/>
      <c r="AW69" s="168"/>
      <c r="AX69" s="168"/>
      <c r="AY69" s="168" t="str">
        <f>CONCATENATE(BASE_DATOS[[#This Row],[Código_U]]&amp;BASE_DATOS[[#This Row],[Pos.]]&amp;BASE_DATOS[[#This Row],[Situación Actual]])</f>
        <v>TC-11010Rodando</v>
      </c>
    </row>
    <row r="70" spans="1:51" ht="12.75" customHeight="1" x14ac:dyDescent="0.25">
      <c r="A70" s="222" t="s">
        <v>402</v>
      </c>
      <c r="B70" s="213" t="s">
        <v>401</v>
      </c>
      <c r="C70" s="214" t="s">
        <v>296</v>
      </c>
      <c r="D70" s="215" t="s">
        <v>86</v>
      </c>
      <c r="E70" s="232"/>
      <c r="F70" s="233" t="s">
        <v>273</v>
      </c>
      <c r="G70" s="233" t="s">
        <v>271</v>
      </c>
      <c r="H70" s="234" t="str">
        <f>IF(BASE_DATOS[[#This Row],[N-R]]="N",BASE_DATOS[[#This Row],[Diseño]],"Reencauche")</f>
        <v>XMULTI+Z</v>
      </c>
      <c r="I70" s="233" t="s">
        <v>297</v>
      </c>
      <c r="J70" s="235" t="s">
        <v>72</v>
      </c>
      <c r="K70" s="236">
        <v>16</v>
      </c>
      <c r="L70" s="233">
        <v>100</v>
      </c>
      <c r="M70" s="237"/>
      <c r="N70" s="239"/>
      <c r="O70" s="267"/>
      <c r="P70" s="268"/>
      <c r="Q70" s="269"/>
      <c r="R70" s="294" t="s">
        <v>98</v>
      </c>
      <c r="S70" s="303">
        <v>45384</v>
      </c>
      <c r="T70" s="296"/>
      <c r="U70" s="297"/>
      <c r="V70" s="212">
        <v>16</v>
      </c>
      <c r="W70" s="321">
        <v>15</v>
      </c>
      <c r="X70" s="322">
        <v>16</v>
      </c>
      <c r="Y70" s="186">
        <f t="shared" si="2"/>
        <v>15</v>
      </c>
      <c r="Z70" s="185" t="s">
        <v>73</v>
      </c>
      <c r="AA70" s="332">
        <f>IFERROR(BASE_DATOS[[#This Row],[NSK Original]]-BASE_DATOS[[#This Row],[NSK]]," ")</f>
        <v>1</v>
      </c>
      <c r="AB70" s="333">
        <f>'NSK-TRACTO'!$A$2</f>
        <v>6</v>
      </c>
      <c r="AC70" s="333">
        <f>IF(BASE_DATOS[[#This Row],[NSK]]&gt;=BASE_DATOS[[#This Row],[NSK Reen]],BASE_DATOS[[#This Row],[NSK Reen]],BASE_DATOS[[#This Row],[NSK]])</f>
        <v>6</v>
      </c>
      <c r="AD70" s="334">
        <f>IFERROR(100%-(BASE_DATOS[[#This Row],[NSK Reen]]/BASE_DATOS[[#This Row],[NSK Original]]),"")</f>
        <v>0.625</v>
      </c>
      <c r="AE70" s="334">
        <f>IFERROR(100%-BASE_DATOS[[#This Row],[NSK]]/BASE_DATOS[[#This Row],[NSK Original]],"")</f>
        <v>6.25E-2</v>
      </c>
      <c r="AF70" s="334">
        <f>IFERROR(BASE_DATOS[[#This Row],[% Max Des.]]-BASE_DATOS[[#This Row],[% Des]],"")</f>
        <v>0.5625</v>
      </c>
      <c r="AG70" s="284"/>
      <c r="AH70" s="335"/>
      <c r="AI70" s="351" t="str">
        <f>IF(OR(BASE_DATOS[[#This Row],[Hr.]]="",BASE_DATOS[[#This Row],[Hr. Actual]]=""),"",BASE_DATOS[[#This Row],[Hr. Actual]]-BASE_DATOS[[#This Row],[Hr.]]+BASE_DATOS[[#This Row],[Horas Acumuladas]])</f>
        <v/>
      </c>
      <c r="AJ70" s="352" t="str">
        <f>IFERROR(BASE_DATOS[[#This Row],[Precio US$]]/BASE_DATOS[[#This Row],[Horas Rodadas]],"")</f>
        <v/>
      </c>
      <c r="AK70" s="353" t="str">
        <f>IFERROR(BASE_DATOS[[#This Row],[Horas Rodadas]]/(BASE_DATOS[[#This Row],[NSK Original]]-BASE_DATOS[[#This Row],[NSK]]),"")</f>
        <v/>
      </c>
      <c r="AL70" s="35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0" s="354" t="str">
        <f>IFERROR(BASE_DATOS[[#This Row],[Precio US$]]/BASE_DATOS[[#This Row],[Horas Proy.]],"")</f>
        <v/>
      </c>
      <c r="AN70" s="189" t="str">
        <f>IF(OR(BASE_DATOS[[#This Row],[Km.]]="",BASE_DATOS[[#This Row],[Km. Actual]]=""),"",BASE_DATOS[[#This Row],[Km. Actual]]-BASE_DATOS[[#This Row],[Km.]]+BASE_DATOS[[#This Row],[Kilómetros Acumulados]])</f>
        <v/>
      </c>
      <c r="AO70" s="190" t="str">
        <f>IFERROR(BASE_DATOS[[#This Row],[Precio US$]]/BASE_DATOS[[#This Row],[Kilómetros Rodados]],"")</f>
        <v/>
      </c>
      <c r="AP70" s="189" t="str">
        <f>IFERROR(BASE_DATOS[[#This Row],[Kilómetros Rodados]]/(BASE_DATOS[[#This Row],[NSK Original]]-BASE_DATOS[[#This Row],[NSK]]),"")</f>
        <v/>
      </c>
      <c r="AQ70" s="18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0" s="190" t="str">
        <f>IFERROR(BASE_DATOS[[#This Row],[Precio US$]]/BASE_DATOS[[#This Row],[Kilómetros Proy.]],"")</f>
        <v/>
      </c>
      <c r="AS70" s="191" t="s">
        <v>62</v>
      </c>
      <c r="AT70" s="191"/>
      <c r="AU70" s="191"/>
      <c r="AV70" s="191" t="s">
        <v>515</v>
      </c>
      <c r="AW70" s="193"/>
      <c r="AX70" s="193"/>
      <c r="AY70" s="193" t="str">
        <f>CONCATENATE(BASE_DATOS[[#This Row],[Código_U]]&amp;BASE_DATOS[[#This Row],[Pos.]]&amp;BASE_DATOS[[#This Row],[Situación Actual]])</f>
        <v>TC-2661Rodando</v>
      </c>
    </row>
    <row r="71" spans="1:51" ht="12.75" customHeight="1" x14ac:dyDescent="0.25">
      <c r="A71" s="223" t="s">
        <v>402</v>
      </c>
      <c r="B71" s="217" t="s">
        <v>401</v>
      </c>
      <c r="C71" s="218" t="s">
        <v>296</v>
      </c>
      <c r="D71" s="219" t="s">
        <v>86</v>
      </c>
      <c r="E71" s="248"/>
      <c r="F71" s="241" t="s">
        <v>273</v>
      </c>
      <c r="G71" s="241" t="s">
        <v>271</v>
      </c>
      <c r="H71" s="242" t="str">
        <f>IF(BASE_DATOS[[#This Row],[N-R]]="N",BASE_DATOS[[#This Row],[Diseño]],"Reencauche")</f>
        <v>XMULTI+Z</v>
      </c>
      <c r="I71" s="241" t="s">
        <v>297</v>
      </c>
      <c r="J71" s="243" t="s">
        <v>72</v>
      </c>
      <c r="K71" s="244">
        <v>16</v>
      </c>
      <c r="L71" s="241">
        <v>100</v>
      </c>
      <c r="M71" s="245"/>
      <c r="N71" s="247"/>
      <c r="O71" s="270"/>
      <c r="P71" s="271"/>
      <c r="Q71" s="272"/>
      <c r="R71" s="298" t="s">
        <v>99</v>
      </c>
      <c r="S71" s="299">
        <v>45384</v>
      </c>
      <c r="T71" s="300"/>
      <c r="U71" s="301"/>
      <c r="V71" s="216">
        <v>13</v>
      </c>
      <c r="W71" s="323">
        <v>12</v>
      </c>
      <c r="X71" s="324">
        <v>13</v>
      </c>
      <c r="Y71" s="162">
        <f t="shared" si="2"/>
        <v>12</v>
      </c>
      <c r="Z71" s="161" t="s">
        <v>73</v>
      </c>
      <c r="AA71" s="336">
        <f>IFERROR(BASE_DATOS[[#This Row],[NSK Original]]-BASE_DATOS[[#This Row],[NSK]]," ")</f>
        <v>4</v>
      </c>
      <c r="AB71" s="337">
        <f>'NSK-TRACTO'!$A$2</f>
        <v>6</v>
      </c>
      <c r="AC71" s="337">
        <f>IF(BASE_DATOS[[#This Row],[NSK]]&gt;=BASE_DATOS[[#This Row],[NSK Reen]],BASE_DATOS[[#This Row],[NSK Reen]],BASE_DATOS[[#This Row],[NSK]])</f>
        <v>6</v>
      </c>
      <c r="AD71" s="338">
        <f>IFERROR(100%-(BASE_DATOS[[#This Row],[NSK Reen]]/BASE_DATOS[[#This Row],[NSK Original]]),"")</f>
        <v>0.625</v>
      </c>
      <c r="AE71" s="338">
        <f>IFERROR(100%-BASE_DATOS[[#This Row],[NSK]]/BASE_DATOS[[#This Row],[NSK Original]],"")</f>
        <v>0.25</v>
      </c>
      <c r="AF71" s="338">
        <f>IFERROR(BASE_DATOS[[#This Row],[% Max Des.]]-BASE_DATOS[[#This Row],[% Des]],"")</f>
        <v>0.375</v>
      </c>
      <c r="AG71" s="287"/>
      <c r="AH71" s="273"/>
      <c r="AI71" s="355" t="str">
        <f>IF(OR(BASE_DATOS[[#This Row],[Hr.]]="",BASE_DATOS[[#This Row],[Hr. Actual]]=""),"",BASE_DATOS[[#This Row],[Hr. Actual]]-BASE_DATOS[[#This Row],[Hr.]]+BASE_DATOS[[#This Row],[Horas Acumuladas]])</f>
        <v/>
      </c>
      <c r="AJ71" s="356" t="str">
        <f>IFERROR(BASE_DATOS[[#This Row],[Precio US$]]/BASE_DATOS[[#This Row],[Horas Rodadas]],"")</f>
        <v/>
      </c>
      <c r="AK71" s="357" t="str">
        <f>IFERROR(BASE_DATOS[[#This Row],[Horas Rodadas]]/(BASE_DATOS[[#This Row],[NSK Original]]-BASE_DATOS[[#This Row],[NSK]]),"")</f>
        <v/>
      </c>
      <c r="AL71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1" s="358" t="str">
        <f>IFERROR(BASE_DATOS[[#This Row],[Precio US$]]/BASE_DATOS[[#This Row],[Horas Proy.]],"")</f>
        <v/>
      </c>
      <c r="AN71" s="165" t="str">
        <f>IF(OR(BASE_DATOS[[#This Row],[Km.]]="",BASE_DATOS[[#This Row],[Km. Actual]]=""),"",BASE_DATOS[[#This Row],[Km. Actual]]-BASE_DATOS[[#This Row],[Km.]]+BASE_DATOS[[#This Row],[Kilómetros Acumulados]])</f>
        <v/>
      </c>
      <c r="AO71" s="166" t="str">
        <f>IFERROR(BASE_DATOS[[#This Row],[Precio US$]]/BASE_DATOS[[#This Row],[Kilómetros Rodados]],"")</f>
        <v/>
      </c>
      <c r="AP71" s="165" t="str">
        <f>IFERROR(BASE_DATOS[[#This Row],[Kilómetros Rodados]]/(BASE_DATOS[[#This Row],[NSK Original]]-BASE_DATOS[[#This Row],[NSK]]),"")</f>
        <v/>
      </c>
      <c r="AQ71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1" s="166" t="str">
        <f>IFERROR(BASE_DATOS[[#This Row],[Precio US$]]/BASE_DATOS[[#This Row],[Kilómetros Proy.]],"")</f>
        <v/>
      </c>
      <c r="AS71" s="167" t="s">
        <v>62</v>
      </c>
      <c r="AT71" s="167"/>
      <c r="AU71" s="167"/>
      <c r="AV71" s="167" t="s">
        <v>515</v>
      </c>
      <c r="AW71" s="168"/>
      <c r="AX71" s="168"/>
      <c r="AY71" s="168" t="str">
        <f>CONCATENATE(BASE_DATOS[[#This Row],[Código_U]]&amp;BASE_DATOS[[#This Row],[Pos.]]&amp;BASE_DATOS[[#This Row],[Situación Actual]])</f>
        <v>TC-2662Rodando</v>
      </c>
    </row>
    <row r="72" spans="1:51" ht="12.75" customHeight="1" x14ac:dyDescent="0.25">
      <c r="A72" s="223" t="s">
        <v>402</v>
      </c>
      <c r="B72" s="217" t="s">
        <v>401</v>
      </c>
      <c r="C72" s="218" t="s">
        <v>296</v>
      </c>
      <c r="D72" s="219" t="s">
        <v>61</v>
      </c>
      <c r="E72" s="240"/>
      <c r="F72" s="241" t="s">
        <v>273</v>
      </c>
      <c r="G72" s="241" t="s">
        <v>271</v>
      </c>
      <c r="H72" s="242" t="str">
        <f>IF(BASE_DATOS[[#This Row],[N-R]]="N",BASE_DATOS[[#This Row],[Diseño]],"Reencauche")</f>
        <v>XMULTI2D</v>
      </c>
      <c r="I72" s="241" t="s">
        <v>299</v>
      </c>
      <c r="J72" s="243" t="s">
        <v>72</v>
      </c>
      <c r="K72" s="244">
        <v>21.4</v>
      </c>
      <c r="L72" s="241">
        <v>110</v>
      </c>
      <c r="M72" s="245"/>
      <c r="N72" s="247"/>
      <c r="O72" s="270"/>
      <c r="P72" s="271"/>
      <c r="Q72" s="272"/>
      <c r="R72" s="298" t="s">
        <v>100</v>
      </c>
      <c r="S72" s="299">
        <v>45384</v>
      </c>
      <c r="T72" s="300"/>
      <c r="U72" s="301"/>
      <c r="V72" s="216">
        <v>16</v>
      </c>
      <c r="W72" s="323"/>
      <c r="X72" s="324">
        <v>16</v>
      </c>
      <c r="Y72" s="162">
        <f t="shared" si="2"/>
        <v>16</v>
      </c>
      <c r="Z72" s="163" t="s">
        <v>85</v>
      </c>
      <c r="AA72" s="336">
        <f>IFERROR(BASE_DATOS[[#This Row],[NSK Original]]-BASE_DATOS[[#This Row],[NSK]]," ")</f>
        <v>5.3999999999999986</v>
      </c>
      <c r="AB72" s="337">
        <f>'NSK-TRACTO'!$A$2</f>
        <v>6</v>
      </c>
      <c r="AC72" s="337">
        <f>IF(BASE_DATOS[[#This Row],[NSK]]&gt;=BASE_DATOS[[#This Row],[NSK Reen]],BASE_DATOS[[#This Row],[NSK Reen]],BASE_DATOS[[#This Row],[NSK]])</f>
        <v>6</v>
      </c>
      <c r="AD72" s="338">
        <f>IFERROR(100%-(BASE_DATOS[[#This Row],[NSK Reen]]/BASE_DATOS[[#This Row],[NSK Original]]),"")</f>
        <v>0.71962616822429903</v>
      </c>
      <c r="AE72" s="338">
        <f>IFERROR(100%-BASE_DATOS[[#This Row],[NSK]]/BASE_DATOS[[#This Row],[NSK Original]],"")</f>
        <v>0.25233644859813076</v>
      </c>
      <c r="AF72" s="338">
        <f>IFERROR(BASE_DATOS[[#This Row],[% Max Des.]]-BASE_DATOS[[#This Row],[% Des]],"")</f>
        <v>0.46728971962616828</v>
      </c>
      <c r="AG72" s="287"/>
      <c r="AH72" s="273"/>
      <c r="AI72" s="355" t="str">
        <f>IF(OR(BASE_DATOS[[#This Row],[Hr.]]="",BASE_DATOS[[#This Row],[Hr. Actual]]=""),"",BASE_DATOS[[#This Row],[Hr. Actual]]-BASE_DATOS[[#This Row],[Hr.]]+BASE_DATOS[[#This Row],[Horas Acumuladas]])</f>
        <v/>
      </c>
      <c r="AJ72" s="356" t="str">
        <f>IFERROR(BASE_DATOS[[#This Row],[Precio US$]]/BASE_DATOS[[#This Row],[Horas Rodadas]],"")</f>
        <v/>
      </c>
      <c r="AK72" s="357" t="str">
        <f>IFERROR(BASE_DATOS[[#This Row],[Horas Rodadas]]/(BASE_DATOS[[#This Row],[NSK Original]]-BASE_DATOS[[#This Row],[NSK]]),"")</f>
        <v/>
      </c>
      <c r="AL72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2" s="358" t="str">
        <f>IFERROR(BASE_DATOS[[#This Row],[Precio US$]]/BASE_DATOS[[#This Row],[Horas Proy.]],"")</f>
        <v/>
      </c>
      <c r="AN72" s="165" t="str">
        <f>IF(OR(BASE_DATOS[[#This Row],[Km.]]="",BASE_DATOS[[#This Row],[Km. Actual]]=""),"",BASE_DATOS[[#This Row],[Km. Actual]]-BASE_DATOS[[#This Row],[Km.]]+BASE_DATOS[[#This Row],[Kilómetros Acumulados]])</f>
        <v/>
      </c>
      <c r="AO72" s="166" t="str">
        <f>IFERROR(BASE_DATOS[[#This Row],[Precio US$]]/BASE_DATOS[[#This Row],[Kilómetros Rodados]],"")</f>
        <v/>
      </c>
      <c r="AP72" s="165" t="str">
        <f>IFERROR(BASE_DATOS[[#This Row],[Kilómetros Rodados]]/(BASE_DATOS[[#This Row],[NSK Original]]-BASE_DATOS[[#This Row],[NSK]]),"")</f>
        <v/>
      </c>
      <c r="AQ72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2" s="166" t="str">
        <f>IFERROR(BASE_DATOS[[#This Row],[Precio US$]]/BASE_DATOS[[#This Row],[Kilómetros Proy.]],"")</f>
        <v/>
      </c>
      <c r="AS72" s="167" t="s">
        <v>62</v>
      </c>
      <c r="AT72" s="167"/>
      <c r="AU72" s="167"/>
      <c r="AV72" s="167"/>
      <c r="AW72" s="168"/>
      <c r="AX72" s="168"/>
      <c r="AY72" s="168" t="str">
        <f>CONCATENATE(BASE_DATOS[[#This Row],[Código_U]]&amp;BASE_DATOS[[#This Row],[Pos.]]&amp;BASE_DATOS[[#This Row],[Situación Actual]])</f>
        <v>TC-2663Rodando</v>
      </c>
    </row>
    <row r="73" spans="1:51" ht="12" x14ac:dyDescent="0.25">
      <c r="A73" s="223" t="s">
        <v>402</v>
      </c>
      <c r="B73" s="217" t="s">
        <v>401</v>
      </c>
      <c r="C73" s="218" t="s">
        <v>296</v>
      </c>
      <c r="D73" s="219" t="s">
        <v>61</v>
      </c>
      <c r="E73" s="240"/>
      <c r="F73" s="241" t="s">
        <v>273</v>
      </c>
      <c r="G73" s="241" t="s">
        <v>271</v>
      </c>
      <c r="H73" s="242" t="str">
        <f>IF(BASE_DATOS[[#This Row],[N-R]]="N",BASE_DATOS[[#This Row],[Diseño]],"Reencauche")</f>
        <v>XMULTI2D</v>
      </c>
      <c r="I73" s="241" t="s">
        <v>299</v>
      </c>
      <c r="J73" s="243" t="s">
        <v>72</v>
      </c>
      <c r="K73" s="244">
        <v>21.4</v>
      </c>
      <c r="L73" s="241">
        <v>110</v>
      </c>
      <c r="M73" s="245"/>
      <c r="N73" s="247"/>
      <c r="O73" s="270"/>
      <c r="P73" s="271"/>
      <c r="Q73" s="272"/>
      <c r="R73" s="298" t="s">
        <v>101</v>
      </c>
      <c r="S73" s="299">
        <v>45384</v>
      </c>
      <c r="T73" s="300"/>
      <c r="U73" s="301"/>
      <c r="V73" s="216">
        <v>16</v>
      </c>
      <c r="W73" s="323"/>
      <c r="X73" s="324">
        <v>16</v>
      </c>
      <c r="Y73" s="162">
        <f t="shared" si="2"/>
        <v>16</v>
      </c>
      <c r="Z73" s="161" t="s">
        <v>73</v>
      </c>
      <c r="AA73" s="336">
        <f>IFERROR(BASE_DATOS[[#This Row],[NSK Original]]-BASE_DATOS[[#This Row],[NSK]]," ")</f>
        <v>5.3999999999999986</v>
      </c>
      <c r="AB73" s="337">
        <f>'NSK-TRACTO'!$A$2</f>
        <v>6</v>
      </c>
      <c r="AC73" s="337">
        <f>IF(BASE_DATOS[[#This Row],[NSK]]&gt;=BASE_DATOS[[#This Row],[NSK Reen]],BASE_DATOS[[#This Row],[NSK Reen]],BASE_DATOS[[#This Row],[NSK]])</f>
        <v>6</v>
      </c>
      <c r="AD73" s="338">
        <f>IFERROR(100%-(BASE_DATOS[[#This Row],[NSK Reen]]/BASE_DATOS[[#This Row],[NSK Original]]),"")</f>
        <v>0.71962616822429903</v>
      </c>
      <c r="AE73" s="338">
        <f>IFERROR(100%-BASE_DATOS[[#This Row],[NSK]]/BASE_DATOS[[#This Row],[NSK Original]],"")</f>
        <v>0.25233644859813076</v>
      </c>
      <c r="AF73" s="338">
        <f>IFERROR(BASE_DATOS[[#This Row],[% Max Des.]]-BASE_DATOS[[#This Row],[% Des]],"")</f>
        <v>0.46728971962616828</v>
      </c>
      <c r="AG73" s="287"/>
      <c r="AH73" s="273"/>
      <c r="AI73" s="355" t="str">
        <f>IF(OR(BASE_DATOS[[#This Row],[Hr.]]="",BASE_DATOS[[#This Row],[Hr. Actual]]=""),"",BASE_DATOS[[#This Row],[Hr. Actual]]-BASE_DATOS[[#This Row],[Hr.]]+BASE_DATOS[[#This Row],[Horas Acumuladas]])</f>
        <v/>
      </c>
      <c r="AJ73" s="356" t="str">
        <f>IFERROR(BASE_DATOS[[#This Row],[Precio US$]]/BASE_DATOS[[#This Row],[Horas Rodadas]],"")</f>
        <v/>
      </c>
      <c r="AK73" s="357" t="str">
        <f>IFERROR(BASE_DATOS[[#This Row],[Horas Rodadas]]/(BASE_DATOS[[#This Row],[NSK Original]]-BASE_DATOS[[#This Row],[NSK]]),"")</f>
        <v/>
      </c>
      <c r="AL73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3" s="358" t="str">
        <f>IFERROR(BASE_DATOS[[#This Row],[Precio US$]]/BASE_DATOS[[#This Row],[Horas Proy.]],"")</f>
        <v/>
      </c>
      <c r="AN73" s="165" t="str">
        <f>IF(OR(BASE_DATOS[[#This Row],[Km.]]="",BASE_DATOS[[#This Row],[Km. Actual]]=""),"",BASE_DATOS[[#This Row],[Km. Actual]]-BASE_DATOS[[#This Row],[Km.]]+BASE_DATOS[[#This Row],[Kilómetros Acumulados]])</f>
        <v/>
      </c>
      <c r="AO73" s="166" t="str">
        <f>IFERROR(BASE_DATOS[[#This Row],[Precio US$]]/BASE_DATOS[[#This Row],[Kilómetros Rodados]],"")</f>
        <v/>
      </c>
      <c r="AP73" s="165" t="str">
        <f>IFERROR(BASE_DATOS[[#This Row],[Kilómetros Rodados]]/(BASE_DATOS[[#This Row],[NSK Original]]-BASE_DATOS[[#This Row],[NSK]]),"")</f>
        <v/>
      </c>
      <c r="AQ73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3" s="166" t="str">
        <f>IFERROR(BASE_DATOS[[#This Row],[Precio US$]]/BASE_DATOS[[#This Row],[Kilómetros Proy.]],"")</f>
        <v/>
      </c>
      <c r="AS73" s="167" t="s">
        <v>62</v>
      </c>
      <c r="AT73" s="167"/>
      <c r="AU73" s="167"/>
      <c r="AV73" s="167"/>
      <c r="AW73" s="168"/>
      <c r="AX73" s="168"/>
      <c r="AY73" s="168" t="str">
        <f>CONCATENATE(BASE_DATOS[[#This Row],[Código_U]]&amp;BASE_DATOS[[#This Row],[Pos.]]&amp;BASE_DATOS[[#This Row],[Situación Actual]])</f>
        <v>TC-2664Rodando</v>
      </c>
    </row>
    <row r="74" spans="1:51" ht="12" x14ac:dyDescent="0.25">
      <c r="A74" s="223" t="s">
        <v>402</v>
      </c>
      <c r="B74" s="217" t="s">
        <v>401</v>
      </c>
      <c r="C74" s="218" t="s">
        <v>296</v>
      </c>
      <c r="D74" s="219" t="s">
        <v>61</v>
      </c>
      <c r="E74" s="240"/>
      <c r="F74" s="241" t="s">
        <v>273</v>
      </c>
      <c r="G74" s="241" t="s">
        <v>271</v>
      </c>
      <c r="H74" s="242" t="str">
        <f>IF(BASE_DATOS[[#This Row],[N-R]]="N",BASE_DATOS[[#This Row],[Diseño]],"Reencauche")</f>
        <v>XMULTI2D</v>
      </c>
      <c r="I74" s="241" t="s">
        <v>299</v>
      </c>
      <c r="J74" s="243" t="s">
        <v>72</v>
      </c>
      <c r="K74" s="244">
        <v>21.4</v>
      </c>
      <c r="L74" s="241">
        <v>110</v>
      </c>
      <c r="M74" s="245"/>
      <c r="N74" s="247"/>
      <c r="O74" s="270"/>
      <c r="P74" s="271"/>
      <c r="Q74" s="272"/>
      <c r="R74" s="298" t="s">
        <v>102</v>
      </c>
      <c r="S74" s="299">
        <v>45384</v>
      </c>
      <c r="T74" s="300"/>
      <c r="U74" s="301"/>
      <c r="V74" s="216">
        <v>17</v>
      </c>
      <c r="W74" s="323"/>
      <c r="X74" s="324">
        <v>17</v>
      </c>
      <c r="Y74" s="162">
        <f t="shared" si="2"/>
        <v>17</v>
      </c>
      <c r="Z74" s="161" t="s">
        <v>73</v>
      </c>
      <c r="AA74" s="336">
        <f>IFERROR(BASE_DATOS[[#This Row],[NSK Original]]-BASE_DATOS[[#This Row],[NSK]]," ")</f>
        <v>4.3999999999999986</v>
      </c>
      <c r="AB74" s="337">
        <f>'NSK-TRACTO'!$A$2</f>
        <v>6</v>
      </c>
      <c r="AC74" s="337">
        <f>IF(BASE_DATOS[[#This Row],[NSK]]&gt;=BASE_DATOS[[#This Row],[NSK Reen]],BASE_DATOS[[#This Row],[NSK Reen]],BASE_DATOS[[#This Row],[NSK]])</f>
        <v>6</v>
      </c>
      <c r="AD74" s="338">
        <f>IFERROR(100%-(BASE_DATOS[[#This Row],[NSK Reen]]/BASE_DATOS[[#This Row],[NSK Original]]),"")</f>
        <v>0.71962616822429903</v>
      </c>
      <c r="AE74" s="338">
        <f>IFERROR(100%-BASE_DATOS[[#This Row],[NSK]]/BASE_DATOS[[#This Row],[NSK Original]],"")</f>
        <v>0.20560747663551393</v>
      </c>
      <c r="AF74" s="338">
        <f>IFERROR(BASE_DATOS[[#This Row],[% Max Des.]]-BASE_DATOS[[#This Row],[% Des]],"")</f>
        <v>0.5140186915887851</v>
      </c>
      <c r="AG74" s="287"/>
      <c r="AH74" s="273"/>
      <c r="AI74" s="355" t="str">
        <f>IF(OR(BASE_DATOS[[#This Row],[Hr.]]="",BASE_DATOS[[#This Row],[Hr. Actual]]=""),"",BASE_DATOS[[#This Row],[Hr. Actual]]-BASE_DATOS[[#This Row],[Hr.]]+BASE_DATOS[[#This Row],[Horas Acumuladas]])</f>
        <v/>
      </c>
      <c r="AJ74" s="356" t="str">
        <f>IFERROR(BASE_DATOS[[#This Row],[Precio US$]]/BASE_DATOS[[#This Row],[Horas Rodadas]],"")</f>
        <v/>
      </c>
      <c r="AK74" s="357" t="str">
        <f>IFERROR(BASE_DATOS[[#This Row],[Horas Rodadas]]/(BASE_DATOS[[#This Row],[NSK Original]]-BASE_DATOS[[#This Row],[NSK]]),"")</f>
        <v/>
      </c>
      <c r="AL74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4" s="358" t="str">
        <f>IFERROR(BASE_DATOS[[#This Row],[Precio US$]]/BASE_DATOS[[#This Row],[Horas Proy.]],"")</f>
        <v/>
      </c>
      <c r="AN74" s="165" t="str">
        <f>IF(OR(BASE_DATOS[[#This Row],[Km.]]="",BASE_DATOS[[#This Row],[Km. Actual]]=""),"",BASE_DATOS[[#This Row],[Km. Actual]]-BASE_DATOS[[#This Row],[Km.]]+BASE_DATOS[[#This Row],[Kilómetros Acumulados]])</f>
        <v/>
      </c>
      <c r="AO74" s="166" t="str">
        <f>IFERROR(BASE_DATOS[[#This Row],[Precio US$]]/BASE_DATOS[[#This Row],[Kilómetros Rodados]],"")</f>
        <v/>
      </c>
      <c r="AP74" s="165" t="str">
        <f>IFERROR(BASE_DATOS[[#This Row],[Kilómetros Rodados]]/(BASE_DATOS[[#This Row],[NSK Original]]-BASE_DATOS[[#This Row],[NSK]]),"")</f>
        <v/>
      </c>
      <c r="AQ74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4" s="166" t="str">
        <f>IFERROR(BASE_DATOS[[#This Row],[Precio US$]]/BASE_DATOS[[#This Row],[Kilómetros Proy.]],"")</f>
        <v/>
      </c>
      <c r="AS74" s="167" t="s">
        <v>62</v>
      </c>
      <c r="AT74" s="167"/>
      <c r="AU74" s="167"/>
      <c r="AV74" s="167"/>
      <c r="AW74" s="168"/>
      <c r="AX74" s="168"/>
      <c r="AY74" s="168" t="str">
        <f>CONCATENATE(BASE_DATOS[[#This Row],[Código_U]]&amp;BASE_DATOS[[#This Row],[Pos.]]&amp;BASE_DATOS[[#This Row],[Situación Actual]])</f>
        <v>TC-2665Rodando</v>
      </c>
    </row>
    <row r="75" spans="1:51" ht="12" x14ac:dyDescent="0.25">
      <c r="A75" s="223" t="s">
        <v>402</v>
      </c>
      <c r="B75" s="217" t="s">
        <v>401</v>
      </c>
      <c r="C75" s="218" t="s">
        <v>296</v>
      </c>
      <c r="D75" s="219" t="s">
        <v>61</v>
      </c>
      <c r="E75" s="240"/>
      <c r="F75" s="241" t="s">
        <v>273</v>
      </c>
      <c r="G75" s="241" t="s">
        <v>271</v>
      </c>
      <c r="H75" s="242" t="str">
        <f>IF(BASE_DATOS[[#This Row],[N-R]]="N",BASE_DATOS[[#This Row],[Diseño]],"Reencauche")</f>
        <v>XMULTI2D</v>
      </c>
      <c r="I75" s="241" t="s">
        <v>299</v>
      </c>
      <c r="J75" s="243" t="s">
        <v>72</v>
      </c>
      <c r="K75" s="244">
        <v>21.4</v>
      </c>
      <c r="L75" s="241">
        <v>110</v>
      </c>
      <c r="M75" s="245"/>
      <c r="N75" s="247"/>
      <c r="O75" s="270"/>
      <c r="P75" s="271"/>
      <c r="Q75" s="273"/>
      <c r="R75" s="298" t="s">
        <v>103</v>
      </c>
      <c r="S75" s="299">
        <v>45384</v>
      </c>
      <c r="T75" s="300"/>
      <c r="U75" s="301"/>
      <c r="V75" s="216">
        <v>17</v>
      </c>
      <c r="W75" s="323"/>
      <c r="X75" s="324">
        <v>17</v>
      </c>
      <c r="Y75" s="162">
        <f t="shared" si="2"/>
        <v>17</v>
      </c>
      <c r="Z75" s="163" t="s">
        <v>85</v>
      </c>
      <c r="AA75" s="336">
        <f>IFERROR(BASE_DATOS[[#This Row],[NSK Original]]-BASE_DATOS[[#This Row],[NSK]]," ")</f>
        <v>4.3999999999999986</v>
      </c>
      <c r="AB75" s="337">
        <f>'NSK-TRACTO'!$A$2</f>
        <v>6</v>
      </c>
      <c r="AC75" s="337">
        <f>IF(BASE_DATOS[[#This Row],[NSK]]&gt;=BASE_DATOS[[#This Row],[NSK Reen]],BASE_DATOS[[#This Row],[NSK Reen]],BASE_DATOS[[#This Row],[NSK]])</f>
        <v>6</v>
      </c>
      <c r="AD75" s="338">
        <f>IFERROR(100%-(BASE_DATOS[[#This Row],[NSK Reen]]/BASE_DATOS[[#This Row],[NSK Original]]),"")</f>
        <v>0.71962616822429903</v>
      </c>
      <c r="AE75" s="338">
        <f>IFERROR(100%-BASE_DATOS[[#This Row],[NSK]]/BASE_DATOS[[#This Row],[NSK Original]],"")</f>
        <v>0.20560747663551393</v>
      </c>
      <c r="AF75" s="338">
        <f>IFERROR(BASE_DATOS[[#This Row],[% Max Des.]]-BASE_DATOS[[#This Row],[% Des]],"")</f>
        <v>0.5140186915887851</v>
      </c>
      <c r="AG75" s="287"/>
      <c r="AH75" s="273"/>
      <c r="AI75" s="355" t="str">
        <f>IF(OR(BASE_DATOS[[#This Row],[Hr.]]="",BASE_DATOS[[#This Row],[Hr. Actual]]=""),"",BASE_DATOS[[#This Row],[Hr. Actual]]-BASE_DATOS[[#This Row],[Hr.]]+BASE_DATOS[[#This Row],[Horas Acumuladas]])</f>
        <v/>
      </c>
      <c r="AJ75" s="356" t="str">
        <f>IFERROR(BASE_DATOS[[#This Row],[Precio US$]]/BASE_DATOS[[#This Row],[Horas Rodadas]],"")</f>
        <v/>
      </c>
      <c r="AK75" s="357" t="str">
        <f>IFERROR(BASE_DATOS[[#This Row],[Horas Rodadas]]/(BASE_DATOS[[#This Row],[NSK Original]]-BASE_DATOS[[#This Row],[NSK]]),"")</f>
        <v/>
      </c>
      <c r="AL75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5" s="358" t="str">
        <f>IFERROR(BASE_DATOS[[#This Row],[Precio US$]]/BASE_DATOS[[#This Row],[Horas Proy.]],"")</f>
        <v/>
      </c>
      <c r="AN75" s="165" t="str">
        <f>IF(OR(BASE_DATOS[[#This Row],[Km.]]="",BASE_DATOS[[#This Row],[Km. Actual]]=""),"",BASE_DATOS[[#This Row],[Km. Actual]]-BASE_DATOS[[#This Row],[Km.]]+BASE_DATOS[[#This Row],[Kilómetros Acumulados]])</f>
        <v/>
      </c>
      <c r="AO75" s="166" t="str">
        <f>IFERROR(BASE_DATOS[[#This Row],[Precio US$]]/BASE_DATOS[[#This Row],[Kilómetros Rodados]],"")</f>
        <v/>
      </c>
      <c r="AP75" s="165" t="str">
        <f>IFERROR(BASE_DATOS[[#This Row],[Kilómetros Rodados]]/(BASE_DATOS[[#This Row],[NSK Original]]-BASE_DATOS[[#This Row],[NSK]]),"")</f>
        <v/>
      </c>
      <c r="AQ75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5" s="166" t="str">
        <f>IFERROR(BASE_DATOS[[#This Row],[Precio US$]]/BASE_DATOS[[#This Row],[Kilómetros Proy.]],"")</f>
        <v/>
      </c>
      <c r="AS75" s="167" t="s">
        <v>62</v>
      </c>
      <c r="AT75" s="167"/>
      <c r="AU75" s="167"/>
      <c r="AV75" s="167"/>
      <c r="AW75" s="168"/>
      <c r="AX75" s="168"/>
      <c r="AY75" s="168" t="str">
        <f>CONCATENATE(BASE_DATOS[[#This Row],[Código_U]]&amp;BASE_DATOS[[#This Row],[Pos.]]&amp;BASE_DATOS[[#This Row],[Situación Actual]])</f>
        <v>TC-2666Rodando</v>
      </c>
    </row>
    <row r="76" spans="1:51" ht="12" x14ac:dyDescent="0.25">
      <c r="A76" s="223" t="s">
        <v>402</v>
      </c>
      <c r="B76" s="217" t="s">
        <v>401</v>
      </c>
      <c r="C76" s="218" t="s">
        <v>296</v>
      </c>
      <c r="D76" s="219" t="s">
        <v>61</v>
      </c>
      <c r="E76" s="240"/>
      <c r="F76" s="241" t="s">
        <v>273</v>
      </c>
      <c r="G76" s="241" t="s">
        <v>271</v>
      </c>
      <c r="H76" s="242" t="str">
        <f>IF(BASE_DATOS[[#This Row],[N-R]]="N",BASE_DATOS[[#This Row],[Diseño]],"Reencauche")</f>
        <v>XMULTI2D</v>
      </c>
      <c r="I76" s="241" t="s">
        <v>299</v>
      </c>
      <c r="J76" s="243" t="s">
        <v>72</v>
      </c>
      <c r="K76" s="244">
        <v>21.4</v>
      </c>
      <c r="L76" s="241">
        <v>110</v>
      </c>
      <c r="M76" s="245"/>
      <c r="N76" s="247"/>
      <c r="O76" s="270"/>
      <c r="P76" s="271"/>
      <c r="Q76" s="272"/>
      <c r="R76" s="298" t="s">
        <v>104</v>
      </c>
      <c r="S76" s="299">
        <v>45384</v>
      </c>
      <c r="T76" s="300"/>
      <c r="U76" s="301"/>
      <c r="V76" s="216">
        <v>17</v>
      </c>
      <c r="W76" s="323"/>
      <c r="X76" s="324">
        <v>17</v>
      </c>
      <c r="Y76" s="162">
        <f t="shared" si="2"/>
        <v>17</v>
      </c>
      <c r="Z76" s="161" t="s">
        <v>73</v>
      </c>
      <c r="AA76" s="336">
        <f>IFERROR(BASE_DATOS[[#This Row],[NSK Original]]-BASE_DATOS[[#This Row],[NSK]]," ")</f>
        <v>4.3999999999999986</v>
      </c>
      <c r="AB76" s="337">
        <f>'NSK-TRACTO'!$A$2</f>
        <v>6</v>
      </c>
      <c r="AC76" s="337">
        <f>IF(BASE_DATOS[[#This Row],[NSK]]&gt;=BASE_DATOS[[#This Row],[NSK Reen]],BASE_DATOS[[#This Row],[NSK Reen]],BASE_DATOS[[#This Row],[NSK]])</f>
        <v>6</v>
      </c>
      <c r="AD76" s="338">
        <f>IFERROR(100%-(BASE_DATOS[[#This Row],[NSK Reen]]/BASE_DATOS[[#This Row],[NSK Original]]),"")</f>
        <v>0.71962616822429903</v>
      </c>
      <c r="AE76" s="338">
        <f>IFERROR(100%-BASE_DATOS[[#This Row],[NSK]]/BASE_DATOS[[#This Row],[NSK Original]],"")</f>
        <v>0.20560747663551393</v>
      </c>
      <c r="AF76" s="338">
        <f>IFERROR(BASE_DATOS[[#This Row],[% Max Des.]]-BASE_DATOS[[#This Row],[% Des]],"")</f>
        <v>0.5140186915887851</v>
      </c>
      <c r="AG76" s="287"/>
      <c r="AH76" s="273"/>
      <c r="AI76" s="355" t="str">
        <f>IF(OR(BASE_DATOS[[#This Row],[Hr.]]="",BASE_DATOS[[#This Row],[Hr. Actual]]=""),"",BASE_DATOS[[#This Row],[Hr. Actual]]-BASE_DATOS[[#This Row],[Hr.]]+BASE_DATOS[[#This Row],[Horas Acumuladas]])</f>
        <v/>
      </c>
      <c r="AJ76" s="356" t="str">
        <f>IFERROR(BASE_DATOS[[#This Row],[Precio US$]]/BASE_DATOS[[#This Row],[Horas Rodadas]],"")</f>
        <v/>
      </c>
      <c r="AK76" s="357" t="str">
        <f>IFERROR(BASE_DATOS[[#This Row],[Horas Rodadas]]/(BASE_DATOS[[#This Row],[NSK Original]]-BASE_DATOS[[#This Row],[NSK]]),"")</f>
        <v/>
      </c>
      <c r="AL76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6" s="358" t="str">
        <f>IFERROR(BASE_DATOS[[#This Row],[Precio US$]]/BASE_DATOS[[#This Row],[Horas Proy.]],"")</f>
        <v/>
      </c>
      <c r="AN76" s="165" t="str">
        <f>IF(OR(BASE_DATOS[[#This Row],[Km.]]="",BASE_DATOS[[#This Row],[Km. Actual]]=""),"",BASE_DATOS[[#This Row],[Km. Actual]]-BASE_DATOS[[#This Row],[Km.]]+BASE_DATOS[[#This Row],[Kilómetros Acumulados]])</f>
        <v/>
      </c>
      <c r="AO76" s="166" t="str">
        <f>IFERROR(BASE_DATOS[[#This Row],[Precio US$]]/BASE_DATOS[[#This Row],[Kilómetros Rodados]],"")</f>
        <v/>
      </c>
      <c r="AP76" s="165" t="str">
        <f>IFERROR(BASE_DATOS[[#This Row],[Kilómetros Rodados]]/(BASE_DATOS[[#This Row],[NSK Original]]-BASE_DATOS[[#This Row],[NSK]]),"")</f>
        <v/>
      </c>
      <c r="AQ76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6" s="166" t="str">
        <f>IFERROR(BASE_DATOS[[#This Row],[Precio US$]]/BASE_DATOS[[#This Row],[Kilómetros Proy.]],"")</f>
        <v/>
      </c>
      <c r="AS76" s="167" t="s">
        <v>62</v>
      </c>
      <c r="AT76" s="167"/>
      <c r="AU76" s="167"/>
      <c r="AV76" s="167"/>
      <c r="AW76" s="168"/>
      <c r="AX76" s="168"/>
      <c r="AY76" s="168" t="str">
        <f>CONCATENATE(BASE_DATOS[[#This Row],[Código_U]]&amp;BASE_DATOS[[#This Row],[Pos.]]&amp;BASE_DATOS[[#This Row],[Situación Actual]])</f>
        <v>TC-2667Rodando</v>
      </c>
    </row>
    <row r="77" spans="1:51" ht="12" x14ac:dyDescent="0.25">
      <c r="A77" s="223" t="s">
        <v>402</v>
      </c>
      <c r="B77" s="217" t="s">
        <v>401</v>
      </c>
      <c r="C77" s="218" t="s">
        <v>296</v>
      </c>
      <c r="D77" s="219" t="s">
        <v>61</v>
      </c>
      <c r="E77" s="240"/>
      <c r="F77" s="241" t="s">
        <v>273</v>
      </c>
      <c r="G77" s="241" t="s">
        <v>271</v>
      </c>
      <c r="H77" s="242" t="str">
        <f>IF(BASE_DATOS[[#This Row],[N-R]]="N",BASE_DATOS[[#This Row],[Diseño]],"Reencauche")</f>
        <v>XMULTI2D</v>
      </c>
      <c r="I77" s="241" t="s">
        <v>299</v>
      </c>
      <c r="J77" s="243" t="s">
        <v>72</v>
      </c>
      <c r="K77" s="244">
        <v>21.4</v>
      </c>
      <c r="L77" s="241">
        <v>110</v>
      </c>
      <c r="M77" s="245"/>
      <c r="N77" s="247"/>
      <c r="O77" s="270"/>
      <c r="P77" s="271"/>
      <c r="Q77" s="272"/>
      <c r="R77" s="298" t="s">
        <v>105</v>
      </c>
      <c r="S77" s="299">
        <v>45384</v>
      </c>
      <c r="T77" s="300"/>
      <c r="U77" s="301"/>
      <c r="V77" s="216">
        <v>17</v>
      </c>
      <c r="W77" s="323"/>
      <c r="X77" s="324">
        <v>17</v>
      </c>
      <c r="Y77" s="162">
        <f t="shared" si="2"/>
        <v>17</v>
      </c>
      <c r="Z77" s="161" t="s">
        <v>73</v>
      </c>
      <c r="AA77" s="336">
        <f>IFERROR(BASE_DATOS[[#This Row],[NSK Original]]-BASE_DATOS[[#This Row],[NSK]]," ")</f>
        <v>4.3999999999999986</v>
      </c>
      <c r="AB77" s="337">
        <f>'NSK-TRACTO'!$A$2</f>
        <v>6</v>
      </c>
      <c r="AC77" s="337">
        <f>IF(BASE_DATOS[[#This Row],[NSK]]&gt;=BASE_DATOS[[#This Row],[NSK Reen]],BASE_DATOS[[#This Row],[NSK Reen]],BASE_DATOS[[#This Row],[NSK]])</f>
        <v>6</v>
      </c>
      <c r="AD77" s="338">
        <f>IFERROR(100%-(BASE_DATOS[[#This Row],[NSK Reen]]/BASE_DATOS[[#This Row],[NSK Original]]),"")</f>
        <v>0.71962616822429903</v>
      </c>
      <c r="AE77" s="338">
        <f>IFERROR(100%-BASE_DATOS[[#This Row],[NSK]]/BASE_DATOS[[#This Row],[NSK Original]],"")</f>
        <v>0.20560747663551393</v>
      </c>
      <c r="AF77" s="338">
        <f>IFERROR(BASE_DATOS[[#This Row],[% Max Des.]]-BASE_DATOS[[#This Row],[% Des]],"")</f>
        <v>0.5140186915887851</v>
      </c>
      <c r="AG77" s="287"/>
      <c r="AH77" s="273"/>
      <c r="AI77" s="355" t="str">
        <f>IF(OR(BASE_DATOS[[#This Row],[Hr.]]="",BASE_DATOS[[#This Row],[Hr. Actual]]=""),"",BASE_DATOS[[#This Row],[Hr. Actual]]-BASE_DATOS[[#This Row],[Hr.]]+BASE_DATOS[[#This Row],[Horas Acumuladas]])</f>
        <v/>
      </c>
      <c r="AJ77" s="356" t="str">
        <f>IFERROR(BASE_DATOS[[#This Row],[Precio US$]]/BASE_DATOS[[#This Row],[Horas Rodadas]],"")</f>
        <v/>
      </c>
      <c r="AK77" s="357" t="str">
        <f>IFERROR(BASE_DATOS[[#This Row],[Horas Rodadas]]/(BASE_DATOS[[#This Row],[NSK Original]]-BASE_DATOS[[#This Row],[NSK]]),"")</f>
        <v/>
      </c>
      <c r="AL77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7" s="358" t="str">
        <f>IFERROR(BASE_DATOS[[#This Row],[Precio US$]]/BASE_DATOS[[#This Row],[Horas Proy.]],"")</f>
        <v/>
      </c>
      <c r="AN77" s="165" t="str">
        <f>IF(OR(BASE_DATOS[[#This Row],[Km.]]="",BASE_DATOS[[#This Row],[Km. Actual]]=""),"",BASE_DATOS[[#This Row],[Km. Actual]]-BASE_DATOS[[#This Row],[Km.]]+BASE_DATOS[[#This Row],[Kilómetros Acumulados]])</f>
        <v/>
      </c>
      <c r="AO77" s="166" t="str">
        <f>IFERROR(BASE_DATOS[[#This Row],[Precio US$]]/BASE_DATOS[[#This Row],[Kilómetros Rodados]],"")</f>
        <v/>
      </c>
      <c r="AP77" s="165" t="str">
        <f>IFERROR(BASE_DATOS[[#This Row],[Kilómetros Rodados]]/(BASE_DATOS[[#This Row],[NSK Original]]-BASE_DATOS[[#This Row],[NSK]]),"")</f>
        <v/>
      </c>
      <c r="AQ77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7" s="166" t="str">
        <f>IFERROR(BASE_DATOS[[#This Row],[Precio US$]]/BASE_DATOS[[#This Row],[Kilómetros Proy.]],"")</f>
        <v/>
      </c>
      <c r="AS77" s="167" t="s">
        <v>62</v>
      </c>
      <c r="AT77" s="167"/>
      <c r="AU77" s="167"/>
      <c r="AV77" s="167"/>
      <c r="AW77" s="168"/>
      <c r="AX77" s="168"/>
      <c r="AY77" s="168" t="str">
        <f>CONCATENATE(BASE_DATOS[[#This Row],[Código_U]]&amp;BASE_DATOS[[#This Row],[Pos.]]&amp;BASE_DATOS[[#This Row],[Situación Actual]])</f>
        <v>TC-2668Rodando</v>
      </c>
    </row>
    <row r="78" spans="1:51" ht="12" x14ac:dyDescent="0.25">
      <c r="A78" s="223" t="s">
        <v>402</v>
      </c>
      <c r="B78" s="217" t="s">
        <v>401</v>
      </c>
      <c r="C78" s="218" t="s">
        <v>296</v>
      </c>
      <c r="D78" s="219" t="s">
        <v>61</v>
      </c>
      <c r="E78" s="240"/>
      <c r="F78" s="241" t="s">
        <v>273</v>
      </c>
      <c r="G78" s="241" t="s">
        <v>271</v>
      </c>
      <c r="H78" s="242" t="str">
        <f>IF(BASE_DATOS[[#This Row],[N-R]]="N",BASE_DATOS[[#This Row],[Diseño]],"Reencauche")</f>
        <v>XMULTI2D</v>
      </c>
      <c r="I78" s="241" t="s">
        <v>299</v>
      </c>
      <c r="J78" s="243" t="s">
        <v>72</v>
      </c>
      <c r="K78" s="244">
        <v>21.4</v>
      </c>
      <c r="L78" s="241">
        <v>110</v>
      </c>
      <c r="M78" s="245"/>
      <c r="N78" s="247"/>
      <c r="O78" s="270"/>
      <c r="P78" s="271"/>
      <c r="Q78" s="272"/>
      <c r="R78" s="298" t="s">
        <v>106</v>
      </c>
      <c r="S78" s="299">
        <v>45384</v>
      </c>
      <c r="T78" s="300"/>
      <c r="U78" s="301"/>
      <c r="V78" s="216">
        <v>17</v>
      </c>
      <c r="W78" s="323"/>
      <c r="X78" s="324">
        <v>17</v>
      </c>
      <c r="Y78" s="162">
        <f t="shared" ref="Y78:Y79" si="3">IFERROR(MIN(V78:X78),"")</f>
        <v>17</v>
      </c>
      <c r="Z78" s="161" t="s">
        <v>73</v>
      </c>
      <c r="AA78" s="336">
        <f>IFERROR(BASE_DATOS[[#This Row],[NSK Original]]-BASE_DATOS[[#This Row],[NSK]]," ")</f>
        <v>4.3999999999999986</v>
      </c>
      <c r="AB78" s="337">
        <f>'NSK-TRACTO'!$A$2</f>
        <v>6</v>
      </c>
      <c r="AC78" s="337">
        <f>IF(BASE_DATOS[[#This Row],[NSK]]&gt;=BASE_DATOS[[#This Row],[NSK Reen]],BASE_DATOS[[#This Row],[NSK Reen]],BASE_DATOS[[#This Row],[NSK]])</f>
        <v>6</v>
      </c>
      <c r="AD78" s="338">
        <f>IFERROR(100%-(BASE_DATOS[[#This Row],[NSK Reen]]/BASE_DATOS[[#This Row],[NSK Original]]),"")</f>
        <v>0.71962616822429903</v>
      </c>
      <c r="AE78" s="338">
        <f>IFERROR(100%-BASE_DATOS[[#This Row],[NSK]]/BASE_DATOS[[#This Row],[NSK Original]],"")</f>
        <v>0.20560747663551393</v>
      </c>
      <c r="AF78" s="338">
        <f>IFERROR(BASE_DATOS[[#This Row],[% Max Des.]]-BASE_DATOS[[#This Row],[% Des]],"")</f>
        <v>0.5140186915887851</v>
      </c>
      <c r="AG78" s="287"/>
      <c r="AH78" s="273"/>
      <c r="AI78" s="355" t="str">
        <f>IF(OR(BASE_DATOS[[#This Row],[Hr.]]="",BASE_DATOS[[#This Row],[Hr. Actual]]=""),"",BASE_DATOS[[#This Row],[Hr. Actual]]-BASE_DATOS[[#This Row],[Hr.]]+BASE_DATOS[[#This Row],[Horas Acumuladas]])</f>
        <v/>
      </c>
      <c r="AJ78" s="356" t="str">
        <f>IFERROR(BASE_DATOS[[#This Row],[Precio US$]]/BASE_DATOS[[#This Row],[Horas Rodadas]],"")</f>
        <v/>
      </c>
      <c r="AK78" s="357" t="str">
        <f>IFERROR(BASE_DATOS[[#This Row],[Horas Rodadas]]/(BASE_DATOS[[#This Row],[NSK Original]]-BASE_DATOS[[#This Row],[NSK]]),"")</f>
        <v/>
      </c>
      <c r="AL78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8" s="358" t="str">
        <f>IFERROR(BASE_DATOS[[#This Row],[Precio US$]]/BASE_DATOS[[#This Row],[Horas Proy.]],"")</f>
        <v/>
      </c>
      <c r="AN78" s="165" t="str">
        <f>IF(OR(BASE_DATOS[[#This Row],[Km.]]="",BASE_DATOS[[#This Row],[Km. Actual]]=""),"",BASE_DATOS[[#This Row],[Km. Actual]]-BASE_DATOS[[#This Row],[Km.]]+BASE_DATOS[[#This Row],[Kilómetros Acumulados]])</f>
        <v/>
      </c>
      <c r="AO78" s="166" t="str">
        <f>IFERROR(BASE_DATOS[[#This Row],[Precio US$]]/BASE_DATOS[[#This Row],[Kilómetros Rodados]],"")</f>
        <v/>
      </c>
      <c r="AP78" s="165" t="str">
        <f>IFERROR(BASE_DATOS[[#This Row],[Kilómetros Rodados]]/(BASE_DATOS[[#This Row],[NSK Original]]-BASE_DATOS[[#This Row],[NSK]]),"")</f>
        <v/>
      </c>
      <c r="AQ78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8" s="166" t="str">
        <f>IFERROR(BASE_DATOS[[#This Row],[Precio US$]]/BASE_DATOS[[#This Row],[Kilómetros Proy.]],"")</f>
        <v/>
      </c>
      <c r="AS78" s="167" t="s">
        <v>62</v>
      </c>
      <c r="AT78" s="167"/>
      <c r="AU78" s="167"/>
      <c r="AV78" s="167"/>
      <c r="AW78" s="168"/>
      <c r="AX78" s="168"/>
      <c r="AY78" s="168" t="str">
        <f>CONCATENATE(BASE_DATOS[[#This Row],[Código_U]]&amp;BASE_DATOS[[#This Row],[Pos.]]&amp;BASE_DATOS[[#This Row],[Situación Actual]])</f>
        <v>TC-2669Rodando</v>
      </c>
    </row>
    <row r="79" spans="1:51" ht="12" x14ac:dyDescent="0.25">
      <c r="A79" s="223" t="s">
        <v>402</v>
      </c>
      <c r="B79" s="217" t="s">
        <v>401</v>
      </c>
      <c r="C79" s="218" t="s">
        <v>296</v>
      </c>
      <c r="D79" s="219" t="s">
        <v>61</v>
      </c>
      <c r="E79" s="240"/>
      <c r="F79" s="241" t="s">
        <v>273</v>
      </c>
      <c r="G79" s="241" t="s">
        <v>271</v>
      </c>
      <c r="H79" s="242" t="str">
        <f>IF(BASE_DATOS[[#This Row],[N-R]]="N",BASE_DATOS[[#This Row],[Diseño]],"Reencauche")</f>
        <v>XMULTI2D</v>
      </c>
      <c r="I79" s="241" t="s">
        <v>299</v>
      </c>
      <c r="J79" s="243" t="s">
        <v>72</v>
      </c>
      <c r="K79" s="244">
        <v>21.4</v>
      </c>
      <c r="L79" s="241">
        <v>110</v>
      </c>
      <c r="M79" s="245"/>
      <c r="N79" s="247"/>
      <c r="O79" s="270"/>
      <c r="P79" s="271"/>
      <c r="Q79" s="272"/>
      <c r="R79" s="298" t="s">
        <v>107</v>
      </c>
      <c r="S79" s="299">
        <v>45384</v>
      </c>
      <c r="T79" s="300"/>
      <c r="U79" s="301"/>
      <c r="V79" s="216">
        <v>17</v>
      </c>
      <c r="W79" s="323"/>
      <c r="X79" s="324">
        <v>18</v>
      </c>
      <c r="Y79" s="162">
        <f t="shared" si="3"/>
        <v>17</v>
      </c>
      <c r="Z79" s="161" t="s">
        <v>73</v>
      </c>
      <c r="AA79" s="336">
        <f>IFERROR(BASE_DATOS[[#This Row],[NSK Original]]-BASE_DATOS[[#This Row],[NSK]]," ")</f>
        <v>4.3999999999999986</v>
      </c>
      <c r="AB79" s="337">
        <f>'NSK-TRACTO'!$A$2</f>
        <v>6</v>
      </c>
      <c r="AC79" s="337">
        <f>IF(BASE_DATOS[[#This Row],[NSK]]&gt;=BASE_DATOS[[#This Row],[NSK Reen]],BASE_DATOS[[#This Row],[NSK Reen]],BASE_DATOS[[#This Row],[NSK]])</f>
        <v>6</v>
      </c>
      <c r="AD79" s="338">
        <f>IFERROR(100%-(BASE_DATOS[[#This Row],[NSK Reen]]/BASE_DATOS[[#This Row],[NSK Original]]),"")</f>
        <v>0.71962616822429903</v>
      </c>
      <c r="AE79" s="338">
        <f>IFERROR(100%-BASE_DATOS[[#This Row],[NSK]]/BASE_DATOS[[#This Row],[NSK Original]],"")</f>
        <v>0.20560747663551393</v>
      </c>
      <c r="AF79" s="338">
        <f>IFERROR(BASE_DATOS[[#This Row],[% Max Des.]]-BASE_DATOS[[#This Row],[% Des]],"")</f>
        <v>0.5140186915887851</v>
      </c>
      <c r="AG79" s="287"/>
      <c r="AH79" s="273"/>
      <c r="AI79" s="355" t="str">
        <f>IF(OR(BASE_DATOS[[#This Row],[Hr.]]="",BASE_DATOS[[#This Row],[Hr. Actual]]=""),"",BASE_DATOS[[#This Row],[Hr. Actual]]-BASE_DATOS[[#This Row],[Hr.]]+BASE_DATOS[[#This Row],[Horas Acumuladas]])</f>
        <v/>
      </c>
      <c r="AJ79" s="356" t="str">
        <f>IFERROR(BASE_DATOS[[#This Row],[Precio US$]]/BASE_DATOS[[#This Row],[Horas Rodadas]],"")</f>
        <v/>
      </c>
      <c r="AK79" s="357" t="str">
        <f>IFERROR(BASE_DATOS[[#This Row],[Horas Rodadas]]/(BASE_DATOS[[#This Row],[NSK Original]]-BASE_DATOS[[#This Row],[NSK]]),"")</f>
        <v/>
      </c>
      <c r="AL79" s="357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9" s="358" t="str">
        <f>IFERROR(BASE_DATOS[[#This Row],[Precio US$]]/BASE_DATOS[[#This Row],[Horas Proy.]],"")</f>
        <v/>
      </c>
      <c r="AN79" s="165" t="str">
        <f>IF(OR(BASE_DATOS[[#This Row],[Km.]]="",BASE_DATOS[[#This Row],[Km. Actual]]=""),"",BASE_DATOS[[#This Row],[Km. Actual]]-BASE_DATOS[[#This Row],[Km.]]+BASE_DATOS[[#This Row],[Kilómetros Acumulados]])</f>
        <v/>
      </c>
      <c r="AO79" s="166" t="str">
        <f>IFERROR(BASE_DATOS[[#This Row],[Precio US$]]/BASE_DATOS[[#This Row],[Kilómetros Rodados]],"")</f>
        <v/>
      </c>
      <c r="AP79" s="165" t="str">
        <f>IFERROR(BASE_DATOS[[#This Row],[Kilómetros Rodados]]/(BASE_DATOS[[#This Row],[NSK Original]]-BASE_DATOS[[#This Row],[NSK]]),"")</f>
        <v/>
      </c>
      <c r="AQ79" s="16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9" s="166" t="str">
        <f>IFERROR(BASE_DATOS[[#This Row],[Precio US$]]/BASE_DATOS[[#This Row],[Kilómetros Proy.]],"")</f>
        <v/>
      </c>
      <c r="AS79" s="167" t="s">
        <v>62</v>
      </c>
      <c r="AT79" s="167"/>
      <c r="AU79" s="167"/>
      <c r="AV79" s="167"/>
      <c r="AW79" s="168"/>
      <c r="AX79" s="168"/>
      <c r="AY79" s="168" t="str">
        <f>CONCATENATE(BASE_DATOS[[#This Row],[Código_U]]&amp;BASE_DATOS[[#This Row],[Pos.]]&amp;BASE_DATOS[[#This Row],[Situación Actual]])</f>
        <v>TC-26610Rodando</v>
      </c>
    </row>
    <row r="80" spans="1:51" ht="12" x14ac:dyDescent="0.25">
      <c r="A80" s="224" t="s">
        <v>123</v>
      </c>
      <c r="B80" s="213" t="s">
        <v>124</v>
      </c>
      <c r="C80" s="225" t="s">
        <v>296</v>
      </c>
      <c r="D80" s="226" t="s">
        <v>86</v>
      </c>
      <c r="E80" s="249"/>
      <c r="F80" s="250" t="s">
        <v>278</v>
      </c>
      <c r="G80" s="250" t="s">
        <v>271</v>
      </c>
      <c r="H80" s="251" t="str">
        <f>IF(BASE_DATOS[[#This Row],[N-R]]="N",BASE_DATOS[[#This Row],[Diseño]],"Reencauche")</f>
        <v>HS3+</v>
      </c>
      <c r="I80" s="250" t="s">
        <v>279</v>
      </c>
      <c r="J80" s="235" t="s">
        <v>72</v>
      </c>
      <c r="K80" s="252">
        <v>16</v>
      </c>
      <c r="L80" s="233">
        <v>100</v>
      </c>
      <c r="M80" s="253"/>
      <c r="N80" s="254"/>
      <c r="O80" s="274"/>
      <c r="P80" s="275"/>
      <c r="Q80" s="276"/>
      <c r="R80" s="305" t="s">
        <v>98</v>
      </c>
      <c r="S80" s="306">
        <v>45384</v>
      </c>
      <c r="T80" s="307"/>
      <c r="U80" s="308"/>
      <c r="V80" s="224">
        <v>7</v>
      </c>
      <c r="W80" s="325">
        <v>7</v>
      </c>
      <c r="X80" s="326">
        <v>9</v>
      </c>
      <c r="Y80" s="292">
        <f t="shared" si="2"/>
        <v>7</v>
      </c>
      <c r="Z80" s="194" t="s">
        <v>85</v>
      </c>
      <c r="AA80" s="339">
        <f>IFERROR(BASE_DATOS[[#This Row],[NSK Original]]-BASE_DATOS[[#This Row],[NSK]]," ")</f>
        <v>9</v>
      </c>
      <c r="AB80" s="340">
        <f>'NSK-TRACTO'!$A$2</f>
        <v>6</v>
      </c>
      <c r="AC80" s="340">
        <f>IF(BASE_DATOS[[#This Row],[NSK]]&gt;=BASE_DATOS[[#This Row],[NSK Reen]],BASE_DATOS[[#This Row],[NSK Reen]],BASE_DATOS[[#This Row],[NSK]])</f>
        <v>6</v>
      </c>
      <c r="AD80" s="341">
        <f>IFERROR(100%-(BASE_DATOS[[#This Row],[NSK Reen]]/BASE_DATOS[[#This Row],[NSK Original]]),"")</f>
        <v>0.625</v>
      </c>
      <c r="AE80" s="341">
        <f>IFERROR(100%-BASE_DATOS[[#This Row],[NSK]]/BASE_DATOS[[#This Row],[NSK Original]],"")</f>
        <v>0.5625</v>
      </c>
      <c r="AF80" s="341">
        <f>IFERROR(BASE_DATOS[[#This Row],[% Max Des.]]-BASE_DATOS[[#This Row],[% Des]],"")</f>
        <v>6.25E-2</v>
      </c>
      <c r="AG80" s="284"/>
      <c r="AH80" s="335"/>
      <c r="AI80" s="359" t="str">
        <f>IF(OR(BASE_DATOS[[#This Row],[Hr.]]="",BASE_DATOS[[#This Row],[Hr. Actual]]=""),"",BASE_DATOS[[#This Row],[Hr. Actual]]-BASE_DATOS[[#This Row],[Hr.]]+BASE_DATOS[[#This Row],[Horas Acumuladas]])</f>
        <v/>
      </c>
      <c r="AJ80" s="360" t="str">
        <f>IFERROR(BASE_DATOS[[#This Row],[Precio US$]]/BASE_DATOS[[#This Row],[Horas Rodadas]],"")</f>
        <v/>
      </c>
      <c r="AK80" s="361" t="str">
        <f>IFERROR(BASE_DATOS[[#This Row],[Horas Rodadas]]/(BASE_DATOS[[#This Row],[NSK Original]]-BASE_DATOS[[#This Row],[NSK]]),"")</f>
        <v/>
      </c>
      <c r="AL80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0" s="362" t="str">
        <f>IFERROR(BASE_DATOS[[#This Row],[Precio US$]]/BASE_DATOS[[#This Row],[Horas Proy.]],"")</f>
        <v/>
      </c>
      <c r="AN80" s="195" t="str">
        <f>IF(OR(BASE_DATOS[[#This Row],[Km.]]="",BASE_DATOS[[#This Row],[Km. Actual]]=""),"",BASE_DATOS[[#This Row],[Km. Actual]]-BASE_DATOS[[#This Row],[Km.]]+BASE_DATOS[[#This Row],[Kilómetros Acumulados]])</f>
        <v/>
      </c>
      <c r="AO80" s="196" t="str">
        <f>IFERROR(BASE_DATOS[[#This Row],[Precio US$]]/BASE_DATOS[[#This Row],[Kilómetros Rodados]],"")</f>
        <v/>
      </c>
      <c r="AP80" s="195" t="str">
        <f>IFERROR(BASE_DATOS[[#This Row],[Kilómetros Rodados]]/(BASE_DATOS[[#This Row],[NSK Original]]-BASE_DATOS[[#This Row],[NSK]]),"")</f>
        <v/>
      </c>
      <c r="AQ80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0" s="196" t="str">
        <f>IFERROR(BASE_DATOS[[#This Row],[Precio US$]]/BASE_DATOS[[#This Row],[Kilómetros Proy.]],"")</f>
        <v/>
      </c>
      <c r="AS80" s="191" t="s">
        <v>62</v>
      </c>
      <c r="AT80" s="191"/>
      <c r="AU80" s="191" t="s">
        <v>515</v>
      </c>
      <c r="AV80" s="191"/>
      <c r="AW80" s="198"/>
      <c r="AX80" s="192" t="s">
        <v>371</v>
      </c>
      <c r="AY80" s="192" t="str">
        <f>CONCATENATE(BASE_DATOS[[#This Row],[Código_U]]&amp;BASE_DATOS[[#This Row],[Pos.]]&amp;BASE_DATOS[[#This Row],[Situación Actual]])</f>
        <v>TC-1121Rodando</v>
      </c>
    </row>
    <row r="81" spans="1:51" ht="12" x14ac:dyDescent="0.25">
      <c r="A81" s="227" t="s">
        <v>123</v>
      </c>
      <c r="B81" s="217" t="s">
        <v>124</v>
      </c>
      <c r="C81" s="228" t="s">
        <v>296</v>
      </c>
      <c r="D81" s="229" t="s">
        <v>86</v>
      </c>
      <c r="E81" s="255"/>
      <c r="F81" s="256" t="s">
        <v>278</v>
      </c>
      <c r="G81" s="256" t="s">
        <v>271</v>
      </c>
      <c r="H81" s="257" t="str">
        <f>IF(BASE_DATOS[[#This Row],[N-R]]="N",BASE_DATOS[[#This Row],[Diseño]],"Reencauche")</f>
        <v>HS3+</v>
      </c>
      <c r="I81" s="256" t="s">
        <v>279</v>
      </c>
      <c r="J81" s="243" t="s">
        <v>72</v>
      </c>
      <c r="K81" s="258">
        <v>16</v>
      </c>
      <c r="L81" s="241">
        <v>100</v>
      </c>
      <c r="M81" s="259"/>
      <c r="N81" s="260"/>
      <c r="O81" s="277"/>
      <c r="P81" s="278"/>
      <c r="Q81" s="279"/>
      <c r="R81" s="309" t="s">
        <v>99</v>
      </c>
      <c r="S81" s="310">
        <v>45384</v>
      </c>
      <c r="T81" s="311"/>
      <c r="U81" s="312"/>
      <c r="V81" s="227">
        <v>10</v>
      </c>
      <c r="W81" s="281">
        <v>10</v>
      </c>
      <c r="X81" s="282">
        <v>9</v>
      </c>
      <c r="Y81" s="293">
        <f t="shared" si="2"/>
        <v>9</v>
      </c>
      <c r="Z81" s="175" t="s">
        <v>85</v>
      </c>
      <c r="AA81" s="342">
        <f>IFERROR(BASE_DATOS[[#This Row],[NSK Original]]-BASE_DATOS[[#This Row],[NSK]]," ")</f>
        <v>7</v>
      </c>
      <c r="AB81" s="343">
        <f>'NSK-TRACTO'!$A$2</f>
        <v>6</v>
      </c>
      <c r="AC81" s="343">
        <f>IF(BASE_DATOS[[#This Row],[NSK]]&gt;=BASE_DATOS[[#This Row],[NSK Reen]],BASE_DATOS[[#This Row],[NSK Reen]],BASE_DATOS[[#This Row],[NSK]])</f>
        <v>6</v>
      </c>
      <c r="AD81" s="344">
        <f>IFERROR(100%-(BASE_DATOS[[#This Row],[NSK Reen]]/BASE_DATOS[[#This Row],[NSK Original]]),"")</f>
        <v>0.625</v>
      </c>
      <c r="AE81" s="344">
        <f>IFERROR(100%-BASE_DATOS[[#This Row],[NSK]]/BASE_DATOS[[#This Row],[NSK Original]],"")</f>
        <v>0.4375</v>
      </c>
      <c r="AF81" s="344">
        <f>IFERROR(BASE_DATOS[[#This Row],[% Max Des.]]-BASE_DATOS[[#This Row],[% Des]],"")</f>
        <v>0.1875</v>
      </c>
      <c r="AG81" s="287"/>
      <c r="AH81" s="273"/>
      <c r="AI81" s="363" t="str">
        <f>IF(OR(BASE_DATOS[[#This Row],[Hr.]]="",BASE_DATOS[[#This Row],[Hr. Actual]]=""),"",BASE_DATOS[[#This Row],[Hr. Actual]]-BASE_DATOS[[#This Row],[Hr.]]+BASE_DATOS[[#This Row],[Horas Acumuladas]])</f>
        <v/>
      </c>
      <c r="AJ81" s="364" t="str">
        <f>IFERROR(BASE_DATOS[[#This Row],[Precio US$]]/BASE_DATOS[[#This Row],[Horas Rodadas]],"")</f>
        <v/>
      </c>
      <c r="AK81" s="365" t="str">
        <f>IFERROR(BASE_DATOS[[#This Row],[Horas Rodadas]]/(BASE_DATOS[[#This Row],[NSK Original]]-BASE_DATOS[[#This Row],[NSK]]),"")</f>
        <v/>
      </c>
      <c r="AL8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1" s="366" t="str">
        <f>IFERROR(BASE_DATOS[[#This Row],[Precio US$]]/BASE_DATOS[[#This Row],[Horas Proy.]],"")</f>
        <v/>
      </c>
      <c r="AN81" s="176" t="str">
        <f>IF(OR(BASE_DATOS[[#This Row],[Km.]]="",BASE_DATOS[[#This Row],[Km. Actual]]=""),"",BASE_DATOS[[#This Row],[Km. Actual]]-BASE_DATOS[[#This Row],[Km.]]+BASE_DATOS[[#This Row],[Kilómetros Acumulados]])</f>
        <v/>
      </c>
      <c r="AO81" s="177" t="str">
        <f>IFERROR(BASE_DATOS[[#This Row],[Precio US$]]/BASE_DATOS[[#This Row],[Kilómetros Rodados]],"")</f>
        <v/>
      </c>
      <c r="AP81" s="176" t="str">
        <f>IFERROR(BASE_DATOS[[#This Row],[Kilómetros Rodados]]/(BASE_DATOS[[#This Row],[NSK Original]]-BASE_DATOS[[#This Row],[NSK]]),"")</f>
        <v/>
      </c>
      <c r="AQ8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1" s="177" t="str">
        <f>IFERROR(BASE_DATOS[[#This Row],[Precio US$]]/BASE_DATOS[[#This Row],[Kilómetros Proy.]],"")</f>
        <v/>
      </c>
      <c r="AS81" s="167" t="s">
        <v>62</v>
      </c>
      <c r="AT81" s="167"/>
      <c r="AU81" s="167" t="s">
        <v>515</v>
      </c>
      <c r="AV81" s="167"/>
      <c r="AW81" s="179"/>
      <c r="AX81" s="169" t="s">
        <v>371</v>
      </c>
      <c r="AY81" s="169" t="str">
        <f>CONCATENATE(BASE_DATOS[[#This Row],[Código_U]]&amp;BASE_DATOS[[#This Row],[Pos.]]&amp;BASE_DATOS[[#This Row],[Situación Actual]])</f>
        <v>TC-1122Rodando</v>
      </c>
    </row>
    <row r="82" spans="1:51" ht="12" x14ac:dyDescent="0.25">
      <c r="A82" s="227" t="s">
        <v>123</v>
      </c>
      <c r="B82" s="217" t="s">
        <v>124</v>
      </c>
      <c r="C82" s="228" t="s">
        <v>296</v>
      </c>
      <c r="D82" s="229" t="s">
        <v>61</v>
      </c>
      <c r="E82" s="255"/>
      <c r="F82" s="256" t="s">
        <v>369</v>
      </c>
      <c r="G82" s="256" t="s">
        <v>271</v>
      </c>
      <c r="H82" s="257" t="str">
        <f>IF(BASE_DATOS[[#This Row],[N-R]]="N",BASE_DATOS[[#This Row],[Diseño]],"Reencauche")</f>
        <v>ADR8</v>
      </c>
      <c r="I82" s="256" t="s">
        <v>328</v>
      </c>
      <c r="J82" s="243" t="s">
        <v>72</v>
      </c>
      <c r="K82" s="258">
        <v>18</v>
      </c>
      <c r="L82" s="241">
        <v>110</v>
      </c>
      <c r="M82" s="259"/>
      <c r="N82" s="260"/>
      <c r="O82" s="277"/>
      <c r="P82" s="278"/>
      <c r="Q82" s="279"/>
      <c r="R82" s="309" t="s">
        <v>100</v>
      </c>
      <c r="S82" s="310">
        <v>45384</v>
      </c>
      <c r="T82" s="313"/>
      <c r="U82" s="279"/>
      <c r="V82" s="227">
        <v>8</v>
      </c>
      <c r="W82" s="281"/>
      <c r="X82" s="282">
        <v>10</v>
      </c>
      <c r="Y82" s="293">
        <f t="shared" si="2"/>
        <v>8</v>
      </c>
      <c r="Z82" s="175" t="s">
        <v>85</v>
      </c>
      <c r="AA82" s="342">
        <f>IFERROR(BASE_DATOS[[#This Row],[NSK Original]]-BASE_DATOS[[#This Row],[NSK]]," ")</f>
        <v>10</v>
      </c>
      <c r="AB82" s="343">
        <f>'NSK-TRACTO'!$A$2</f>
        <v>6</v>
      </c>
      <c r="AC82" s="343">
        <f>IF(BASE_DATOS[[#This Row],[NSK]]&gt;=BASE_DATOS[[#This Row],[NSK Reen]],BASE_DATOS[[#This Row],[NSK Reen]],BASE_DATOS[[#This Row],[NSK]])</f>
        <v>6</v>
      </c>
      <c r="AD82" s="344">
        <f>IFERROR(100%-(BASE_DATOS[[#This Row],[NSK Reen]]/BASE_DATOS[[#This Row],[NSK Original]]),"")</f>
        <v>0.66666666666666674</v>
      </c>
      <c r="AE82" s="344">
        <f>IFERROR(100%-BASE_DATOS[[#This Row],[NSK]]/BASE_DATOS[[#This Row],[NSK Original]],"")</f>
        <v>0.55555555555555558</v>
      </c>
      <c r="AF82" s="344">
        <f>IFERROR(BASE_DATOS[[#This Row],[% Max Des.]]-BASE_DATOS[[#This Row],[% Des]],"")</f>
        <v>0.11111111111111116</v>
      </c>
      <c r="AG82" s="287"/>
      <c r="AH82" s="273"/>
      <c r="AI82" s="363" t="str">
        <f>IF(OR(BASE_DATOS[[#This Row],[Hr.]]="",BASE_DATOS[[#This Row],[Hr. Actual]]=""),"",BASE_DATOS[[#This Row],[Hr. Actual]]-BASE_DATOS[[#This Row],[Hr.]]+BASE_DATOS[[#This Row],[Horas Acumuladas]])</f>
        <v/>
      </c>
      <c r="AJ82" s="364" t="str">
        <f>IFERROR(BASE_DATOS[[#This Row],[Precio US$]]/BASE_DATOS[[#This Row],[Horas Rodadas]],"")</f>
        <v/>
      </c>
      <c r="AK82" s="365" t="str">
        <f>IFERROR(BASE_DATOS[[#This Row],[Horas Rodadas]]/(BASE_DATOS[[#This Row],[NSK Original]]-BASE_DATOS[[#This Row],[NSK]]),"")</f>
        <v/>
      </c>
      <c r="AL8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2" s="366" t="str">
        <f>IFERROR(BASE_DATOS[[#This Row],[Precio US$]]/BASE_DATOS[[#This Row],[Horas Proy.]],"")</f>
        <v/>
      </c>
      <c r="AN82" s="176" t="str">
        <f>IF(OR(BASE_DATOS[[#This Row],[Km.]]="",BASE_DATOS[[#This Row],[Km. Actual]]=""),"",BASE_DATOS[[#This Row],[Km. Actual]]-BASE_DATOS[[#This Row],[Km.]]+BASE_DATOS[[#This Row],[Kilómetros Acumulados]])</f>
        <v/>
      </c>
      <c r="AO82" s="177" t="str">
        <f>IFERROR(BASE_DATOS[[#This Row],[Precio US$]]/BASE_DATOS[[#This Row],[Kilómetros Rodados]],"")</f>
        <v/>
      </c>
      <c r="AP82" s="176" t="str">
        <f>IFERROR(BASE_DATOS[[#This Row],[Kilómetros Rodados]]/(BASE_DATOS[[#This Row],[NSK Original]]-BASE_DATOS[[#This Row],[NSK]]),"")</f>
        <v/>
      </c>
      <c r="AQ8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2" s="177" t="str">
        <f>IFERROR(BASE_DATOS[[#This Row],[Precio US$]]/BASE_DATOS[[#This Row],[Kilómetros Proy.]],"")</f>
        <v/>
      </c>
      <c r="AS82" s="167" t="s">
        <v>62</v>
      </c>
      <c r="AT82" s="167"/>
      <c r="AU82" s="167"/>
      <c r="AV82" s="167"/>
      <c r="AW82" s="179"/>
      <c r="AX82" s="179"/>
      <c r="AY82" s="179" t="str">
        <f>CONCATENATE(BASE_DATOS[[#This Row],[Código_U]]&amp;BASE_DATOS[[#This Row],[Pos.]]&amp;BASE_DATOS[[#This Row],[Situación Actual]])</f>
        <v>TC-1123Rodando</v>
      </c>
    </row>
    <row r="83" spans="1:51" ht="12" x14ac:dyDescent="0.25">
      <c r="A83" s="227" t="s">
        <v>123</v>
      </c>
      <c r="B83" s="217" t="s">
        <v>124</v>
      </c>
      <c r="C83" s="228" t="s">
        <v>296</v>
      </c>
      <c r="D83" s="229" t="s">
        <v>61</v>
      </c>
      <c r="E83" s="255"/>
      <c r="F83" s="256" t="s">
        <v>369</v>
      </c>
      <c r="G83" s="256" t="s">
        <v>271</v>
      </c>
      <c r="H83" s="257" t="str">
        <f>IF(BASE_DATOS[[#This Row],[N-R]]="N",BASE_DATOS[[#This Row],[Diseño]],"Reencauche")</f>
        <v>ADR8</v>
      </c>
      <c r="I83" s="256" t="s">
        <v>328</v>
      </c>
      <c r="J83" s="243" t="s">
        <v>72</v>
      </c>
      <c r="K83" s="258">
        <v>18</v>
      </c>
      <c r="L83" s="241">
        <v>110</v>
      </c>
      <c r="M83" s="259"/>
      <c r="N83" s="260"/>
      <c r="O83" s="277"/>
      <c r="P83" s="278"/>
      <c r="Q83" s="279"/>
      <c r="R83" s="309" t="s">
        <v>101</v>
      </c>
      <c r="S83" s="310">
        <v>45384</v>
      </c>
      <c r="T83" s="313"/>
      <c r="U83" s="279"/>
      <c r="V83" s="227">
        <v>9</v>
      </c>
      <c r="W83" s="281"/>
      <c r="X83" s="282">
        <v>10</v>
      </c>
      <c r="Y83" s="293">
        <f t="shared" si="2"/>
        <v>9</v>
      </c>
      <c r="Z83" s="175" t="s">
        <v>85</v>
      </c>
      <c r="AA83" s="342">
        <f>IFERROR(BASE_DATOS[[#This Row],[NSK Original]]-BASE_DATOS[[#This Row],[NSK]]," ")</f>
        <v>9</v>
      </c>
      <c r="AB83" s="343">
        <f>'NSK-TRACTO'!$A$2</f>
        <v>6</v>
      </c>
      <c r="AC83" s="343">
        <f>IF(BASE_DATOS[[#This Row],[NSK]]&gt;=BASE_DATOS[[#This Row],[NSK Reen]],BASE_DATOS[[#This Row],[NSK Reen]],BASE_DATOS[[#This Row],[NSK]])</f>
        <v>6</v>
      </c>
      <c r="AD83" s="344">
        <f>IFERROR(100%-(BASE_DATOS[[#This Row],[NSK Reen]]/BASE_DATOS[[#This Row],[NSK Original]]),"")</f>
        <v>0.66666666666666674</v>
      </c>
      <c r="AE83" s="344">
        <f>IFERROR(100%-BASE_DATOS[[#This Row],[NSK]]/BASE_DATOS[[#This Row],[NSK Original]],"")</f>
        <v>0.5</v>
      </c>
      <c r="AF83" s="344">
        <f>IFERROR(BASE_DATOS[[#This Row],[% Max Des.]]-BASE_DATOS[[#This Row],[% Des]],"")</f>
        <v>0.16666666666666674</v>
      </c>
      <c r="AG83" s="287"/>
      <c r="AH83" s="273"/>
      <c r="AI83" s="363" t="str">
        <f>IF(OR(BASE_DATOS[[#This Row],[Hr.]]="",BASE_DATOS[[#This Row],[Hr. Actual]]=""),"",BASE_DATOS[[#This Row],[Hr. Actual]]-BASE_DATOS[[#This Row],[Hr.]]+BASE_DATOS[[#This Row],[Horas Acumuladas]])</f>
        <v/>
      </c>
      <c r="AJ83" s="364" t="str">
        <f>IFERROR(BASE_DATOS[[#This Row],[Precio US$]]/BASE_DATOS[[#This Row],[Horas Rodadas]],"")</f>
        <v/>
      </c>
      <c r="AK83" s="365" t="str">
        <f>IFERROR(BASE_DATOS[[#This Row],[Horas Rodadas]]/(BASE_DATOS[[#This Row],[NSK Original]]-BASE_DATOS[[#This Row],[NSK]]),"")</f>
        <v/>
      </c>
      <c r="AL8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3" s="366" t="str">
        <f>IFERROR(BASE_DATOS[[#This Row],[Precio US$]]/BASE_DATOS[[#This Row],[Horas Proy.]],"")</f>
        <v/>
      </c>
      <c r="AN83" s="176" t="str">
        <f>IF(OR(BASE_DATOS[[#This Row],[Km.]]="",BASE_DATOS[[#This Row],[Km. Actual]]=""),"",BASE_DATOS[[#This Row],[Km. Actual]]-BASE_DATOS[[#This Row],[Km.]]+BASE_DATOS[[#This Row],[Kilómetros Acumulados]])</f>
        <v/>
      </c>
      <c r="AO83" s="177" t="str">
        <f>IFERROR(BASE_DATOS[[#This Row],[Precio US$]]/BASE_DATOS[[#This Row],[Kilómetros Rodados]],"")</f>
        <v/>
      </c>
      <c r="AP83" s="176" t="str">
        <f>IFERROR(BASE_DATOS[[#This Row],[Kilómetros Rodados]]/(BASE_DATOS[[#This Row],[NSK Original]]-BASE_DATOS[[#This Row],[NSK]]),"")</f>
        <v/>
      </c>
      <c r="AQ8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3" s="177" t="str">
        <f>IFERROR(BASE_DATOS[[#This Row],[Precio US$]]/BASE_DATOS[[#This Row],[Kilómetros Proy.]],"")</f>
        <v/>
      </c>
      <c r="AS83" s="167" t="s">
        <v>62</v>
      </c>
      <c r="AT83" s="167"/>
      <c r="AU83" s="167"/>
      <c r="AV83" s="167"/>
      <c r="AW83" s="179"/>
      <c r="AX83" s="179"/>
      <c r="AY83" s="179" t="str">
        <f>CONCATENATE(BASE_DATOS[[#This Row],[Código_U]]&amp;BASE_DATOS[[#This Row],[Pos.]]&amp;BASE_DATOS[[#This Row],[Situación Actual]])</f>
        <v>TC-1124Rodando</v>
      </c>
    </row>
    <row r="84" spans="1:51" ht="12" x14ac:dyDescent="0.25">
      <c r="A84" s="227" t="s">
        <v>123</v>
      </c>
      <c r="B84" s="217" t="s">
        <v>124</v>
      </c>
      <c r="C84" s="228" t="s">
        <v>296</v>
      </c>
      <c r="D84" s="229" t="s">
        <v>61</v>
      </c>
      <c r="E84" s="255"/>
      <c r="F84" s="256" t="s">
        <v>369</v>
      </c>
      <c r="G84" s="256" t="s">
        <v>271</v>
      </c>
      <c r="H84" s="257" t="str">
        <f>IF(BASE_DATOS[[#This Row],[N-R]]="N",BASE_DATOS[[#This Row],[Diseño]],"Reencauche")</f>
        <v>ADR8</v>
      </c>
      <c r="I84" s="256" t="s">
        <v>328</v>
      </c>
      <c r="J84" s="243" t="s">
        <v>72</v>
      </c>
      <c r="K84" s="258">
        <v>18</v>
      </c>
      <c r="L84" s="241">
        <v>110</v>
      </c>
      <c r="M84" s="259"/>
      <c r="N84" s="260"/>
      <c r="O84" s="277"/>
      <c r="P84" s="278"/>
      <c r="Q84" s="279"/>
      <c r="R84" s="309" t="s">
        <v>102</v>
      </c>
      <c r="S84" s="310">
        <v>45384</v>
      </c>
      <c r="T84" s="313"/>
      <c r="U84" s="279"/>
      <c r="V84" s="227">
        <v>8</v>
      </c>
      <c r="W84" s="281"/>
      <c r="X84" s="282">
        <v>8</v>
      </c>
      <c r="Y84" s="293">
        <f t="shared" si="2"/>
        <v>8</v>
      </c>
      <c r="Z84" s="175" t="s">
        <v>85</v>
      </c>
      <c r="AA84" s="342">
        <f>IFERROR(BASE_DATOS[[#This Row],[NSK Original]]-BASE_DATOS[[#This Row],[NSK]]," ")</f>
        <v>10</v>
      </c>
      <c r="AB84" s="343">
        <f>'NSK-TRACTO'!$A$2</f>
        <v>6</v>
      </c>
      <c r="AC84" s="343">
        <f>IF(BASE_DATOS[[#This Row],[NSK]]&gt;=BASE_DATOS[[#This Row],[NSK Reen]],BASE_DATOS[[#This Row],[NSK Reen]],BASE_DATOS[[#This Row],[NSK]])</f>
        <v>6</v>
      </c>
      <c r="AD84" s="344">
        <f>IFERROR(100%-(BASE_DATOS[[#This Row],[NSK Reen]]/BASE_DATOS[[#This Row],[NSK Original]]),"")</f>
        <v>0.66666666666666674</v>
      </c>
      <c r="AE84" s="344">
        <f>IFERROR(100%-BASE_DATOS[[#This Row],[NSK]]/BASE_DATOS[[#This Row],[NSK Original]],"")</f>
        <v>0.55555555555555558</v>
      </c>
      <c r="AF84" s="344">
        <f>IFERROR(BASE_DATOS[[#This Row],[% Max Des.]]-BASE_DATOS[[#This Row],[% Des]],"")</f>
        <v>0.11111111111111116</v>
      </c>
      <c r="AG84" s="287"/>
      <c r="AH84" s="273"/>
      <c r="AI84" s="363" t="str">
        <f>IF(OR(BASE_DATOS[[#This Row],[Hr.]]="",BASE_DATOS[[#This Row],[Hr. Actual]]=""),"",BASE_DATOS[[#This Row],[Hr. Actual]]-BASE_DATOS[[#This Row],[Hr.]]+BASE_DATOS[[#This Row],[Horas Acumuladas]])</f>
        <v/>
      </c>
      <c r="AJ84" s="364" t="str">
        <f>IFERROR(BASE_DATOS[[#This Row],[Precio US$]]/BASE_DATOS[[#This Row],[Horas Rodadas]],"")</f>
        <v/>
      </c>
      <c r="AK84" s="365" t="str">
        <f>IFERROR(BASE_DATOS[[#This Row],[Horas Rodadas]]/(BASE_DATOS[[#This Row],[NSK Original]]-BASE_DATOS[[#This Row],[NSK]]),"")</f>
        <v/>
      </c>
      <c r="AL8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4" s="366" t="str">
        <f>IFERROR(BASE_DATOS[[#This Row],[Precio US$]]/BASE_DATOS[[#This Row],[Horas Proy.]],"")</f>
        <v/>
      </c>
      <c r="AN84" s="176" t="str">
        <f>IF(OR(BASE_DATOS[[#This Row],[Km.]]="",BASE_DATOS[[#This Row],[Km. Actual]]=""),"",BASE_DATOS[[#This Row],[Km. Actual]]-BASE_DATOS[[#This Row],[Km.]]+BASE_DATOS[[#This Row],[Kilómetros Acumulados]])</f>
        <v/>
      </c>
      <c r="AO84" s="177" t="str">
        <f>IFERROR(BASE_DATOS[[#This Row],[Precio US$]]/BASE_DATOS[[#This Row],[Kilómetros Rodados]],"")</f>
        <v/>
      </c>
      <c r="AP84" s="176" t="str">
        <f>IFERROR(BASE_DATOS[[#This Row],[Kilómetros Rodados]]/(BASE_DATOS[[#This Row],[NSK Original]]-BASE_DATOS[[#This Row],[NSK]]),"")</f>
        <v/>
      </c>
      <c r="AQ8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4" s="177" t="str">
        <f>IFERROR(BASE_DATOS[[#This Row],[Precio US$]]/BASE_DATOS[[#This Row],[Kilómetros Proy.]],"")</f>
        <v/>
      </c>
      <c r="AS84" s="167" t="s">
        <v>62</v>
      </c>
      <c r="AT84" s="167"/>
      <c r="AU84" s="167"/>
      <c r="AV84" s="167"/>
      <c r="AW84" s="179"/>
      <c r="AX84" s="179"/>
      <c r="AY84" s="179" t="str">
        <f>CONCATENATE(BASE_DATOS[[#This Row],[Código_U]]&amp;BASE_DATOS[[#This Row],[Pos.]]&amp;BASE_DATOS[[#This Row],[Situación Actual]])</f>
        <v>TC-1125Rodando</v>
      </c>
    </row>
    <row r="85" spans="1:51" ht="12" x14ac:dyDescent="0.25">
      <c r="A85" s="227" t="s">
        <v>123</v>
      </c>
      <c r="B85" s="217" t="s">
        <v>124</v>
      </c>
      <c r="C85" s="228" t="s">
        <v>296</v>
      </c>
      <c r="D85" s="229" t="s">
        <v>61</v>
      </c>
      <c r="E85" s="255"/>
      <c r="F85" s="256" t="s">
        <v>369</v>
      </c>
      <c r="G85" s="256" t="s">
        <v>271</v>
      </c>
      <c r="H85" s="257" t="str">
        <f>IF(BASE_DATOS[[#This Row],[N-R]]="N",BASE_DATOS[[#This Row],[Diseño]],"Reencauche")</f>
        <v>ADR8</v>
      </c>
      <c r="I85" s="256" t="s">
        <v>328</v>
      </c>
      <c r="J85" s="243" t="s">
        <v>72</v>
      </c>
      <c r="K85" s="258">
        <v>18</v>
      </c>
      <c r="L85" s="241">
        <v>110</v>
      </c>
      <c r="M85" s="259"/>
      <c r="N85" s="260"/>
      <c r="O85" s="277"/>
      <c r="P85" s="278"/>
      <c r="Q85" s="279"/>
      <c r="R85" s="309" t="s">
        <v>103</v>
      </c>
      <c r="S85" s="310">
        <v>45384</v>
      </c>
      <c r="T85" s="313"/>
      <c r="U85" s="279"/>
      <c r="V85" s="227">
        <v>8</v>
      </c>
      <c r="W85" s="281"/>
      <c r="X85" s="282">
        <v>8</v>
      </c>
      <c r="Y85" s="293">
        <f t="shared" si="2"/>
        <v>8</v>
      </c>
      <c r="Z85" s="175" t="s">
        <v>85</v>
      </c>
      <c r="AA85" s="342">
        <f>IFERROR(BASE_DATOS[[#This Row],[NSK Original]]-BASE_DATOS[[#This Row],[NSK]]," ")</f>
        <v>10</v>
      </c>
      <c r="AB85" s="343">
        <f>'NSK-TRACTO'!$A$2</f>
        <v>6</v>
      </c>
      <c r="AC85" s="343">
        <f>IF(BASE_DATOS[[#This Row],[NSK]]&gt;=BASE_DATOS[[#This Row],[NSK Reen]],BASE_DATOS[[#This Row],[NSK Reen]],BASE_DATOS[[#This Row],[NSK]])</f>
        <v>6</v>
      </c>
      <c r="AD85" s="344">
        <f>IFERROR(100%-(BASE_DATOS[[#This Row],[NSK Reen]]/BASE_DATOS[[#This Row],[NSK Original]]),"")</f>
        <v>0.66666666666666674</v>
      </c>
      <c r="AE85" s="344">
        <f>IFERROR(100%-BASE_DATOS[[#This Row],[NSK]]/BASE_DATOS[[#This Row],[NSK Original]],"")</f>
        <v>0.55555555555555558</v>
      </c>
      <c r="AF85" s="344">
        <f>IFERROR(BASE_DATOS[[#This Row],[% Max Des.]]-BASE_DATOS[[#This Row],[% Des]],"")</f>
        <v>0.11111111111111116</v>
      </c>
      <c r="AG85" s="287"/>
      <c r="AH85" s="273"/>
      <c r="AI85" s="363" t="str">
        <f>IF(OR(BASE_DATOS[[#This Row],[Hr.]]="",BASE_DATOS[[#This Row],[Hr. Actual]]=""),"",BASE_DATOS[[#This Row],[Hr. Actual]]-BASE_DATOS[[#This Row],[Hr.]]+BASE_DATOS[[#This Row],[Horas Acumuladas]])</f>
        <v/>
      </c>
      <c r="AJ85" s="364" t="str">
        <f>IFERROR(BASE_DATOS[[#This Row],[Precio US$]]/BASE_DATOS[[#This Row],[Horas Rodadas]],"")</f>
        <v/>
      </c>
      <c r="AK85" s="365" t="str">
        <f>IFERROR(BASE_DATOS[[#This Row],[Horas Rodadas]]/(BASE_DATOS[[#This Row],[NSK Original]]-BASE_DATOS[[#This Row],[NSK]]),"")</f>
        <v/>
      </c>
      <c r="AL8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5" s="366" t="str">
        <f>IFERROR(BASE_DATOS[[#This Row],[Precio US$]]/BASE_DATOS[[#This Row],[Horas Proy.]],"")</f>
        <v/>
      </c>
      <c r="AN85" s="176" t="str">
        <f>IF(OR(BASE_DATOS[[#This Row],[Km.]]="",BASE_DATOS[[#This Row],[Km. Actual]]=""),"",BASE_DATOS[[#This Row],[Km. Actual]]-BASE_DATOS[[#This Row],[Km.]]+BASE_DATOS[[#This Row],[Kilómetros Acumulados]])</f>
        <v/>
      </c>
      <c r="AO85" s="177" t="str">
        <f>IFERROR(BASE_DATOS[[#This Row],[Precio US$]]/BASE_DATOS[[#This Row],[Kilómetros Rodados]],"")</f>
        <v/>
      </c>
      <c r="AP85" s="176" t="str">
        <f>IFERROR(BASE_DATOS[[#This Row],[Kilómetros Rodados]]/(BASE_DATOS[[#This Row],[NSK Original]]-BASE_DATOS[[#This Row],[NSK]]),"")</f>
        <v/>
      </c>
      <c r="AQ8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5" s="177" t="str">
        <f>IFERROR(BASE_DATOS[[#This Row],[Precio US$]]/BASE_DATOS[[#This Row],[Kilómetros Proy.]],"")</f>
        <v/>
      </c>
      <c r="AS85" s="167" t="s">
        <v>62</v>
      </c>
      <c r="AT85" s="167"/>
      <c r="AU85" s="167"/>
      <c r="AV85" s="167"/>
      <c r="AW85" s="179"/>
      <c r="AX85" s="179"/>
      <c r="AY85" s="179" t="str">
        <f>CONCATENATE(BASE_DATOS[[#This Row],[Código_U]]&amp;BASE_DATOS[[#This Row],[Pos.]]&amp;BASE_DATOS[[#This Row],[Situación Actual]])</f>
        <v>TC-1126Rodando</v>
      </c>
    </row>
    <row r="86" spans="1:51" ht="12" x14ac:dyDescent="0.25">
      <c r="A86" s="227" t="s">
        <v>123</v>
      </c>
      <c r="B86" s="217" t="s">
        <v>124</v>
      </c>
      <c r="C86" s="228" t="s">
        <v>296</v>
      </c>
      <c r="D86" s="229" t="s">
        <v>61</v>
      </c>
      <c r="E86" s="255"/>
      <c r="F86" s="256" t="s">
        <v>369</v>
      </c>
      <c r="G86" s="256" t="s">
        <v>271</v>
      </c>
      <c r="H86" s="257" t="str">
        <f>IF(BASE_DATOS[[#This Row],[N-R]]="N",BASE_DATOS[[#This Row],[Diseño]],"Reencauche")</f>
        <v>ADR8</v>
      </c>
      <c r="I86" s="256" t="s">
        <v>328</v>
      </c>
      <c r="J86" s="243" t="s">
        <v>72</v>
      </c>
      <c r="K86" s="258">
        <v>18</v>
      </c>
      <c r="L86" s="241">
        <v>110</v>
      </c>
      <c r="M86" s="259"/>
      <c r="N86" s="260"/>
      <c r="O86" s="277"/>
      <c r="P86" s="278"/>
      <c r="Q86" s="279"/>
      <c r="R86" s="309" t="s">
        <v>104</v>
      </c>
      <c r="S86" s="310">
        <v>45384</v>
      </c>
      <c r="T86" s="313"/>
      <c r="U86" s="279"/>
      <c r="V86" s="227">
        <v>5</v>
      </c>
      <c r="W86" s="281"/>
      <c r="X86" s="282">
        <v>5</v>
      </c>
      <c r="Y86" s="293">
        <f t="shared" si="2"/>
        <v>5</v>
      </c>
      <c r="Z86" s="175" t="s">
        <v>85</v>
      </c>
      <c r="AA86" s="342">
        <f>IFERROR(BASE_DATOS[[#This Row],[NSK Original]]-BASE_DATOS[[#This Row],[NSK]]," ")</f>
        <v>13</v>
      </c>
      <c r="AB86" s="343">
        <f>'NSK-TRACTO'!$A$2</f>
        <v>6</v>
      </c>
      <c r="AC86" s="343">
        <f>IF(BASE_DATOS[[#This Row],[NSK]]&gt;=BASE_DATOS[[#This Row],[NSK Reen]],BASE_DATOS[[#This Row],[NSK Reen]],BASE_DATOS[[#This Row],[NSK]])</f>
        <v>5</v>
      </c>
      <c r="AD86" s="344">
        <f>IFERROR(100%-(BASE_DATOS[[#This Row],[NSK Reen]]/BASE_DATOS[[#This Row],[NSK Original]]),"")</f>
        <v>0.66666666666666674</v>
      </c>
      <c r="AE86" s="344">
        <f>IFERROR(100%-BASE_DATOS[[#This Row],[NSK]]/BASE_DATOS[[#This Row],[NSK Original]],"")</f>
        <v>0.72222222222222221</v>
      </c>
      <c r="AF86" s="344">
        <f>IFERROR(BASE_DATOS[[#This Row],[% Max Des.]]-BASE_DATOS[[#This Row],[% Des]],"")</f>
        <v>-5.5555555555555469E-2</v>
      </c>
      <c r="AG86" s="287"/>
      <c r="AH86" s="273"/>
      <c r="AI86" s="363" t="str">
        <f>IF(OR(BASE_DATOS[[#This Row],[Hr.]]="",BASE_DATOS[[#This Row],[Hr. Actual]]=""),"",BASE_DATOS[[#This Row],[Hr. Actual]]-BASE_DATOS[[#This Row],[Hr.]]+BASE_DATOS[[#This Row],[Horas Acumuladas]])</f>
        <v/>
      </c>
      <c r="AJ86" s="364" t="str">
        <f>IFERROR(BASE_DATOS[[#This Row],[Precio US$]]/BASE_DATOS[[#This Row],[Horas Rodadas]],"")</f>
        <v/>
      </c>
      <c r="AK86" s="365" t="str">
        <f>IFERROR(BASE_DATOS[[#This Row],[Horas Rodadas]]/(BASE_DATOS[[#This Row],[NSK Original]]-BASE_DATOS[[#This Row],[NSK]]),"")</f>
        <v/>
      </c>
      <c r="AL8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6" s="366" t="str">
        <f>IFERROR(BASE_DATOS[[#This Row],[Precio US$]]/BASE_DATOS[[#This Row],[Horas Proy.]],"")</f>
        <v/>
      </c>
      <c r="AN86" s="176" t="str">
        <f>IF(OR(BASE_DATOS[[#This Row],[Km.]]="",BASE_DATOS[[#This Row],[Km. Actual]]=""),"",BASE_DATOS[[#This Row],[Km. Actual]]-BASE_DATOS[[#This Row],[Km.]]+BASE_DATOS[[#This Row],[Kilómetros Acumulados]])</f>
        <v/>
      </c>
      <c r="AO86" s="177" t="str">
        <f>IFERROR(BASE_DATOS[[#This Row],[Precio US$]]/BASE_DATOS[[#This Row],[Kilómetros Rodados]],"")</f>
        <v/>
      </c>
      <c r="AP86" s="176" t="str">
        <f>IFERROR(BASE_DATOS[[#This Row],[Kilómetros Rodados]]/(BASE_DATOS[[#This Row],[NSK Original]]-BASE_DATOS[[#This Row],[NSK]]),"")</f>
        <v/>
      </c>
      <c r="AQ8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6" s="177" t="str">
        <f>IFERROR(BASE_DATOS[[#This Row],[Precio US$]]/BASE_DATOS[[#This Row],[Kilómetros Proy.]],"")</f>
        <v/>
      </c>
      <c r="AS86" s="167" t="s">
        <v>62</v>
      </c>
      <c r="AT86" s="167"/>
      <c r="AU86" s="167"/>
      <c r="AV86" s="167"/>
      <c r="AW86" s="179"/>
      <c r="AX86" s="179"/>
      <c r="AY86" s="179" t="str">
        <f>CONCATENATE(BASE_DATOS[[#This Row],[Código_U]]&amp;BASE_DATOS[[#This Row],[Pos.]]&amp;BASE_DATOS[[#This Row],[Situación Actual]])</f>
        <v>TC-1127Rodando</v>
      </c>
    </row>
    <row r="87" spans="1:51" ht="12" x14ac:dyDescent="0.25">
      <c r="A87" s="227" t="s">
        <v>123</v>
      </c>
      <c r="B87" s="217" t="s">
        <v>124</v>
      </c>
      <c r="C87" s="228" t="s">
        <v>296</v>
      </c>
      <c r="D87" s="229" t="s">
        <v>61</v>
      </c>
      <c r="E87" s="255"/>
      <c r="F87" s="256" t="s">
        <v>369</v>
      </c>
      <c r="G87" s="256" t="s">
        <v>271</v>
      </c>
      <c r="H87" s="257" t="str">
        <f>IF(BASE_DATOS[[#This Row],[N-R]]="N",BASE_DATOS[[#This Row],[Diseño]],"Reencauche")</f>
        <v>ADR8</v>
      </c>
      <c r="I87" s="256" t="s">
        <v>328</v>
      </c>
      <c r="J87" s="243" t="s">
        <v>72</v>
      </c>
      <c r="K87" s="258">
        <v>18</v>
      </c>
      <c r="L87" s="241">
        <v>110</v>
      </c>
      <c r="M87" s="259"/>
      <c r="N87" s="260"/>
      <c r="O87" s="277"/>
      <c r="P87" s="278"/>
      <c r="Q87" s="279"/>
      <c r="R87" s="309" t="s">
        <v>105</v>
      </c>
      <c r="S87" s="310">
        <v>45384</v>
      </c>
      <c r="T87" s="313"/>
      <c r="U87" s="279"/>
      <c r="V87" s="227">
        <v>6</v>
      </c>
      <c r="W87" s="281"/>
      <c r="X87" s="282">
        <v>6</v>
      </c>
      <c r="Y87" s="293">
        <f t="shared" si="2"/>
        <v>6</v>
      </c>
      <c r="Z87" s="175" t="s">
        <v>85</v>
      </c>
      <c r="AA87" s="342">
        <f>IFERROR(BASE_DATOS[[#This Row],[NSK Original]]-BASE_DATOS[[#This Row],[NSK]]," ")</f>
        <v>12</v>
      </c>
      <c r="AB87" s="343">
        <f>'NSK-TRACTO'!$A$2</f>
        <v>6</v>
      </c>
      <c r="AC87" s="343">
        <f>IF(BASE_DATOS[[#This Row],[NSK]]&gt;=BASE_DATOS[[#This Row],[NSK Reen]],BASE_DATOS[[#This Row],[NSK Reen]],BASE_DATOS[[#This Row],[NSK]])</f>
        <v>6</v>
      </c>
      <c r="AD87" s="344">
        <f>IFERROR(100%-(BASE_DATOS[[#This Row],[NSK Reen]]/BASE_DATOS[[#This Row],[NSK Original]]),"")</f>
        <v>0.66666666666666674</v>
      </c>
      <c r="AE87" s="344">
        <f>IFERROR(100%-BASE_DATOS[[#This Row],[NSK]]/BASE_DATOS[[#This Row],[NSK Original]],"")</f>
        <v>0.66666666666666674</v>
      </c>
      <c r="AF87" s="344">
        <f>IFERROR(BASE_DATOS[[#This Row],[% Max Des.]]-BASE_DATOS[[#This Row],[% Des]],"")</f>
        <v>0</v>
      </c>
      <c r="AG87" s="287"/>
      <c r="AH87" s="273"/>
      <c r="AI87" s="363" t="str">
        <f>IF(OR(BASE_DATOS[[#This Row],[Hr.]]="",BASE_DATOS[[#This Row],[Hr. Actual]]=""),"",BASE_DATOS[[#This Row],[Hr. Actual]]-BASE_DATOS[[#This Row],[Hr.]]+BASE_DATOS[[#This Row],[Horas Acumuladas]])</f>
        <v/>
      </c>
      <c r="AJ87" s="364" t="str">
        <f>IFERROR(BASE_DATOS[[#This Row],[Precio US$]]/BASE_DATOS[[#This Row],[Horas Rodadas]],"")</f>
        <v/>
      </c>
      <c r="AK87" s="365" t="str">
        <f>IFERROR(BASE_DATOS[[#This Row],[Horas Rodadas]]/(BASE_DATOS[[#This Row],[NSK Original]]-BASE_DATOS[[#This Row],[NSK]]),"")</f>
        <v/>
      </c>
      <c r="AL8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7" s="366" t="str">
        <f>IFERROR(BASE_DATOS[[#This Row],[Precio US$]]/BASE_DATOS[[#This Row],[Horas Proy.]],"")</f>
        <v/>
      </c>
      <c r="AN87" s="176" t="str">
        <f>IF(OR(BASE_DATOS[[#This Row],[Km.]]="",BASE_DATOS[[#This Row],[Km. Actual]]=""),"",BASE_DATOS[[#This Row],[Km. Actual]]-BASE_DATOS[[#This Row],[Km.]]+BASE_DATOS[[#This Row],[Kilómetros Acumulados]])</f>
        <v/>
      </c>
      <c r="AO87" s="177" t="str">
        <f>IFERROR(BASE_DATOS[[#This Row],[Precio US$]]/BASE_DATOS[[#This Row],[Kilómetros Rodados]],"")</f>
        <v/>
      </c>
      <c r="AP87" s="176" t="str">
        <f>IFERROR(BASE_DATOS[[#This Row],[Kilómetros Rodados]]/(BASE_DATOS[[#This Row],[NSK Original]]-BASE_DATOS[[#This Row],[NSK]]),"")</f>
        <v/>
      </c>
      <c r="AQ8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7" s="177" t="str">
        <f>IFERROR(BASE_DATOS[[#This Row],[Precio US$]]/BASE_DATOS[[#This Row],[Kilómetros Proy.]],"")</f>
        <v/>
      </c>
      <c r="AS87" s="167" t="s">
        <v>62</v>
      </c>
      <c r="AT87" s="167"/>
      <c r="AU87" s="167"/>
      <c r="AV87" s="167"/>
      <c r="AW87" s="179"/>
      <c r="AX87" s="179"/>
      <c r="AY87" s="179" t="str">
        <f>CONCATENATE(BASE_DATOS[[#This Row],[Código_U]]&amp;BASE_DATOS[[#This Row],[Pos.]]&amp;BASE_DATOS[[#This Row],[Situación Actual]])</f>
        <v>TC-1128Rodando</v>
      </c>
    </row>
    <row r="88" spans="1:51" ht="12" x14ac:dyDescent="0.25">
      <c r="A88" s="227" t="s">
        <v>123</v>
      </c>
      <c r="B88" s="217" t="s">
        <v>124</v>
      </c>
      <c r="C88" s="228" t="s">
        <v>296</v>
      </c>
      <c r="D88" s="229" t="s">
        <v>61</v>
      </c>
      <c r="E88" s="255"/>
      <c r="F88" s="256" t="s">
        <v>369</v>
      </c>
      <c r="G88" s="256" t="s">
        <v>271</v>
      </c>
      <c r="H88" s="257" t="str">
        <f>IF(BASE_DATOS[[#This Row],[N-R]]="N",BASE_DATOS[[#This Row],[Diseño]],"Reencauche")</f>
        <v>ADR8</v>
      </c>
      <c r="I88" s="256" t="s">
        <v>328</v>
      </c>
      <c r="J88" s="243" t="s">
        <v>72</v>
      </c>
      <c r="K88" s="258">
        <v>18</v>
      </c>
      <c r="L88" s="241">
        <v>110</v>
      </c>
      <c r="M88" s="259"/>
      <c r="N88" s="260"/>
      <c r="O88" s="277"/>
      <c r="P88" s="278"/>
      <c r="Q88" s="279"/>
      <c r="R88" s="309" t="s">
        <v>106</v>
      </c>
      <c r="S88" s="310">
        <v>45384</v>
      </c>
      <c r="T88" s="313"/>
      <c r="U88" s="279"/>
      <c r="V88" s="227">
        <v>5</v>
      </c>
      <c r="W88" s="281"/>
      <c r="X88" s="282">
        <v>4</v>
      </c>
      <c r="Y88" s="293">
        <f t="shared" si="2"/>
        <v>4</v>
      </c>
      <c r="Z88" s="175" t="s">
        <v>85</v>
      </c>
      <c r="AA88" s="342">
        <f>IFERROR(BASE_DATOS[[#This Row],[NSK Original]]-BASE_DATOS[[#This Row],[NSK]]," ")</f>
        <v>14</v>
      </c>
      <c r="AB88" s="343">
        <f>'NSK-TRACTO'!$A$2</f>
        <v>6</v>
      </c>
      <c r="AC88" s="343">
        <f>IF(BASE_DATOS[[#This Row],[NSK]]&gt;=BASE_DATOS[[#This Row],[NSK Reen]],BASE_DATOS[[#This Row],[NSK Reen]],BASE_DATOS[[#This Row],[NSK]])</f>
        <v>4</v>
      </c>
      <c r="AD88" s="344">
        <f>IFERROR(100%-(BASE_DATOS[[#This Row],[NSK Reen]]/BASE_DATOS[[#This Row],[NSK Original]]),"")</f>
        <v>0.66666666666666674</v>
      </c>
      <c r="AE88" s="344">
        <f>IFERROR(100%-BASE_DATOS[[#This Row],[NSK]]/BASE_DATOS[[#This Row],[NSK Original]],"")</f>
        <v>0.77777777777777779</v>
      </c>
      <c r="AF88" s="344">
        <f>IFERROR(BASE_DATOS[[#This Row],[% Max Des.]]-BASE_DATOS[[#This Row],[% Des]],"")</f>
        <v>-0.11111111111111105</v>
      </c>
      <c r="AG88" s="287"/>
      <c r="AH88" s="273"/>
      <c r="AI88" s="363" t="str">
        <f>IF(OR(BASE_DATOS[[#This Row],[Hr.]]="",BASE_DATOS[[#This Row],[Hr. Actual]]=""),"",BASE_DATOS[[#This Row],[Hr. Actual]]-BASE_DATOS[[#This Row],[Hr.]]+BASE_DATOS[[#This Row],[Horas Acumuladas]])</f>
        <v/>
      </c>
      <c r="AJ88" s="364" t="str">
        <f>IFERROR(BASE_DATOS[[#This Row],[Precio US$]]/BASE_DATOS[[#This Row],[Horas Rodadas]],"")</f>
        <v/>
      </c>
      <c r="AK88" s="365" t="str">
        <f>IFERROR(BASE_DATOS[[#This Row],[Horas Rodadas]]/(BASE_DATOS[[#This Row],[NSK Original]]-BASE_DATOS[[#This Row],[NSK]]),"")</f>
        <v/>
      </c>
      <c r="AL8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8" s="366" t="str">
        <f>IFERROR(BASE_DATOS[[#This Row],[Precio US$]]/BASE_DATOS[[#This Row],[Horas Proy.]],"")</f>
        <v/>
      </c>
      <c r="AN88" s="176" t="str">
        <f>IF(OR(BASE_DATOS[[#This Row],[Km.]]="",BASE_DATOS[[#This Row],[Km. Actual]]=""),"",BASE_DATOS[[#This Row],[Km. Actual]]-BASE_DATOS[[#This Row],[Km.]]+BASE_DATOS[[#This Row],[Kilómetros Acumulados]])</f>
        <v/>
      </c>
      <c r="AO88" s="177" t="str">
        <f>IFERROR(BASE_DATOS[[#This Row],[Precio US$]]/BASE_DATOS[[#This Row],[Kilómetros Rodados]],"")</f>
        <v/>
      </c>
      <c r="AP88" s="176" t="str">
        <f>IFERROR(BASE_DATOS[[#This Row],[Kilómetros Rodados]]/(BASE_DATOS[[#This Row],[NSK Original]]-BASE_DATOS[[#This Row],[NSK]]),"")</f>
        <v/>
      </c>
      <c r="AQ8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8" s="177" t="str">
        <f>IFERROR(BASE_DATOS[[#This Row],[Precio US$]]/BASE_DATOS[[#This Row],[Kilómetros Proy.]],"")</f>
        <v/>
      </c>
      <c r="AS88" s="167" t="s">
        <v>62</v>
      </c>
      <c r="AT88" s="167"/>
      <c r="AU88" s="167"/>
      <c r="AV88" s="167"/>
      <c r="AW88" s="179"/>
      <c r="AX88" s="179"/>
      <c r="AY88" s="179" t="str">
        <f>CONCATENATE(BASE_DATOS[[#This Row],[Código_U]]&amp;BASE_DATOS[[#This Row],[Pos.]]&amp;BASE_DATOS[[#This Row],[Situación Actual]])</f>
        <v>TC-1129Rodando</v>
      </c>
    </row>
    <row r="89" spans="1:51" ht="12" x14ac:dyDescent="0.25">
      <c r="A89" s="227" t="s">
        <v>123</v>
      </c>
      <c r="B89" s="217" t="s">
        <v>124</v>
      </c>
      <c r="C89" s="228" t="s">
        <v>296</v>
      </c>
      <c r="D89" s="229" t="s">
        <v>61</v>
      </c>
      <c r="E89" s="255"/>
      <c r="F89" s="256" t="s">
        <v>369</v>
      </c>
      <c r="G89" s="256" t="s">
        <v>271</v>
      </c>
      <c r="H89" s="257" t="str">
        <f>IF(BASE_DATOS[[#This Row],[N-R]]="N",BASE_DATOS[[#This Row],[Diseño]],"Reencauche")</f>
        <v>ADR8</v>
      </c>
      <c r="I89" s="256" t="s">
        <v>328</v>
      </c>
      <c r="J89" s="243" t="s">
        <v>72</v>
      </c>
      <c r="K89" s="258">
        <v>18</v>
      </c>
      <c r="L89" s="241">
        <v>110</v>
      </c>
      <c r="M89" s="259"/>
      <c r="N89" s="260"/>
      <c r="O89" s="277"/>
      <c r="P89" s="278"/>
      <c r="Q89" s="279"/>
      <c r="R89" s="309" t="s">
        <v>107</v>
      </c>
      <c r="S89" s="310">
        <v>45384</v>
      </c>
      <c r="T89" s="313"/>
      <c r="U89" s="279"/>
      <c r="V89" s="227">
        <v>5</v>
      </c>
      <c r="W89" s="281"/>
      <c r="X89" s="282">
        <v>4</v>
      </c>
      <c r="Y89" s="293">
        <f t="shared" si="2"/>
        <v>4</v>
      </c>
      <c r="Z89" s="175" t="s">
        <v>85</v>
      </c>
      <c r="AA89" s="342">
        <f>IFERROR(BASE_DATOS[[#This Row],[NSK Original]]-BASE_DATOS[[#This Row],[NSK]]," ")</f>
        <v>14</v>
      </c>
      <c r="AB89" s="343">
        <f>'NSK-TRACTO'!$A$2</f>
        <v>6</v>
      </c>
      <c r="AC89" s="343">
        <f>IF(BASE_DATOS[[#This Row],[NSK]]&gt;=BASE_DATOS[[#This Row],[NSK Reen]],BASE_DATOS[[#This Row],[NSK Reen]],BASE_DATOS[[#This Row],[NSK]])</f>
        <v>4</v>
      </c>
      <c r="AD89" s="344">
        <f>IFERROR(100%-(BASE_DATOS[[#This Row],[NSK Reen]]/BASE_DATOS[[#This Row],[NSK Original]]),"")</f>
        <v>0.66666666666666674</v>
      </c>
      <c r="AE89" s="344">
        <f>IFERROR(100%-BASE_DATOS[[#This Row],[NSK]]/BASE_DATOS[[#This Row],[NSK Original]],"")</f>
        <v>0.77777777777777779</v>
      </c>
      <c r="AF89" s="344">
        <f>IFERROR(BASE_DATOS[[#This Row],[% Max Des.]]-BASE_DATOS[[#This Row],[% Des]],"")</f>
        <v>-0.11111111111111105</v>
      </c>
      <c r="AG89" s="287"/>
      <c r="AH89" s="273"/>
      <c r="AI89" s="363" t="str">
        <f>IF(OR(BASE_DATOS[[#This Row],[Hr.]]="",BASE_DATOS[[#This Row],[Hr. Actual]]=""),"",BASE_DATOS[[#This Row],[Hr. Actual]]-BASE_DATOS[[#This Row],[Hr.]]+BASE_DATOS[[#This Row],[Horas Acumuladas]])</f>
        <v/>
      </c>
      <c r="AJ89" s="364" t="str">
        <f>IFERROR(BASE_DATOS[[#This Row],[Precio US$]]/BASE_DATOS[[#This Row],[Horas Rodadas]],"")</f>
        <v/>
      </c>
      <c r="AK89" s="365" t="str">
        <f>IFERROR(BASE_DATOS[[#This Row],[Horas Rodadas]]/(BASE_DATOS[[#This Row],[NSK Original]]-BASE_DATOS[[#This Row],[NSK]]),"")</f>
        <v/>
      </c>
      <c r="AL8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9" s="366" t="str">
        <f>IFERROR(BASE_DATOS[[#This Row],[Precio US$]]/BASE_DATOS[[#This Row],[Horas Proy.]],"")</f>
        <v/>
      </c>
      <c r="AN89" s="176" t="str">
        <f>IF(OR(BASE_DATOS[[#This Row],[Km.]]="",BASE_DATOS[[#This Row],[Km. Actual]]=""),"",BASE_DATOS[[#This Row],[Km. Actual]]-BASE_DATOS[[#This Row],[Km.]]+BASE_DATOS[[#This Row],[Kilómetros Acumulados]])</f>
        <v/>
      </c>
      <c r="AO89" s="177" t="str">
        <f>IFERROR(BASE_DATOS[[#This Row],[Precio US$]]/BASE_DATOS[[#This Row],[Kilómetros Rodados]],"")</f>
        <v/>
      </c>
      <c r="AP89" s="176" t="str">
        <f>IFERROR(BASE_DATOS[[#This Row],[Kilómetros Rodados]]/(BASE_DATOS[[#This Row],[NSK Original]]-BASE_DATOS[[#This Row],[NSK]]),"")</f>
        <v/>
      </c>
      <c r="AQ8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9" s="177" t="str">
        <f>IFERROR(BASE_DATOS[[#This Row],[Precio US$]]/BASE_DATOS[[#This Row],[Kilómetros Proy.]],"")</f>
        <v/>
      </c>
      <c r="AS89" s="167" t="s">
        <v>62</v>
      </c>
      <c r="AT89" s="167"/>
      <c r="AU89" s="167"/>
      <c r="AV89" s="167"/>
      <c r="AW89" s="179"/>
      <c r="AX89" s="179"/>
      <c r="AY89" s="179" t="str">
        <f>CONCATENATE(BASE_DATOS[[#This Row],[Código_U]]&amp;BASE_DATOS[[#This Row],[Pos.]]&amp;BASE_DATOS[[#This Row],[Situación Actual]])</f>
        <v>TC-11210Rodando</v>
      </c>
    </row>
    <row r="90" spans="1:51" ht="12" x14ac:dyDescent="0.25">
      <c r="A90" s="224" t="s">
        <v>125</v>
      </c>
      <c r="B90" s="213" t="s">
        <v>126</v>
      </c>
      <c r="C90" s="225" t="s">
        <v>296</v>
      </c>
      <c r="D90" s="226" t="s">
        <v>86</v>
      </c>
      <c r="E90" s="232" t="s">
        <v>376</v>
      </c>
      <c r="F90" s="250" t="s">
        <v>71</v>
      </c>
      <c r="G90" s="250" t="s">
        <v>271</v>
      </c>
      <c r="H90" s="251" t="str">
        <f>IF(BASE_DATOS[[#This Row],[N-R]]="N",BASE_DATOS[[#This Row],[Diseño]],"Reencauche")</f>
        <v>KMAX EXTREME</v>
      </c>
      <c r="I90" s="250" t="s">
        <v>272</v>
      </c>
      <c r="J90" s="235" t="s">
        <v>72</v>
      </c>
      <c r="K90" s="252">
        <v>17.5</v>
      </c>
      <c r="L90" s="233">
        <v>100</v>
      </c>
      <c r="M90" s="253"/>
      <c r="N90" s="254"/>
      <c r="O90" s="274"/>
      <c r="P90" s="275"/>
      <c r="Q90" s="276"/>
      <c r="R90" s="305" t="s">
        <v>98</v>
      </c>
      <c r="S90" s="306">
        <v>45384</v>
      </c>
      <c r="T90" s="314"/>
      <c r="U90" s="276"/>
      <c r="V90" s="224">
        <v>11</v>
      </c>
      <c r="W90" s="325">
        <v>11</v>
      </c>
      <c r="X90" s="326">
        <v>11</v>
      </c>
      <c r="Y90" s="292">
        <f t="shared" si="2"/>
        <v>11</v>
      </c>
      <c r="Z90" s="194" t="s">
        <v>85</v>
      </c>
      <c r="AA90" s="339">
        <f>IFERROR(BASE_DATOS[[#This Row],[NSK Original]]-BASE_DATOS[[#This Row],[NSK]]," ")</f>
        <v>6.5</v>
      </c>
      <c r="AB90" s="340">
        <f>'NSK-TRACTO'!$A$2</f>
        <v>6</v>
      </c>
      <c r="AC90" s="340">
        <f>IF(BASE_DATOS[[#This Row],[NSK]]&gt;=BASE_DATOS[[#This Row],[NSK Reen]],BASE_DATOS[[#This Row],[NSK Reen]],BASE_DATOS[[#This Row],[NSK]])</f>
        <v>6</v>
      </c>
      <c r="AD90" s="341">
        <f>IFERROR(100%-(BASE_DATOS[[#This Row],[NSK Reen]]/BASE_DATOS[[#This Row],[NSK Original]]),"")</f>
        <v>0.65714285714285714</v>
      </c>
      <c r="AE90" s="341">
        <f>IFERROR(100%-BASE_DATOS[[#This Row],[NSK]]/BASE_DATOS[[#This Row],[NSK Original]],"")</f>
        <v>0.37142857142857144</v>
      </c>
      <c r="AF90" s="341">
        <f>IFERROR(BASE_DATOS[[#This Row],[% Max Des.]]-BASE_DATOS[[#This Row],[% Des]],"")</f>
        <v>0.2857142857142857</v>
      </c>
      <c r="AG90" s="284"/>
      <c r="AH90" s="335"/>
      <c r="AI90" s="359" t="str">
        <f>IF(OR(BASE_DATOS[[#This Row],[Hr.]]="",BASE_DATOS[[#This Row],[Hr. Actual]]=""),"",BASE_DATOS[[#This Row],[Hr. Actual]]-BASE_DATOS[[#This Row],[Hr.]]+BASE_DATOS[[#This Row],[Horas Acumuladas]])</f>
        <v/>
      </c>
      <c r="AJ90" s="360" t="str">
        <f>IFERROR(BASE_DATOS[[#This Row],[Precio US$]]/BASE_DATOS[[#This Row],[Horas Rodadas]],"")</f>
        <v/>
      </c>
      <c r="AK90" s="361" t="str">
        <f>IFERROR(BASE_DATOS[[#This Row],[Horas Rodadas]]/(BASE_DATOS[[#This Row],[NSK Original]]-BASE_DATOS[[#This Row],[NSK]]),"")</f>
        <v/>
      </c>
      <c r="AL90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0" s="362" t="str">
        <f>IFERROR(BASE_DATOS[[#This Row],[Precio US$]]/BASE_DATOS[[#This Row],[Horas Proy.]],"")</f>
        <v/>
      </c>
      <c r="AN90" s="195" t="str">
        <f>IF(OR(BASE_DATOS[[#This Row],[Km.]]="",BASE_DATOS[[#This Row],[Km. Actual]]=""),"",BASE_DATOS[[#This Row],[Km. Actual]]-BASE_DATOS[[#This Row],[Km.]]+BASE_DATOS[[#This Row],[Kilómetros Acumulados]])</f>
        <v/>
      </c>
      <c r="AO90" s="196" t="str">
        <f>IFERROR(BASE_DATOS[[#This Row],[Precio US$]]/BASE_DATOS[[#This Row],[Kilómetros Rodados]],"")</f>
        <v/>
      </c>
      <c r="AP90" s="195" t="str">
        <f>IFERROR(BASE_DATOS[[#This Row],[Kilómetros Rodados]]/(BASE_DATOS[[#This Row],[NSK Original]]-BASE_DATOS[[#This Row],[NSK]]),"")</f>
        <v/>
      </c>
      <c r="AQ90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0" s="196" t="str">
        <f>IFERROR(BASE_DATOS[[#This Row],[Precio US$]]/BASE_DATOS[[#This Row],[Kilómetros Proy.]],"")</f>
        <v/>
      </c>
      <c r="AS90" s="191" t="s">
        <v>62</v>
      </c>
      <c r="AT90" s="191"/>
      <c r="AU90" s="191"/>
      <c r="AV90" s="191"/>
      <c r="AW90" s="198"/>
      <c r="AX90" s="198"/>
      <c r="AY90" s="198" t="str">
        <f>CONCATENATE(BASE_DATOS[[#This Row],[Código_U]]&amp;BASE_DATOS[[#This Row],[Pos.]]&amp;BASE_DATOS[[#This Row],[Situación Actual]])</f>
        <v>TC-1141Rodando</v>
      </c>
    </row>
    <row r="91" spans="1:51" ht="12" x14ac:dyDescent="0.25">
      <c r="A91" s="227" t="s">
        <v>125</v>
      </c>
      <c r="B91" s="217" t="s">
        <v>126</v>
      </c>
      <c r="C91" s="228" t="s">
        <v>296</v>
      </c>
      <c r="D91" s="229" t="s">
        <v>86</v>
      </c>
      <c r="E91" s="248" t="s">
        <v>377</v>
      </c>
      <c r="F91" s="256" t="s">
        <v>71</v>
      </c>
      <c r="G91" s="256" t="s">
        <v>271</v>
      </c>
      <c r="H91" s="257" t="str">
        <f>IF(BASE_DATOS[[#This Row],[N-R]]="N",BASE_DATOS[[#This Row],[Diseño]],"Reencauche")</f>
        <v>KMAX EXTREME</v>
      </c>
      <c r="I91" s="256" t="s">
        <v>272</v>
      </c>
      <c r="J91" s="243" t="s">
        <v>72</v>
      </c>
      <c r="K91" s="258">
        <v>17.5</v>
      </c>
      <c r="L91" s="241">
        <v>100</v>
      </c>
      <c r="M91" s="259"/>
      <c r="N91" s="260"/>
      <c r="O91" s="277"/>
      <c r="P91" s="278"/>
      <c r="Q91" s="279"/>
      <c r="R91" s="309" t="s">
        <v>99</v>
      </c>
      <c r="S91" s="310">
        <v>45384</v>
      </c>
      <c r="T91" s="313"/>
      <c r="U91" s="279"/>
      <c r="V91" s="227">
        <v>11</v>
      </c>
      <c r="W91" s="281">
        <v>12</v>
      </c>
      <c r="X91" s="282">
        <v>11</v>
      </c>
      <c r="Y91" s="293">
        <f t="shared" si="2"/>
        <v>11</v>
      </c>
      <c r="Z91" s="175" t="s">
        <v>85</v>
      </c>
      <c r="AA91" s="342">
        <f>IFERROR(BASE_DATOS[[#This Row],[NSK Original]]-BASE_DATOS[[#This Row],[NSK]]," ")</f>
        <v>6.5</v>
      </c>
      <c r="AB91" s="343">
        <f>'NSK-TRACTO'!$A$2</f>
        <v>6</v>
      </c>
      <c r="AC91" s="343">
        <f>IF(BASE_DATOS[[#This Row],[NSK]]&gt;=BASE_DATOS[[#This Row],[NSK Reen]],BASE_DATOS[[#This Row],[NSK Reen]],BASE_DATOS[[#This Row],[NSK]])</f>
        <v>6</v>
      </c>
      <c r="AD91" s="344">
        <f>IFERROR(100%-(BASE_DATOS[[#This Row],[NSK Reen]]/BASE_DATOS[[#This Row],[NSK Original]]),"")</f>
        <v>0.65714285714285714</v>
      </c>
      <c r="AE91" s="344">
        <f>IFERROR(100%-BASE_DATOS[[#This Row],[NSK]]/BASE_DATOS[[#This Row],[NSK Original]],"")</f>
        <v>0.37142857142857144</v>
      </c>
      <c r="AF91" s="344">
        <f>IFERROR(BASE_DATOS[[#This Row],[% Max Des.]]-BASE_DATOS[[#This Row],[% Des]],"")</f>
        <v>0.2857142857142857</v>
      </c>
      <c r="AG91" s="287"/>
      <c r="AH91" s="273"/>
      <c r="AI91" s="363" t="str">
        <f>IF(OR(BASE_DATOS[[#This Row],[Hr.]]="",BASE_DATOS[[#This Row],[Hr. Actual]]=""),"",BASE_DATOS[[#This Row],[Hr. Actual]]-BASE_DATOS[[#This Row],[Hr.]]+BASE_DATOS[[#This Row],[Horas Acumuladas]])</f>
        <v/>
      </c>
      <c r="AJ91" s="364" t="str">
        <f>IFERROR(BASE_DATOS[[#This Row],[Precio US$]]/BASE_DATOS[[#This Row],[Horas Rodadas]],"")</f>
        <v/>
      </c>
      <c r="AK91" s="365" t="str">
        <f>IFERROR(BASE_DATOS[[#This Row],[Horas Rodadas]]/(BASE_DATOS[[#This Row],[NSK Original]]-BASE_DATOS[[#This Row],[NSK]]),"")</f>
        <v/>
      </c>
      <c r="AL9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1" s="366" t="str">
        <f>IFERROR(BASE_DATOS[[#This Row],[Precio US$]]/BASE_DATOS[[#This Row],[Horas Proy.]],"")</f>
        <v/>
      </c>
      <c r="AN91" s="176" t="str">
        <f>IF(OR(BASE_DATOS[[#This Row],[Km.]]="",BASE_DATOS[[#This Row],[Km. Actual]]=""),"",BASE_DATOS[[#This Row],[Km. Actual]]-BASE_DATOS[[#This Row],[Km.]]+BASE_DATOS[[#This Row],[Kilómetros Acumulados]])</f>
        <v/>
      </c>
      <c r="AO91" s="177" t="str">
        <f>IFERROR(BASE_DATOS[[#This Row],[Precio US$]]/BASE_DATOS[[#This Row],[Kilómetros Rodados]],"")</f>
        <v/>
      </c>
      <c r="AP91" s="176" t="str">
        <f>IFERROR(BASE_DATOS[[#This Row],[Kilómetros Rodados]]/(BASE_DATOS[[#This Row],[NSK Original]]-BASE_DATOS[[#This Row],[NSK]]),"")</f>
        <v/>
      </c>
      <c r="AQ9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1" s="177" t="str">
        <f>IFERROR(BASE_DATOS[[#This Row],[Precio US$]]/BASE_DATOS[[#This Row],[Kilómetros Proy.]],"")</f>
        <v/>
      </c>
      <c r="AS91" s="167" t="s">
        <v>62</v>
      </c>
      <c r="AT91" s="167"/>
      <c r="AU91" s="167"/>
      <c r="AV91" s="167"/>
      <c r="AW91" s="179"/>
      <c r="AX91" s="179"/>
      <c r="AY91" s="179" t="str">
        <f>CONCATENATE(BASE_DATOS[[#This Row],[Código_U]]&amp;BASE_DATOS[[#This Row],[Pos.]]&amp;BASE_DATOS[[#This Row],[Situación Actual]])</f>
        <v>TC-1142Rodando</v>
      </c>
    </row>
    <row r="92" spans="1:51" ht="12" x14ac:dyDescent="0.25">
      <c r="A92" s="227" t="s">
        <v>125</v>
      </c>
      <c r="B92" s="217" t="s">
        <v>126</v>
      </c>
      <c r="C92" s="228" t="s">
        <v>296</v>
      </c>
      <c r="D92" s="229" t="s">
        <v>61</v>
      </c>
      <c r="E92" s="255" t="s">
        <v>370</v>
      </c>
      <c r="F92" s="256" t="s">
        <v>71</v>
      </c>
      <c r="G92" s="256" t="s">
        <v>271</v>
      </c>
      <c r="H92" s="257" t="str">
        <f>IF(BASE_DATOS[[#This Row],[N-R]]="N",BASE_DATOS[[#This Row],[Diseño]],"Reencauche")</f>
        <v>KMAXD</v>
      </c>
      <c r="I92" s="256" t="s">
        <v>294</v>
      </c>
      <c r="J92" s="243" t="s">
        <v>72</v>
      </c>
      <c r="K92" s="258">
        <v>22.2</v>
      </c>
      <c r="L92" s="241">
        <v>110</v>
      </c>
      <c r="M92" s="259"/>
      <c r="N92" s="260"/>
      <c r="O92" s="277"/>
      <c r="P92" s="278"/>
      <c r="Q92" s="279"/>
      <c r="R92" s="309" t="s">
        <v>100</v>
      </c>
      <c r="S92" s="310">
        <v>45384</v>
      </c>
      <c r="T92" s="313"/>
      <c r="U92" s="279"/>
      <c r="V92" s="227">
        <v>18</v>
      </c>
      <c r="W92" s="281"/>
      <c r="X92" s="282">
        <v>18</v>
      </c>
      <c r="Y92" s="293">
        <f t="shared" si="2"/>
        <v>18</v>
      </c>
      <c r="Z92" s="175" t="s">
        <v>85</v>
      </c>
      <c r="AA92" s="342">
        <f>IFERROR(BASE_DATOS[[#This Row],[NSK Original]]-BASE_DATOS[[#This Row],[NSK]]," ")</f>
        <v>4.1999999999999993</v>
      </c>
      <c r="AB92" s="343">
        <f>'NSK-TRACTO'!$A$2</f>
        <v>6</v>
      </c>
      <c r="AC92" s="343">
        <f>IF(BASE_DATOS[[#This Row],[NSK]]&gt;=BASE_DATOS[[#This Row],[NSK Reen]],BASE_DATOS[[#This Row],[NSK Reen]],BASE_DATOS[[#This Row],[NSK]])</f>
        <v>6</v>
      </c>
      <c r="AD92" s="344">
        <f>IFERROR(100%-(BASE_DATOS[[#This Row],[NSK Reen]]/BASE_DATOS[[#This Row],[NSK Original]]),"")</f>
        <v>0.72972972972972971</v>
      </c>
      <c r="AE92" s="344">
        <f>IFERROR(100%-BASE_DATOS[[#This Row],[NSK]]/BASE_DATOS[[#This Row],[NSK Original]],"")</f>
        <v>0.18918918918918914</v>
      </c>
      <c r="AF92" s="344">
        <f>IFERROR(BASE_DATOS[[#This Row],[% Max Des.]]-BASE_DATOS[[#This Row],[% Des]],"")</f>
        <v>0.54054054054054057</v>
      </c>
      <c r="AG92" s="287"/>
      <c r="AH92" s="273"/>
      <c r="AI92" s="363" t="str">
        <f>IF(OR(BASE_DATOS[[#This Row],[Hr.]]="",BASE_DATOS[[#This Row],[Hr. Actual]]=""),"",BASE_DATOS[[#This Row],[Hr. Actual]]-BASE_DATOS[[#This Row],[Hr.]]+BASE_DATOS[[#This Row],[Horas Acumuladas]])</f>
        <v/>
      </c>
      <c r="AJ92" s="364" t="str">
        <f>IFERROR(BASE_DATOS[[#This Row],[Precio US$]]/BASE_DATOS[[#This Row],[Horas Rodadas]],"")</f>
        <v/>
      </c>
      <c r="AK92" s="365" t="str">
        <f>IFERROR(BASE_DATOS[[#This Row],[Horas Rodadas]]/(BASE_DATOS[[#This Row],[NSK Original]]-BASE_DATOS[[#This Row],[NSK]]),"")</f>
        <v/>
      </c>
      <c r="AL9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2" s="366" t="str">
        <f>IFERROR(BASE_DATOS[[#This Row],[Precio US$]]/BASE_DATOS[[#This Row],[Horas Proy.]],"")</f>
        <v/>
      </c>
      <c r="AN92" s="176" t="str">
        <f>IF(OR(BASE_DATOS[[#This Row],[Km.]]="",BASE_DATOS[[#This Row],[Km. Actual]]=""),"",BASE_DATOS[[#This Row],[Km. Actual]]-BASE_DATOS[[#This Row],[Km.]]+BASE_DATOS[[#This Row],[Kilómetros Acumulados]])</f>
        <v/>
      </c>
      <c r="AO92" s="177" t="str">
        <f>IFERROR(BASE_DATOS[[#This Row],[Precio US$]]/BASE_DATOS[[#This Row],[Kilómetros Rodados]],"")</f>
        <v/>
      </c>
      <c r="AP92" s="176" t="str">
        <f>IFERROR(BASE_DATOS[[#This Row],[Kilómetros Rodados]]/(BASE_DATOS[[#This Row],[NSK Original]]-BASE_DATOS[[#This Row],[NSK]]),"")</f>
        <v/>
      </c>
      <c r="AQ9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2" s="177" t="str">
        <f>IFERROR(BASE_DATOS[[#This Row],[Precio US$]]/BASE_DATOS[[#This Row],[Kilómetros Proy.]],"")</f>
        <v/>
      </c>
      <c r="AS92" s="167" t="s">
        <v>62</v>
      </c>
      <c r="AT92" s="167"/>
      <c r="AU92" s="167"/>
      <c r="AV92" s="167"/>
      <c r="AW92" s="179"/>
      <c r="AX92" s="179"/>
      <c r="AY92" s="179" t="str">
        <f>CONCATENATE(BASE_DATOS[[#This Row],[Código_U]]&amp;BASE_DATOS[[#This Row],[Pos.]]&amp;BASE_DATOS[[#This Row],[Situación Actual]])</f>
        <v>TC-1143Rodando</v>
      </c>
    </row>
    <row r="93" spans="1:51" ht="12" x14ac:dyDescent="0.25">
      <c r="A93" s="227" t="s">
        <v>125</v>
      </c>
      <c r="B93" s="217" t="s">
        <v>126</v>
      </c>
      <c r="C93" s="228" t="s">
        <v>296</v>
      </c>
      <c r="D93" s="229" t="s">
        <v>61</v>
      </c>
      <c r="E93" s="255"/>
      <c r="F93" s="256" t="s">
        <v>71</v>
      </c>
      <c r="G93" s="256" t="s">
        <v>271</v>
      </c>
      <c r="H93" s="257" t="str">
        <f>IF(BASE_DATOS[[#This Row],[N-R]]="N",BASE_DATOS[[#This Row],[Diseño]],"Reencauche")</f>
        <v>KMAXD</v>
      </c>
      <c r="I93" s="256" t="s">
        <v>294</v>
      </c>
      <c r="J93" s="243" t="s">
        <v>72</v>
      </c>
      <c r="K93" s="258">
        <v>22.2</v>
      </c>
      <c r="L93" s="241">
        <v>110</v>
      </c>
      <c r="M93" s="259"/>
      <c r="N93" s="260"/>
      <c r="O93" s="277"/>
      <c r="P93" s="278"/>
      <c r="Q93" s="279"/>
      <c r="R93" s="309" t="s">
        <v>101</v>
      </c>
      <c r="S93" s="310">
        <v>45384</v>
      </c>
      <c r="T93" s="313"/>
      <c r="U93" s="279"/>
      <c r="V93" s="227">
        <v>18</v>
      </c>
      <c r="W93" s="281"/>
      <c r="X93" s="282">
        <v>17</v>
      </c>
      <c r="Y93" s="293">
        <f t="shared" si="2"/>
        <v>17</v>
      </c>
      <c r="Z93" s="175" t="s">
        <v>85</v>
      </c>
      <c r="AA93" s="342">
        <f>IFERROR(BASE_DATOS[[#This Row],[NSK Original]]-BASE_DATOS[[#This Row],[NSK]]," ")</f>
        <v>5.1999999999999993</v>
      </c>
      <c r="AB93" s="343">
        <f>'NSK-TRACTO'!$A$2</f>
        <v>6</v>
      </c>
      <c r="AC93" s="343">
        <f>IF(BASE_DATOS[[#This Row],[NSK]]&gt;=BASE_DATOS[[#This Row],[NSK Reen]],BASE_DATOS[[#This Row],[NSK Reen]],BASE_DATOS[[#This Row],[NSK]])</f>
        <v>6</v>
      </c>
      <c r="AD93" s="344">
        <f>IFERROR(100%-(BASE_DATOS[[#This Row],[NSK Reen]]/BASE_DATOS[[#This Row],[NSK Original]]),"")</f>
        <v>0.72972972972972971</v>
      </c>
      <c r="AE93" s="344">
        <f>IFERROR(100%-BASE_DATOS[[#This Row],[NSK]]/BASE_DATOS[[#This Row],[NSK Original]],"")</f>
        <v>0.23423423423423417</v>
      </c>
      <c r="AF93" s="344">
        <f>IFERROR(BASE_DATOS[[#This Row],[% Max Des.]]-BASE_DATOS[[#This Row],[% Des]],"")</f>
        <v>0.49549549549549554</v>
      </c>
      <c r="AG93" s="287"/>
      <c r="AH93" s="273"/>
      <c r="AI93" s="363" t="str">
        <f>IF(OR(BASE_DATOS[[#This Row],[Hr.]]="",BASE_DATOS[[#This Row],[Hr. Actual]]=""),"",BASE_DATOS[[#This Row],[Hr. Actual]]-BASE_DATOS[[#This Row],[Hr.]]+BASE_DATOS[[#This Row],[Horas Acumuladas]])</f>
        <v/>
      </c>
      <c r="AJ93" s="364" t="str">
        <f>IFERROR(BASE_DATOS[[#This Row],[Precio US$]]/BASE_DATOS[[#This Row],[Horas Rodadas]],"")</f>
        <v/>
      </c>
      <c r="AK93" s="365" t="str">
        <f>IFERROR(BASE_DATOS[[#This Row],[Horas Rodadas]]/(BASE_DATOS[[#This Row],[NSK Original]]-BASE_DATOS[[#This Row],[NSK]]),"")</f>
        <v/>
      </c>
      <c r="AL9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3" s="366" t="str">
        <f>IFERROR(BASE_DATOS[[#This Row],[Precio US$]]/BASE_DATOS[[#This Row],[Horas Proy.]],"")</f>
        <v/>
      </c>
      <c r="AN93" s="176" t="str">
        <f>IF(OR(BASE_DATOS[[#This Row],[Km.]]="",BASE_DATOS[[#This Row],[Km. Actual]]=""),"",BASE_DATOS[[#This Row],[Km. Actual]]-BASE_DATOS[[#This Row],[Km.]]+BASE_DATOS[[#This Row],[Kilómetros Acumulados]])</f>
        <v/>
      </c>
      <c r="AO93" s="177" t="str">
        <f>IFERROR(BASE_DATOS[[#This Row],[Precio US$]]/BASE_DATOS[[#This Row],[Kilómetros Rodados]],"")</f>
        <v/>
      </c>
      <c r="AP93" s="176" t="str">
        <f>IFERROR(BASE_DATOS[[#This Row],[Kilómetros Rodados]]/(BASE_DATOS[[#This Row],[NSK Original]]-BASE_DATOS[[#This Row],[NSK]]),"")</f>
        <v/>
      </c>
      <c r="AQ9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3" s="177" t="str">
        <f>IFERROR(BASE_DATOS[[#This Row],[Precio US$]]/BASE_DATOS[[#This Row],[Kilómetros Proy.]],"")</f>
        <v/>
      </c>
      <c r="AS93" s="167" t="s">
        <v>62</v>
      </c>
      <c r="AT93" s="167"/>
      <c r="AU93" s="167"/>
      <c r="AV93" s="167"/>
      <c r="AW93" s="179"/>
      <c r="AX93" s="179"/>
      <c r="AY93" s="179" t="str">
        <f>CONCATENATE(BASE_DATOS[[#This Row],[Código_U]]&amp;BASE_DATOS[[#This Row],[Pos.]]&amp;BASE_DATOS[[#This Row],[Situación Actual]])</f>
        <v>TC-1144Rodando</v>
      </c>
    </row>
    <row r="94" spans="1:51" ht="12" x14ac:dyDescent="0.25">
      <c r="A94" s="227" t="s">
        <v>125</v>
      </c>
      <c r="B94" s="217" t="s">
        <v>126</v>
      </c>
      <c r="C94" s="228" t="s">
        <v>296</v>
      </c>
      <c r="D94" s="229" t="s">
        <v>61</v>
      </c>
      <c r="E94" s="248"/>
      <c r="F94" s="256" t="s">
        <v>71</v>
      </c>
      <c r="G94" s="256" t="s">
        <v>271</v>
      </c>
      <c r="H94" s="257" t="str">
        <f>IF(BASE_DATOS[[#This Row],[N-R]]="N",BASE_DATOS[[#This Row],[Diseño]],"Reencauche")</f>
        <v>KMAXD</v>
      </c>
      <c r="I94" s="256" t="s">
        <v>294</v>
      </c>
      <c r="J94" s="243" t="s">
        <v>72</v>
      </c>
      <c r="K94" s="258">
        <v>22.2</v>
      </c>
      <c r="L94" s="241">
        <v>110</v>
      </c>
      <c r="M94" s="259"/>
      <c r="N94" s="260"/>
      <c r="O94" s="277"/>
      <c r="P94" s="278"/>
      <c r="Q94" s="279"/>
      <c r="R94" s="309" t="s">
        <v>102</v>
      </c>
      <c r="S94" s="310">
        <v>45384</v>
      </c>
      <c r="T94" s="313"/>
      <c r="U94" s="279"/>
      <c r="V94" s="227">
        <v>17</v>
      </c>
      <c r="W94" s="281"/>
      <c r="X94" s="282">
        <v>16</v>
      </c>
      <c r="Y94" s="293">
        <f t="shared" si="2"/>
        <v>16</v>
      </c>
      <c r="Z94" s="175" t="s">
        <v>85</v>
      </c>
      <c r="AA94" s="342">
        <f>IFERROR(BASE_DATOS[[#This Row],[NSK Original]]-BASE_DATOS[[#This Row],[NSK]]," ")</f>
        <v>6.1999999999999993</v>
      </c>
      <c r="AB94" s="343">
        <f>'NSK-TRACTO'!$A$2</f>
        <v>6</v>
      </c>
      <c r="AC94" s="343">
        <f>IF(BASE_DATOS[[#This Row],[NSK]]&gt;=BASE_DATOS[[#This Row],[NSK Reen]],BASE_DATOS[[#This Row],[NSK Reen]],BASE_DATOS[[#This Row],[NSK]])</f>
        <v>6</v>
      </c>
      <c r="AD94" s="344">
        <f>IFERROR(100%-(BASE_DATOS[[#This Row],[NSK Reen]]/BASE_DATOS[[#This Row],[NSK Original]]),"")</f>
        <v>0.72972972972972971</v>
      </c>
      <c r="AE94" s="344">
        <f>IFERROR(100%-BASE_DATOS[[#This Row],[NSK]]/BASE_DATOS[[#This Row],[NSK Original]],"")</f>
        <v>0.2792792792792792</v>
      </c>
      <c r="AF94" s="344">
        <f>IFERROR(BASE_DATOS[[#This Row],[% Max Des.]]-BASE_DATOS[[#This Row],[% Des]],"")</f>
        <v>0.45045045045045051</v>
      </c>
      <c r="AG94" s="287"/>
      <c r="AH94" s="273"/>
      <c r="AI94" s="363" t="str">
        <f>IF(OR(BASE_DATOS[[#This Row],[Hr.]]="",BASE_DATOS[[#This Row],[Hr. Actual]]=""),"",BASE_DATOS[[#This Row],[Hr. Actual]]-BASE_DATOS[[#This Row],[Hr.]]+BASE_DATOS[[#This Row],[Horas Acumuladas]])</f>
        <v/>
      </c>
      <c r="AJ94" s="364" t="str">
        <f>IFERROR(BASE_DATOS[[#This Row],[Precio US$]]/BASE_DATOS[[#This Row],[Horas Rodadas]],"")</f>
        <v/>
      </c>
      <c r="AK94" s="365" t="str">
        <f>IFERROR(BASE_DATOS[[#This Row],[Horas Rodadas]]/(BASE_DATOS[[#This Row],[NSK Original]]-BASE_DATOS[[#This Row],[NSK]]),"")</f>
        <v/>
      </c>
      <c r="AL9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4" s="366" t="str">
        <f>IFERROR(BASE_DATOS[[#This Row],[Precio US$]]/BASE_DATOS[[#This Row],[Horas Proy.]],"")</f>
        <v/>
      </c>
      <c r="AN94" s="176" t="str">
        <f>IF(OR(BASE_DATOS[[#This Row],[Km.]]="",BASE_DATOS[[#This Row],[Km. Actual]]=""),"",BASE_DATOS[[#This Row],[Km. Actual]]-BASE_DATOS[[#This Row],[Km.]]+BASE_DATOS[[#This Row],[Kilómetros Acumulados]])</f>
        <v/>
      </c>
      <c r="AO94" s="177" t="str">
        <f>IFERROR(BASE_DATOS[[#This Row],[Precio US$]]/BASE_DATOS[[#This Row],[Kilómetros Rodados]],"")</f>
        <v/>
      </c>
      <c r="AP94" s="176" t="str">
        <f>IFERROR(BASE_DATOS[[#This Row],[Kilómetros Rodados]]/(BASE_DATOS[[#This Row],[NSK Original]]-BASE_DATOS[[#This Row],[NSK]]),"")</f>
        <v/>
      </c>
      <c r="AQ9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4" s="177" t="str">
        <f>IFERROR(BASE_DATOS[[#This Row],[Precio US$]]/BASE_DATOS[[#This Row],[Kilómetros Proy.]],"")</f>
        <v/>
      </c>
      <c r="AS94" s="167" t="s">
        <v>62</v>
      </c>
      <c r="AT94" s="167"/>
      <c r="AU94" s="167"/>
      <c r="AV94" s="167"/>
      <c r="AW94" s="179"/>
      <c r="AX94" s="179"/>
      <c r="AY94" s="179" t="str">
        <f>CONCATENATE(BASE_DATOS[[#This Row],[Código_U]]&amp;BASE_DATOS[[#This Row],[Pos.]]&amp;BASE_DATOS[[#This Row],[Situación Actual]])</f>
        <v>TC-1145Rodando</v>
      </c>
    </row>
    <row r="95" spans="1:51" ht="12" x14ac:dyDescent="0.25">
      <c r="A95" s="227" t="s">
        <v>125</v>
      </c>
      <c r="B95" s="217" t="s">
        <v>126</v>
      </c>
      <c r="C95" s="228" t="s">
        <v>296</v>
      </c>
      <c r="D95" s="229" t="s">
        <v>61</v>
      </c>
      <c r="E95" s="248" t="s">
        <v>378</v>
      </c>
      <c r="F95" s="256" t="s">
        <v>71</v>
      </c>
      <c r="G95" s="256" t="s">
        <v>271</v>
      </c>
      <c r="H95" s="257" t="str">
        <f>IF(BASE_DATOS[[#This Row],[N-R]]="N",BASE_DATOS[[#This Row],[Diseño]],"Reencauche")</f>
        <v>KMAXD</v>
      </c>
      <c r="I95" s="256" t="s">
        <v>294</v>
      </c>
      <c r="J95" s="243" t="s">
        <v>72</v>
      </c>
      <c r="K95" s="258">
        <v>22.2</v>
      </c>
      <c r="L95" s="241">
        <v>110</v>
      </c>
      <c r="M95" s="259"/>
      <c r="N95" s="260"/>
      <c r="O95" s="277"/>
      <c r="P95" s="278"/>
      <c r="Q95" s="279"/>
      <c r="R95" s="309" t="s">
        <v>103</v>
      </c>
      <c r="S95" s="310">
        <v>45384</v>
      </c>
      <c r="T95" s="313"/>
      <c r="U95" s="279"/>
      <c r="V95" s="227">
        <v>16</v>
      </c>
      <c r="W95" s="281"/>
      <c r="X95" s="282">
        <v>17</v>
      </c>
      <c r="Y95" s="293">
        <f t="shared" si="2"/>
        <v>16</v>
      </c>
      <c r="Z95" s="175" t="s">
        <v>85</v>
      </c>
      <c r="AA95" s="342">
        <f>IFERROR(BASE_DATOS[[#This Row],[NSK Original]]-BASE_DATOS[[#This Row],[NSK]]," ")</f>
        <v>6.1999999999999993</v>
      </c>
      <c r="AB95" s="343">
        <f>'NSK-TRACTO'!$A$2</f>
        <v>6</v>
      </c>
      <c r="AC95" s="343">
        <f>IF(BASE_DATOS[[#This Row],[NSK]]&gt;=BASE_DATOS[[#This Row],[NSK Reen]],BASE_DATOS[[#This Row],[NSK Reen]],BASE_DATOS[[#This Row],[NSK]])</f>
        <v>6</v>
      </c>
      <c r="AD95" s="344">
        <f>IFERROR(100%-(BASE_DATOS[[#This Row],[NSK Reen]]/BASE_DATOS[[#This Row],[NSK Original]]),"")</f>
        <v>0.72972972972972971</v>
      </c>
      <c r="AE95" s="344">
        <f>IFERROR(100%-BASE_DATOS[[#This Row],[NSK]]/BASE_DATOS[[#This Row],[NSK Original]],"")</f>
        <v>0.2792792792792792</v>
      </c>
      <c r="AF95" s="344">
        <f>IFERROR(BASE_DATOS[[#This Row],[% Max Des.]]-BASE_DATOS[[#This Row],[% Des]],"")</f>
        <v>0.45045045045045051</v>
      </c>
      <c r="AG95" s="287"/>
      <c r="AH95" s="273"/>
      <c r="AI95" s="363" t="str">
        <f>IF(OR(BASE_DATOS[[#This Row],[Hr.]]="",BASE_DATOS[[#This Row],[Hr. Actual]]=""),"",BASE_DATOS[[#This Row],[Hr. Actual]]-BASE_DATOS[[#This Row],[Hr.]]+BASE_DATOS[[#This Row],[Horas Acumuladas]])</f>
        <v/>
      </c>
      <c r="AJ95" s="364" t="str">
        <f>IFERROR(BASE_DATOS[[#This Row],[Precio US$]]/BASE_DATOS[[#This Row],[Horas Rodadas]],"")</f>
        <v/>
      </c>
      <c r="AK95" s="365" t="str">
        <f>IFERROR(BASE_DATOS[[#This Row],[Horas Rodadas]]/(BASE_DATOS[[#This Row],[NSK Original]]-BASE_DATOS[[#This Row],[NSK]]),"")</f>
        <v/>
      </c>
      <c r="AL9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5" s="366" t="str">
        <f>IFERROR(BASE_DATOS[[#This Row],[Precio US$]]/BASE_DATOS[[#This Row],[Horas Proy.]],"")</f>
        <v/>
      </c>
      <c r="AN95" s="176" t="str">
        <f>IF(OR(BASE_DATOS[[#This Row],[Km.]]="",BASE_DATOS[[#This Row],[Km. Actual]]=""),"",BASE_DATOS[[#This Row],[Km. Actual]]-BASE_DATOS[[#This Row],[Km.]]+BASE_DATOS[[#This Row],[Kilómetros Acumulados]])</f>
        <v/>
      </c>
      <c r="AO95" s="177" t="str">
        <f>IFERROR(BASE_DATOS[[#This Row],[Precio US$]]/BASE_DATOS[[#This Row],[Kilómetros Rodados]],"")</f>
        <v/>
      </c>
      <c r="AP95" s="176" t="str">
        <f>IFERROR(BASE_DATOS[[#This Row],[Kilómetros Rodados]]/(BASE_DATOS[[#This Row],[NSK Original]]-BASE_DATOS[[#This Row],[NSK]]),"")</f>
        <v/>
      </c>
      <c r="AQ9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5" s="177" t="str">
        <f>IFERROR(BASE_DATOS[[#This Row],[Precio US$]]/BASE_DATOS[[#This Row],[Kilómetros Proy.]],"")</f>
        <v/>
      </c>
      <c r="AS95" s="167" t="s">
        <v>62</v>
      </c>
      <c r="AT95" s="167"/>
      <c r="AU95" s="167"/>
      <c r="AV95" s="167"/>
      <c r="AW95" s="179"/>
      <c r="AX95" s="179"/>
      <c r="AY95" s="179" t="str">
        <f>CONCATENATE(BASE_DATOS[[#This Row],[Código_U]]&amp;BASE_DATOS[[#This Row],[Pos.]]&amp;BASE_DATOS[[#This Row],[Situación Actual]])</f>
        <v>TC-1146Rodando</v>
      </c>
    </row>
    <row r="96" spans="1:51" ht="12" x14ac:dyDescent="0.25">
      <c r="A96" s="227" t="s">
        <v>125</v>
      </c>
      <c r="B96" s="217" t="s">
        <v>126</v>
      </c>
      <c r="C96" s="228" t="s">
        <v>296</v>
      </c>
      <c r="D96" s="229" t="s">
        <v>61</v>
      </c>
      <c r="E96" s="248" t="s">
        <v>379</v>
      </c>
      <c r="F96" s="256" t="s">
        <v>71</v>
      </c>
      <c r="G96" s="256" t="s">
        <v>271</v>
      </c>
      <c r="H96" s="257" t="str">
        <f>IF(BASE_DATOS[[#This Row],[N-R]]="N",BASE_DATOS[[#This Row],[Diseño]],"Reencauche")</f>
        <v>KMAXD</v>
      </c>
      <c r="I96" s="256" t="s">
        <v>294</v>
      </c>
      <c r="J96" s="243" t="s">
        <v>72</v>
      </c>
      <c r="K96" s="258">
        <v>22.2</v>
      </c>
      <c r="L96" s="241">
        <v>110</v>
      </c>
      <c r="M96" s="259"/>
      <c r="N96" s="260"/>
      <c r="O96" s="277"/>
      <c r="P96" s="278"/>
      <c r="Q96" s="279"/>
      <c r="R96" s="309" t="s">
        <v>104</v>
      </c>
      <c r="S96" s="310">
        <v>45384</v>
      </c>
      <c r="T96" s="313"/>
      <c r="U96" s="279"/>
      <c r="V96" s="227">
        <v>17</v>
      </c>
      <c r="W96" s="281"/>
      <c r="X96" s="282">
        <v>16</v>
      </c>
      <c r="Y96" s="293">
        <f t="shared" si="2"/>
        <v>16</v>
      </c>
      <c r="Z96" s="175" t="s">
        <v>85</v>
      </c>
      <c r="AA96" s="342">
        <f>IFERROR(BASE_DATOS[[#This Row],[NSK Original]]-BASE_DATOS[[#This Row],[NSK]]," ")</f>
        <v>6.1999999999999993</v>
      </c>
      <c r="AB96" s="343">
        <f>'NSK-TRACTO'!$A$2</f>
        <v>6</v>
      </c>
      <c r="AC96" s="343">
        <f>IF(BASE_DATOS[[#This Row],[NSK]]&gt;=BASE_DATOS[[#This Row],[NSK Reen]],BASE_DATOS[[#This Row],[NSK Reen]],BASE_DATOS[[#This Row],[NSK]])</f>
        <v>6</v>
      </c>
      <c r="AD96" s="344">
        <f>IFERROR(100%-(BASE_DATOS[[#This Row],[NSK Reen]]/BASE_DATOS[[#This Row],[NSK Original]]),"")</f>
        <v>0.72972972972972971</v>
      </c>
      <c r="AE96" s="344">
        <f>IFERROR(100%-BASE_DATOS[[#This Row],[NSK]]/BASE_DATOS[[#This Row],[NSK Original]],"")</f>
        <v>0.2792792792792792</v>
      </c>
      <c r="AF96" s="344">
        <f>IFERROR(BASE_DATOS[[#This Row],[% Max Des.]]-BASE_DATOS[[#This Row],[% Des]],"")</f>
        <v>0.45045045045045051</v>
      </c>
      <c r="AG96" s="287"/>
      <c r="AH96" s="273"/>
      <c r="AI96" s="363" t="str">
        <f>IF(OR(BASE_DATOS[[#This Row],[Hr.]]="",BASE_DATOS[[#This Row],[Hr. Actual]]=""),"",BASE_DATOS[[#This Row],[Hr. Actual]]-BASE_DATOS[[#This Row],[Hr.]]+BASE_DATOS[[#This Row],[Horas Acumuladas]])</f>
        <v/>
      </c>
      <c r="AJ96" s="364" t="str">
        <f>IFERROR(BASE_DATOS[[#This Row],[Precio US$]]/BASE_DATOS[[#This Row],[Horas Rodadas]],"")</f>
        <v/>
      </c>
      <c r="AK96" s="365" t="str">
        <f>IFERROR(BASE_DATOS[[#This Row],[Horas Rodadas]]/(BASE_DATOS[[#This Row],[NSK Original]]-BASE_DATOS[[#This Row],[NSK]]),"")</f>
        <v/>
      </c>
      <c r="AL9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6" s="366" t="str">
        <f>IFERROR(BASE_DATOS[[#This Row],[Precio US$]]/BASE_DATOS[[#This Row],[Horas Proy.]],"")</f>
        <v/>
      </c>
      <c r="AN96" s="176" t="str">
        <f>IF(OR(BASE_DATOS[[#This Row],[Km.]]="",BASE_DATOS[[#This Row],[Km. Actual]]=""),"",BASE_DATOS[[#This Row],[Km. Actual]]-BASE_DATOS[[#This Row],[Km.]]+BASE_DATOS[[#This Row],[Kilómetros Acumulados]])</f>
        <v/>
      </c>
      <c r="AO96" s="177" t="str">
        <f>IFERROR(BASE_DATOS[[#This Row],[Precio US$]]/BASE_DATOS[[#This Row],[Kilómetros Rodados]],"")</f>
        <v/>
      </c>
      <c r="AP96" s="176" t="str">
        <f>IFERROR(BASE_DATOS[[#This Row],[Kilómetros Rodados]]/(BASE_DATOS[[#This Row],[NSK Original]]-BASE_DATOS[[#This Row],[NSK]]),"")</f>
        <v/>
      </c>
      <c r="AQ9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6" s="177" t="str">
        <f>IFERROR(BASE_DATOS[[#This Row],[Precio US$]]/BASE_DATOS[[#This Row],[Kilómetros Proy.]],"")</f>
        <v/>
      </c>
      <c r="AS96" s="167" t="s">
        <v>62</v>
      </c>
      <c r="AT96" s="167"/>
      <c r="AU96" s="167" t="s">
        <v>515</v>
      </c>
      <c r="AV96" s="167"/>
      <c r="AW96" s="179"/>
      <c r="AX96" s="169" t="s">
        <v>381</v>
      </c>
      <c r="AY96" s="169" t="str">
        <f>CONCATENATE(BASE_DATOS[[#This Row],[Código_U]]&amp;BASE_DATOS[[#This Row],[Pos.]]&amp;BASE_DATOS[[#This Row],[Situación Actual]])</f>
        <v>TC-1147Rodando</v>
      </c>
    </row>
    <row r="97" spans="1:51" ht="12" x14ac:dyDescent="0.25">
      <c r="A97" s="227" t="s">
        <v>125</v>
      </c>
      <c r="B97" s="217" t="s">
        <v>126</v>
      </c>
      <c r="C97" s="228" t="s">
        <v>296</v>
      </c>
      <c r="D97" s="229" t="s">
        <v>61</v>
      </c>
      <c r="E97" s="255"/>
      <c r="F97" s="256" t="s">
        <v>71</v>
      </c>
      <c r="G97" s="256" t="s">
        <v>271</v>
      </c>
      <c r="H97" s="257" t="str">
        <f>IF(BASE_DATOS[[#This Row],[N-R]]="N",BASE_DATOS[[#This Row],[Diseño]],"Reencauche")</f>
        <v>KMAXD</v>
      </c>
      <c r="I97" s="256" t="s">
        <v>294</v>
      </c>
      <c r="J97" s="243" t="s">
        <v>72</v>
      </c>
      <c r="K97" s="258">
        <v>22.2</v>
      </c>
      <c r="L97" s="241">
        <v>110</v>
      </c>
      <c r="M97" s="259"/>
      <c r="N97" s="260"/>
      <c r="O97" s="277"/>
      <c r="P97" s="278"/>
      <c r="Q97" s="279"/>
      <c r="R97" s="309" t="s">
        <v>105</v>
      </c>
      <c r="S97" s="310">
        <v>45384</v>
      </c>
      <c r="T97" s="313"/>
      <c r="U97" s="279"/>
      <c r="V97" s="227">
        <v>14</v>
      </c>
      <c r="W97" s="281"/>
      <c r="X97" s="282">
        <v>15</v>
      </c>
      <c r="Y97" s="293">
        <f t="shared" si="2"/>
        <v>14</v>
      </c>
      <c r="Z97" s="175" t="s">
        <v>85</v>
      </c>
      <c r="AA97" s="342">
        <f>IFERROR(BASE_DATOS[[#This Row],[NSK Original]]-BASE_DATOS[[#This Row],[NSK]]," ")</f>
        <v>8.1999999999999993</v>
      </c>
      <c r="AB97" s="343">
        <f>'NSK-TRACTO'!$A$2</f>
        <v>6</v>
      </c>
      <c r="AC97" s="343">
        <f>IF(BASE_DATOS[[#This Row],[NSK]]&gt;=BASE_DATOS[[#This Row],[NSK Reen]],BASE_DATOS[[#This Row],[NSK Reen]],BASE_DATOS[[#This Row],[NSK]])</f>
        <v>6</v>
      </c>
      <c r="AD97" s="344">
        <f>IFERROR(100%-(BASE_DATOS[[#This Row],[NSK Reen]]/BASE_DATOS[[#This Row],[NSK Original]]),"")</f>
        <v>0.72972972972972971</v>
      </c>
      <c r="AE97" s="344">
        <f>IFERROR(100%-BASE_DATOS[[#This Row],[NSK]]/BASE_DATOS[[#This Row],[NSK Original]],"")</f>
        <v>0.36936936936936937</v>
      </c>
      <c r="AF97" s="344">
        <f>IFERROR(BASE_DATOS[[#This Row],[% Max Des.]]-BASE_DATOS[[#This Row],[% Des]],"")</f>
        <v>0.36036036036036034</v>
      </c>
      <c r="AG97" s="287"/>
      <c r="AH97" s="273"/>
      <c r="AI97" s="363" t="str">
        <f>IF(OR(BASE_DATOS[[#This Row],[Hr.]]="",BASE_DATOS[[#This Row],[Hr. Actual]]=""),"",BASE_DATOS[[#This Row],[Hr. Actual]]-BASE_DATOS[[#This Row],[Hr.]]+BASE_DATOS[[#This Row],[Horas Acumuladas]])</f>
        <v/>
      </c>
      <c r="AJ97" s="364" t="str">
        <f>IFERROR(BASE_DATOS[[#This Row],[Precio US$]]/BASE_DATOS[[#This Row],[Horas Rodadas]],"")</f>
        <v/>
      </c>
      <c r="AK97" s="365" t="str">
        <f>IFERROR(BASE_DATOS[[#This Row],[Horas Rodadas]]/(BASE_DATOS[[#This Row],[NSK Original]]-BASE_DATOS[[#This Row],[NSK]]),"")</f>
        <v/>
      </c>
      <c r="AL9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7" s="366" t="str">
        <f>IFERROR(BASE_DATOS[[#This Row],[Precio US$]]/BASE_DATOS[[#This Row],[Horas Proy.]],"")</f>
        <v/>
      </c>
      <c r="AN97" s="176" t="str">
        <f>IF(OR(BASE_DATOS[[#This Row],[Km.]]="",BASE_DATOS[[#This Row],[Km. Actual]]=""),"",BASE_DATOS[[#This Row],[Km. Actual]]-BASE_DATOS[[#This Row],[Km.]]+BASE_DATOS[[#This Row],[Kilómetros Acumulados]])</f>
        <v/>
      </c>
      <c r="AO97" s="177" t="str">
        <f>IFERROR(BASE_DATOS[[#This Row],[Precio US$]]/BASE_DATOS[[#This Row],[Kilómetros Rodados]],"")</f>
        <v/>
      </c>
      <c r="AP97" s="176" t="str">
        <f>IFERROR(BASE_DATOS[[#This Row],[Kilómetros Rodados]]/(BASE_DATOS[[#This Row],[NSK Original]]-BASE_DATOS[[#This Row],[NSK]]),"")</f>
        <v/>
      </c>
      <c r="AQ9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7" s="177" t="str">
        <f>IFERROR(BASE_DATOS[[#This Row],[Precio US$]]/BASE_DATOS[[#This Row],[Kilómetros Proy.]],"")</f>
        <v/>
      </c>
      <c r="AS97" s="167" t="s">
        <v>62</v>
      </c>
      <c r="AT97" s="167"/>
      <c r="AU97" s="167" t="s">
        <v>515</v>
      </c>
      <c r="AV97" s="167"/>
      <c r="AW97" s="179"/>
      <c r="AX97" s="169" t="s">
        <v>381</v>
      </c>
      <c r="AY97" s="169" t="str">
        <f>CONCATENATE(BASE_DATOS[[#This Row],[Código_U]]&amp;BASE_DATOS[[#This Row],[Pos.]]&amp;BASE_DATOS[[#This Row],[Situación Actual]])</f>
        <v>TC-1148Rodando</v>
      </c>
    </row>
    <row r="98" spans="1:51" ht="12" x14ac:dyDescent="0.25">
      <c r="A98" s="227" t="s">
        <v>125</v>
      </c>
      <c r="B98" s="217" t="s">
        <v>126</v>
      </c>
      <c r="C98" s="228" t="s">
        <v>296</v>
      </c>
      <c r="D98" s="229" t="s">
        <v>61</v>
      </c>
      <c r="E98" s="248"/>
      <c r="F98" s="256" t="s">
        <v>71</v>
      </c>
      <c r="G98" s="256" t="s">
        <v>271</v>
      </c>
      <c r="H98" s="257" t="str">
        <f>IF(BASE_DATOS[[#This Row],[N-R]]="N",BASE_DATOS[[#This Row],[Diseño]],"Reencauche")</f>
        <v>KMAXD</v>
      </c>
      <c r="I98" s="256" t="s">
        <v>294</v>
      </c>
      <c r="J98" s="243" t="s">
        <v>72</v>
      </c>
      <c r="K98" s="258">
        <v>22.2</v>
      </c>
      <c r="L98" s="241">
        <v>110</v>
      </c>
      <c r="M98" s="259"/>
      <c r="N98" s="260"/>
      <c r="O98" s="277"/>
      <c r="P98" s="278"/>
      <c r="Q98" s="279"/>
      <c r="R98" s="309" t="s">
        <v>106</v>
      </c>
      <c r="S98" s="310">
        <v>45384</v>
      </c>
      <c r="T98" s="313"/>
      <c r="U98" s="279"/>
      <c r="V98" s="227">
        <v>17</v>
      </c>
      <c r="W98" s="281"/>
      <c r="X98" s="282">
        <v>17</v>
      </c>
      <c r="Y98" s="293">
        <f t="shared" si="2"/>
        <v>17</v>
      </c>
      <c r="Z98" s="175" t="s">
        <v>85</v>
      </c>
      <c r="AA98" s="342">
        <f>IFERROR(BASE_DATOS[[#This Row],[NSK Original]]-BASE_DATOS[[#This Row],[NSK]]," ")</f>
        <v>5.1999999999999993</v>
      </c>
      <c r="AB98" s="343">
        <f>'NSK-TRACTO'!$A$2</f>
        <v>6</v>
      </c>
      <c r="AC98" s="343">
        <f>IF(BASE_DATOS[[#This Row],[NSK]]&gt;=BASE_DATOS[[#This Row],[NSK Reen]],BASE_DATOS[[#This Row],[NSK Reen]],BASE_DATOS[[#This Row],[NSK]])</f>
        <v>6</v>
      </c>
      <c r="AD98" s="344">
        <f>IFERROR(100%-(BASE_DATOS[[#This Row],[NSK Reen]]/BASE_DATOS[[#This Row],[NSK Original]]),"")</f>
        <v>0.72972972972972971</v>
      </c>
      <c r="AE98" s="344">
        <f>IFERROR(100%-BASE_DATOS[[#This Row],[NSK]]/BASE_DATOS[[#This Row],[NSK Original]],"")</f>
        <v>0.23423423423423417</v>
      </c>
      <c r="AF98" s="344">
        <f>IFERROR(BASE_DATOS[[#This Row],[% Max Des.]]-BASE_DATOS[[#This Row],[% Des]],"")</f>
        <v>0.49549549549549554</v>
      </c>
      <c r="AG98" s="287"/>
      <c r="AH98" s="273"/>
      <c r="AI98" s="363" t="str">
        <f>IF(OR(BASE_DATOS[[#This Row],[Hr.]]="",BASE_DATOS[[#This Row],[Hr. Actual]]=""),"",BASE_DATOS[[#This Row],[Hr. Actual]]-BASE_DATOS[[#This Row],[Hr.]]+BASE_DATOS[[#This Row],[Horas Acumuladas]])</f>
        <v/>
      </c>
      <c r="AJ98" s="364" t="str">
        <f>IFERROR(BASE_DATOS[[#This Row],[Precio US$]]/BASE_DATOS[[#This Row],[Horas Rodadas]],"")</f>
        <v/>
      </c>
      <c r="AK98" s="365" t="str">
        <f>IFERROR(BASE_DATOS[[#This Row],[Horas Rodadas]]/(BASE_DATOS[[#This Row],[NSK Original]]-BASE_DATOS[[#This Row],[NSK]]),"")</f>
        <v/>
      </c>
      <c r="AL9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8" s="366" t="str">
        <f>IFERROR(BASE_DATOS[[#This Row],[Precio US$]]/BASE_DATOS[[#This Row],[Horas Proy.]],"")</f>
        <v/>
      </c>
      <c r="AN98" s="176" t="str">
        <f>IF(OR(BASE_DATOS[[#This Row],[Km.]]="",BASE_DATOS[[#This Row],[Km. Actual]]=""),"",BASE_DATOS[[#This Row],[Km. Actual]]-BASE_DATOS[[#This Row],[Km.]]+BASE_DATOS[[#This Row],[Kilómetros Acumulados]])</f>
        <v/>
      </c>
      <c r="AO98" s="177" t="str">
        <f>IFERROR(BASE_DATOS[[#This Row],[Precio US$]]/BASE_DATOS[[#This Row],[Kilómetros Rodados]],"")</f>
        <v/>
      </c>
      <c r="AP98" s="176" t="str">
        <f>IFERROR(BASE_DATOS[[#This Row],[Kilómetros Rodados]]/(BASE_DATOS[[#This Row],[NSK Original]]-BASE_DATOS[[#This Row],[NSK]]),"")</f>
        <v/>
      </c>
      <c r="AQ9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8" s="177" t="str">
        <f>IFERROR(BASE_DATOS[[#This Row],[Precio US$]]/BASE_DATOS[[#This Row],[Kilómetros Proy.]],"")</f>
        <v/>
      </c>
      <c r="AS98" s="167" t="s">
        <v>62</v>
      </c>
      <c r="AT98" s="167"/>
      <c r="AU98" s="167" t="s">
        <v>515</v>
      </c>
      <c r="AV98" s="167"/>
      <c r="AW98" s="179"/>
      <c r="AX98" s="169" t="s">
        <v>381</v>
      </c>
      <c r="AY98" s="169" t="str">
        <f>CONCATENATE(BASE_DATOS[[#This Row],[Código_U]]&amp;BASE_DATOS[[#This Row],[Pos.]]&amp;BASE_DATOS[[#This Row],[Situación Actual]])</f>
        <v>TC-1149Rodando</v>
      </c>
    </row>
    <row r="99" spans="1:51" ht="12" x14ac:dyDescent="0.25">
      <c r="A99" s="227" t="s">
        <v>125</v>
      </c>
      <c r="B99" s="217" t="s">
        <v>126</v>
      </c>
      <c r="C99" s="228" t="s">
        <v>296</v>
      </c>
      <c r="D99" s="229" t="s">
        <v>61</v>
      </c>
      <c r="E99" s="248" t="s">
        <v>380</v>
      </c>
      <c r="F99" s="256" t="s">
        <v>71</v>
      </c>
      <c r="G99" s="256" t="s">
        <v>271</v>
      </c>
      <c r="H99" s="257" t="str">
        <f>IF(BASE_DATOS[[#This Row],[N-R]]="N",BASE_DATOS[[#This Row],[Diseño]],"Reencauche")</f>
        <v>KMAXD</v>
      </c>
      <c r="I99" s="256" t="s">
        <v>294</v>
      </c>
      <c r="J99" s="243" t="s">
        <v>72</v>
      </c>
      <c r="K99" s="258">
        <v>22.2</v>
      </c>
      <c r="L99" s="241">
        <v>110</v>
      </c>
      <c r="M99" s="259"/>
      <c r="N99" s="260"/>
      <c r="O99" s="277"/>
      <c r="P99" s="278"/>
      <c r="Q99" s="279"/>
      <c r="R99" s="309" t="s">
        <v>107</v>
      </c>
      <c r="S99" s="310">
        <v>45384</v>
      </c>
      <c r="T99" s="313"/>
      <c r="U99" s="279"/>
      <c r="V99" s="227">
        <v>17</v>
      </c>
      <c r="W99" s="281"/>
      <c r="X99" s="282">
        <v>17</v>
      </c>
      <c r="Y99" s="293">
        <f t="shared" si="2"/>
        <v>17</v>
      </c>
      <c r="Z99" s="175" t="s">
        <v>85</v>
      </c>
      <c r="AA99" s="342">
        <f>IFERROR(BASE_DATOS[[#This Row],[NSK Original]]-BASE_DATOS[[#This Row],[NSK]]," ")</f>
        <v>5.1999999999999993</v>
      </c>
      <c r="AB99" s="343">
        <f>'NSK-TRACTO'!$A$2</f>
        <v>6</v>
      </c>
      <c r="AC99" s="343">
        <f>IF(BASE_DATOS[[#This Row],[NSK]]&gt;=BASE_DATOS[[#This Row],[NSK Reen]],BASE_DATOS[[#This Row],[NSK Reen]],BASE_DATOS[[#This Row],[NSK]])</f>
        <v>6</v>
      </c>
      <c r="AD99" s="344">
        <f>IFERROR(100%-(BASE_DATOS[[#This Row],[NSK Reen]]/BASE_DATOS[[#This Row],[NSK Original]]),"")</f>
        <v>0.72972972972972971</v>
      </c>
      <c r="AE99" s="344">
        <f>IFERROR(100%-BASE_DATOS[[#This Row],[NSK]]/BASE_DATOS[[#This Row],[NSK Original]],"")</f>
        <v>0.23423423423423417</v>
      </c>
      <c r="AF99" s="344">
        <f>IFERROR(BASE_DATOS[[#This Row],[% Max Des.]]-BASE_DATOS[[#This Row],[% Des]],"")</f>
        <v>0.49549549549549554</v>
      </c>
      <c r="AG99" s="287"/>
      <c r="AH99" s="273"/>
      <c r="AI99" s="363" t="str">
        <f>IF(OR(BASE_DATOS[[#This Row],[Hr.]]="",BASE_DATOS[[#This Row],[Hr. Actual]]=""),"",BASE_DATOS[[#This Row],[Hr. Actual]]-BASE_DATOS[[#This Row],[Hr.]]+BASE_DATOS[[#This Row],[Horas Acumuladas]])</f>
        <v/>
      </c>
      <c r="AJ99" s="364" t="str">
        <f>IFERROR(BASE_DATOS[[#This Row],[Precio US$]]/BASE_DATOS[[#This Row],[Horas Rodadas]],"")</f>
        <v/>
      </c>
      <c r="AK99" s="365" t="str">
        <f>IFERROR(BASE_DATOS[[#This Row],[Horas Rodadas]]/(BASE_DATOS[[#This Row],[NSK Original]]-BASE_DATOS[[#This Row],[NSK]]),"")</f>
        <v/>
      </c>
      <c r="AL9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9" s="366" t="str">
        <f>IFERROR(BASE_DATOS[[#This Row],[Precio US$]]/BASE_DATOS[[#This Row],[Horas Proy.]],"")</f>
        <v/>
      </c>
      <c r="AN99" s="176" t="str">
        <f>IF(OR(BASE_DATOS[[#This Row],[Km.]]="",BASE_DATOS[[#This Row],[Km. Actual]]=""),"",BASE_DATOS[[#This Row],[Km. Actual]]-BASE_DATOS[[#This Row],[Km.]]+BASE_DATOS[[#This Row],[Kilómetros Acumulados]])</f>
        <v/>
      </c>
      <c r="AO99" s="177" t="str">
        <f>IFERROR(BASE_DATOS[[#This Row],[Precio US$]]/BASE_DATOS[[#This Row],[Kilómetros Rodados]],"")</f>
        <v/>
      </c>
      <c r="AP99" s="176" t="str">
        <f>IFERROR(BASE_DATOS[[#This Row],[Kilómetros Rodados]]/(BASE_DATOS[[#This Row],[NSK Original]]-BASE_DATOS[[#This Row],[NSK]]),"")</f>
        <v/>
      </c>
      <c r="AQ9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9" s="177" t="str">
        <f>IFERROR(BASE_DATOS[[#This Row],[Precio US$]]/BASE_DATOS[[#This Row],[Kilómetros Proy.]],"")</f>
        <v/>
      </c>
      <c r="AS99" s="167" t="s">
        <v>62</v>
      </c>
      <c r="AT99" s="167"/>
      <c r="AU99" s="167" t="s">
        <v>515</v>
      </c>
      <c r="AV99" s="167"/>
      <c r="AW99" s="179"/>
      <c r="AX99" s="169" t="s">
        <v>381</v>
      </c>
      <c r="AY99" s="169" t="str">
        <f>CONCATENATE(BASE_DATOS[[#This Row],[Código_U]]&amp;BASE_DATOS[[#This Row],[Pos.]]&amp;BASE_DATOS[[#This Row],[Situación Actual]])</f>
        <v>TC-11410Rodando</v>
      </c>
    </row>
    <row r="100" spans="1:51" ht="12" x14ac:dyDescent="0.25">
      <c r="A100" s="224" t="s">
        <v>127</v>
      </c>
      <c r="B100" s="213" t="s">
        <v>128</v>
      </c>
      <c r="C100" s="225" t="s">
        <v>295</v>
      </c>
      <c r="D100" s="226" t="s">
        <v>87</v>
      </c>
      <c r="E100" s="249"/>
      <c r="F100" s="250" t="s">
        <v>97</v>
      </c>
      <c r="G100" s="250" t="s">
        <v>269</v>
      </c>
      <c r="H100" s="251" t="str">
        <f>IF(BASE_DATOS[[#This Row],[N-R]]="N",BASE_DATOS[[#This Row],[Diseño]],"Reencauche")</f>
        <v>AGC28</v>
      </c>
      <c r="I100" s="250" t="s">
        <v>270</v>
      </c>
      <c r="J100" s="235" t="s">
        <v>72</v>
      </c>
      <c r="K100" s="252">
        <v>16.5</v>
      </c>
      <c r="L100" s="250">
        <v>110</v>
      </c>
      <c r="M100" s="253"/>
      <c r="N100" s="254"/>
      <c r="O100" s="274"/>
      <c r="P100" s="275"/>
      <c r="Q100" s="276"/>
      <c r="R100" s="305" t="s">
        <v>98</v>
      </c>
      <c r="S100" s="306">
        <v>45384</v>
      </c>
      <c r="T100" s="314"/>
      <c r="U100" s="276"/>
      <c r="V100" s="224">
        <v>14</v>
      </c>
      <c r="W100" s="325">
        <v>14</v>
      </c>
      <c r="X100" s="326">
        <v>14</v>
      </c>
      <c r="Y100" s="292">
        <f t="shared" ref="Y100:Y115" si="4">IFERROR(MIN(V100:X100),"")</f>
        <v>14</v>
      </c>
      <c r="Z100" s="194" t="s">
        <v>85</v>
      </c>
      <c r="AA100" s="339">
        <f>IFERROR(BASE_DATOS[[#This Row],[NSK Original]]-BASE_DATOS[[#This Row],[NSK]]," ")</f>
        <v>2.5</v>
      </c>
      <c r="AB100" s="340">
        <f>'NSK-TRACTO'!$A$2</f>
        <v>6</v>
      </c>
      <c r="AC100" s="340">
        <f>IF(BASE_DATOS[[#This Row],[NSK]]&gt;=BASE_DATOS[[#This Row],[NSK Reen]],BASE_DATOS[[#This Row],[NSK Reen]],BASE_DATOS[[#This Row],[NSK]])</f>
        <v>6</v>
      </c>
      <c r="AD100" s="341">
        <f>IFERROR(100%-(BASE_DATOS[[#This Row],[NSK Reen]]/BASE_DATOS[[#This Row],[NSK Original]]),"")</f>
        <v>0.63636363636363635</v>
      </c>
      <c r="AE100" s="341">
        <f>IFERROR(100%-BASE_DATOS[[#This Row],[NSK]]/BASE_DATOS[[#This Row],[NSK Original]],"")</f>
        <v>0.15151515151515149</v>
      </c>
      <c r="AF100" s="341">
        <f>IFERROR(BASE_DATOS[[#This Row],[% Max Des.]]-BASE_DATOS[[#This Row],[% Des]],"")</f>
        <v>0.48484848484848486</v>
      </c>
      <c r="AG100" s="284"/>
      <c r="AH100" s="335"/>
      <c r="AI100" s="359" t="str">
        <f>IF(OR(BASE_DATOS[[#This Row],[Hr.]]="",BASE_DATOS[[#This Row],[Hr. Actual]]=""),"",BASE_DATOS[[#This Row],[Hr. Actual]]-BASE_DATOS[[#This Row],[Hr.]]+BASE_DATOS[[#This Row],[Horas Acumuladas]])</f>
        <v/>
      </c>
      <c r="AJ100" s="360" t="str">
        <f>IFERROR(BASE_DATOS[[#This Row],[Precio US$]]/BASE_DATOS[[#This Row],[Horas Rodadas]],"")</f>
        <v/>
      </c>
      <c r="AK100" s="361" t="str">
        <f>IFERROR(BASE_DATOS[[#This Row],[Horas Rodadas]]/(BASE_DATOS[[#This Row],[NSK Original]]-BASE_DATOS[[#This Row],[NSK]]),"")</f>
        <v/>
      </c>
      <c r="AL100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00" s="362" t="str">
        <f>IFERROR(BASE_DATOS[[#This Row],[Precio US$]]/BASE_DATOS[[#This Row],[Horas Proy.]],"")</f>
        <v/>
      </c>
      <c r="AN100" s="195" t="str">
        <f>IF(OR(BASE_DATOS[[#This Row],[Km.]]="",BASE_DATOS[[#This Row],[Km. Actual]]=""),"",BASE_DATOS[[#This Row],[Km. Actual]]-BASE_DATOS[[#This Row],[Km.]]+BASE_DATOS[[#This Row],[Kilómetros Acumulados]])</f>
        <v/>
      </c>
      <c r="AO100" s="196" t="str">
        <f>IFERROR(BASE_DATOS[[#This Row],[Precio US$]]/BASE_DATOS[[#This Row],[Kilómetros Rodados]],"")</f>
        <v/>
      </c>
      <c r="AP100" s="195" t="str">
        <f>IFERROR(BASE_DATOS[[#This Row],[Kilómetros Rodados]]/(BASE_DATOS[[#This Row],[NSK Original]]-BASE_DATOS[[#This Row],[NSK]]),"")</f>
        <v/>
      </c>
      <c r="AQ100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00" s="196" t="str">
        <f>IFERROR(BASE_DATOS[[#This Row],[Precio US$]]/BASE_DATOS[[#This Row],[Kilómetros Proy.]],"")</f>
        <v/>
      </c>
      <c r="AS100" s="191" t="s">
        <v>62</v>
      </c>
      <c r="AT100" s="191"/>
      <c r="AU100" s="191"/>
      <c r="AV100" s="191"/>
      <c r="AW100" s="198"/>
      <c r="AX100" s="198"/>
      <c r="AY100" s="198" t="str">
        <f>CONCATENATE(BASE_DATOS[[#This Row],[Código_U]]&amp;BASE_DATOS[[#This Row],[Pos.]]&amp;BASE_DATOS[[#This Row],[Situación Actual]])</f>
        <v>SR-1161Rodando</v>
      </c>
    </row>
    <row r="101" spans="1:51" ht="12" x14ac:dyDescent="0.25">
      <c r="A101" s="227" t="s">
        <v>127</v>
      </c>
      <c r="B101" s="217" t="s">
        <v>128</v>
      </c>
      <c r="C101" s="228" t="s">
        <v>295</v>
      </c>
      <c r="D101" s="229" t="s">
        <v>87</v>
      </c>
      <c r="E101" s="255"/>
      <c r="F101" s="256" t="s">
        <v>97</v>
      </c>
      <c r="G101" s="256" t="s">
        <v>269</v>
      </c>
      <c r="H101" s="257" t="str">
        <f>IF(BASE_DATOS[[#This Row],[N-R]]="N",BASE_DATOS[[#This Row],[Diseño]],"Reencauche")</f>
        <v>AGC28</v>
      </c>
      <c r="I101" s="256" t="s">
        <v>270</v>
      </c>
      <c r="J101" s="243" t="s">
        <v>72</v>
      </c>
      <c r="K101" s="258">
        <v>16.5</v>
      </c>
      <c r="L101" s="256">
        <v>110</v>
      </c>
      <c r="M101" s="259"/>
      <c r="N101" s="260"/>
      <c r="O101" s="277"/>
      <c r="P101" s="278"/>
      <c r="Q101" s="279"/>
      <c r="R101" s="309" t="s">
        <v>99</v>
      </c>
      <c r="S101" s="310">
        <v>45384</v>
      </c>
      <c r="T101" s="313"/>
      <c r="U101" s="279"/>
      <c r="V101" s="227">
        <v>14</v>
      </c>
      <c r="W101" s="281">
        <v>15</v>
      </c>
      <c r="X101" s="282">
        <v>15</v>
      </c>
      <c r="Y101" s="293">
        <f t="shared" si="4"/>
        <v>14</v>
      </c>
      <c r="Z101" s="175" t="s">
        <v>85</v>
      </c>
      <c r="AA101" s="342">
        <f>IFERROR(BASE_DATOS[[#This Row],[NSK Original]]-BASE_DATOS[[#This Row],[NSK]]," ")</f>
        <v>2.5</v>
      </c>
      <c r="AB101" s="343">
        <f>'NSK-TRACTO'!$A$2</f>
        <v>6</v>
      </c>
      <c r="AC101" s="343">
        <f>IF(BASE_DATOS[[#This Row],[NSK]]&gt;=BASE_DATOS[[#This Row],[NSK Reen]],BASE_DATOS[[#This Row],[NSK Reen]],BASE_DATOS[[#This Row],[NSK]])</f>
        <v>6</v>
      </c>
      <c r="AD101" s="344">
        <f>IFERROR(100%-(BASE_DATOS[[#This Row],[NSK Reen]]/BASE_DATOS[[#This Row],[NSK Original]]),"")</f>
        <v>0.63636363636363635</v>
      </c>
      <c r="AE101" s="344">
        <f>IFERROR(100%-BASE_DATOS[[#This Row],[NSK]]/BASE_DATOS[[#This Row],[NSK Original]],"")</f>
        <v>0.15151515151515149</v>
      </c>
      <c r="AF101" s="344">
        <f>IFERROR(BASE_DATOS[[#This Row],[% Max Des.]]-BASE_DATOS[[#This Row],[% Des]],"")</f>
        <v>0.48484848484848486</v>
      </c>
      <c r="AG101" s="287"/>
      <c r="AH101" s="273"/>
      <c r="AI101" s="363" t="str">
        <f>IF(OR(BASE_DATOS[[#This Row],[Hr.]]="",BASE_DATOS[[#This Row],[Hr. Actual]]=""),"",BASE_DATOS[[#This Row],[Hr. Actual]]-BASE_DATOS[[#This Row],[Hr.]]+BASE_DATOS[[#This Row],[Horas Acumuladas]])</f>
        <v/>
      </c>
      <c r="AJ101" s="364" t="str">
        <f>IFERROR(BASE_DATOS[[#This Row],[Precio US$]]/BASE_DATOS[[#This Row],[Horas Rodadas]],"")</f>
        <v/>
      </c>
      <c r="AK101" s="365" t="str">
        <f>IFERROR(BASE_DATOS[[#This Row],[Horas Rodadas]]/(BASE_DATOS[[#This Row],[NSK Original]]-BASE_DATOS[[#This Row],[NSK]]),"")</f>
        <v/>
      </c>
      <c r="AL10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01" s="366" t="str">
        <f>IFERROR(BASE_DATOS[[#This Row],[Precio US$]]/BASE_DATOS[[#This Row],[Horas Proy.]],"")</f>
        <v/>
      </c>
      <c r="AN101" s="176" t="str">
        <f>IF(OR(BASE_DATOS[[#This Row],[Km.]]="",BASE_DATOS[[#This Row],[Km. Actual]]=""),"",BASE_DATOS[[#This Row],[Km. Actual]]-BASE_DATOS[[#This Row],[Km.]]+BASE_DATOS[[#This Row],[Kilómetros Acumulados]])</f>
        <v/>
      </c>
      <c r="AO101" s="177" t="str">
        <f>IFERROR(BASE_DATOS[[#This Row],[Precio US$]]/BASE_DATOS[[#This Row],[Kilómetros Rodados]],"")</f>
        <v/>
      </c>
      <c r="AP101" s="176" t="str">
        <f>IFERROR(BASE_DATOS[[#This Row],[Kilómetros Rodados]]/(BASE_DATOS[[#This Row],[NSK Original]]-BASE_DATOS[[#This Row],[NSK]]),"")</f>
        <v/>
      </c>
      <c r="AQ10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01" s="177" t="str">
        <f>IFERROR(BASE_DATOS[[#This Row],[Precio US$]]/BASE_DATOS[[#This Row],[Kilómetros Proy.]],"")</f>
        <v/>
      </c>
      <c r="AS101" s="167" t="s">
        <v>62</v>
      </c>
      <c r="AT101" s="167"/>
      <c r="AU101" s="167"/>
      <c r="AV101" s="167"/>
      <c r="AW101" s="179"/>
      <c r="AX101" s="179"/>
      <c r="AY101" s="179" t="str">
        <f>CONCATENATE(BASE_DATOS[[#This Row],[Código_U]]&amp;BASE_DATOS[[#This Row],[Pos.]]&amp;BASE_DATOS[[#This Row],[Situación Actual]])</f>
        <v>SR-1162Rodando</v>
      </c>
    </row>
    <row r="102" spans="1:51" ht="12" x14ac:dyDescent="0.25">
      <c r="A102" s="227" t="s">
        <v>127</v>
      </c>
      <c r="B102" s="217" t="s">
        <v>128</v>
      </c>
      <c r="C102" s="228" t="s">
        <v>295</v>
      </c>
      <c r="D102" s="229" t="s">
        <v>87</v>
      </c>
      <c r="E102" s="255"/>
      <c r="F102" s="256" t="s">
        <v>97</v>
      </c>
      <c r="G102" s="256" t="s">
        <v>269</v>
      </c>
      <c r="H102" s="257" t="str">
        <f>IF(BASE_DATOS[[#This Row],[N-R]]="N",BASE_DATOS[[#This Row],[Diseño]],"Reencauche")</f>
        <v>AGC28</v>
      </c>
      <c r="I102" s="256" t="s">
        <v>270</v>
      </c>
      <c r="J102" s="243" t="s">
        <v>72</v>
      </c>
      <c r="K102" s="258">
        <v>16.5</v>
      </c>
      <c r="L102" s="256">
        <v>110</v>
      </c>
      <c r="M102" s="259"/>
      <c r="N102" s="260"/>
      <c r="O102" s="277"/>
      <c r="P102" s="278"/>
      <c r="Q102" s="279"/>
      <c r="R102" s="309" t="s">
        <v>100</v>
      </c>
      <c r="S102" s="310">
        <v>45384</v>
      </c>
      <c r="T102" s="313"/>
      <c r="U102" s="279"/>
      <c r="V102" s="227">
        <v>11</v>
      </c>
      <c r="W102" s="281">
        <v>9</v>
      </c>
      <c r="X102" s="282">
        <v>9</v>
      </c>
      <c r="Y102" s="293">
        <f t="shared" si="4"/>
        <v>9</v>
      </c>
      <c r="Z102" s="175" t="s">
        <v>85</v>
      </c>
      <c r="AA102" s="342">
        <f>IFERROR(BASE_DATOS[[#This Row],[NSK Original]]-BASE_DATOS[[#This Row],[NSK]]," ")</f>
        <v>7.5</v>
      </c>
      <c r="AB102" s="343">
        <f>'NSK-TRACTO'!$A$2</f>
        <v>6</v>
      </c>
      <c r="AC102" s="343">
        <f>IF(BASE_DATOS[[#This Row],[NSK]]&gt;=BASE_DATOS[[#This Row],[NSK Reen]],BASE_DATOS[[#This Row],[NSK Reen]],BASE_DATOS[[#This Row],[NSK]])</f>
        <v>6</v>
      </c>
      <c r="AD102" s="344">
        <f>IFERROR(100%-(BASE_DATOS[[#This Row],[NSK Reen]]/BASE_DATOS[[#This Row],[NSK Original]]),"")</f>
        <v>0.63636363636363635</v>
      </c>
      <c r="AE102" s="344">
        <f>IFERROR(100%-BASE_DATOS[[#This Row],[NSK]]/BASE_DATOS[[#This Row],[NSK Original]],"")</f>
        <v>0.45454545454545459</v>
      </c>
      <c r="AF102" s="344">
        <f>IFERROR(BASE_DATOS[[#This Row],[% Max Des.]]-BASE_DATOS[[#This Row],[% Des]],"")</f>
        <v>0.18181818181818177</v>
      </c>
      <c r="AG102" s="287"/>
      <c r="AH102" s="273"/>
      <c r="AI102" s="363" t="str">
        <f>IF(OR(BASE_DATOS[[#This Row],[Hr.]]="",BASE_DATOS[[#This Row],[Hr. Actual]]=""),"",BASE_DATOS[[#This Row],[Hr. Actual]]-BASE_DATOS[[#This Row],[Hr.]]+BASE_DATOS[[#This Row],[Horas Acumuladas]])</f>
        <v/>
      </c>
      <c r="AJ102" s="364" t="str">
        <f>IFERROR(BASE_DATOS[[#This Row],[Precio US$]]/BASE_DATOS[[#This Row],[Horas Rodadas]],"")</f>
        <v/>
      </c>
      <c r="AK102" s="365" t="str">
        <f>IFERROR(BASE_DATOS[[#This Row],[Horas Rodadas]]/(BASE_DATOS[[#This Row],[NSK Original]]-BASE_DATOS[[#This Row],[NSK]]),"")</f>
        <v/>
      </c>
      <c r="AL10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02" s="366" t="str">
        <f>IFERROR(BASE_DATOS[[#This Row],[Precio US$]]/BASE_DATOS[[#This Row],[Horas Proy.]],"")</f>
        <v/>
      </c>
      <c r="AN102" s="176" t="str">
        <f>IF(OR(BASE_DATOS[[#This Row],[Km.]]="",BASE_DATOS[[#This Row],[Km. Actual]]=""),"",BASE_DATOS[[#This Row],[Km. Actual]]-BASE_DATOS[[#This Row],[Km.]]+BASE_DATOS[[#This Row],[Kilómetros Acumulados]])</f>
        <v/>
      </c>
      <c r="AO102" s="177" t="str">
        <f>IFERROR(BASE_DATOS[[#This Row],[Precio US$]]/BASE_DATOS[[#This Row],[Kilómetros Rodados]],"")</f>
        <v/>
      </c>
      <c r="AP102" s="176" t="str">
        <f>IFERROR(BASE_DATOS[[#This Row],[Kilómetros Rodados]]/(BASE_DATOS[[#This Row],[NSK Original]]-BASE_DATOS[[#This Row],[NSK]]),"")</f>
        <v/>
      </c>
      <c r="AQ10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02" s="177" t="str">
        <f>IFERROR(BASE_DATOS[[#This Row],[Precio US$]]/BASE_DATOS[[#This Row],[Kilómetros Proy.]],"")</f>
        <v/>
      </c>
      <c r="AS102" s="167" t="s">
        <v>62</v>
      </c>
      <c r="AT102" s="167"/>
      <c r="AU102" s="167"/>
      <c r="AV102" s="167"/>
      <c r="AW102" s="179"/>
      <c r="AX102" s="179"/>
      <c r="AY102" s="179" t="str">
        <f>CONCATENATE(BASE_DATOS[[#This Row],[Código_U]]&amp;BASE_DATOS[[#This Row],[Pos.]]&amp;BASE_DATOS[[#This Row],[Situación Actual]])</f>
        <v>SR-1163Rodando</v>
      </c>
    </row>
    <row r="103" spans="1:51" ht="12" x14ac:dyDescent="0.25">
      <c r="A103" s="227" t="s">
        <v>127</v>
      </c>
      <c r="B103" s="217" t="s">
        <v>128</v>
      </c>
      <c r="C103" s="228" t="s">
        <v>295</v>
      </c>
      <c r="D103" s="229" t="s">
        <v>87</v>
      </c>
      <c r="E103" s="255"/>
      <c r="F103" s="256" t="s">
        <v>97</v>
      </c>
      <c r="G103" s="256" t="s">
        <v>269</v>
      </c>
      <c r="H103" s="257" t="str">
        <f>IF(BASE_DATOS[[#This Row],[N-R]]="N",BASE_DATOS[[#This Row],[Diseño]],"Reencauche")</f>
        <v>AGC28</v>
      </c>
      <c r="I103" s="256" t="s">
        <v>270</v>
      </c>
      <c r="J103" s="243" t="s">
        <v>72</v>
      </c>
      <c r="K103" s="258">
        <v>16.5</v>
      </c>
      <c r="L103" s="256">
        <v>110</v>
      </c>
      <c r="M103" s="259"/>
      <c r="N103" s="260"/>
      <c r="O103" s="277"/>
      <c r="P103" s="278"/>
      <c r="Q103" s="279"/>
      <c r="R103" s="309" t="s">
        <v>101</v>
      </c>
      <c r="S103" s="310">
        <v>45384</v>
      </c>
      <c r="T103" s="313"/>
      <c r="U103" s="279"/>
      <c r="V103" s="227">
        <v>8</v>
      </c>
      <c r="W103" s="281">
        <v>7</v>
      </c>
      <c r="X103" s="282">
        <v>8</v>
      </c>
      <c r="Y103" s="293">
        <f t="shared" si="4"/>
        <v>7</v>
      </c>
      <c r="Z103" s="175" t="s">
        <v>85</v>
      </c>
      <c r="AA103" s="342">
        <f>IFERROR(BASE_DATOS[[#This Row],[NSK Original]]-BASE_DATOS[[#This Row],[NSK]]," ")</f>
        <v>9.5</v>
      </c>
      <c r="AB103" s="343">
        <f>'NSK-TRACTO'!$A$2</f>
        <v>6</v>
      </c>
      <c r="AC103" s="343">
        <f>IF(BASE_DATOS[[#This Row],[NSK]]&gt;=BASE_DATOS[[#This Row],[NSK Reen]],BASE_DATOS[[#This Row],[NSK Reen]],BASE_DATOS[[#This Row],[NSK]])</f>
        <v>6</v>
      </c>
      <c r="AD103" s="344">
        <f>IFERROR(100%-(BASE_DATOS[[#This Row],[NSK Reen]]/BASE_DATOS[[#This Row],[NSK Original]]),"")</f>
        <v>0.63636363636363635</v>
      </c>
      <c r="AE103" s="344">
        <f>IFERROR(100%-BASE_DATOS[[#This Row],[NSK]]/BASE_DATOS[[#This Row],[NSK Original]],"")</f>
        <v>0.57575757575757569</v>
      </c>
      <c r="AF103" s="344">
        <f>IFERROR(BASE_DATOS[[#This Row],[% Max Des.]]-BASE_DATOS[[#This Row],[% Des]],"")</f>
        <v>6.0606060606060663E-2</v>
      </c>
      <c r="AG103" s="287"/>
      <c r="AH103" s="273"/>
      <c r="AI103" s="363" t="str">
        <f>IF(OR(BASE_DATOS[[#This Row],[Hr.]]="",BASE_DATOS[[#This Row],[Hr. Actual]]=""),"",BASE_DATOS[[#This Row],[Hr. Actual]]-BASE_DATOS[[#This Row],[Hr.]]+BASE_DATOS[[#This Row],[Horas Acumuladas]])</f>
        <v/>
      </c>
      <c r="AJ103" s="364" t="str">
        <f>IFERROR(BASE_DATOS[[#This Row],[Precio US$]]/BASE_DATOS[[#This Row],[Horas Rodadas]],"")</f>
        <v/>
      </c>
      <c r="AK103" s="365" t="str">
        <f>IFERROR(BASE_DATOS[[#This Row],[Horas Rodadas]]/(BASE_DATOS[[#This Row],[NSK Original]]-BASE_DATOS[[#This Row],[NSK]]),"")</f>
        <v/>
      </c>
      <c r="AL10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03" s="366" t="str">
        <f>IFERROR(BASE_DATOS[[#This Row],[Precio US$]]/BASE_DATOS[[#This Row],[Horas Proy.]],"")</f>
        <v/>
      </c>
      <c r="AN103" s="176" t="str">
        <f>IF(OR(BASE_DATOS[[#This Row],[Km.]]="",BASE_DATOS[[#This Row],[Km. Actual]]=""),"",BASE_DATOS[[#This Row],[Km. Actual]]-BASE_DATOS[[#This Row],[Km.]]+BASE_DATOS[[#This Row],[Kilómetros Acumulados]])</f>
        <v/>
      </c>
      <c r="AO103" s="177" t="str">
        <f>IFERROR(BASE_DATOS[[#This Row],[Precio US$]]/BASE_DATOS[[#This Row],[Kilómetros Rodados]],"")</f>
        <v/>
      </c>
      <c r="AP103" s="176" t="str">
        <f>IFERROR(BASE_DATOS[[#This Row],[Kilómetros Rodados]]/(BASE_DATOS[[#This Row],[NSK Original]]-BASE_DATOS[[#This Row],[NSK]]),"")</f>
        <v/>
      </c>
      <c r="AQ10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03" s="177" t="str">
        <f>IFERROR(BASE_DATOS[[#This Row],[Precio US$]]/BASE_DATOS[[#This Row],[Kilómetros Proy.]],"")</f>
        <v/>
      </c>
      <c r="AS103" s="167" t="s">
        <v>62</v>
      </c>
      <c r="AT103" s="167"/>
      <c r="AU103" s="167"/>
      <c r="AV103" s="167"/>
      <c r="AW103" s="179"/>
      <c r="AX103" s="179"/>
      <c r="AY103" s="179" t="str">
        <f>CONCATENATE(BASE_DATOS[[#This Row],[Código_U]]&amp;BASE_DATOS[[#This Row],[Pos.]]&amp;BASE_DATOS[[#This Row],[Situación Actual]])</f>
        <v>SR-1164Rodando</v>
      </c>
    </row>
    <row r="104" spans="1:51" ht="12" x14ac:dyDescent="0.25">
      <c r="A104" s="227" t="s">
        <v>127</v>
      </c>
      <c r="B104" s="217" t="s">
        <v>128</v>
      </c>
      <c r="C104" s="228" t="s">
        <v>295</v>
      </c>
      <c r="D104" s="229" t="s">
        <v>87</v>
      </c>
      <c r="E104" s="255"/>
      <c r="F104" s="256" t="s">
        <v>97</v>
      </c>
      <c r="G104" s="256" t="s">
        <v>269</v>
      </c>
      <c r="H104" s="257" t="str">
        <f>IF(BASE_DATOS[[#This Row],[N-R]]="N",BASE_DATOS[[#This Row],[Diseño]],"Reencauche")</f>
        <v>AGC28</v>
      </c>
      <c r="I104" s="256" t="s">
        <v>270</v>
      </c>
      <c r="J104" s="243" t="s">
        <v>72</v>
      </c>
      <c r="K104" s="258">
        <v>16.5</v>
      </c>
      <c r="L104" s="256">
        <v>110</v>
      </c>
      <c r="M104" s="259"/>
      <c r="N104" s="260"/>
      <c r="O104" s="277"/>
      <c r="P104" s="278"/>
      <c r="Q104" s="279"/>
      <c r="R104" s="309" t="s">
        <v>102</v>
      </c>
      <c r="S104" s="310">
        <v>45384</v>
      </c>
      <c r="T104" s="313"/>
      <c r="U104" s="279"/>
      <c r="V104" s="227">
        <v>7</v>
      </c>
      <c r="W104" s="281">
        <v>6</v>
      </c>
      <c r="X104" s="282">
        <v>8</v>
      </c>
      <c r="Y104" s="293">
        <f t="shared" si="4"/>
        <v>6</v>
      </c>
      <c r="Z104" s="175" t="s">
        <v>85</v>
      </c>
      <c r="AA104" s="342">
        <f>IFERROR(BASE_DATOS[[#This Row],[NSK Original]]-BASE_DATOS[[#This Row],[NSK]]," ")</f>
        <v>10.5</v>
      </c>
      <c r="AB104" s="343">
        <f>'NSK-TRACTO'!$A$2</f>
        <v>6</v>
      </c>
      <c r="AC104" s="343">
        <f>IF(BASE_DATOS[[#This Row],[NSK]]&gt;=BASE_DATOS[[#This Row],[NSK Reen]],BASE_DATOS[[#This Row],[NSK Reen]],BASE_DATOS[[#This Row],[NSK]])</f>
        <v>6</v>
      </c>
      <c r="AD104" s="344">
        <f>IFERROR(100%-(BASE_DATOS[[#This Row],[NSK Reen]]/BASE_DATOS[[#This Row],[NSK Original]]),"")</f>
        <v>0.63636363636363635</v>
      </c>
      <c r="AE104" s="344">
        <f>IFERROR(100%-BASE_DATOS[[#This Row],[NSK]]/BASE_DATOS[[#This Row],[NSK Original]],"")</f>
        <v>0.63636363636363635</v>
      </c>
      <c r="AF104" s="344">
        <f>IFERROR(BASE_DATOS[[#This Row],[% Max Des.]]-BASE_DATOS[[#This Row],[% Des]],"")</f>
        <v>0</v>
      </c>
      <c r="AG104" s="287"/>
      <c r="AH104" s="273"/>
      <c r="AI104" s="363" t="str">
        <f>IF(OR(BASE_DATOS[[#This Row],[Hr.]]="",BASE_DATOS[[#This Row],[Hr. Actual]]=""),"",BASE_DATOS[[#This Row],[Hr. Actual]]-BASE_DATOS[[#This Row],[Hr.]]+BASE_DATOS[[#This Row],[Horas Acumuladas]])</f>
        <v/>
      </c>
      <c r="AJ104" s="364" t="str">
        <f>IFERROR(BASE_DATOS[[#This Row],[Precio US$]]/BASE_DATOS[[#This Row],[Horas Rodadas]],"")</f>
        <v/>
      </c>
      <c r="AK104" s="365" t="str">
        <f>IFERROR(BASE_DATOS[[#This Row],[Horas Rodadas]]/(BASE_DATOS[[#This Row],[NSK Original]]-BASE_DATOS[[#This Row],[NSK]]),"")</f>
        <v/>
      </c>
      <c r="AL10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04" s="366" t="str">
        <f>IFERROR(BASE_DATOS[[#This Row],[Precio US$]]/BASE_DATOS[[#This Row],[Horas Proy.]],"")</f>
        <v/>
      </c>
      <c r="AN104" s="176" t="str">
        <f>IF(OR(BASE_DATOS[[#This Row],[Km.]]="",BASE_DATOS[[#This Row],[Km. Actual]]=""),"",BASE_DATOS[[#This Row],[Km. Actual]]-BASE_DATOS[[#This Row],[Km.]]+BASE_DATOS[[#This Row],[Kilómetros Acumulados]])</f>
        <v/>
      </c>
      <c r="AO104" s="177" t="str">
        <f>IFERROR(BASE_DATOS[[#This Row],[Precio US$]]/BASE_DATOS[[#This Row],[Kilómetros Rodados]],"")</f>
        <v/>
      </c>
      <c r="AP104" s="176" t="str">
        <f>IFERROR(BASE_DATOS[[#This Row],[Kilómetros Rodados]]/(BASE_DATOS[[#This Row],[NSK Original]]-BASE_DATOS[[#This Row],[NSK]]),"")</f>
        <v/>
      </c>
      <c r="AQ10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04" s="177" t="str">
        <f>IFERROR(BASE_DATOS[[#This Row],[Precio US$]]/BASE_DATOS[[#This Row],[Kilómetros Proy.]],"")</f>
        <v/>
      </c>
      <c r="AS104" s="167" t="s">
        <v>62</v>
      </c>
      <c r="AT104" s="167"/>
      <c r="AU104" s="167"/>
      <c r="AV104" s="167"/>
      <c r="AW104" s="179"/>
      <c r="AX104" s="179"/>
      <c r="AY104" s="179" t="str">
        <f>CONCATENATE(BASE_DATOS[[#This Row],[Código_U]]&amp;BASE_DATOS[[#This Row],[Pos.]]&amp;BASE_DATOS[[#This Row],[Situación Actual]])</f>
        <v>SR-1165Rodando</v>
      </c>
    </row>
    <row r="105" spans="1:51" ht="12" x14ac:dyDescent="0.25">
      <c r="A105" s="227" t="s">
        <v>127</v>
      </c>
      <c r="B105" s="217" t="s">
        <v>128</v>
      </c>
      <c r="C105" s="228" t="s">
        <v>295</v>
      </c>
      <c r="D105" s="229" t="s">
        <v>87</v>
      </c>
      <c r="E105" s="255"/>
      <c r="F105" s="256" t="s">
        <v>97</v>
      </c>
      <c r="G105" s="256" t="s">
        <v>269</v>
      </c>
      <c r="H105" s="257" t="str">
        <f>IF(BASE_DATOS[[#This Row],[N-R]]="N",BASE_DATOS[[#This Row],[Diseño]],"Reencauche")</f>
        <v>AGC28</v>
      </c>
      <c r="I105" s="256" t="s">
        <v>270</v>
      </c>
      <c r="J105" s="243" t="s">
        <v>72</v>
      </c>
      <c r="K105" s="258">
        <v>16.5</v>
      </c>
      <c r="L105" s="256">
        <v>110</v>
      </c>
      <c r="M105" s="259"/>
      <c r="N105" s="260"/>
      <c r="O105" s="277"/>
      <c r="P105" s="278"/>
      <c r="Q105" s="279"/>
      <c r="R105" s="309" t="s">
        <v>103</v>
      </c>
      <c r="S105" s="310">
        <v>45384</v>
      </c>
      <c r="T105" s="313"/>
      <c r="U105" s="279"/>
      <c r="V105" s="227">
        <v>10</v>
      </c>
      <c r="W105" s="281">
        <v>9</v>
      </c>
      <c r="X105" s="282">
        <v>10</v>
      </c>
      <c r="Y105" s="293">
        <f t="shared" si="4"/>
        <v>9</v>
      </c>
      <c r="Z105" s="175" t="s">
        <v>85</v>
      </c>
      <c r="AA105" s="342">
        <f>IFERROR(BASE_DATOS[[#This Row],[NSK Original]]-BASE_DATOS[[#This Row],[NSK]]," ")</f>
        <v>7.5</v>
      </c>
      <c r="AB105" s="343">
        <f>'NSK-TRACTO'!$A$2</f>
        <v>6</v>
      </c>
      <c r="AC105" s="343">
        <f>IF(BASE_DATOS[[#This Row],[NSK]]&gt;=BASE_DATOS[[#This Row],[NSK Reen]],BASE_DATOS[[#This Row],[NSK Reen]],BASE_DATOS[[#This Row],[NSK]])</f>
        <v>6</v>
      </c>
      <c r="AD105" s="344">
        <f>IFERROR(100%-(BASE_DATOS[[#This Row],[NSK Reen]]/BASE_DATOS[[#This Row],[NSK Original]]),"")</f>
        <v>0.63636363636363635</v>
      </c>
      <c r="AE105" s="344">
        <f>IFERROR(100%-BASE_DATOS[[#This Row],[NSK]]/BASE_DATOS[[#This Row],[NSK Original]],"")</f>
        <v>0.45454545454545459</v>
      </c>
      <c r="AF105" s="344">
        <f>IFERROR(BASE_DATOS[[#This Row],[% Max Des.]]-BASE_DATOS[[#This Row],[% Des]],"")</f>
        <v>0.18181818181818177</v>
      </c>
      <c r="AG105" s="287"/>
      <c r="AH105" s="273"/>
      <c r="AI105" s="363" t="str">
        <f>IF(OR(BASE_DATOS[[#This Row],[Hr.]]="",BASE_DATOS[[#This Row],[Hr. Actual]]=""),"",BASE_DATOS[[#This Row],[Hr. Actual]]-BASE_DATOS[[#This Row],[Hr.]]+BASE_DATOS[[#This Row],[Horas Acumuladas]])</f>
        <v/>
      </c>
      <c r="AJ105" s="364" t="str">
        <f>IFERROR(BASE_DATOS[[#This Row],[Precio US$]]/BASE_DATOS[[#This Row],[Horas Rodadas]],"")</f>
        <v/>
      </c>
      <c r="AK105" s="365" t="str">
        <f>IFERROR(BASE_DATOS[[#This Row],[Horas Rodadas]]/(BASE_DATOS[[#This Row],[NSK Original]]-BASE_DATOS[[#This Row],[NSK]]),"")</f>
        <v/>
      </c>
      <c r="AL10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05" s="366" t="str">
        <f>IFERROR(BASE_DATOS[[#This Row],[Precio US$]]/BASE_DATOS[[#This Row],[Horas Proy.]],"")</f>
        <v/>
      </c>
      <c r="AN105" s="176" t="str">
        <f>IF(OR(BASE_DATOS[[#This Row],[Km.]]="",BASE_DATOS[[#This Row],[Km. Actual]]=""),"",BASE_DATOS[[#This Row],[Km. Actual]]-BASE_DATOS[[#This Row],[Km.]]+BASE_DATOS[[#This Row],[Kilómetros Acumulados]])</f>
        <v/>
      </c>
      <c r="AO105" s="177" t="str">
        <f>IFERROR(BASE_DATOS[[#This Row],[Precio US$]]/BASE_DATOS[[#This Row],[Kilómetros Rodados]],"")</f>
        <v/>
      </c>
      <c r="AP105" s="176" t="str">
        <f>IFERROR(BASE_DATOS[[#This Row],[Kilómetros Rodados]]/(BASE_DATOS[[#This Row],[NSK Original]]-BASE_DATOS[[#This Row],[NSK]]),"")</f>
        <v/>
      </c>
      <c r="AQ10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05" s="177" t="str">
        <f>IFERROR(BASE_DATOS[[#This Row],[Precio US$]]/BASE_DATOS[[#This Row],[Kilómetros Proy.]],"")</f>
        <v/>
      </c>
      <c r="AS105" s="167" t="s">
        <v>62</v>
      </c>
      <c r="AT105" s="167"/>
      <c r="AU105" s="167"/>
      <c r="AV105" s="167"/>
      <c r="AW105" s="179"/>
      <c r="AX105" s="179"/>
      <c r="AY105" s="179" t="str">
        <f>CONCATENATE(BASE_DATOS[[#This Row],[Código_U]]&amp;BASE_DATOS[[#This Row],[Pos.]]&amp;BASE_DATOS[[#This Row],[Situación Actual]])</f>
        <v>SR-1166Rodando</v>
      </c>
    </row>
    <row r="106" spans="1:51" ht="12" x14ac:dyDescent="0.25">
      <c r="A106" s="227" t="s">
        <v>127</v>
      </c>
      <c r="B106" s="217" t="s">
        <v>128</v>
      </c>
      <c r="C106" s="228" t="s">
        <v>295</v>
      </c>
      <c r="D106" s="229" t="s">
        <v>384</v>
      </c>
      <c r="E106" s="248" t="s">
        <v>382</v>
      </c>
      <c r="F106" s="256" t="s">
        <v>71</v>
      </c>
      <c r="G106" s="256" t="s">
        <v>269</v>
      </c>
      <c r="H106" s="257" t="str">
        <f>IF(BASE_DATOS[[#This Row],[N-R]]="N",BASE_DATOS[[#This Row],[Diseño]],"Reencauche")</f>
        <v>OMNITRAC MST2</v>
      </c>
      <c r="I106" s="256" t="s">
        <v>281</v>
      </c>
      <c r="J106" s="243" t="s">
        <v>72</v>
      </c>
      <c r="K106" s="258">
        <v>15.6</v>
      </c>
      <c r="L106" s="256">
        <v>110</v>
      </c>
      <c r="M106" s="259"/>
      <c r="N106" s="260"/>
      <c r="O106" s="277"/>
      <c r="P106" s="278"/>
      <c r="Q106" s="279"/>
      <c r="R106" s="304" t="s">
        <v>509</v>
      </c>
      <c r="S106" s="310">
        <v>45384</v>
      </c>
      <c r="T106" s="313"/>
      <c r="U106" s="279"/>
      <c r="V106" s="227">
        <v>7</v>
      </c>
      <c r="W106" s="281">
        <v>7</v>
      </c>
      <c r="X106" s="282">
        <v>7</v>
      </c>
      <c r="Y106" s="293">
        <f t="shared" si="4"/>
        <v>7</v>
      </c>
      <c r="Z106" s="175" t="s">
        <v>85</v>
      </c>
      <c r="AA106" s="342">
        <f>IFERROR(BASE_DATOS[[#This Row],[NSK Original]]-BASE_DATOS[[#This Row],[NSK]]," ")</f>
        <v>8.6</v>
      </c>
      <c r="AB106" s="343">
        <f>'NSK-TRACTO'!$A$2</f>
        <v>6</v>
      </c>
      <c r="AC106" s="343">
        <f>IF(BASE_DATOS[[#This Row],[NSK]]&gt;=BASE_DATOS[[#This Row],[NSK Reen]],BASE_DATOS[[#This Row],[NSK Reen]],BASE_DATOS[[#This Row],[NSK]])</f>
        <v>6</v>
      </c>
      <c r="AD106" s="344">
        <f>IFERROR(100%-(BASE_DATOS[[#This Row],[NSK Reen]]/BASE_DATOS[[#This Row],[NSK Original]]),"")</f>
        <v>0.61538461538461542</v>
      </c>
      <c r="AE106" s="344">
        <f>IFERROR(100%-BASE_DATOS[[#This Row],[NSK]]/BASE_DATOS[[#This Row],[NSK Original]],"")</f>
        <v>0.55128205128205132</v>
      </c>
      <c r="AF106" s="344">
        <f>IFERROR(BASE_DATOS[[#This Row],[% Max Des.]]-BASE_DATOS[[#This Row],[% Des]],"")</f>
        <v>6.4102564102564097E-2</v>
      </c>
      <c r="AG106" s="287"/>
      <c r="AH106" s="273"/>
      <c r="AI106" s="363" t="str">
        <f>IF(OR(BASE_DATOS[[#This Row],[Hr.]]="",BASE_DATOS[[#This Row],[Hr. Actual]]=""),"",BASE_DATOS[[#This Row],[Hr. Actual]]-BASE_DATOS[[#This Row],[Hr.]]+BASE_DATOS[[#This Row],[Horas Acumuladas]])</f>
        <v/>
      </c>
      <c r="AJ106" s="364" t="str">
        <f>IFERROR(BASE_DATOS[[#This Row],[Precio US$]]/BASE_DATOS[[#This Row],[Horas Rodadas]],"")</f>
        <v/>
      </c>
      <c r="AK106" s="365" t="str">
        <f>IFERROR(BASE_DATOS[[#This Row],[Horas Rodadas]]/(BASE_DATOS[[#This Row],[NSK Original]]-BASE_DATOS[[#This Row],[NSK]]),"")</f>
        <v/>
      </c>
      <c r="AL10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06" s="366" t="str">
        <f>IFERROR(BASE_DATOS[[#This Row],[Precio US$]]/BASE_DATOS[[#This Row],[Horas Proy.]],"")</f>
        <v/>
      </c>
      <c r="AN106" s="176" t="str">
        <f>IF(OR(BASE_DATOS[[#This Row],[Km.]]="",BASE_DATOS[[#This Row],[Km. Actual]]=""),"",BASE_DATOS[[#This Row],[Km. Actual]]-BASE_DATOS[[#This Row],[Km.]]+BASE_DATOS[[#This Row],[Kilómetros Acumulados]])</f>
        <v/>
      </c>
      <c r="AO106" s="177" t="str">
        <f>IFERROR(BASE_DATOS[[#This Row],[Precio US$]]/BASE_DATOS[[#This Row],[Kilómetros Rodados]],"")</f>
        <v/>
      </c>
      <c r="AP106" s="176" t="str">
        <f>IFERROR(BASE_DATOS[[#This Row],[Kilómetros Rodados]]/(BASE_DATOS[[#This Row],[NSK Original]]-BASE_DATOS[[#This Row],[NSK]]),"")</f>
        <v/>
      </c>
      <c r="AQ10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06" s="177" t="str">
        <f>IFERROR(BASE_DATOS[[#This Row],[Precio US$]]/BASE_DATOS[[#This Row],[Kilómetros Proy.]],"")</f>
        <v/>
      </c>
      <c r="AS106" s="167" t="s">
        <v>62</v>
      </c>
      <c r="AT106" s="167"/>
      <c r="AU106" s="167"/>
      <c r="AV106" s="167"/>
      <c r="AW106" s="179"/>
      <c r="AX106" s="179"/>
      <c r="AY106" s="179" t="str">
        <f>CONCATENATE(BASE_DATOS[[#This Row],[Código_U]]&amp;BASE_DATOS[[#This Row],[Pos.]]&amp;BASE_DATOS[[#This Row],[Situación Actual]])</f>
        <v>SR-116RERodando</v>
      </c>
    </row>
    <row r="107" spans="1:51" ht="12" x14ac:dyDescent="0.25">
      <c r="A107" s="227" t="s">
        <v>127</v>
      </c>
      <c r="B107" s="217" t="s">
        <v>128</v>
      </c>
      <c r="C107" s="228" t="s">
        <v>295</v>
      </c>
      <c r="D107" s="229" t="s">
        <v>108</v>
      </c>
      <c r="E107" s="248" t="s">
        <v>383</v>
      </c>
      <c r="F107" s="256" t="s">
        <v>71</v>
      </c>
      <c r="G107" s="256" t="s">
        <v>271</v>
      </c>
      <c r="H107" s="257" t="str">
        <f>IF(BASE_DATOS[[#This Row],[N-R]]="N",BASE_DATOS[[#This Row],[Diseño]],"Reencauche")</f>
        <v>KMAX EXTREME</v>
      </c>
      <c r="I107" s="256" t="s">
        <v>272</v>
      </c>
      <c r="J107" s="243" t="s">
        <v>72</v>
      </c>
      <c r="K107" s="258">
        <v>17.5</v>
      </c>
      <c r="L107" s="256">
        <v>100</v>
      </c>
      <c r="M107" s="259"/>
      <c r="N107" s="260"/>
      <c r="O107" s="277"/>
      <c r="P107" s="278"/>
      <c r="Q107" s="279"/>
      <c r="R107" s="304" t="s">
        <v>108</v>
      </c>
      <c r="S107" s="310">
        <v>45384</v>
      </c>
      <c r="T107" s="313"/>
      <c r="U107" s="279"/>
      <c r="V107" s="227">
        <v>10</v>
      </c>
      <c r="W107" s="281">
        <v>10</v>
      </c>
      <c r="X107" s="282">
        <v>9</v>
      </c>
      <c r="Y107" s="293">
        <f t="shared" si="4"/>
        <v>9</v>
      </c>
      <c r="Z107" s="175" t="s">
        <v>85</v>
      </c>
      <c r="AA107" s="342">
        <f>IFERROR(BASE_DATOS[[#This Row],[NSK Original]]-BASE_DATOS[[#This Row],[NSK]]," ")</f>
        <v>8.5</v>
      </c>
      <c r="AB107" s="343">
        <f>'NSK-TRACTO'!$A$2</f>
        <v>6</v>
      </c>
      <c r="AC107" s="343">
        <f>IF(BASE_DATOS[[#This Row],[NSK]]&gt;=BASE_DATOS[[#This Row],[NSK Reen]],BASE_DATOS[[#This Row],[NSK Reen]],BASE_DATOS[[#This Row],[NSK]])</f>
        <v>6</v>
      </c>
      <c r="AD107" s="344">
        <f>IFERROR(100%-(BASE_DATOS[[#This Row],[NSK Reen]]/BASE_DATOS[[#This Row],[NSK Original]]),"")</f>
        <v>0.65714285714285714</v>
      </c>
      <c r="AE107" s="344">
        <f>IFERROR(100%-BASE_DATOS[[#This Row],[NSK]]/BASE_DATOS[[#This Row],[NSK Original]],"")</f>
        <v>0.48571428571428577</v>
      </c>
      <c r="AF107" s="344">
        <f>IFERROR(BASE_DATOS[[#This Row],[% Max Des.]]-BASE_DATOS[[#This Row],[% Des]],"")</f>
        <v>0.17142857142857137</v>
      </c>
      <c r="AG107" s="287"/>
      <c r="AH107" s="273"/>
      <c r="AI107" s="363" t="str">
        <f>IF(OR(BASE_DATOS[[#This Row],[Hr.]]="",BASE_DATOS[[#This Row],[Hr. Actual]]=""),"",BASE_DATOS[[#This Row],[Hr. Actual]]-BASE_DATOS[[#This Row],[Hr.]]+BASE_DATOS[[#This Row],[Horas Acumuladas]])</f>
        <v/>
      </c>
      <c r="AJ107" s="364" t="str">
        <f>IFERROR(BASE_DATOS[[#This Row],[Precio US$]]/BASE_DATOS[[#This Row],[Horas Rodadas]],"")</f>
        <v/>
      </c>
      <c r="AK107" s="365" t="str">
        <f>IFERROR(BASE_DATOS[[#This Row],[Horas Rodadas]]/(BASE_DATOS[[#This Row],[NSK Original]]-BASE_DATOS[[#This Row],[NSK]]),"")</f>
        <v/>
      </c>
      <c r="AL10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07" s="366" t="str">
        <f>IFERROR(BASE_DATOS[[#This Row],[Precio US$]]/BASE_DATOS[[#This Row],[Horas Proy.]],"")</f>
        <v/>
      </c>
      <c r="AN107" s="176" t="str">
        <f>IF(OR(BASE_DATOS[[#This Row],[Km.]]="",BASE_DATOS[[#This Row],[Km. Actual]]=""),"",BASE_DATOS[[#This Row],[Km. Actual]]-BASE_DATOS[[#This Row],[Km.]]+BASE_DATOS[[#This Row],[Kilómetros Acumulados]])</f>
        <v/>
      </c>
      <c r="AO107" s="177" t="str">
        <f>IFERROR(BASE_DATOS[[#This Row],[Precio US$]]/BASE_DATOS[[#This Row],[Kilómetros Rodados]],"")</f>
        <v/>
      </c>
      <c r="AP107" s="176" t="str">
        <f>IFERROR(BASE_DATOS[[#This Row],[Kilómetros Rodados]]/(BASE_DATOS[[#This Row],[NSK Original]]-BASE_DATOS[[#This Row],[NSK]]),"")</f>
        <v/>
      </c>
      <c r="AQ10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07" s="177" t="str">
        <f>IFERROR(BASE_DATOS[[#This Row],[Precio US$]]/BASE_DATOS[[#This Row],[Kilómetros Proy.]],"")</f>
        <v/>
      </c>
      <c r="AS107" s="167" t="s">
        <v>62</v>
      </c>
      <c r="AT107" s="167"/>
      <c r="AU107" s="167"/>
      <c r="AV107" s="167"/>
      <c r="AW107" s="179"/>
      <c r="AX107" s="179"/>
      <c r="AY107" s="179" t="str">
        <f>CONCATENATE(BASE_DATOS[[#This Row],[Código_U]]&amp;BASE_DATOS[[#This Row],[Pos.]]&amp;BASE_DATOS[[#This Row],[Situación Actual]])</f>
        <v>SR-116RTRodando</v>
      </c>
    </row>
    <row r="108" spans="1:51" ht="12" x14ac:dyDescent="0.25">
      <c r="A108" s="224" t="s">
        <v>129</v>
      </c>
      <c r="B108" s="213" t="s">
        <v>130</v>
      </c>
      <c r="C108" s="225" t="s">
        <v>295</v>
      </c>
      <c r="D108" s="226" t="s">
        <v>87</v>
      </c>
      <c r="E108" s="249"/>
      <c r="F108" s="250" t="s">
        <v>71</v>
      </c>
      <c r="G108" s="250" t="s">
        <v>269</v>
      </c>
      <c r="H108" s="251" t="str">
        <f>IF(BASE_DATOS[[#This Row],[N-R]]="N",BASE_DATOS[[#This Row],[Diseño]],"Reencauche")</f>
        <v>Reencauche</v>
      </c>
      <c r="I108" s="250" t="s">
        <v>275</v>
      </c>
      <c r="J108" s="235" t="s">
        <v>82</v>
      </c>
      <c r="K108" s="252">
        <v>19</v>
      </c>
      <c r="L108" s="250">
        <v>110</v>
      </c>
      <c r="M108" s="253"/>
      <c r="N108" s="254"/>
      <c r="O108" s="274"/>
      <c r="P108" s="275"/>
      <c r="Q108" s="276"/>
      <c r="R108" s="305" t="s">
        <v>98</v>
      </c>
      <c r="S108" s="306">
        <v>45384</v>
      </c>
      <c r="T108" s="314"/>
      <c r="U108" s="276"/>
      <c r="V108" s="224">
        <v>18</v>
      </c>
      <c r="W108" s="325">
        <v>18</v>
      </c>
      <c r="X108" s="326">
        <v>18</v>
      </c>
      <c r="Y108" s="292">
        <f t="shared" si="4"/>
        <v>18</v>
      </c>
      <c r="Z108" s="194" t="s">
        <v>85</v>
      </c>
      <c r="AA108" s="339">
        <f>IFERROR(BASE_DATOS[[#This Row],[NSK Original]]-BASE_DATOS[[#This Row],[NSK]]," ")</f>
        <v>1</v>
      </c>
      <c r="AB108" s="340">
        <f>'NSK-TRACTO'!$A$2</f>
        <v>6</v>
      </c>
      <c r="AC108" s="340">
        <f>IF(BASE_DATOS[[#This Row],[NSK]]&gt;=BASE_DATOS[[#This Row],[NSK Reen]],BASE_DATOS[[#This Row],[NSK Reen]],BASE_DATOS[[#This Row],[NSK]])</f>
        <v>6</v>
      </c>
      <c r="AD108" s="341">
        <f>IFERROR(100%-(BASE_DATOS[[#This Row],[NSK Reen]]/BASE_DATOS[[#This Row],[NSK Original]]),"")</f>
        <v>0.68421052631578949</v>
      </c>
      <c r="AE108" s="341">
        <f>IFERROR(100%-BASE_DATOS[[#This Row],[NSK]]/BASE_DATOS[[#This Row],[NSK Original]],"")</f>
        <v>5.2631578947368474E-2</v>
      </c>
      <c r="AF108" s="341">
        <f>IFERROR(BASE_DATOS[[#This Row],[% Max Des.]]-BASE_DATOS[[#This Row],[% Des]],"")</f>
        <v>0.63157894736842102</v>
      </c>
      <c r="AG108" s="284"/>
      <c r="AH108" s="335"/>
      <c r="AI108" s="359" t="str">
        <f>IF(OR(BASE_DATOS[[#This Row],[Hr.]]="",BASE_DATOS[[#This Row],[Hr. Actual]]=""),"",BASE_DATOS[[#This Row],[Hr. Actual]]-BASE_DATOS[[#This Row],[Hr.]]+BASE_DATOS[[#This Row],[Horas Acumuladas]])</f>
        <v/>
      </c>
      <c r="AJ108" s="360" t="str">
        <f>IFERROR(BASE_DATOS[[#This Row],[Precio US$]]/BASE_DATOS[[#This Row],[Horas Rodadas]],"")</f>
        <v/>
      </c>
      <c r="AK108" s="361" t="str">
        <f>IFERROR(BASE_DATOS[[#This Row],[Horas Rodadas]]/(BASE_DATOS[[#This Row],[NSK Original]]-BASE_DATOS[[#This Row],[NSK]]),"")</f>
        <v/>
      </c>
      <c r="AL108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08" s="362" t="str">
        <f>IFERROR(BASE_DATOS[[#This Row],[Precio US$]]/BASE_DATOS[[#This Row],[Horas Proy.]],"")</f>
        <v/>
      </c>
      <c r="AN108" s="195" t="str">
        <f>IF(OR(BASE_DATOS[[#This Row],[Km.]]="",BASE_DATOS[[#This Row],[Km. Actual]]=""),"",BASE_DATOS[[#This Row],[Km. Actual]]-BASE_DATOS[[#This Row],[Km.]]+BASE_DATOS[[#This Row],[Kilómetros Acumulados]])</f>
        <v/>
      </c>
      <c r="AO108" s="196" t="str">
        <f>IFERROR(BASE_DATOS[[#This Row],[Precio US$]]/BASE_DATOS[[#This Row],[Kilómetros Rodados]],"")</f>
        <v/>
      </c>
      <c r="AP108" s="195" t="str">
        <f>IFERROR(BASE_DATOS[[#This Row],[Kilómetros Rodados]]/(BASE_DATOS[[#This Row],[NSK Original]]-BASE_DATOS[[#This Row],[NSK]]),"")</f>
        <v/>
      </c>
      <c r="AQ108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08" s="196" t="str">
        <f>IFERROR(BASE_DATOS[[#This Row],[Precio US$]]/BASE_DATOS[[#This Row],[Kilómetros Proy.]],"")</f>
        <v/>
      </c>
      <c r="AS108" s="191" t="s">
        <v>62</v>
      </c>
      <c r="AT108" s="191"/>
      <c r="AU108" s="191"/>
      <c r="AV108" s="191"/>
      <c r="AW108" s="198"/>
      <c r="AX108" s="198"/>
      <c r="AY108" s="198" t="str">
        <f>CONCATENATE(BASE_DATOS[[#This Row],[Código_U]]&amp;BASE_DATOS[[#This Row],[Pos.]]&amp;BASE_DATOS[[#This Row],[Situación Actual]])</f>
        <v>SR-1181Rodando</v>
      </c>
    </row>
    <row r="109" spans="1:51" ht="12" x14ac:dyDescent="0.25">
      <c r="A109" s="227" t="s">
        <v>129</v>
      </c>
      <c r="B109" s="217" t="s">
        <v>130</v>
      </c>
      <c r="C109" s="228" t="s">
        <v>295</v>
      </c>
      <c r="D109" s="229" t="s">
        <v>87</v>
      </c>
      <c r="E109" s="255"/>
      <c r="F109" s="256" t="s">
        <v>71</v>
      </c>
      <c r="G109" s="256" t="s">
        <v>269</v>
      </c>
      <c r="H109" s="257" t="str">
        <f>IF(BASE_DATOS[[#This Row],[N-R]]="N",BASE_DATOS[[#This Row],[Diseño]],"Reencauche")</f>
        <v>Reencauche</v>
      </c>
      <c r="I109" s="256" t="s">
        <v>275</v>
      </c>
      <c r="J109" s="243" t="s">
        <v>82</v>
      </c>
      <c r="K109" s="258">
        <v>19</v>
      </c>
      <c r="L109" s="256">
        <v>110</v>
      </c>
      <c r="M109" s="259"/>
      <c r="N109" s="260"/>
      <c r="O109" s="277"/>
      <c r="P109" s="278"/>
      <c r="Q109" s="279"/>
      <c r="R109" s="309" t="s">
        <v>99</v>
      </c>
      <c r="S109" s="310">
        <v>45384</v>
      </c>
      <c r="T109" s="313"/>
      <c r="U109" s="279"/>
      <c r="V109" s="227">
        <v>18</v>
      </c>
      <c r="W109" s="281">
        <v>19</v>
      </c>
      <c r="X109" s="282">
        <v>18</v>
      </c>
      <c r="Y109" s="293">
        <f t="shared" si="4"/>
        <v>18</v>
      </c>
      <c r="Z109" s="175" t="s">
        <v>85</v>
      </c>
      <c r="AA109" s="342">
        <f>IFERROR(BASE_DATOS[[#This Row],[NSK Original]]-BASE_DATOS[[#This Row],[NSK]]," ")</f>
        <v>1</v>
      </c>
      <c r="AB109" s="343">
        <f>'NSK-TRACTO'!$A$2</f>
        <v>6</v>
      </c>
      <c r="AC109" s="343">
        <f>IF(BASE_DATOS[[#This Row],[NSK]]&gt;=BASE_DATOS[[#This Row],[NSK Reen]],BASE_DATOS[[#This Row],[NSK Reen]],BASE_DATOS[[#This Row],[NSK]])</f>
        <v>6</v>
      </c>
      <c r="AD109" s="344">
        <f>IFERROR(100%-(BASE_DATOS[[#This Row],[NSK Reen]]/BASE_DATOS[[#This Row],[NSK Original]]),"")</f>
        <v>0.68421052631578949</v>
      </c>
      <c r="AE109" s="344">
        <f>IFERROR(100%-BASE_DATOS[[#This Row],[NSK]]/BASE_DATOS[[#This Row],[NSK Original]],"")</f>
        <v>5.2631578947368474E-2</v>
      </c>
      <c r="AF109" s="344">
        <f>IFERROR(BASE_DATOS[[#This Row],[% Max Des.]]-BASE_DATOS[[#This Row],[% Des]],"")</f>
        <v>0.63157894736842102</v>
      </c>
      <c r="AG109" s="287"/>
      <c r="AH109" s="273"/>
      <c r="AI109" s="363" t="str">
        <f>IF(OR(BASE_DATOS[[#This Row],[Hr.]]="",BASE_DATOS[[#This Row],[Hr. Actual]]=""),"",BASE_DATOS[[#This Row],[Hr. Actual]]-BASE_DATOS[[#This Row],[Hr.]]+BASE_DATOS[[#This Row],[Horas Acumuladas]])</f>
        <v/>
      </c>
      <c r="AJ109" s="364" t="str">
        <f>IFERROR(BASE_DATOS[[#This Row],[Precio US$]]/BASE_DATOS[[#This Row],[Horas Rodadas]],"")</f>
        <v/>
      </c>
      <c r="AK109" s="365" t="str">
        <f>IFERROR(BASE_DATOS[[#This Row],[Horas Rodadas]]/(BASE_DATOS[[#This Row],[NSK Original]]-BASE_DATOS[[#This Row],[NSK]]),"")</f>
        <v/>
      </c>
      <c r="AL10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09" s="366" t="str">
        <f>IFERROR(BASE_DATOS[[#This Row],[Precio US$]]/BASE_DATOS[[#This Row],[Horas Proy.]],"")</f>
        <v/>
      </c>
      <c r="AN109" s="176" t="str">
        <f>IF(OR(BASE_DATOS[[#This Row],[Km.]]="",BASE_DATOS[[#This Row],[Km. Actual]]=""),"",BASE_DATOS[[#This Row],[Km. Actual]]-BASE_DATOS[[#This Row],[Km.]]+BASE_DATOS[[#This Row],[Kilómetros Acumulados]])</f>
        <v/>
      </c>
      <c r="AO109" s="177" t="str">
        <f>IFERROR(BASE_DATOS[[#This Row],[Precio US$]]/BASE_DATOS[[#This Row],[Kilómetros Rodados]],"")</f>
        <v/>
      </c>
      <c r="AP109" s="176" t="str">
        <f>IFERROR(BASE_DATOS[[#This Row],[Kilómetros Rodados]]/(BASE_DATOS[[#This Row],[NSK Original]]-BASE_DATOS[[#This Row],[NSK]]),"")</f>
        <v/>
      </c>
      <c r="AQ10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09" s="177" t="str">
        <f>IFERROR(BASE_DATOS[[#This Row],[Precio US$]]/BASE_DATOS[[#This Row],[Kilómetros Proy.]],"")</f>
        <v/>
      </c>
      <c r="AS109" s="167" t="s">
        <v>62</v>
      </c>
      <c r="AT109" s="167"/>
      <c r="AU109" s="167"/>
      <c r="AV109" s="167"/>
      <c r="AW109" s="179"/>
      <c r="AX109" s="179"/>
      <c r="AY109" s="179" t="str">
        <f>CONCATENATE(BASE_DATOS[[#This Row],[Código_U]]&amp;BASE_DATOS[[#This Row],[Pos.]]&amp;BASE_DATOS[[#This Row],[Situación Actual]])</f>
        <v>SR-1182Rodando</v>
      </c>
    </row>
    <row r="110" spans="1:51" ht="12" x14ac:dyDescent="0.25">
      <c r="A110" s="227" t="s">
        <v>129</v>
      </c>
      <c r="B110" s="217" t="s">
        <v>130</v>
      </c>
      <c r="C110" s="228" t="s">
        <v>295</v>
      </c>
      <c r="D110" s="229" t="s">
        <v>87</v>
      </c>
      <c r="E110" s="255"/>
      <c r="F110" s="256" t="s">
        <v>97</v>
      </c>
      <c r="G110" s="256" t="s">
        <v>269</v>
      </c>
      <c r="H110" s="257" t="str">
        <f>IF(BASE_DATOS[[#This Row],[N-R]]="N",BASE_DATOS[[#This Row],[Diseño]],"Reencauche")</f>
        <v>AGC28</v>
      </c>
      <c r="I110" s="256" t="s">
        <v>270</v>
      </c>
      <c r="J110" s="243" t="s">
        <v>72</v>
      </c>
      <c r="K110" s="258">
        <v>16.5</v>
      </c>
      <c r="L110" s="256">
        <v>110</v>
      </c>
      <c r="M110" s="259"/>
      <c r="N110" s="260"/>
      <c r="O110" s="277"/>
      <c r="P110" s="278"/>
      <c r="Q110" s="279"/>
      <c r="R110" s="309" t="s">
        <v>100</v>
      </c>
      <c r="S110" s="310">
        <v>45384</v>
      </c>
      <c r="T110" s="313"/>
      <c r="U110" s="279"/>
      <c r="V110" s="227">
        <v>14</v>
      </c>
      <c r="W110" s="281">
        <v>14</v>
      </c>
      <c r="X110" s="282">
        <v>14</v>
      </c>
      <c r="Y110" s="293">
        <f t="shared" si="4"/>
        <v>14</v>
      </c>
      <c r="Z110" s="175" t="s">
        <v>85</v>
      </c>
      <c r="AA110" s="342">
        <f>IFERROR(BASE_DATOS[[#This Row],[NSK Original]]-BASE_DATOS[[#This Row],[NSK]]," ")</f>
        <v>2.5</v>
      </c>
      <c r="AB110" s="343">
        <f>'NSK-TRACTO'!$A$2</f>
        <v>6</v>
      </c>
      <c r="AC110" s="343">
        <f>IF(BASE_DATOS[[#This Row],[NSK]]&gt;=BASE_DATOS[[#This Row],[NSK Reen]],BASE_DATOS[[#This Row],[NSK Reen]],BASE_DATOS[[#This Row],[NSK]])</f>
        <v>6</v>
      </c>
      <c r="AD110" s="344">
        <f>IFERROR(100%-(BASE_DATOS[[#This Row],[NSK Reen]]/BASE_DATOS[[#This Row],[NSK Original]]),"")</f>
        <v>0.63636363636363635</v>
      </c>
      <c r="AE110" s="344">
        <f>IFERROR(100%-BASE_DATOS[[#This Row],[NSK]]/BASE_DATOS[[#This Row],[NSK Original]],"")</f>
        <v>0.15151515151515149</v>
      </c>
      <c r="AF110" s="344">
        <f>IFERROR(BASE_DATOS[[#This Row],[% Max Des.]]-BASE_DATOS[[#This Row],[% Des]],"")</f>
        <v>0.48484848484848486</v>
      </c>
      <c r="AG110" s="287"/>
      <c r="AH110" s="273"/>
      <c r="AI110" s="363" t="str">
        <f>IF(OR(BASE_DATOS[[#This Row],[Hr.]]="",BASE_DATOS[[#This Row],[Hr. Actual]]=""),"",BASE_DATOS[[#This Row],[Hr. Actual]]-BASE_DATOS[[#This Row],[Hr.]]+BASE_DATOS[[#This Row],[Horas Acumuladas]])</f>
        <v/>
      </c>
      <c r="AJ110" s="364" t="str">
        <f>IFERROR(BASE_DATOS[[#This Row],[Precio US$]]/BASE_DATOS[[#This Row],[Horas Rodadas]],"")</f>
        <v/>
      </c>
      <c r="AK110" s="365" t="str">
        <f>IFERROR(BASE_DATOS[[#This Row],[Horas Rodadas]]/(BASE_DATOS[[#This Row],[NSK Original]]-BASE_DATOS[[#This Row],[NSK]]),"")</f>
        <v/>
      </c>
      <c r="AL11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10" s="366" t="str">
        <f>IFERROR(BASE_DATOS[[#This Row],[Precio US$]]/BASE_DATOS[[#This Row],[Horas Proy.]],"")</f>
        <v/>
      </c>
      <c r="AN110" s="176" t="str">
        <f>IF(OR(BASE_DATOS[[#This Row],[Km.]]="",BASE_DATOS[[#This Row],[Km. Actual]]=""),"",BASE_DATOS[[#This Row],[Km. Actual]]-BASE_DATOS[[#This Row],[Km.]]+BASE_DATOS[[#This Row],[Kilómetros Acumulados]])</f>
        <v/>
      </c>
      <c r="AO110" s="177" t="str">
        <f>IFERROR(BASE_DATOS[[#This Row],[Precio US$]]/BASE_DATOS[[#This Row],[Kilómetros Rodados]],"")</f>
        <v/>
      </c>
      <c r="AP110" s="176" t="str">
        <f>IFERROR(BASE_DATOS[[#This Row],[Kilómetros Rodados]]/(BASE_DATOS[[#This Row],[NSK Original]]-BASE_DATOS[[#This Row],[NSK]]),"")</f>
        <v/>
      </c>
      <c r="AQ11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10" s="177" t="str">
        <f>IFERROR(BASE_DATOS[[#This Row],[Precio US$]]/BASE_DATOS[[#This Row],[Kilómetros Proy.]],"")</f>
        <v/>
      </c>
      <c r="AS110" s="167" t="s">
        <v>62</v>
      </c>
      <c r="AT110" s="167"/>
      <c r="AU110" s="167"/>
      <c r="AV110" s="167"/>
      <c r="AW110" s="179"/>
      <c r="AX110" s="179"/>
      <c r="AY110" s="179" t="str">
        <f>CONCATENATE(BASE_DATOS[[#This Row],[Código_U]]&amp;BASE_DATOS[[#This Row],[Pos.]]&amp;BASE_DATOS[[#This Row],[Situación Actual]])</f>
        <v>SR-1183Rodando</v>
      </c>
    </row>
    <row r="111" spans="1:51" ht="12" x14ac:dyDescent="0.25">
      <c r="A111" s="227" t="s">
        <v>129</v>
      </c>
      <c r="B111" s="217" t="s">
        <v>130</v>
      </c>
      <c r="C111" s="228" t="s">
        <v>295</v>
      </c>
      <c r="D111" s="229" t="s">
        <v>87</v>
      </c>
      <c r="E111" s="255"/>
      <c r="F111" s="256" t="s">
        <v>97</v>
      </c>
      <c r="G111" s="256" t="s">
        <v>269</v>
      </c>
      <c r="H111" s="257" t="str">
        <f>IF(BASE_DATOS[[#This Row],[N-R]]="N",BASE_DATOS[[#This Row],[Diseño]],"Reencauche")</f>
        <v>AGC28</v>
      </c>
      <c r="I111" s="256" t="s">
        <v>270</v>
      </c>
      <c r="J111" s="243" t="s">
        <v>72</v>
      </c>
      <c r="K111" s="258">
        <v>16.5</v>
      </c>
      <c r="L111" s="256">
        <v>110</v>
      </c>
      <c r="M111" s="259"/>
      <c r="N111" s="260"/>
      <c r="O111" s="277"/>
      <c r="P111" s="278"/>
      <c r="Q111" s="279"/>
      <c r="R111" s="309" t="s">
        <v>101</v>
      </c>
      <c r="S111" s="310">
        <v>45384</v>
      </c>
      <c r="T111" s="313"/>
      <c r="U111" s="279"/>
      <c r="V111" s="227">
        <v>14</v>
      </c>
      <c r="W111" s="281">
        <v>14</v>
      </c>
      <c r="X111" s="282">
        <v>14</v>
      </c>
      <c r="Y111" s="293">
        <f t="shared" si="4"/>
        <v>14</v>
      </c>
      <c r="Z111" s="175" t="s">
        <v>85</v>
      </c>
      <c r="AA111" s="342">
        <f>IFERROR(BASE_DATOS[[#This Row],[NSK Original]]-BASE_DATOS[[#This Row],[NSK]]," ")</f>
        <v>2.5</v>
      </c>
      <c r="AB111" s="343">
        <f>'NSK-TRACTO'!$A$2</f>
        <v>6</v>
      </c>
      <c r="AC111" s="343">
        <f>IF(BASE_DATOS[[#This Row],[NSK]]&gt;=BASE_DATOS[[#This Row],[NSK Reen]],BASE_DATOS[[#This Row],[NSK Reen]],BASE_DATOS[[#This Row],[NSK]])</f>
        <v>6</v>
      </c>
      <c r="AD111" s="344">
        <f>IFERROR(100%-(BASE_DATOS[[#This Row],[NSK Reen]]/BASE_DATOS[[#This Row],[NSK Original]]),"")</f>
        <v>0.63636363636363635</v>
      </c>
      <c r="AE111" s="344">
        <f>IFERROR(100%-BASE_DATOS[[#This Row],[NSK]]/BASE_DATOS[[#This Row],[NSK Original]],"")</f>
        <v>0.15151515151515149</v>
      </c>
      <c r="AF111" s="344">
        <f>IFERROR(BASE_DATOS[[#This Row],[% Max Des.]]-BASE_DATOS[[#This Row],[% Des]],"")</f>
        <v>0.48484848484848486</v>
      </c>
      <c r="AG111" s="287"/>
      <c r="AH111" s="273"/>
      <c r="AI111" s="363" t="str">
        <f>IF(OR(BASE_DATOS[[#This Row],[Hr.]]="",BASE_DATOS[[#This Row],[Hr. Actual]]=""),"",BASE_DATOS[[#This Row],[Hr. Actual]]-BASE_DATOS[[#This Row],[Hr.]]+BASE_DATOS[[#This Row],[Horas Acumuladas]])</f>
        <v/>
      </c>
      <c r="AJ111" s="364" t="str">
        <f>IFERROR(BASE_DATOS[[#This Row],[Precio US$]]/BASE_DATOS[[#This Row],[Horas Rodadas]],"")</f>
        <v/>
      </c>
      <c r="AK111" s="365" t="str">
        <f>IFERROR(BASE_DATOS[[#This Row],[Horas Rodadas]]/(BASE_DATOS[[#This Row],[NSK Original]]-BASE_DATOS[[#This Row],[NSK]]),"")</f>
        <v/>
      </c>
      <c r="AL11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11" s="366" t="str">
        <f>IFERROR(BASE_DATOS[[#This Row],[Precio US$]]/BASE_DATOS[[#This Row],[Horas Proy.]],"")</f>
        <v/>
      </c>
      <c r="AN111" s="176" t="str">
        <f>IF(OR(BASE_DATOS[[#This Row],[Km.]]="",BASE_DATOS[[#This Row],[Km. Actual]]=""),"",BASE_DATOS[[#This Row],[Km. Actual]]-BASE_DATOS[[#This Row],[Km.]]+BASE_DATOS[[#This Row],[Kilómetros Acumulados]])</f>
        <v/>
      </c>
      <c r="AO111" s="177" t="str">
        <f>IFERROR(BASE_DATOS[[#This Row],[Precio US$]]/BASE_DATOS[[#This Row],[Kilómetros Rodados]],"")</f>
        <v/>
      </c>
      <c r="AP111" s="176" t="str">
        <f>IFERROR(BASE_DATOS[[#This Row],[Kilómetros Rodados]]/(BASE_DATOS[[#This Row],[NSK Original]]-BASE_DATOS[[#This Row],[NSK]]),"")</f>
        <v/>
      </c>
      <c r="AQ11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11" s="177" t="str">
        <f>IFERROR(BASE_DATOS[[#This Row],[Precio US$]]/BASE_DATOS[[#This Row],[Kilómetros Proy.]],"")</f>
        <v/>
      </c>
      <c r="AS111" s="167" t="s">
        <v>62</v>
      </c>
      <c r="AT111" s="167"/>
      <c r="AU111" s="167"/>
      <c r="AV111" s="167"/>
      <c r="AW111" s="179"/>
      <c r="AX111" s="179"/>
      <c r="AY111" s="179" t="str">
        <f>CONCATENATE(BASE_DATOS[[#This Row],[Código_U]]&amp;BASE_DATOS[[#This Row],[Pos.]]&amp;BASE_DATOS[[#This Row],[Situación Actual]])</f>
        <v>SR-1184Rodando</v>
      </c>
    </row>
    <row r="112" spans="1:51" ht="12" x14ac:dyDescent="0.25">
      <c r="A112" s="227" t="s">
        <v>129</v>
      </c>
      <c r="B112" s="217" t="s">
        <v>130</v>
      </c>
      <c r="C112" s="228" t="s">
        <v>295</v>
      </c>
      <c r="D112" s="229" t="s">
        <v>87</v>
      </c>
      <c r="E112" s="255"/>
      <c r="F112" s="256" t="s">
        <v>97</v>
      </c>
      <c r="G112" s="256" t="s">
        <v>269</v>
      </c>
      <c r="H112" s="257" t="str">
        <f>IF(BASE_DATOS[[#This Row],[N-R]]="N",BASE_DATOS[[#This Row],[Diseño]],"Reencauche")</f>
        <v>AGC28</v>
      </c>
      <c r="I112" s="256" t="s">
        <v>270</v>
      </c>
      <c r="J112" s="243" t="s">
        <v>72</v>
      </c>
      <c r="K112" s="258">
        <v>16.5</v>
      </c>
      <c r="L112" s="256">
        <v>110</v>
      </c>
      <c r="M112" s="259"/>
      <c r="N112" s="260"/>
      <c r="O112" s="277"/>
      <c r="P112" s="278"/>
      <c r="Q112" s="279"/>
      <c r="R112" s="309" t="s">
        <v>102</v>
      </c>
      <c r="S112" s="310">
        <v>45384</v>
      </c>
      <c r="T112" s="313"/>
      <c r="U112" s="279"/>
      <c r="V112" s="227">
        <v>11</v>
      </c>
      <c r="W112" s="281">
        <v>10</v>
      </c>
      <c r="X112" s="282">
        <v>11</v>
      </c>
      <c r="Y112" s="293">
        <f t="shared" si="4"/>
        <v>10</v>
      </c>
      <c r="Z112" s="175" t="s">
        <v>85</v>
      </c>
      <c r="AA112" s="342">
        <f>IFERROR(BASE_DATOS[[#This Row],[NSK Original]]-BASE_DATOS[[#This Row],[NSK]]," ")</f>
        <v>6.5</v>
      </c>
      <c r="AB112" s="343">
        <f>'NSK-TRACTO'!$A$2</f>
        <v>6</v>
      </c>
      <c r="AC112" s="343">
        <f>IF(BASE_DATOS[[#This Row],[NSK]]&gt;=BASE_DATOS[[#This Row],[NSK Reen]],BASE_DATOS[[#This Row],[NSK Reen]],BASE_DATOS[[#This Row],[NSK]])</f>
        <v>6</v>
      </c>
      <c r="AD112" s="344">
        <f>IFERROR(100%-(BASE_DATOS[[#This Row],[NSK Reen]]/BASE_DATOS[[#This Row],[NSK Original]]),"")</f>
        <v>0.63636363636363635</v>
      </c>
      <c r="AE112" s="344">
        <f>IFERROR(100%-BASE_DATOS[[#This Row],[NSK]]/BASE_DATOS[[#This Row],[NSK Original]],"")</f>
        <v>0.39393939393939392</v>
      </c>
      <c r="AF112" s="344">
        <f>IFERROR(BASE_DATOS[[#This Row],[% Max Des.]]-BASE_DATOS[[#This Row],[% Des]],"")</f>
        <v>0.24242424242424243</v>
      </c>
      <c r="AG112" s="287"/>
      <c r="AH112" s="273"/>
      <c r="AI112" s="363" t="str">
        <f>IF(OR(BASE_DATOS[[#This Row],[Hr.]]="",BASE_DATOS[[#This Row],[Hr. Actual]]=""),"",BASE_DATOS[[#This Row],[Hr. Actual]]-BASE_DATOS[[#This Row],[Hr.]]+BASE_DATOS[[#This Row],[Horas Acumuladas]])</f>
        <v/>
      </c>
      <c r="AJ112" s="364" t="str">
        <f>IFERROR(BASE_DATOS[[#This Row],[Precio US$]]/BASE_DATOS[[#This Row],[Horas Rodadas]],"")</f>
        <v/>
      </c>
      <c r="AK112" s="365" t="str">
        <f>IFERROR(BASE_DATOS[[#This Row],[Horas Rodadas]]/(BASE_DATOS[[#This Row],[NSK Original]]-BASE_DATOS[[#This Row],[NSK]]),"")</f>
        <v/>
      </c>
      <c r="AL11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12" s="366" t="str">
        <f>IFERROR(BASE_DATOS[[#This Row],[Precio US$]]/BASE_DATOS[[#This Row],[Horas Proy.]],"")</f>
        <v/>
      </c>
      <c r="AN112" s="176" t="str">
        <f>IF(OR(BASE_DATOS[[#This Row],[Km.]]="",BASE_DATOS[[#This Row],[Km. Actual]]=""),"",BASE_DATOS[[#This Row],[Km. Actual]]-BASE_DATOS[[#This Row],[Km.]]+BASE_DATOS[[#This Row],[Kilómetros Acumulados]])</f>
        <v/>
      </c>
      <c r="AO112" s="177" t="str">
        <f>IFERROR(BASE_DATOS[[#This Row],[Precio US$]]/BASE_DATOS[[#This Row],[Kilómetros Rodados]],"")</f>
        <v/>
      </c>
      <c r="AP112" s="176" t="str">
        <f>IFERROR(BASE_DATOS[[#This Row],[Kilómetros Rodados]]/(BASE_DATOS[[#This Row],[NSK Original]]-BASE_DATOS[[#This Row],[NSK]]),"")</f>
        <v/>
      </c>
      <c r="AQ11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12" s="177" t="str">
        <f>IFERROR(BASE_DATOS[[#This Row],[Precio US$]]/BASE_DATOS[[#This Row],[Kilómetros Proy.]],"")</f>
        <v/>
      </c>
      <c r="AS112" s="167" t="s">
        <v>62</v>
      </c>
      <c r="AT112" s="167"/>
      <c r="AU112" s="167"/>
      <c r="AV112" s="167"/>
      <c r="AW112" s="179"/>
      <c r="AX112" s="179"/>
      <c r="AY112" s="179" t="str">
        <f>CONCATENATE(BASE_DATOS[[#This Row],[Código_U]]&amp;BASE_DATOS[[#This Row],[Pos.]]&amp;BASE_DATOS[[#This Row],[Situación Actual]])</f>
        <v>SR-1185Rodando</v>
      </c>
    </row>
    <row r="113" spans="1:51" ht="12" x14ac:dyDescent="0.25">
      <c r="A113" s="227" t="s">
        <v>129</v>
      </c>
      <c r="B113" s="217" t="s">
        <v>130</v>
      </c>
      <c r="C113" s="228" t="s">
        <v>295</v>
      </c>
      <c r="D113" s="229" t="s">
        <v>87</v>
      </c>
      <c r="E113" s="255"/>
      <c r="F113" s="256" t="s">
        <v>97</v>
      </c>
      <c r="G113" s="256" t="s">
        <v>269</v>
      </c>
      <c r="H113" s="257" t="str">
        <f>IF(BASE_DATOS[[#This Row],[N-R]]="N",BASE_DATOS[[#This Row],[Diseño]],"Reencauche")</f>
        <v>AGC28</v>
      </c>
      <c r="I113" s="256" t="s">
        <v>270</v>
      </c>
      <c r="J113" s="243" t="s">
        <v>72</v>
      </c>
      <c r="K113" s="258">
        <v>16.5</v>
      </c>
      <c r="L113" s="256">
        <v>110</v>
      </c>
      <c r="M113" s="259"/>
      <c r="N113" s="260"/>
      <c r="O113" s="277"/>
      <c r="P113" s="278"/>
      <c r="Q113" s="279"/>
      <c r="R113" s="309" t="s">
        <v>103</v>
      </c>
      <c r="S113" s="310">
        <v>45384</v>
      </c>
      <c r="T113" s="313"/>
      <c r="U113" s="279"/>
      <c r="V113" s="227">
        <v>11</v>
      </c>
      <c r="W113" s="281">
        <v>11</v>
      </c>
      <c r="X113" s="282">
        <v>11</v>
      </c>
      <c r="Y113" s="293">
        <f t="shared" si="4"/>
        <v>11</v>
      </c>
      <c r="Z113" s="175" t="s">
        <v>85</v>
      </c>
      <c r="AA113" s="342">
        <f>IFERROR(BASE_DATOS[[#This Row],[NSK Original]]-BASE_DATOS[[#This Row],[NSK]]," ")</f>
        <v>5.5</v>
      </c>
      <c r="AB113" s="343">
        <f>'NSK-TRACTO'!$A$2</f>
        <v>6</v>
      </c>
      <c r="AC113" s="343">
        <f>IF(BASE_DATOS[[#This Row],[NSK]]&gt;=BASE_DATOS[[#This Row],[NSK Reen]],BASE_DATOS[[#This Row],[NSK Reen]],BASE_DATOS[[#This Row],[NSK]])</f>
        <v>6</v>
      </c>
      <c r="AD113" s="344">
        <f>IFERROR(100%-(BASE_DATOS[[#This Row],[NSK Reen]]/BASE_DATOS[[#This Row],[NSK Original]]),"")</f>
        <v>0.63636363636363635</v>
      </c>
      <c r="AE113" s="344">
        <f>IFERROR(100%-BASE_DATOS[[#This Row],[NSK]]/BASE_DATOS[[#This Row],[NSK Original]],"")</f>
        <v>0.33333333333333337</v>
      </c>
      <c r="AF113" s="344">
        <f>IFERROR(BASE_DATOS[[#This Row],[% Max Des.]]-BASE_DATOS[[#This Row],[% Des]],"")</f>
        <v>0.30303030303030298</v>
      </c>
      <c r="AG113" s="287"/>
      <c r="AH113" s="273"/>
      <c r="AI113" s="363" t="str">
        <f>IF(OR(BASE_DATOS[[#This Row],[Hr.]]="",BASE_DATOS[[#This Row],[Hr. Actual]]=""),"",BASE_DATOS[[#This Row],[Hr. Actual]]-BASE_DATOS[[#This Row],[Hr.]]+BASE_DATOS[[#This Row],[Horas Acumuladas]])</f>
        <v/>
      </c>
      <c r="AJ113" s="364" t="str">
        <f>IFERROR(BASE_DATOS[[#This Row],[Precio US$]]/BASE_DATOS[[#This Row],[Horas Rodadas]],"")</f>
        <v/>
      </c>
      <c r="AK113" s="365" t="str">
        <f>IFERROR(BASE_DATOS[[#This Row],[Horas Rodadas]]/(BASE_DATOS[[#This Row],[NSK Original]]-BASE_DATOS[[#This Row],[NSK]]),"")</f>
        <v/>
      </c>
      <c r="AL11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13" s="366" t="str">
        <f>IFERROR(BASE_DATOS[[#This Row],[Precio US$]]/BASE_DATOS[[#This Row],[Horas Proy.]],"")</f>
        <v/>
      </c>
      <c r="AN113" s="176" t="str">
        <f>IF(OR(BASE_DATOS[[#This Row],[Km.]]="",BASE_DATOS[[#This Row],[Km. Actual]]=""),"",BASE_DATOS[[#This Row],[Km. Actual]]-BASE_DATOS[[#This Row],[Km.]]+BASE_DATOS[[#This Row],[Kilómetros Acumulados]])</f>
        <v/>
      </c>
      <c r="AO113" s="177" t="str">
        <f>IFERROR(BASE_DATOS[[#This Row],[Precio US$]]/BASE_DATOS[[#This Row],[Kilómetros Rodados]],"")</f>
        <v/>
      </c>
      <c r="AP113" s="176" t="str">
        <f>IFERROR(BASE_DATOS[[#This Row],[Kilómetros Rodados]]/(BASE_DATOS[[#This Row],[NSK Original]]-BASE_DATOS[[#This Row],[NSK]]),"")</f>
        <v/>
      </c>
      <c r="AQ11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13" s="177" t="str">
        <f>IFERROR(BASE_DATOS[[#This Row],[Precio US$]]/BASE_DATOS[[#This Row],[Kilómetros Proy.]],"")</f>
        <v/>
      </c>
      <c r="AS113" s="167" t="s">
        <v>62</v>
      </c>
      <c r="AT113" s="167"/>
      <c r="AU113" s="167"/>
      <c r="AV113" s="167"/>
      <c r="AW113" s="179"/>
      <c r="AX113" s="179"/>
      <c r="AY113" s="179" t="str">
        <f>CONCATENATE(BASE_DATOS[[#This Row],[Código_U]]&amp;BASE_DATOS[[#This Row],[Pos.]]&amp;BASE_DATOS[[#This Row],[Situación Actual]])</f>
        <v>SR-1186Rodando</v>
      </c>
    </row>
    <row r="114" spans="1:51" ht="12" x14ac:dyDescent="0.25">
      <c r="A114" s="227" t="s">
        <v>129</v>
      </c>
      <c r="B114" s="217" t="s">
        <v>130</v>
      </c>
      <c r="C114" s="228" t="s">
        <v>295</v>
      </c>
      <c r="D114" s="229" t="s">
        <v>384</v>
      </c>
      <c r="E114" s="255"/>
      <c r="F114" s="256" t="s">
        <v>273</v>
      </c>
      <c r="G114" s="256" t="s">
        <v>274</v>
      </c>
      <c r="H114" s="257" t="str">
        <f>IF(BASE_DATOS[[#This Row],[N-R]]="N",BASE_DATOS[[#This Row],[Diseño]],"Reencauche")</f>
        <v>XZY3</v>
      </c>
      <c r="I114" s="256" t="s">
        <v>277</v>
      </c>
      <c r="J114" s="243" t="s">
        <v>72</v>
      </c>
      <c r="K114" s="258">
        <v>0</v>
      </c>
      <c r="L114" s="256">
        <v>110</v>
      </c>
      <c r="M114" s="259"/>
      <c r="N114" s="260"/>
      <c r="O114" s="277"/>
      <c r="P114" s="278"/>
      <c r="Q114" s="279"/>
      <c r="R114" s="304" t="s">
        <v>509</v>
      </c>
      <c r="S114" s="310">
        <v>45384</v>
      </c>
      <c r="T114" s="313"/>
      <c r="U114" s="279"/>
      <c r="V114" s="227">
        <v>9</v>
      </c>
      <c r="W114" s="281">
        <v>9</v>
      </c>
      <c r="X114" s="282">
        <v>9</v>
      </c>
      <c r="Y114" s="293">
        <f t="shared" si="4"/>
        <v>9</v>
      </c>
      <c r="Z114" s="175" t="s">
        <v>85</v>
      </c>
      <c r="AA114" s="342">
        <f>IFERROR(BASE_DATOS[[#This Row],[NSK Original]]-BASE_DATOS[[#This Row],[NSK]]," ")</f>
        <v>-9</v>
      </c>
      <c r="AB114" s="343">
        <f>'NSK-TRACTO'!$A$2</f>
        <v>6</v>
      </c>
      <c r="AC114" s="343">
        <f>IF(BASE_DATOS[[#This Row],[NSK]]&gt;=BASE_DATOS[[#This Row],[NSK Reen]],BASE_DATOS[[#This Row],[NSK Reen]],BASE_DATOS[[#This Row],[NSK]])</f>
        <v>6</v>
      </c>
      <c r="AD114" s="344" t="str">
        <f>IFERROR(100%-(BASE_DATOS[[#This Row],[NSK Reen]]/BASE_DATOS[[#This Row],[NSK Original]]),"")</f>
        <v/>
      </c>
      <c r="AE114" s="344" t="str">
        <f>IFERROR(100%-BASE_DATOS[[#This Row],[NSK]]/BASE_DATOS[[#This Row],[NSK Original]],"")</f>
        <v/>
      </c>
      <c r="AF114" s="344" t="str">
        <f>IFERROR(BASE_DATOS[[#This Row],[% Max Des.]]-BASE_DATOS[[#This Row],[% Des]],"")</f>
        <v/>
      </c>
      <c r="AG114" s="287"/>
      <c r="AH114" s="273"/>
      <c r="AI114" s="363" t="str">
        <f>IF(OR(BASE_DATOS[[#This Row],[Hr.]]="",BASE_DATOS[[#This Row],[Hr. Actual]]=""),"",BASE_DATOS[[#This Row],[Hr. Actual]]-BASE_DATOS[[#This Row],[Hr.]]+BASE_DATOS[[#This Row],[Horas Acumuladas]])</f>
        <v/>
      </c>
      <c r="AJ114" s="364" t="str">
        <f>IFERROR(BASE_DATOS[[#This Row],[Precio US$]]/BASE_DATOS[[#This Row],[Horas Rodadas]],"")</f>
        <v/>
      </c>
      <c r="AK114" s="365" t="str">
        <f>IFERROR(BASE_DATOS[[#This Row],[Horas Rodadas]]/(BASE_DATOS[[#This Row],[NSK Original]]-BASE_DATOS[[#This Row],[NSK]]),"")</f>
        <v/>
      </c>
      <c r="AL11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14" s="366" t="str">
        <f>IFERROR(BASE_DATOS[[#This Row],[Precio US$]]/BASE_DATOS[[#This Row],[Horas Proy.]],"")</f>
        <v/>
      </c>
      <c r="AN114" s="176" t="str">
        <f>IF(OR(BASE_DATOS[[#This Row],[Km.]]="",BASE_DATOS[[#This Row],[Km. Actual]]=""),"",BASE_DATOS[[#This Row],[Km. Actual]]-BASE_DATOS[[#This Row],[Km.]]+BASE_DATOS[[#This Row],[Kilómetros Acumulados]])</f>
        <v/>
      </c>
      <c r="AO114" s="177" t="str">
        <f>IFERROR(BASE_DATOS[[#This Row],[Precio US$]]/BASE_DATOS[[#This Row],[Kilómetros Rodados]],"")</f>
        <v/>
      </c>
      <c r="AP114" s="176" t="str">
        <f>IFERROR(BASE_DATOS[[#This Row],[Kilómetros Rodados]]/(BASE_DATOS[[#This Row],[NSK Original]]-BASE_DATOS[[#This Row],[NSK]]),"")</f>
        <v/>
      </c>
      <c r="AQ11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14" s="177" t="str">
        <f>IFERROR(BASE_DATOS[[#This Row],[Precio US$]]/BASE_DATOS[[#This Row],[Kilómetros Proy.]],"")</f>
        <v/>
      </c>
      <c r="AS114" s="167" t="s">
        <v>62</v>
      </c>
      <c r="AT114" s="167"/>
      <c r="AU114" s="167"/>
      <c r="AV114" s="167"/>
      <c r="AW114" s="179"/>
      <c r="AX114" s="179"/>
      <c r="AY114" s="179" t="str">
        <f>CONCATENATE(BASE_DATOS[[#This Row],[Código_U]]&amp;BASE_DATOS[[#This Row],[Pos.]]&amp;BASE_DATOS[[#This Row],[Situación Actual]])</f>
        <v>SR-118RERodando</v>
      </c>
    </row>
    <row r="115" spans="1:51" ht="12" x14ac:dyDescent="0.25">
      <c r="A115" s="227" t="s">
        <v>129</v>
      </c>
      <c r="B115" s="217" t="s">
        <v>130</v>
      </c>
      <c r="C115" s="228" t="s">
        <v>295</v>
      </c>
      <c r="D115" s="229" t="s">
        <v>108</v>
      </c>
      <c r="E115" s="255"/>
      <c r="F115" s="256" t="s">
        <v>71</v>
      </c>
      <c r="G115" s="256" t="s">
        <v>271</v>
      </c>
      <c r="H115" s="257" t="str">
        <f>IF(BASE_DATOS[[#This Row],[N-R]]="N",BASE_DATOS[[#This Row],[Diseño]],"Reencauche")</f>
        <v>KMAX EXTREME</v>
      </c>
      <c r="I115" s="256" t="s">
        <v>272</v>
      </c>
      <c r="J115" s="243" t="s">
        <v>72</v>
      </c>
      <c r="K115" s="258">
        <v>17.5</v>
      </c>
      <c r="L115" s="256">
        <v>100</v>
      </c>
      <c r="M115" s="259"/>
      <c r="N115" s="260"/>
      <c r="O115" s="277"/>
      <c r="P115" s="278"/>
      <c r="Q115" s="279"/>
      <c r="R115" s="304" t="s">
        <v>108</v>
      </c>
      <c r="S115" s="310">
        <v>45384</v>
      </c>
      <c r="T115" s="313"/>
      <c r="U115" s="279"/>
      <c r="V115" s="227">
        <v>6</v>
      </c>
      <c r="W115" s="281">
        <v>11</v>
      </c>
      <c r="X115" s="282">
        <v>11</v>
      </c>
      <c r="Y115" s="293">
        <f t="shared" si="4"/>
        <v>6</v>
      </c>
      <c r="Z115" s="175" t="s">
        <v>85</v>
      </c>
      <c r="AA115" s="342">
        <f>IFERROR(BASE_DATOS[[#This Row],[NSK Original]]-BASE_DATOS[[#This Row],[NSK]]," ")</f>
        <v>11.5</v>
      </c>
      <c r="AB115" s="343">
        <f>'NSK-TRACTO'!$A$2</f>
        <v>6</v>
      </c>
      <c r="AC115" s="343">
        <f>IF(BASE_DATOS[[#This Row],[NSK]]&gt;=BASE_DATOS[[#This Row],[NSK Reen]],BASE_DATOS[[#This Row],[NSK Reen]],BASE_DATOS[[#This Row],[NSK]])</f>
        <v>6</v>
      </c>
      <c r="AD115" s="344">
        <f>IFERROR(100%-(BASE_DATOS[[#This Row],[NSK Reen]]/BASE_DATOS[[#This Row],[NSK Original]]),"")</f>
        <v>0.65714285714285714</v>
      </c>
      <c r="AE115" s="344">
        <f>IFERROR(100%-BASE_DATOS[[#This Row],[NSK]]/BASE_DATOS[[#This Row],[NSK Original]],"")</f>
        <v>0.65714285714285714</v>
      </c>
      <c r="AF115" s="344">
        <f>IFERROR(BASE_DATOS[[#This Row],[% Max Des.]]-BASE_DATOS[[#This Row],[% Des]],"")</f>
        <v>0</v>
      </c>
      <c r="AG115" s="287"/>
      <c r="AH115" s="273"/>
      <c r="AI115" s="363" t="str">
        <f>IF(OR(BASE_DATOS[[#This Row],[Hr.]]="",BASE_DATOS[[#This Row],[Hr. Actual]]=""),"",BASE_DATOS[[#This Row],[Hr. Actual]]-BASE_DATOS[[#This Row],[Hr.]]+BASE_DATOS[[#This Row],[Horas Acumuladas]])</f>
        <v/>
      </c>
      <c r="AJ115" s="364" t="str">
        <f>IFERROR(BASE_DATOS[[#This Row],[Precio US$]]/BASE_DATOS[[#This Row],[Horas Rodadas]],"")</f>
        <v/>
      </c>
      <c r="AK115" s="365" t="str">
        <f>IFERROR(BASE_DATOS[[#This Row],[Horas Rodadas]]/(BASE_DATOS[[#This Row],[NSK Original]]-BASE_DATOS[[#This Row],[NSK]]),"")</f>
        <v/>
      </c>
      <c r="AL11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15" s="366" t="str">
        <f>IFERROR(BASE_DATOS[[#This Row],[Precio US$]]/BASE_DATOS[[#This Row],[Horas Proy.]],"")</f>
        <v/>
      </c>
      <c r="AN115" s="176" t="str">
        <f>IF(OR(BASE_DATOS[[#This Row],[Km.]]="",BASE_DATOS[[#This Row],[Km. Actual]]=""),"",BASE_DATOS[[#This Row],[Km. Actual]]-BASE_DATOS[[#This Row],[Km.]]+BASE_DATOS[[#This Row],[Kilómetros Acumulados]])</f>
        <v/>
      </c>
      <c r="AO115" s="177" t="str">
        <f>IFERROR(BASE_DATOS[[#This Row],[Precio US$]]/BASE_DATOS[[#This Row],[Kilómetros Rodados]],"")</f>
        <v/>
      </c>
      <c r="AP115" s="176" t="str">
        <f>IFERROR(BASE_DATOS[[#This Row],[Kilómetros Rodados]]/(BASE_DATOS[[#This Row],[NSK Original]]-BASE_DATOS[[#This Row],[NSK]]),"")</f>
        <v/>
      </c>
      <c r="AQ11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15" s="177" t="str">
        <f>IFERROR(BASE_DATOS[[#This Row],[Precio US$]]/BASE_DATOS[[#This Row],[Kilómetros Proy.]],"")</f>
        <v/>
      </c>
      <c r="AS115" s="167" t="s">
        <v>62</v>
      </c>
      <c r="AT115" s="167"/>
      <c r="AU115" s="167" t="s">
        <v>515</v>
      </c>
      <c r="AV115" s="167"/>
      <c r="AW115" s="179"/>
      <c r="AX115" s="169" t="s">
        <v>371</v>
      </c>
      <c r="AY115" s="169" t="str">
        <f>CONCATENATE(BASE_DATOS[[#This Row],[Código_U]]&amp;BASE_DATOS[[#This Row],[Pos.]]&amp;BASE_DATOS[[#This Row],[Situación Actual]])</f>
        <v>SR-118RTRodando</v>
      </c>
    </row>
    <row r="116" spans="1:51" ht="12" x14ac:dyDescent="0.25">
      <c r="A116" s="224" t="s">
        <v>131</v>
      </c>
      <c r="B116" s="213" t="s">
        <v>132</v>
      </c>
      <c r="C116" s="225" t="s">
        <v>295</v>
      </c>
      <c r="D116" s="226" t="s">
        <v>87</v>
      </c>
      <c r="E116" s="249"/>
      <c r="F116" s="250" t="s">
        <v>97</v>
      </c>
      <c r="G116" s="250" t="s">
        <v>269</v>
      </c>
      <c r="H116" s="251" t="str">
        <f>IF(BASE_DATOS[[#This Row],[N-R]]="N",BASE_DATOS[[#This Row],[Diseño]],"Reencauche")</f>
        <v>AGC28</v>
      </c>
      <c r="I116" s="250" t="s">
        <v>270</v>
      </c>
      <c r="J116" s="235" t="s">
        <v>72</v>
      </c>
      <c r="K116" s="252">
        <v>16.5</v>
      </c>
      <c r="L116" s="250">
        <v>110</v>
      </c>
      <c r="M116" s="253"/>
      <c r="N116" s="254"/>
      <c r="O116" s="274"/>
      <c r="P116" s="275"/>
      <c r="Q116" s="276"/>
      <c r="R116" s="305" t="s">
        <v>98</v>
      </c>
      <c r="S116" s="306">
        <v>45385</v>
      </c>
      <c r="T116" s="314"/>
      <c r="U116" s="276"/>
      <c r="V116" s="224">
        <v>10</v>
      </c>
      <c r="W116" s="325">
        <v>9</v>
      </c>
      <c r="X116" s="326">
        <v>9</v>
      </c>
      <c r="Y116" s="292">
        <f t="shared" ref="Y116:Y123" si="5">IFERROR(MIN(V116:X116),"")</f>
        <v>9</v>
      </c>
      <c r="Z116" s="194" t="s">
        <v>85</v>
      </c>
      <c r="AA116" s="339">
        <f>IFERROR(BASE_DATOS[[#This Row],[NSK Original]]-BASE_DATOS[[#This Row],[NSK]]," ")</f>
        <v>7.5</v>
      </c>
      <c r="AB116" s="340">
        <f>'NSK-TRACTO'!$A$2</f>
        <v>6</v>
      </c>
      <c r="AC116" s="340">
        <f>IF(BASE_DATOS[[#This Row],[NSK]]&gt;=BASE_DATOS[[#This Row],[NSK Reen]],BASE_DATOS[[#This Row],[NSK Reen]],BASE_DATOS[[#This Row],[NSK]])</f>
        <v>6</v>
      </c>
      <c r="AD116" s="341">
        <f>IFERROR(100%-(BASE_DATOS[[#This Row],[NSK Reen]]/BASE_DATOS[[#This Row],[NSK Original]]),"")</f>
        <v>0.63636363636363635</v>
      </c>
      <c r="AE116" s="341">
        <f>IFERROR(100%-BASE_DATOS[[#This Row],[NSK]]/BASE_DATOS[[#This Row],[NSK Original]],"")</f>
        <v>0.45454545454545459</v>
      </c>
      <c r="AF116" s="341">
        <f>IFERROR(BASE_DATOS[[#This Row],[% Max Des.]]-BASE_DATOS[[#This Row],[% Des]],"")</f>
        <v>0.18181818181818177</v>
      </c>
      <c r="AG116" s="284"/>
      <c r="AH116" s="335"/>
      <c r="AI116" s="359" t="str">
        <f>IF(OR(BASE_DATOS[[#This Row],[Hr.]]="",BASE_DATOS[[#This Row],[Hr. Actual]]=""),"",BASE_DATOS[[#This Row],[Hr. Actual]]-BASE_DATOS[[#This Row],[Hr.]]+BASE_DATOS[[#This Row],[Horas Acumuladas]])</f>
        <v/>
      </c>
      <c r="AJ116" s="360" t="str">
        <f>IFERROR(BASE_DATOS[[#This Row],[Precio US$]]/BASE_DATOS[[#This Row],[Horas Rodadas]],"")</f>
        <v/>
      </c>
      <c r="AK116" s="361" t="str">
        <f>IFERROR(BASE_DATOS[[#This Row],[Horas Rodadas]]/(BASE_DATOS[[#This Row],[NSK Original]]-BASE_DATOS[[#This Row],[NSK]]),"")</f>
        <v/>
      </c>
      <c r="AL116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16" s="362" t="str">
        <f>IFERROR(BASE_DATOS[[#This Row],[Precio US$]]/BASE_DATOS[[#This Row],[Horas Proy.]],"")</f>
        <v/>
      </c>
      <c r="AN116" s="195" t="str">
        <f>IF(OR(BASE_DATOS[[#This Row],[Km.]]="",BASE_DATOS[[#This Row],[Km. Actual]]=""),"",BASE_DATOS[[#This Row],[Km. Actual]]-BASE_DATOS[[#This Row],[Km.]]+BASE_DATOS[[#This Row],[Kilómetros Acumulados]])</f>
        <v/>
      </c>
      <c r="AO116" s="196" t="str">
        <f>IFERROR(BASE_DATOS[[#This Row],[Precio US$]]/BASE_DATOS[[#This Row],[Kilómetros Rodados]],"")</f>
        <v/>
      </c>
      <c r="AP116" s="195" t="str">
        <f>IFERROR(BASE_DATOS[[#This Row],[Kilómetros Rodados]]/(BASE_DATOS[[#This Row],[NSK Original]]-BASE_DATOS[[#This Row],[NSK]]),"")</f>
        <v/>
      </c>
      <c r="AQ116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16" s="196" t="str">
        <f>IFERROR(BASE_DATOS[[#This Row],[Precio US$]]/BASE_DATOS[[#This Row],[Kilómetros Proy.]],"")</f>
        <v/>
      </c>
      <c r="AS116" s="191" t="s">
        <v>62</v>
      </c>
      <c r="AT116" s="191"/>
      <c r="AU116" s="191"/>
      <c r="AV116" s="191"/>
      <c r="AW116" s="198"/>
      <c r="AX116" s="198"/>
      <c r="AY116" s="198" t="str">
        <f>CONCATENATE(BASE_DATOS[[#This Row],[Código_U]]&amp;BASE_DATOS[[#This Row],[Pos.]]&amp;BASE_DATOS[[#This Row],[Situación Actual]])</f>
        <v>SR-1201Rodando</v>
      </c>
    </row>
    <row r="117" spans="1:51" ht="12" x14ac:dyDescent="0.25">
      <c r="A117" s="227" t="s">
        <v>131</v>
      </c>
      <c r="B117" s="217" t="s">
        <v>132</v>
      </c>
      <c r="C117" s="228" t="s">
        <v>295</v>
      </c>
      <c r="D117" s="229" t="s">
        <v>87</v>
      </c>
      <c r="E117" s="248" t="s">
        <v>454</v>
      </c>
      <c r="F117" s="256" t="s">
        <v>97</v>
      </c>
      <c r="G117" s="256" t="s">
        <v>269</v>
      </c>
      <c r="H117" s="257" t="str">
        <f>IF(BASE_DATOS[[#This Row],[N-R]]="N",BASE_DATOS[[#This Row],[Diseño]],"Reencauche")</f>
        <v>AGC28</v>
      </c>
      <c r="I117" s="256" t="s">
        <v>270</v>
      </c>
      <c r="J117" s="243" t="s">
        <v>72</v>
      </c>
      <c r="K117" s="258">
        <v>16.5</v>
      </c>
      <c r="L117" s="256">
        <v>110</v>
      </c>
      <c r="M117" s="259"/>
      <c r="N117" s="260"/>
      <c r="O117" s="277"/>
      <c r="P117" s="278"/>
      <c r="Q117" s="279"/>
      <c r="R117" s="309" t="s">
        <v>99</v>
      </c>
      <c r="S117" s="310">
        <v>45385</v>
      </c>
      <c r="T117" s="313"/>
      <c r="U117" s="279"/>
      <c r="V117" s="227">
        <v>10</v>
      </c>
      <c r="W117" s="281">
        <v>10</v>
      </c>
      <c r="X117" s="282">
        <v>10</v>
      </c>
      <c r="Y117" s="293">
        <f t="shared" si="5"/>
        <v>10</v>
      </c>
      <c r="Z117" s="161" t="s">
        <v>73</v>
      </c>
      <c r="AA117" s="342">
        <f>IFERROR(BASE_DATOS[[#This Row],[NSK Original]]-BASE_DATOS[[#This Row],[NSK]]," ")</f>
        <v>6.5</v>
      </c>
      <c r="AB117" s="343">
        <f>'NSK-TRACTO'!$A$2</f>
        <v>6</v>
      </c>
      <c r="AC117" s="343">
        <f>IF(BASE_DATOS[[#This Row],[NSK]]&gt;=BASE_DATOS[[#This Row],[NSK Reen]],BASE_DATOS[[#This Row],[NSK Reen]],BASE_DATOS[[#This Row],[NSK]])</f>
        <v>6</v>
      </c>
      <c r="AD117" s="344">
        <f>IFERROR(100%-(BASE_DATOS[[#This Row],[NSK Reen]]/BASE_DATOS[[#This Row],[NSK Original]]),"")</f>
        <v>0.63636363636363635</v>
      </c>
      <c r="AE117" s="344">
        <f>IFERROR(100%-BASE_DATOS[[#This Row],[NSK]]/BASE_DATOS[[#This Row],[NSK Original]],"")</f>
        <v>0.39393939393939392</v>
      </c>
      <c r="AF117" s="344">
        <f>IFERROR(BASE_DATOS[[#This Row],[% Max Des.]]-BASE_DATOS[[#This Row],[% Des]],"")</f>
        <v>0.24242424242424243</v>
      </c>
      <c r="AG117" s="287"/>
      <c r="AH117" s="273"/>
      <c r="AI117" s="363" t="str">
        <f>IF(OR(BASE_DATOS[[#This Row],[Hr.]]="",BASE_DATOS[[#This Row],[Hr. Actual]]=""),"",BASE_DATOS[[#This Row],[Hr. Actual]]-BASE_DATOS[[#This Row],[Hr.]]+BASE_DATOS[[#This Row],[Horas Acumuladas]])</f>
        <v/>
      </c>
      <c r="AJ117" s="364" t="str">
        <f>IFERROR(BASE_DATOS[[#This Row],[Precio US$]]/BASE_DATOS[[#This Row],[Horas Rodadas]],"")</f>
        <v/>
      </c>
      <c r="AK117" s="365" t="str">
        <f>IFERROR(BASE_DATOS[[#This Row],[Horas Rodadas]]/(BASE_DATOS[[#This Row],[NSK Original]]-BASE_DATOS[[#This Row],[NSK]]),"")</f>
        <v/>
      </c>
      <c r="AL11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17" s="366" t="str">
        <f>IFERROR(BASE_DATOS[[#This Row],[Precio US$]]/BASE_DATOS[[#This Row],[Horas Proy.]],"")</f>
        <v/>
      </c>
      <c r="AN117" s="176" t="str">
        <f>IF(OR(BASE_DATOS[[#This Row],[Km.]]="",BASE_DATOS[[#This Row],[Km. Actual]]=""),"",BASE_DATOS[[#This Row],[Km. Actual]]-BASE_DATOS[[#This Row],[Km.]]+BASE_DATOS[[#This Row],[Kilómetros Acumulados]])</f>
        <v/>
      </c>
      <c r="AO117" s="177" t="str">
        <f>IFERROR(BASE_DATOS[[#This Row],[Precio US$]]/BASE_DATOS[[#This Row],[Kilómetros Rodados]],"")</f>
        <v/>
      </c>
      <c r="AP117" s="176" t="str">
        <f>IFERROR(BASE_DATOS[[#This Row],[Kilómetros Rodados]]/(BASE_DATOS[[#This Row],[NSK Original]]-BASE_DATOS[[#This Row],[NSK]]),"")</f>
        <v/>
      </c>
      <c r="AQ11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17" s="177" t="str">
        <f>IFERROR(BASE_DATOS[[#This Row],[Precio US$]]/BASE_DATOS[[#This Row],[Kilómetros Proy.]],"")</f>
        <v/>
      </c>
      <c r="AS117" s="167" t="s">
        <v>62</v>
      </c>
      <c r="AT117" s="167"/>
      <c r="AU117" s="167"/>
      <c r="AV117" s="167"/>
      <c r="AW117" s="179"/>
      <c r="AX117" s="179"/>
      <c r="AY117" s="179" t="str">
        <f>CONCATENATE(BASE_DATOS[[#This Row],[Código_U]]&amp;BASE_DATOS[[#This Row],[Pos.]]&amp;BASE_DATOS[[#This Row],[Situación Actual]])</f>
        <v>SR-1202Rodando</v>
      </c>
    </row>
    <row r="118" spans="1:51" ht="12" x14ac:dyDescent="0.25">
      <c r="A118" s="227" t="s">
        <v>131</v>
      </c>
      <c r="B118" s="217" t="s">
        <v>132</v>
      </c>
      <c r="C118" s="228" t="s">
        <v>295</v>
      </c>
      <c r="D118" s="229" t="s">
        <v>87</v>
      </c>
      <c r="E118" s="255"/>
      <c r="F118" s="256" t="s">
        <v>97</v>
      </c>
      <c r="G118" s="256" t="s">
        <v>269</v>
      </c>
      <c r="H118" s="257" t="str">
        <f>IF(BASE_DATOS[[#This Row],[N-R]]="N",BASE_DATOS[[#This Row],[Diseño]],"Reencauche")</f>
        <v>AGC28</v>
      </c>
      <c r="I118" s="256" t="s">
        <v>270</v>
      </c>
      <c r="J118" s="243" t="s">
        <v>72</v>
      </c>
      <c r="K118" s="258">
        <v>16.5</v>
      </c>
      <c r="L118" s="256">
        <v>110</v>
      </c>
      <c r="M118" s="259"/>
      <c r="N118" s="260"/>
      <c r="O118" s="277"/>
      <c r="P118" s="278"/>
      <c r="Q118" s="279"/>
      <c r="R118" s="309" t="s">
        <v>100</v>
      </c>
      <c r="S118" s="310">
        <v>45385</v>
      </c>
      <c r="T118" s="313"/>
      <c r="U118" s="279"/>
      <c r="V118" s="227">
        <v>11</v>
      </c>
      <c r="W118" s="281">
        <v>11</v>
      </c>
      <c r="X118" s="282">
        <v>11</v>
      </c>
      <c r="Y118" s="293">
        <f t="shared" si="5"/>
        <v>11</v>
      </c>
      <c r="Z118" s="175" t="s">
        <v>85</v>
      </c>
      <c r="AA118" s="342">
        <f>IFERROR(BASE_DATOS[[#This Row],[NSK Original]]-BASE_DATOS[[#This Row],[NSK]]," ")</f>
        <v>5.5</v>
      </c>
      <c r="AB118" s="343">
        <f>'NSK-TRACTO'!$A$2</f>
        <v>6</v>
      </c>
      <c r="AC118" s="343">
        <f>IF(BASE_DATOS[[#This Row],[NSK]]&gt;=BASE_DATOS[[#This Row],[NSK Reen]],BASE_DATOS[[#This Row],[NSK Reen]],BASE_DATOS[[#This Row],[NSK]])</f>
        <v>6</v>
      </c>
      <c r="AD118" s="344">
        <f>IFERROR(100%-(BASE_DATOS[[#This Row],[NSK Reen]]/BASE_DATOS[[#This Row],[NSK Original]]),"")</f>
        <v>0.63636363636363635</v>
      </c>
      <c r="AE118" s="344">
        <f>IFERROR(100%-BASE_DATOS[[#This Row],[NSK]]/BASE_DATOS[[#This Row],[NSK Original]],"")</f>
        <v>0.33333333333333337</v>
      </c>
      <c r="AF118" s="344">
        <f>IFERROR(BASE_DATOS[[#This Row],[% Max Des.]]-BASE_DATOS[[#This Row],[% Des]],"")</f>
        <v>0.30303030303030298</v>
      </c>
      <c r="AG118" s="287"/>
      <c r="AH118" s="273"/>
      <c r="AI118" s="363" t="str">
        <f>IF(OR(BASE_DATOS[[#This Row],[Hr.]]="",BASE_DATOS[[#This Row],[Hr. Actual]]=""),"",BASE_DATOS[[#This Row],[Hr. Actual]]-BASE_DATOS[[#This Row],[Hr.]]+BASE_DATOS[[#This Row],[Horas Acumuladas]])</f>
        <v/>
      </c>
      <c r="AJ118" s="364" t="str">
        <f>IFERROR(BASE_DATOS[[#This Row],[Precio US$]]/BASE_DATOS[[#This Row],[Horas Rodadas]],"")</f>
        <v/>
      </c>
      <c r="AK118" s="365" t="str">
        <f>IFERROR(BASE_DATOS[[#This Row],[Horas Rodadas]]/(BASE_DATOS[[#This Row],[NSK Original]]-BASE_DATOS[[#This Row],[NSK]]),"")</f>
        <v/>
      </c>
      <c r="AL11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18" s="366" t="str">
        <f>IFERROR(BASE_DATOS[[#This Row],[Precio US$]]/BASE_DATOS[[#This Row],[Horas Proy.]],"")</f>
        <v/>
      </c>
      <c r="AN118" s="176" t="str">
        <f>IF(OR(BASE_DATOS[[#This Row],[Km.]]="",BASE_DATOS[[#This Row],[Km. Actual]]=""),"",BASE_DATOS[[#This Row],[Km. Actual]]-BASE_DATOS[[#This Row],[Km.]]+BASE_DATOS[[#This Row],[Kilómetros Acumulados]])</f>
        <v/>
      </c>
      <c r="AO118" s="177" t="str">
        <f>IFERROR(BASE_DATOS[[#This Row],[Precio US$]]/BASE_DATOS[[#This Row],[Kilómetros Rodados]],"")</f>
        <v/>
      </c>
      <c r="AP118" s="176" t="str">
        <f>IFERROR(BASE_DATOS[[#This Row],[Kilómetros Rodados]]/(BASE_DATOS[[#This Row],[NSK Original]]-BASE_DATOS[[#This Row],[NSK]]),"")</f>
        <v/>
      </c>
      <c r="AQ11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18" s="177" t="str">
        <f>IFERROR(BASE_DATOS[[#This Row],[Precio US$]]/BASE_DATOS[[#This Row],[Kilómetros Proy.]],"")</f>
        <v/>
      </c>
      <c r="AS118" s="167" t="s">
        <v>62</v>
      </c>
      <c r="AT118" s="167"/>
      <c r="AU118" s="167"/>
      <c r="AV118" s="167" t="s">
        <v>515</v>
      </c>
      <c r="AW118" s="179"/>
      <c r="AX118" s="179"/>
      <c r="AY118" s="179" t="str">
        <f>CONCATENATE(BASE_DATOS[[#This Row],[Código_U]]&amp;BASE_DATOS[[#This Row],[Pos.]]&amp;BASE_DATOS[[#This Row],[Situación Actual]])</f>
        <v>SR-1203Rodando</v>
      </c>
    </row>
    <row r="119" spans="1:51" ht="12" x14ac:dyDescent="0.25">
      <c r="A119" s="227" t="s">
        <v>131</v>
      </c>
      <c r="B119" s="217" t="s">
        <v>132</v>
      </c>
      <c r="C119" s="228" t="s">
        <v>295</v>
      </c>
      <c r="D119" s="229" t="s">
        <v>87</v>
      </c>
      <c r="E119" s="255"/>
      <c r="F119" s="256" t="s">
        <v>97</v>
      </c>
      <c r="G119" s="256" t="s">
        <v>269</v>
      </c>
      <c r="H119" s="257" t="str">
        <f>IF(BASE_DATOS[[#This Row],[N-R]]="N",BASE_DATOS[[#This Row],[Diseño]],"Reencauche")</f>
        <v>AGC28</v>
      </c>
      <c r="I119" s="256" t="s">
        <v>270</v>
      </c>
      <c r="J119" s="243" t="s">
        <v>72</v>
      </c>
      <c r="K119" s="258">
        <v>16.5</v>
      </c>
      <c r="L119" s="256">
        <v>110</v>
      </c>
      <c r="M119" s="259"/>
      <c r="N119" s="260"/>
      <c r="O119" s="277"/>
      <c r="P119" s="278"/>
      <c r="Q119" s="279"/>
      <c r="R119" s="309" t="s">
        <v>101</v>
      </c>
      <c r="S119" s="310">
        <v>45385</v>
      </c>
      <c r="T119" s="313"/>
      <c r="U119" s="279"/>
      <c r="V119" s="227">
        <v>12</v>
      </c>
      <c r="W119" s="281">
        <v>11</v>
      </c>
      <c r="X119" s="282">
        <v>11</v>
      </c>
      <c r="Y119" s="293">
        <f t="shared" si="5"/>
        <v>11</v>
      </c>
      <c r="Z119" s="175" t="s">
        <v>85</v>
      </c>
      <c r="AA119" s="342">
        <f>IFERROR(BASE_DATOS[[#This Row],[NSK Original]]-BASE_DATOS[[#This Row],[NSK]]," ")</f>
        <v>5.5</v>
      </c>
      <c r="AB119" s="343">
        <f>'NSK-TRACTO'!$A$2</f>
        <v>6</v>
      </c>
      <c r="AC119" s="343">
        <f>IF(BASE_DATOS[[#This Row],[NSK]]&gt;=BASE_DATOS[[#This Row],[NSK Reen]],BASE_DATOS[[#This Row],[NSK Reen]],BASE_DATOS[[#This Row],[NSK]])</f>
        <v>6</v>
      </c>
      <c r="AD119" s="344">
        <f>IFERROR(100%-(BASE_DATOS[[#This Row],[NSK Reen]]/BASE_DATOS[[#This Row],[NSK Original]]),"")</f>
        <v>0.63636363636363635</v>
      </c>
      <c r="AE119" s="344">
        <f>IFERROR(100%-BASE_DATOS[[#This Row],[NSK]]/BASE_DATOS[[#This Row],[NSK Original]],"")</f>
        <v>0.33333333333333337</v>
      </c>
      <c r="AF119" s="344">
        <f>IFERROR(BASE_DATOS[[#This Row],[% Max Des.]]-BASE_DATOS[[#This Row],[% Des]],"")</f>
        <v>0.30303030303030298</v>
      </c>
      <c r="AG119" s="287"/>
      <c r="AH119" s="273"/>
      <c r="AI119" s="363" t="str">
        <f>IF(OR(BASE_DATOS[[#This Row],[Hr.]]="",BASE_DATOS[[#This Row],[Hr. Actual]]=""),"",BASE_DATOS[[#This Row],[Hr. Actual]]-BASE_DATOS[[#This Row],[Hr.]]+BASE_DATOS[[#This Row],[Horas Acumuladas]])</f>
        <v/>
      </c>
      <c r="AJ119" s="364" t="str">
        <f>IFERROR(BASE_DATOS[[#This Row],[Precio US$]]/BASE_DATOS[[#This Row],[Horas Rodadas]],"")</f>
        <v/>
      </c>
      <c r="AK119" s="365" t="str">
        <f>IFERROR(BASE_DATOS[[#This Row],[Horas Rodadas]]/(BASE_DATOS[[#This Row],[NSK Original]]-BASE_DATOS[[#This Row],[NSK]]),"")</f>
        <v/>
      </c>
      <c r="AL11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19" s="366" t="str">
        <f>IFERROR(BASE_DATOS[[#This Row],[Precio US$]]/BASE_DATOS[[#This Row],[Horas Proy.]],"")</f>
        <v/>
      </c>
      <c r="AN119" s="176" t="str">
        <f>IF(OR(BASE_DATOS[[#This Row],[Km.]]="",BASE_DATOS[[#This Row],[Km. Actual]]=""),"",BASE_DATOS[[#This Row],[Km. Actual]]-BASE_DATOS[[#This Row],[Km.]]+BASE_DATOS[[#This Row],[Kilómetros Acumulados]])</f>
        <v/>
      </c>
      <c r="AO119" s="177" t="str">
        <f>IFERROR(BASE_DATOS[[#This Row],[Precio US$]]/BASE_DATOS[[#This Row],[Kilómetros Rodados]],"")</f>
        <v/>
      </c>
      <c r="AP119" s="176" t="str">
        <f>IFERROR(BASE_DATOS[[#This Row],[Kilómetros Rodados]]/(BASE_DATOS[[#This Row],[NSK Original]]-BASE_DATOS[[#This Row],[NSK]]),"")</f>
        <v/>
      </c>
      <c r="AQ11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19" s="177" t="str">
        <f>IFERROR(BASE_DATOS[[#This Row],[Precio US$]]/BASE_DATOS[[#This Row],[Kilómetros Proy.]],"")</f>
        <v/>
      </c>
      <c r="AS119" s="167" t="s">
        <v>62</v>
      </c>
      <c r="AT119" s="167"/>
      <c r="AU119" s="167"/>
      <c r="AV119" s="167" t="s">
        <v>515</v>
      </c>
      <c r="AW119" s="179"/>
      <c r="AX119" s="179"/>
      <c r="AY119" s="179" t="str">
        <f>CONCATENATE(BASE_DATOS[[#This Row],[Código_U]]&amp;BASE_DATOS[[#This Row],[Pos.]]&amp;BASE_DATOS[[#This Row],[Situación Actual]])</f>
        <v>SR-1204Rodando</v>
      </c>
    </row>
    <row r="120" spans="1:51" ht="12" x14ac:dyDescent="0.25">
      <c r="A120" s="227" t="s">
        <v>131</v>
      </c>
      <c r="B120" s="217" t="s">
        <v>132</v>
      </c>
      <c r="C120" s="228" t="s">
        <v>295</v>
      </c>
      <c r="D120" s="229" t="s">
        <v>87</v>
      </c>
      <c r="E120" s="255"/>
      <c r="F120" s="256" t="s">
        <v>97</v>
      </c>
      <c r="G120" s="256" t="s">
        <v>269</v>
      </c>
      <c r="H120" s="257" t="str">
        <f>IF(BASE_DATOS[[#This Row],[N-R]]="N",BASE_DATOS[[#This Row],[Diseño]],"Reencauche")</f>
        <v>AGC28</v>
      </c>
      <c r="I120" s="256" t="s">
        <v>270</v>
      </c>
      <c r="J120" s="243" t="s">
        <v>72</v>
      </c>
      <c r="K120" s="258">
        <v>16.5</v>
      </c>
      <c r="L120" s="256">
        <v>110</v>
      </c>
      <c r="M120" s="259"/>
      <c r="N120" s="260"/>
      <c r="O120" s="277"/>
      <c r="P120" s="278"/>
      <c r="Q120" s="279"/>
      <c r="R120" s="309" t="s">
        <v>102</v>
      </c>
      <c r="S120" s="310">
        <v>45385</v>
      </c>
      <c r="T120" s="313"/>
      <c r="U120" s="279"/>
      <c r="V120" s="227">
        <v>9</v>
      </c>
      <c r="W120" s="281">
        <v>8</v>
      </c>
      <c r="X120" s="282">
        <v>9</v>
      </c>
      <c r="Y120" s="293">
        <f t="shared" si="5"/>
        <v>8</v>
      </c>
      <c r="Z120" s="175" t="s">
        <v>85</v>
      </c>
      <c r="AA120" s="342">
        <f>IFERROR(BASE_DATOS[[#This Row],[NSK Original]]-BASE_DATOS[[#This Row],[NSK]]," ")</f>
        <v>8.5</v>
      </c>
      <c r="AB120" s="343">
        <f>'NSK-TRACTO'!$A$2</f>
        <v>6</v>
      </c>
      <c r="AC120" s="343">
        <f>IF(BASE_DATOS[[#This Row],[NSK]]&gt;=BASE_DATOS[[#This Row],[NSK Reen]],BASE_DATOS[[#This Row],[NSK Reen]],BASE_DATOS[[#This Row],[NSK]])</f>
        <v>6</v>
      </c>
      <c r="AD120" s="344">
        <f>IFERROR(100%-(BASE_DATOS[[#This Row],[NSK Reen]]/BASE_DATOS[[#This Row],[NSK Original]]),"")</f>
        <v>0.63636363636363635</v>
      </c>
      <c r="AE120" s="344">
        <f>IFERROR(100%-BASE_DATOS[[#This Row],[NSK]]/BASE_DATOS[[#This Row],[NSK Original]],"")</f>
        <v>0.51515151515151514</v>
      </c>
      <c r="AF120" s="344">
        <f>IFERROR(BASE_DATOS[[#This Row],[% Max Des.]]-BASE_DATOS[[#This Row],[% Des]],"")</f>
        <v>0.12121212121212122</v>
      </c>
      <c r="AG120" s="287"/>
      <c r="AH120" s="273"/>
      <c r="AI120" s="363" t="str">
        <f>IF(OR(BASE_DATOS[[#This Row],[Hr.]]="",BASE_DATOS[[#This Row],[Hr. Actual]]=""),"",BASE_DATOS[[#This Row],[Hr. Actual]]-BASE_DATOS[[#This Row],[Hr.]]+BASE_DATOS[[#This Row],[Horas Acumuladas]])</f>
        <v/>
      </c>
      <c r="AJ120" s="364" t="str">
        <f>IFERROR(BASE_DATOS[[#This Row],[Precio US$]]/BASE_DATOS[[#This Row],[Horas Rodadas]],"")</f>
        <v/>
      </c>
      <c r="AK120" s="365" t="str">
        <f>IFERROR(BASE_DATOS[[#This Row],[Horas Rodadas]]/(BASE_DATOS[[#This Row],[NSK Original]]-BASE_DATOS[[#This Row],[NSK]]),"")</f>
        <v/>
      </c>
      <c r="AL12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20" s="366" t="str">
        <f>IFERROR(BASE_DATOS[[#This Row],[Precio US$]]/BASE_DATOS[[#This Row],[Horas Proy.]],"")</f>
        <v/>
      </c>
      <c r="AN120" s="176" t="str">
        <f>IF(OR(BASE_DATOS[[#This Row],[Km.]]="",BASE_DATOS[[#This Row],[Km. Actual]]=""),"",BASE_DATOS[[#This Row],[Km. Actual]]-BASE_DATOS[[#This Row],[Km.]]+BASE_DATOS[[#This Row],[Kilómetros Acumulados]])</f>
        <v/>
      </c>
      <c r="AO120" s="177" t="str">
        <f>IFERROR(BASE_DATOS[[#This Row],[Precio US$]]/BASE_DATOS[[#This Row],[Kilómetros Rodados]],"")</f>
        <v/>
      </c>
      <c r="AP120" s="176" t="str">
        <f>IFERROR(BASE_DATOS[[#This Row],[Kilómetros Rodados]]/(BASE_DATOS[[#This Row],[NSK Original]]-BASE_DATOS[[#This Row],[NSK]]),"")</f>
        <v/>
      </c>
      <c r="AQ12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20" s="177" t="str">
        <f>IFERROR(BASE_DATOS[[#This Row],[Precio US$]]/BASE_DATOS[[#This Row],[Kilómetros Proy.]],"")</f>
        <v/>
      </c>
      <c r="AS120" s="167" t="s">
        <v>62</v>
      </c>
      <c r="AT120" s="167"/>
      <c r="AU120" s="167"/>
      <c r="AV120" s="167" t="s">
        <v>515</v>
      </c>
      <c r="AW120" s="179"/>
      <c r="AX120" s="179"/>
      <c r="AY120" s="179" t="str">
        <f>CONCATENATE(BASE_DATOS[[#This Row],[Código_U]]&amp;BASE_DATOS[[#This Row],[Pos.]]&amp;BASE_DATOS[[#This Row],[Situación Actual]])</f>
        <v>SR-1205Rodando</v>
      </c>
    </row>
    <row r="121" spans="1:51" ht="12" x14ac:dyDescent="0.25">
      <c r="A121" s="227" t="s">
        <v>131</v>
      </c>
      <c r="B121" s="217" t="s">
        <v>132</v>
      </c>
      <c r="C121" s="228" t="s">
        <v>295</v>
      </c>
      <c r="D121" s="229" t="s">
        <v>87</v>
      </c>
      <c r="E121" s="248" t="s">
        <v>415</v>
      </c>
      <c r="F121" s="256" t="s">
        <v>97</v>
      </c>
      <c r="G121" s="256" t="s">
        <v>269</v>
      </c>
      <c r="H121" s="257" t="str">
        <f>IF(BASE_DATOS[[#This Row],[N-R]]="N",BASE_DATOS[[#This Row],[Diseño]],"Reencauche")</f>
        <v>AGC28</v>
      </c>
      <c r="I121" s="256" t="s">
        <v>270</v>
      </c>
      <c r="J121" s="243" t="s">
        <v>72</v>
      </c>
      <c r="K121" s="258">
        <v>16.5</v>
      </c>
      <c r="L121" s="256">
        <v>110</v>
      </c>
      <c r="M121" s="259"/>
      <c r="N121" s="260"/>
      <c r="O121" s="277"/>
      <c r="P121" s="278"/>
      <c r="Q121" s="279"/>
      <c r="R121" s="309" t="s">
        <v>103</v>
      </c>
      <c r="S121" s="310">
        <v>45385</v>
      </c>
      <c r="T121" s="313"/>
      <c r="U121" s="279"/>
      <c r="V121" s="227">
        <v>9</v>
      </c>
      <c r="W121" s="281">
        <v>8</v>
      </c>
      <c r="X121" s="282">
        <v>9</v>
      </c>
      <c r="Y121" s="293">
        <f t="shared" si="5"/>
        <v>8</v>
      </c>
      <c r="Z121" s="175" t="s">
        <v>85</v>
      </c>
      <c r="AA121" s="342">
        <f>IFERROR(BASE_DATOS[[#This Row],[NSK Original]]-BASE_DATOS[[#This Row],[NSK]]," ")</f>
        <v>8.5</v>
      </c>
      <c r="AB121" s="343">
        <f>'NSK-TRACTO'!$A$2</f>
        <v>6</v>
      </c>
      <c r="AC121" s="343">
        <f>IF(BASE_DATOS[[#This Row],[NSK]]&gt;=BASE_DATOS[[#This Row],[NSK Reen]],BASE_DATOS[[#This Row],[NSK Reen]],BASE_DATOS[[#This Row],[NSK]])</f>
        <v>6</v>
      </c>
      <c r="AD121" s="344">
        <f>IFERROR(100%-(BASE_DATOS[[#This Row],[NSK Reen]]/BASE_DATOS[[#This Row],[NSK Original]]),"")</f>
        <v>0.63636363636363635</v>
      </c>
      <c r="AE121" s="344">
        <f>IFERROR(100%-BASE_DATOS[[#This Row],[NSK]]/BASE_DATOS[[#This Row],[NSK Original]],"")</f>
        <v>0.51515151515151514</v>
      </c>
      <c r="AF121" s="344">
        <f>IFERROR(BASE_DATOS[[#This Row],[% Max Des.]]-BASE_DATOS[[#This Row],[% Des]],"")</f>
        <v>0.12121212121212122</v>
      </c>
      <c r="AG121" s="287"/>
      <c r="AH121" s="273"/>
      <c r="AI121" s="363" t="str">
        <f>IF(OR(BASE_DATOS[[#This Row],[Hr.]]="",BASE_DATOS[[#This Row],[Hr. Actual]]=""),"",BASE_DATOS[[#This Row],[Hr. Actual]]-BASE_DATOS[[#This Row],[Hr.]]+BASE_DATOS[[#This Row],[Horas Acumuladas]])</f>
        <v/>
      </c>
      <c r="AJ121" s="364" t="str">
        <f>IFERROR(BASE_DATOS[[#This Row],[Precio US$]]/BASE_DATOS[[#This Row],[Horas Rodadas]],"")</f>
        <v/>
      </c>
      <c r="AK121" s="365" t="str">
        <f>IFERROR(BASE_DATOS[[#This Row],[Horas Rodadas]]/(BASE_DATOS[[#This Row],[NSK Original]]-BASE_DATOS[[#This Row],[NSK]]),"")</f>
        <v/>
      </c>
      <c r="AL12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21" s="366" t="str">
        <f>IFERROR(BASE_DATOS[[#This Row],[Precio US$]]/BASE_DATOS[[#This Row],[Horas Proy.]],"")</f>
        <v/>
      </c>
      <c r="AN121" s="176" t="str">
        <f>IF(OR(BASE_DATOS[[#This Row],[Km.]]="",BASE_DATOS[[#This Row],[Km. Actual]]=""),"",BASE_DATOS[[#This Row],[Km. Actual]]-BASE_DATOS[[#This Row],[Km.]]+BASE_DATOS[[#This Row],[Kilómetros Acumulados]])</f>
        <v/>
      </c>
      <c r="AO121" s="177" t="str">
        <f>IFERROR(BASE_DATOS[[#This Row],[Precio US$]]/BASE_DATOS[[#This Row],[Kilómetros Rodados]],"")</f>
        <v/>
      </c>
      <c r="AP121" s="176" t="str">
        <f>IFERROR(BASE_DATOS[[#This Row],[Kilómetros Rodados]]/(BASE_DATOS[[#This Row],[NSK Original]]-BASE_DATOS[[#This Row],[NSK]]),"")</f>
        <v/>
      </c>
      <c r="AQ12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21" s="177" t="str">
        <f>IFERROR(BASE_DATOS[[#This Row],[Precio US$]]/BASE_DATOS[[#This Row],[Kilómetros Proy.]],"")</f>
        <v/>
      </c>
      <c r="AS121" s="167" t="s">
        <v>62</v>
      </c>
      <c r="AT121" s="167"/>
      <c r="AU121" s="167"/>
      <c r="AV121" s="167" t="s">
        <v>515</v>
      </c>
      <c r="AW121" s="179"/>
      <c r="AX121" s="179"/>
      <c r="AY121" s="179" t="str">
        <f>CONCATENATE(BASE_DATOS[[#This Row],[Código_U]]&amp;BASE_DATOS[[#This Row],[Pos.]]&amp;BASE_DATOS[[#This Row],[Situación Actual]])</f>
        <v>SR-1206Rodando</v>
      </c>
    </row>
    <row r="122" spans="1:51" ht="12" x14ac:dyDescent="0.25">
      <c r="A122" s="227" t="s">
        <v>131</v>
      </c>
      <c r="B122" s="217" t="s">
        <v>132</v>
      </c>
      <c r="C122" s="228" t="s">
        <v>295</v>
      </c>
      <c r="D122" s="229" t="s">
        <v>384</v>
      </c>
      <c r="E122" s="255"/>
      <c r="F122" s="256" t="s">
        <v>273</v>
      </c>
      <c r="G122" s="256" t="s">
        <v>274</v>
      </c>
      <c r="H122" s="257" t="str">
        <f>IF(BASE_DATOS[[#This Row],[N-R]]="N",BASE_DATOS[[#This Row],[Diseño]],"Reencauche")</f>
        <v>XZY3</v>
      </c>
      <c r="I122" s="256" t="s">
        <v>277</v>
      </c>
      <c r="J122" s="243" t="s">
        <v>72</v>
      </c>
      <c r="K122" s="258">
        <v>0</v>
      </c>
      <c r="L122" s="256">
        <v>110</v>
      </c>
      <c r="M122" s="259"/>
      <c r="N122" s="260"/>
      <c r="O122" s="277"/>
      <c r="P122" s="278"/>
      <c r="Q122" s="279"/>
      <c r="R122" s="309" t="s">
        <v>509</v>
      </c>
      <c r="S122" s="310">
        <v>45385</v>
      </c>
      <c r="T122" s="313"/>
      <c r="U122" s="279"/>
      <c r="V122" s="227">
        <v>6</v>
      </c>
      <c r="W122" s="281">
        <v>6</v>
      </c>
      <c r="X122" s="282">
        <v>6</v>
      </c>
      <c r="Y122" s="293">
        <f t="shared" si="5"/>
        <v>6</v>
      </c>
      <c r="Z122" s="175" t="s">
        <v>85</v>
      </c>
      <c r="AA122" s="342">
        <f>IFERROR(BASE_DATOS[[#This Row],[NSK Original]]-BASE_DATOS[[#This Row],[NSK]]," ")</f>
        <v>-6</v>
      </c>
      <c r="AB122" s="343">
        <f>'NSK-TRACTO'!$A$2</f>
        <v>6</v>
      </c>
      <c r="AC122" s="343">
        <f>IF(BASE_DATOS[[#This Row],[NSK]]&gt;=BASE_DATOS[[#This Row],[NSK Reen]],BASE_DATOS[[#This Row],[NSK Reen]],BASE_DATOS[[#This Row],[NSK]])</f>
        <v>6</v>
      </c>
      <c r="AD122" s="344" t="str">
        <f>IFERROR(100%-(BASE_DATOS[[#This Row],[NSK Reen]]/BASE_DATOS[[#This Row],[NSK Original]]),"")</f>
        <v/>
      </c>
      <c r="AE122" s="344" t="str">
        <f>IFERROR(100%-BASE_DATOS[[#This Row],[NSK]]/BASE_DATOS[[#This Row],[NSK Original]],"")</f>
        <v/>
      </c>
      <c r="AF122" s="344" t="str">
        <f>IFERROR(BASE_DATOS[[#This Row],[% Max Des.]]-BASE_DATOS[[#This Row],[% Des]],"")</f>
        <v/>
      </c>
      <c r="AG122" s="287"/>
      <c r="AH122" s="273"/>
      <c r="AI122" s="363" t="str">
        <f>IF(OR(BASE_DATOS[[#This Row],[Hr.]]="",BASE_DATOS[[#This Row],[Hr. Actual]]=""),"",BASE_DATOS[[#This Row],[Hr. Actual]]-BASE_DATOS[[#This Row],[Hr.]]+BASE_DATOS[[#This Row],[Horas Acumuladas]])</f>
        <v/>
      </c>
      <c r="AJ122" s="364" t="str">
        <f>IFERROR(BASE_DATOS[[#This Row],[Precio US$]]/BASE_DATOS[[#This Row],[Horas Rodadas]],"")</f>
        <v/>
      </c>
      <c r="AK122" s="365" t="str">
        <f>IFERROR(BASE_DATOS[[#This Row],[Horas Rodadas]]/(BASE_DATOS[[#This Row],[NSK Original]]-BASE_DATOS[[#This Row],[NSK]]),"")</f>
        <v/>
      </c>
      <c r="AL12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22" s="366" t="str">
        <f>IFERROR(BASE_DATOS[[#This Row],[Precio US$]]/BASE_DATOS[[#This Row],[Horas Proy.]],"")</f>
        <v/>
      </c>
      <c r="AN122" s="176" t="str">
        <f>IF(OR(BASE_DATOS[[#This Row],[Km.]]="",BASE_DATOS[[#This Row],[Km. Actual]]=""),"",BASE_DATOS[[#This Row],[Km. Actual]]-BASE_DATOS[[#This Row],[Km.]]+BASE_DATOS[[#This Row],[Kilómetros Acumulados]])</f>
        <v/>
      </c>
      <c r="AO122" s="177" t="str">
        <f>IFERROR(BASE_DATOS[[#This Row],[Precio US$]]/BASE_DATOS[[#This Row],[Kilómetros Rodados]],"")</f>
        <v/>
      </c>
      <c r="AP122" s="176" t="str">
        <f>IFERROR(BASE_DATOS[[#This Row],[Kilómetros Rodados]]/(BASE_DATOS[[#This Row],[NSK Original]]-BASE_DATOS[[#This Row],[NSK]]),"")</f>
        <v/>
      </c>
      <c r="AQ12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22" s="177" t="str">
        <f>IFERROR(BASE_DATOS[[#This Row],[Precio US$]]/BASE_DATOS[[#This Row],[Kilómetros Proy.]],"")</f>
        <v/>
      </c>
      <c r="AS122" s="167" t="s">
        <v>62</v>
      </c>
      <c r="AT122" s="167"/>
      <c r="AU122" s="167"/>
      <c r="AV122" s="167"/>
      <c r="AW122" s="179"/>
      <c r="AX122" s="179"/>
      <c r="AY122" s="179" t="str">
        <f>CONCATENATE(BASE_DATOS[[#This Row],[Código_U]]&amp;BASE_DATOS[[#This Row],[Pos.]]&amp;BASE_DATOS[[#This Row],[Situación Actual]])</f>
        <v>SR-120RERodando</v>
      </c>
    </row>
    <row r="123" spans="1:51" ht="12" x14ac:dyDescent="0.25">
      <c r="A123" s="227" t="s">
        <v>131</v>
      </c>
      <c r="B123" s="217" t="s">
        <v>132</v>
      </c>
      <c r="C123" s="228" t="s">
        <v>295</v>
      </c>
      <c r="D123" s="229" t="s">
        <v>108</v>
      </c>
      <c r="E123" s="255"/>
      <c r="F123" s="256" t="s">
        <v>273</v>
      </c>
      <c r="G123" s="256" t="s">
        <v>271</v>
      </c>
      <c r="H123" s="257" t="str">
        <f>IF(BASE_DATOS[[#This Row],[N-R]]="N",BASE_DATOS[[#This Row],[Diseño]],"Reencauche")</f>
        <v>XMULTI2D</v>
      </c>
      <c r="I123" s="256" t="s">
        <v>299</v>
      </c>
      <c r="J123" s="243" t="s">
        <v>72</v>
      </c>
      <c r="K123" s="258">
        <v>21.4</v>
      </c>
      <c r="L123" s="256">
        <v>110</v>
      </c>
      <c r="M123" s="259"/>
      <c r="N123" s="260"/>
      <c r="O123" s="277"/>
      <c r="P123" s="278"/>
      <c r="Q123" s="279"/>
      <c r="R123" s="309" t="s">
        <v>108</v>
      </c>
      <c r="S123" s="310">
        <v>45385</v>
      </c>
      <c r="T123" s="313"/>
      <c r="U123" s="279"/>
      <c r="V123" s="227">
        <v>21</v>
      </c>
      <c r="W123" s="281"/>
      <c r="X123" s="282">
        <v>21</v>
      </c>
      <c r="Y123" s="293">
        <f t="shared" si="5"/>
        <v>21</v>
      </c>
      <c r="Z123" s="175" t="s">
        <v>85</v>
      </c>
      <c r="AA123" s="342">
        <f>IFERROR(BASE_DATOS[[#This Row],[NSK Original]]-BASE_DATOS[[#This Row],[NSK]]," ")</f>
        <v>0.39999999999999858</v>
      </c>
      <c r="AB123" s="343">
        <f>'NSK-TRACTO'!$A$2</f>
        <v>6</v>
      </c>
      <c r="AC123" s="343">
        <f>IF(BASE_DATOS[[#This Row],[NSK]]&gt;=BASE_DATOS[[#This Row],[NSK Reen]],BASE_DATOS[[#This Row],[NSK Reen]],BASE_DATOS[[#This Row],[NSK]])</f>
        <v>6</v>
      </c>
      <c r="AD123" s="344">
        <f>IFERROR(100%-(BASE_DATOS[[#This Row],[NSK Reen]]/BASE_DATOS[[#This Row],[NSK Original]]),"")</f>
        <v>0.71962616822429903</v>
      </c>
      <c r="AE123" s="344">
        <f>IFERROR(100%-BASE_DATOS[[#This Row],[NSK]]/BASE_DATOS[[#This Row],[NSK Original]],"")</f>
        <v>1.869158878504662E-2</v>
      </c>
      <c r="AF123" s="344">
        <f>IFERROR(BASE_DATOS[[#This Row],[% Max Des.]]-BASE_DATOS[[#This Row],[% Des]],"")</f>
        <v>0.70093457943925241</v>
      </c>
      <c r="AG123" s="287"/>
      <c r="AH123" s="273"/>
      <c r="AI123" s="363" t="str">
        <f>IF(OR(BASE_DATOS[[#This Row],[Hr.]]="",BASE_DATOS[[#This Row],[Hr. Actual]]=""),"",BASE_DATOS[[#This Row],[Hr. Actual]]-BASE_DATOS[[#This Row],[Hr.]]+BASE_DATOS[[#This Row],[Horas Acumuladas]])</f>
        <v/>
      </c>
      <c r="AJ123" s="364" t="str">
        <f>IFERROR(BASE_DATOS[[#This Row],[Precio US$]]/BASE_DATOS[[#This Row],[Horas Rodadas]],"")</f>
        <v/>
      </c>
      <c r="AK123" s="365" t="str">
        <f>IFERROR(BASE_DATOS[[#This Row],[Horas Rodadas]]/(BASE_DATOS[[#This Row],[NSK Original]]-BASE_DATOS[[#This Row],[NSK]]),"")</f>
        <v/>
      </c>
      <c r="AL12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23" s="366" t="str">
        <f>IFERROR(BASE_DATOS[[#This Row],[Precio US$]]/BASE_DATOS[[#This Row],[Horas Proy.]],"")</f>
        <v/>
      </c>
      <c r="AN123" s="176" t="str">
        <f>IF(OR(BASE_DATOS[[#This Row],[Km.]]="",BASE_DATOS[[#This Row],[Km. Actual]]=""),"",BASE_DATOS[[#This Row],[Km. Actual]]-BASE_DATOS[[#This Row],[Km.]]+BASE_DATOS[[#This Row],[Kilómetros Acumulados]])</f>
        <v/>
      </c>
      <c r="AO123" s="177" t="str">
        <f>IFERROR(BASE_DATOS[[#This Row],[Precio US$]]/BASE_DATOS[[#This Row],[Kilómetros Rodados]],"")</f>
        <v/>
      </c>
      <c r="AP123" s="176" t="str">
        <f>IFERROR(BASE_DATOS[[#This Row],[Kilómetros Rodados]]/(BASE_DATOS[[#This Row],[NSK Original]]-BASE_DATOS[[#This Row],[NSK]]),"")</f>
        <v/>
      </c>
      <c r="AQ12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23" s="177" t="str">
        <f>IFERROR(BASE_DATOS[[#This Row],[Precio US$]]/BASE_DATOS[[#This Row],[Kilómetros Proy.]],"")</f>
        <v/>
      </c>
      <c r="AS123" s="167" t="s">
        <v>62</v>
      </c>
      <c r="AT123" s="167"/>
      <c r="AU123" s="167"/>
      <c r="AV123" s="167"/>
      <c r="AW123" s="179"/>
      <c r="AX123" s="179"/>
      <c r="AY123" s="179" t="str">
        <f>CONCATENATE(BASE_DATOS[[#This Row],[Código_U]]&amp;BASE_DATOS[[#This Row],[Pos.]]&amp;BASE_DATOS[[#This Row],[Situación Actual]])</f>
        <v>SR-120RTRodando</v>
      </c>
    </row>
    <row r="124" spans="1:51" ht="12" x14ac:dyDescent="0.25">
      <c r="A124" s="224" t="s">
        <v>133</v>
      </c>
      <c r="B124" s="213" t="s">
        <v>134</v>
      </c>
      <c r="C124" s="225" t="s">
        <v>296</v>
      </c>
      <c r="D124" s="226" t="s">
        <v>86</v>
      </c>
      <c r="E124" s="249"/>
      <c r="F124" s="250" t="s">
        <v>273</v>
      </c>
      <c r="G124" s="250" t="s">
        <v>271</v>
      </c>
      <c r="H124" s="251" t="str">
        <f>IF(BASE_DATOS[[#This Row],[N-R]]="N",BASE_DATOS[[#This Row],[Diseño]],"Reencauche")</f>
        <v>XMULTI+Z</v>
      </c>
      <c r="I124" s="250" t="s">
        <v>297</v>
      </c>
      <c r="J124" s="235" t="s">
        <v>72</v>
      </c>
      <c r="K124" s="252">
        <v>16</v>
      </c>
      <c r="L124" s="233">
        <v>100</v>
      </c>
      <c r="M124" s="253"/>
      <c r="N124" s="254"/>
      <c r="O124" s="274"/>
      <c r="P124" s="275"/>
      <c r="Q124" s="276"/>
      <c r="R124" s="305" t="s">
        <v>98</v>
      </c>
      <c r="S124" s="306">
        <v>45384</v>
      </c>
      <c r="T124" s="314"/>
      <c r="U124" s="276"/>
      <c r="V124" s="224">
        <v>14</v>
      </c>
      <c r="W124" s="325">
        <v>14</v>
      </c>
      <c r="X124" s="326">
        <v>14</v>
      </c>
      <c r="Y124" s="292">
        <f t="shared" ref="Y124:Y167" si="6">IFERROR(MIN(V124:X124),"")</f>
        <v>14</v>
      </c>
      <c r="Z124" s="194" t="s">
        <v>85</v>
      </c>
      <c r="AA124" s="339">
        <f>IFERROR(BASE_DATOS[[#This Row],[NSK Original]]-BASE_DATOS[[#This Row],[NSK]]," ")</f>
        <v>2</v>
      </c>
      <c r="AB124" s="340">
        <f>'NSK-TRACTO'!$A$2</f>
        <v>6</v>
      </c>
      <c r="AC124" s="340">
        <f>IF(BASE_DATOS[[#This Row],[NSK]]&gt;=BASE_DATOS[[#This Row],[NSK Reen]],BASE_DATOS[[#This Row],[NSK Reen]],BASE_DATOS[[#This Row],[NSK]])</f>
        <v>6</v>
      </c>
      <c r="AD124" s="341">
        <f>IFERROR(100%-(BASE_DATOS[[#This Row],[NSK Reen]]/BASE_DATOS[[#This Row],[NSK Original]]),"")</f>
        <v>0.625</v>
      </c>
      <c r="AE124" s="341">
        <f>IFERROR(100%-BASE_DATOS[[#This Row],[NSK]]/BASE_DATOS[[#This Row],[NSK Original]],"")</f>
        <v>0.125</v>
      </c>
      <c r="AF124" s="341">
        <f>IFERROR(BASE_DATOS[[#This Row],[% Max Des.]]-BASE_DATOS[[#This Row],[% Des]],"")</f>
        <v>0.5</v>
      </c>
      <c r="AG124" s="284"/>
      <c r="AH124" s="335"/>
      <c r="AI124" s="359" t="str">
        <f>IF(OR(BASE_DATOS[[#This Row],[Hr.]]="",BASE_DATOS[[#This Row],[Hr. Actual]]=""),"",BASE_DATOS[[#This Row],[Hr. Actual]]-BASE_DATOS[[#This Row],[Hr.]]+BASE_DATOS[[#This Row],[Horas Acumuladas]])</f>
        <v/>
      </c>
      <c r="AJ124" s="360" t="str">
        <f>IFERROR(BASE_DATOS[[#This Row],[Precio US$]]/BASE_DATOS[[#This Row],[Horas Rodadas]],"")</f>
        <v/>
      </c>
      <c r="AK124" s="361" t="str">
        <f>IFERROR(BASE_DATOS[[#This Row],[Horas Rodadas]]/(BASE_DATOS[[#This Row],[NSK Original]]-BASE_DATOS[[#This Row],[NSK]]),"")</f>
        <v/>
      </c>
      <c r="AL124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24" s="362" t="str">
        <f>IFERROR(BASE_DATOS[[#This Row],[Precio US$]]/BASE_DATOS[[#This Row],[Horas Proy.]],"")</f>
        <v/>
      </c>
      <c r="AN124" s="195" t="str">
        <f>IF(OR(BASE_DATOS[[#This Row],[Km.]]="",BASE_DATOS[[#This Row],[Km. Actual]]=""),"",BASE_DATOS[[#This Row],[Km. Actual]]-BASE_DATOS[[#This Row],[Km.]]+BASE_DATOS[[#This Row],[Kilómetros Acumulados]])</f>
        <v/>
      </c>
      <c r="AO124" s="196" t="str">
        <f>IFERROR(BASE_DATOS[[#This Row],[Precio US$]]/BASE_DATOS[[#This Row],[Kilómetros Rodados]],"")</f>
        <v/>
      </c>
      <c r="AP124" s="195" t="str">
        <f>IFERROR(BASE_DATOS[[#This Row],[Kilómetros Rodados]]/(BASE_DATOS[[#This Row],[NSK Original]]-BASE_DATOS[[#This Row],[NSK]]),"")</f>
        <v/>
      </c>
      <c r="AQ124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24" s="196" t="str">
        <f>IFERROR(BASE_DATOS[[#This Row],[Precio US$]]/BASE_DATOS[[#This Row],[Kilómetros Proy.]],"")</f>
        <v/>
      </c>
      <c r="AS124" s="191" t="s">
        <v>62</v>
      </c>
      <c r="AT124" s="191"/>
      <c r="AU124" s="191"/>
      <c r="AV124" s="191"/>
      <c r="AW124" s="198"/>
      <c r="AX124" s="192"/>
      <c r="AY124" s="192" t="str">
        <f>CONCATENATE(BASE_DATOS[[#This Row],[Código_U]]&amp;BASE_DATOS[[#This Row],[Pos.]]&amp;BASE_DATOS[[#This Row],[Situación Actual]])</f>
        <v>TC-1261Rodando</v>
      </c>
    </row>
    <row r="125" spans="1:51" ht="12" x14ac:dyDescent="0.25">
      <c r="A125" s="227" t="s">
        <v>133</v>
      </c>
      <c r="B125" s="217" t="s">
        <v>134</v>
      </c>
      <c r="C125" s="228" t="s">
        <v>296</v>
      </c>
      <c r="D125" s="229" t="s">
        <v>86</v>
      </c>
      <c r="E125" s="255"/>
      <c r="F125" s="256" t="s">
        <v>273</v>
      </c>
      <c r="G125" s="256" t="s">
        <v>271</v>
      </c>
      <c r="H125" s="257" t="str">
        <f>IF(BASE_DATOS[[#This Row],[N-R]]="N",BASE_DATOS[[#This Row],[Diseño]],"Reencauche")</f>
        <v>XMULTI+Z</v>
      </c>
      <c r="I125" s="256" t="s">
        <v>297</v>
      </c>
      <c r="J125" s="243" t="s">
        <v>72</v>
      </c>
      <c r="K125" s="258">
        <v>16</v>
      </c>
      <c r="L125" s="241">
        <v>100</v>
      </c>
      <c r="M125" s="259"/>
      <c r="N125" s="260"/>
      <c r="O125" s="277"/>
      <c r="P125" s="278"/>
      <c r="Q125" s="279"/>
      <c r="R125" s="309" t="s">
        <v>99</v>
      </c>
      <c r="S125" s="310">
        <v>45384</v>
      </c>
      <c r="T125" s="313"/>
      <c r="U125" s="279"/>
      <c r="V125" s="227">
        <v>14</v>
      </c>
      <c r="W125" s="281">
        <v>14</v>
      </c>
      <c r="X125" s="282">
        <v>14</v>
      </c>
      <c r="Y125" s="293">
        <f t="shared" si="6"/>
        <v>14</v>
      </c>
      <c r="Z125" s="175" t="s">
        <v>85</v>
      </c>
      <c r="AA125" s="342">
        <f>IFERROR(BASE_DATOS[[#This Row],[NSK Original]]-BASE_DATOS[[#This Row],[NSK]]," ")</f>
        <v>2</v>
      </c>
      <c r="AB125" s="343">
        <f>'NSK-TRACTO'!$A$2</f>
        <v>6</v>
      </c>
      <c r="AC125" s="343">
        <f>IF(BASE_DATOS[[#This Row],[NSK]]&gt;=BASE_DATOS[[#This Row],[NSK Reen]],BASE_DATOS[[#This Row],[NSK Reen]],BASE_DATOS[[#This Row],[NSK]])</f>
        <v>6</v>
      </c>
      <c r="AD125" s="344">
        <f>IFERROR(100%-(BASE_DATOS[[#This Row],[NSK Reen]]/BASE_DATOS[[#This Row],[NSK Original]]),"")</f>
        <v>0.625</v>
      </c>
      <c r="AE125" s="344">
        <f>IFERROR(100%-BASE_DATOS[[#This Row],[NSK]]/BASE_DATOS[[#This Row],[NSK Original]],"")</f>
        <v>0.125</v>
      </c>
      <c r="AF125" s="344">
        <f>IFERROR(BASE_DATOS[[#This Row],[% Max Des.]]-BASE_DATOS[[#This Row],[% Des]],"")</f>
        <v>0.5</v>
      </c>
      <c r="AG125" s="287"/>
      <c r="AH125" s="273"/>
      <c r="AI125" s="363" t="str">
        <f>IF(OR(BASE_DATOS[[#This Row],[Hr.]]="",BASE_DATOS[[#This Row],[Hr. Actual]]=""),"",BASE_DATOS[[#This Row],[Hr. Actual]]-BASE_DATOS[[#This Row],[Hr.]]+BASE_DATOS[[#This Row],[Horas Acumuladas]])</f>
        <v/>
      </c>
      <c r="AJ125" s="364" t="str">
        <f>IFERROR(BASE_DATOS[[#This Row],[Precio US$]]/BASE_DATOS[[#This Row],[Horas Rodadas]],"")</f>
        <v/>
      </c>
      <c r="AK125" s="365" t="str">
        <f>IFERROR(BASE_DATOS[[#This Row],[Horas Rodadas]]/(BASE_DATOS[[#This Row],[NSK Original]]-BASE_DATOS[[#This Row],[NSK]]),"")</f>
        <v/>
      </c>
      <c r="AL12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25" s="366" t="str">
        <f>IFERROR(BASE_DATOS[[#This Row],[Precio US$]]/BASE_DATOS[[#This Row],[Horas Proy.]],"")</f>
        <v/>
      </c>
      <c r="AN125" s="176" t="str">
        <f>IF(OR(BASE_DATOS[[#This Row],[Km.]]="",BASE_DATOS[[#This Row],[Km. Actual]]=""),"",BASE_DATOS[[#This Row],[Km. Actual]]-BASE_DATOS[[#This Row],[Km.]]+BASE_DATOS[[#This Row],[Kilómetros Acumulados]])</f>
        <v/>
      </c>
      <c r="AO125" s="177" t="str">
        <f>IFERROR(BASE_DATOS[[#This Row],[Precio US$]]/BASE_DATOS[[#This Row],[Kilómetros Rodados]],"")</f>
        <v/>
      </c>
      <c r="AP125" s="176" t="str">
        <f>IFERROR(BASE_DATOS[[#This Row],[Kilómetros Rodados]]/(BASE_DATOS[[#This Row],[NSK Original]]-BASE_DATOS[[#This Row],[NSK]]),"")</f>
        <v/>
      </c>
      <c r="AQ12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25" s="177" t="str">
        <f>IFERROR(BASE_DATOS[[#This Row],[Precio US$]]/BASE_DATOS[[#This Row],[Kilómetros Proy.]],"")</f>
        <v/>
      </c>
      <c r="AS125" s="167" t="s">
        <v>62</v>
      </c>
      <c r="AT125" s="167"/>
      <c r="AU125" s="167"/>
      <c r="AV125" s="167"/>
      <c r="AW125" s="179"/>
      <c r="AX125" s="169"/>
      <c r="AY125" s="169" t="str">
        <f>CONCATENATE(BASE_DATOS[[#This Row],[Código_U]]&amp;BASE_DATOS[[#This Row],[Pos.]]&amp;BASE_DATOS[[#This Row],[Situación Actual]])</f>
        <v>TC-1262Rodando</v>
      </c>
    </row>
    <row r="126" spans="1:51" ht="12" x14ac:dyDescent="0.25">
      <c r="A126" s="227" t="s">
        <v>133</v>
      </c>
      <c r="B126" s="217" t="s">
        <v>134</v>
      </c>
      <c r="C126" s="228" t="s">
        <v>296</v>
      </c>
      <c r="D126" s="229" t="s">
        <v>61</v>
      </c>
      <c r="E126" s="255"/>
      <c r="F126" s="256" t="s">
        <v>71</v>
      </c>
      <c r="G126" s="256" t="s">
        <v>271</v>
      </c>
      <c r="H126" s="257" t="str">
        <f>IF(BASE_DATOS[[#This Row],[N-R]]="N",BASE_DATOS[[#This Row],[Diseño]],"Reencauche")</f>
        <v>KMAXD</v>
      </c>
      <c r="I126" s="256" t="s">
        <v>294</v>
      </c>
      <c r="J126" s="243" t="s">
        <v>72</v>
      </c>
      <c r="K126" s="258">
        <v>22.2</v>
      </c>
      <c r="L126" s="241">
        <v>110</v>
      </c>
      <c r="M126" s="259"/>
      <c r="N126" s="260"/>
      <c r="O126" s="277"/>
      <c r="P126" s="278"/>
      <c r="Q126" s="279"/>
      <c r="R126" s="309" t="s">
        <v>100</v>
      </c>
      <c r="S126" s="310">
        <v>45384</v>
      </c>
      <c r="T126" s="313"/>
      <c r="U126" s="279"/>
      <c r="V126" s="227">
        <v>22</v>
      </c>
      <c r="W126" s="281"/>
      <c r="X126" s="282">
        <v>22</v>
      </c>
      <c r="Y126" s="293">
        <f t="shared" si="6"/>
        <v>22</v>
      </c>
      <c r="Z126" s="175" t="s">
        <v>85</v>
      </c>
      <c r="AA126" s="342">
        <f>IFERROR(BASE_DATOS[[#This Row],[NSK Original]]-BASE_DATOS[[#This Row],[NSK]]," ")</f>
        <v>0.19999999999999929</v>
      </c>
      <c r="AB126" s="343">
        <f>'NSK-TRACTO'!$A$2</f>
        <v>6</v>
      </c>
      <c r="AC126" s="343">
        <f>IF(BASE_DATOS[[#This Row],[NSK]]&gt;=BASE_DATOS[[#This Row],[NSK Reen]],BASE_DATOS[[#This Row],[NSK Reen]],BASE_DATOS[[#This Row],[NSK]])</f>
        <v>6</v>
      </c>
      <c r="AD126" s="344">
        <f>IFERROR(100%-(BASE_DATOS[[#This Row],[NSK Reen]]/BASE_DATOS[[#This Row],[NSK Original]]),"")</f>
        <v>0.72972972972972971</v>
      </c>
      <c r="AE126" s="344">
        <f>IFERROR(100%-BASE_DATOS[[#This Row],[NSK]]/BASE_DATOS[[#This Row],[NSK Original]],"")</f>
        <v>9.009009009009028E-3</v>
      </c>
      <c r="AF126" s="344">
        <f>IFERROR(BASE_DATOS[[#This Row],[% Max Des.]]-BASE_DATOS[[#This Row],[% Des]],"")</f>
        <v>0.72072072072072069</v>
      </c>
      <c r="AG126" s="287"/>
      <c r="AH126" s="273"/>
      <c r="AI126" s="363" t="str">
        <f>IF(OR(BASE_DATOS[[#This Row],[Hr.]]="",BASE_DATOS[[#This Row],[Hr. Actual]]=""),"",BASE_DATOS[[#This Row],[Hr. Actual]]-BASE_DATOS[[#This Row],[Hr.]]+BASE_DATOS[[#This Row],[Horas Acumuladas]])</f>
        <v/>
      </c>
      <c r="AJ126" s="364" t="str">
        <f>IFERROR(BASE_DATOS[[#This Row],[Precio US$]]/BASE_DATOS[[#This Row],[Horas Rodadas]],"")</f>
        <v/>
      </c>
      <c r="AK126" s="365" t="str">
        <f>IFERROR(BASE_DATOS[[#This Row],[Horas Rodadas]]/(BASE_DATOS[[#This Row],[NSK Original]]-BASE_DATOS[[#This Row],[NSK]]),"")</f>
        <v/>
      </c>
      <c r="AL12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26" s="366" t="str">
        <f>IFERROR(BASE_DATOS[[#This Row],[Precio US$]]/BASE_DATOS[[#This Row],[Horas Proy.]],"")</f>
        <v/>
      </c>
      <c r="AN126" s="176" t="str">
        <f>IF(OR(BASE_DATOS[[#This Row],[Km.]]="",BASE_DATOS[[#This Row],[Km. Actual]]=""),"",BASE_DATOS[[#This Row],[Km. Actual]]-BASE_DATOS[[#This Row],[Km.]]+BASE_DATOS[[#This Row],[Kilómetros Acumulados]])</f>
        <v/>
      </c>
      <c r="AO126" s="177" t="str">
        <f>IFERROR(BASE_DATOS[[#This Row],[Precio US$]]/BASE_DATOS[[#This Row],[Kilómetros Rodados]],"")</f>
        <v/>
      </c>
      <c r="AP126" s="176" t="str">
        <f>IFERROR(BASE_DATOS[[#This Row],[Kilómetros Rodados]]/(BASE_DATOS[[#This Row],[NSK Original]]-BASE_DATOS[[#This Row],[NSK]]),"")</f>
        <v/>
      </c>
      <c r="AQ12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26" s="177" t="str">
        <f>IFERROR(BASE_DATOS[[#This Row],[Precio US$]]/BASE_DATOS[[#This Row],[Kilómetros Proy.]],"")</f>
        <v/>
      </c>
      <c r="AS126" s="167" t="s">
        <v>62</v>
      </c>
      <c r="AT126" s="167"/>
      <c r="AU126" s="167"/>
      <c r="AV126" s="167" t="s">
        <v>515</v>
      </c>
      <c r="AW126" s="179"/>
      <c r="AX126" s="179"/>
      <c r="AY126" s="179" t="str">
        <f>CONCATENATE(BASE_DATOS[[#This Row],[Código_U]]&amp;BASE_DATOS[[#This Row],[Pos.]]&amp;BASE_DATOS[[#This Row],[Situación Actual]])</f>
        <v>TC-1263Rodando</v>
      </c>
    </row>
    <row r="127" spans="1:51" ht="12" x14ac:dyDescent="0.25">
      <c r="A127" s="227" t="s">
        <v>133</v>
      </c>
      <c r="B127" s="217" t="s">
        <v>134</v>
      </c>
      <c r="C127" s="228" t="s">
        <v>296</v>
      </c>
      <c r="D127" s="229" t="s">
        <v>61</v>
      </c>
      <c r="E127" s="255"/>
      <c r="F127" s="256" t="s">
        <v>71</v>
      </c>
      <c r="G127" s="256" t="s">
        <v>271</v>
      </c>
      <c r="H127" s="257" t="str">
        <f>IF(BASE_DATOS[[#This Row],[N-R]]="N",BASE_DATOS[[#This Row],[Diseño]],"Reencauche")</f>
        <v>KMAXD</v>
      </c>
      <c r="I127" s="256" t="s">
        <v>294</v>
      </c>
      <c r="J127" s="243" t="s">
        <v>72</v>
      </c>
      <c r="K127" s="258">
        <v>22.2</v>
      </c>
      <c r="L127" s="241">
        <v>110</v>
      </c>
      <c r="M127" s="259"/>
      <c r="N127" s="260"/>
      <c r="O127" s="277"/>
      <c r="P127" s="278"/>
      <c r="Q127" s="279"/>
      <c r="R127" s="309" t="s">
        <v>101</v>
      </c>
      <c r="S127" s="310">
        <v>45384</v>
      </c>
      <c r="T127" s="313"/>
      <c r="U127" s="279"/>
      <c r="V127" s="227">
        <v>22</v>
      </c>
      <c r="W127" s="281"/>
      <c r="X127" s="282">
        <v>22</v>
      </c>
      <c r="Y127" s="293">
        <f t="shared" si="6"/>
        <v>22</v>
      </c>
      <c r="Z127" s="175" t="s">
        <v>85</v>
      </c>
      <c r="AA127" s="342">
        <f>IFERROR(BASE_DATOS[[#This Row],[NSK Original]]-BASE_DATOS[[#This Row],[NSK]]," ")</f>
        <v>0.19999999999999929</v>
      </c>
      <c r="AB127" s="343">
        <f>'NSK-TRACTO'!$A$2</f>
        <v>6</v>
      </c>
      <c r="AC127" s="343">
        <f>IF(BASE_DATOS[[#This Row],[NSK]]&gt;=BASE_DATOS[[#This Row],[NSK Reen]],BASE_DATOS[[#This Row],[NSK Reen]],BASE_DATOS[[#This Row],[NSK]])</f>
        <v>6</v>
      </c>
      <c r="AD127" s="344">
        <f>IFERROR(100%-(BASE_DATOS[[#This Row],[NSK Reen]]/BASE_DATOS[[#This Row],[NSK Original]]),"")</f>
        <v>0.72972972972972971</v>
      </c>
      <c r="AE127" s="344">
        <f>IFERROR(100%-BASE_DATOS[[#This Row],[NSK]]/BASE_DATOS[[#This Row],[NSK Original]],"")</f>
        <v>9.009009009009028E-3</v>
      </c>
      <c r="AF127" s="344">
        <f>IFERROR(BASE_DATOS[[#This Row],[% Max Des.]]-BASE_DATOS[[#This Row],[% Des]],"")</f>
        <v>0.72072072072072069</v>
      </c>
      <c r="AG127" s="287"/>
      <c r="AH127" s="273"/>
      <c r="AI127" s="363" t="str">
        <f>IF(OR(BASE_DATOS[[#This Row],[Hr.]]="",BASE_DATOS[[#This Row],[Hr. Actual]]=""),"",BASE_DATOS[[#This Row],[Hr. Actual]]-BASE_DATOS[[#This Row],[Hr.]]+BASE_DATOS[[#This Row],[Horas Acumuladas]])</f>
        <v/>
      </c>
      <c r="AJ127" s="364" t="str">
        <f>IFERROR(BASE_DATOS[[#This Row],[Precio US$]]/BASE_DATOS[[#This Row],[Horas Rodadas]],"")</f>
        <v/>
      </c>
      <c r="AK127" s="365" t="str">
        <f>IFERROR(BASE_DATOS[[#This Row],[Horas Rodadas]]/(BASE_DATOS[[#This Row],[NSK Original]]-BASE_DATOS[[#This Row],[NSK]]),"")</f>
        <v/>
      </c>
      <c r="AL12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27" s="366" t="str">
        <f>IFERROR(BASE_DATOS[[#This Row],[Precio US$]]/BASE_DATOS[[#This Row],[Horas Proy.]],"")</f>
        <v/>
      </c>
      <c r="AN127" s="176" t="str">
        <f>IF(OR(BASE_DATOS[[#This Row],[Km.]]="",BASE_DATOS[[#This Row],[Km. Actual]]=""),"",BASE_DATOS[[#This Row],[Km. Actual]]-BASE_DATOS[[#This Row],[Km.]]+BASE_DATOS[[#This Row],[Kilómetros Acumulados]])</f>
        <v/>
      </c>
      <c r="AO127" s="177" t="str">
        <f>IFERROR(BASE_DATOS[[#This Row],[Precio US$]]/BASE_DATOS[[#This Row],[Kilómetros Rodados]],"")</f>
        <v/>
      </c>
      <c r="AP127" s="176" t="str">
        <f>IFERROR(BASE_DATOS[[#This Row],[Kilómetros Rodados]]/(BASE_DATOS[[#This Row],[NSK Original]]-BASE_DATOS[[#This Row],[NSK]]),"")</f>
        <v/>
      </c>
      <c r="AQ12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27" s="177" t="str">
        <f>IFERROR(BASE_DATOS[[#This Row],[Precio US$]]/BASE_DATOS[[#This Row],[Kilómetros Proy.]],"")</f>
        <v/>
      </c>
      <c r="AS127" s="167" t="s">
        <v>62</v>
      </c>
      <c r="AT127" s="167"/>
      <c r="AU127" s="167"/>
      <c r="AV127" s="167" t="s">
        <v>515</v>
      </c>
      <c r="AW127" s="179"/>
      <c r="AX127" s="179"/>
      <c r="AY127" s="179" t="str">
        <f>CONCATENATE(BASE_DATOS[[#This Row],[Código_U]]&amp;BASE_DATOS[[#This Row],[Pos.]]&amp;BASE_DATOS[[#This Row],[Situación Actual]])</f>
        <v>TC-1264Rodando</v>
      </c>
    </row>
    <row r="128" spans="1:51" ht="12" x14ac:dyDescent="0.25">
      <c r="A128" s="227" t="s">
        <v>133</v>
      </c>
      <c r="B128" s="217" t="s">
        <v>134</v>
      </c>
      <c r="C128" s="228" t="s">
        <v>296</v>
      </c>
      <c r="D128" s="229" t="s">
        <v>61</v>
      </c>
      <c r="E128" s="255"/>
      <c r="F128" s="256" t="s">
        <v>71</v>
      </c>
      <c r="G128" s="256" t="s">
        <v>271</v>
      </c>
      <c r="H128" s="257" t="str">
        <f>IF(BASE_DATOS[[#This Row],[N-R]]="N",BASE_DATOS[[#This Row],[Diseño]],"Reencauche")</f>
        <v>KMAXD</v>
      </c>
      <c r="I128" s="256" t="s">
        <v>294</v>
      </c>
      <c r="J128" s="243" t="s">
        <v>72</v>
      </c>
      <c r="K128" s="258">
        <v>22.2</v>
      </c>
      <c r="L128" s="241">
        <v>110</v>
      </c>
      <c r="M128" s="259"/>
      <c r="N128" s="260"/>
      <c r="O128" s="277"/>
      <c r="P128" s="278"/>
      <c r="Q128" s="279"/>
      <c r="R128" s="309" t="s">
        <v>102</v>
      </c>
      <c r="S128" s="310">
        <v>45384</v>
      </c>
      <c r="T128" s="313"/>
      <c r="U128" s="279"/>
      <c r="V128" s="227">
        <v>22</v>
      </c>
      <c r="W128" s="281"/>
      <c r="X128" s="282">
        <v>22</v>
      </c>
      <c r="Y128" s="293">
        <f t="shared" si="6"/>
        <v>22</v>
      </c>
      <c r="Z128" s="175" t="s">
        <v>85</v>
      </c>
      <c r="AA128" s="342">
        <f>IFERROR(BASE_DATOS[[#This Row],[NSK Original]]-BASE_DATOS[[#This Row],[NSK]]," ")</f>
        <v>0.19999999999999929</v>
      </c>
      <c r="AB128" s="343">
        <f>'NSK-TRACTO'!$A$2</f>
        <v>6</v>
      </c>
      <c r="AC128" s="343">
        <f>IF(BASE_DATOS[[#This Row],[NSK]]&gt;=BASE_DATOS[[#This Row],[NSK Reen]],BASE_DATOS[[#This Row],[NSK Reen]],BASE_DATOS[[#This Row],[NSK]])</f>
        <v>6</v>
      </c>
      <c r="AD128" s="344">
        <f>IFERROR(100%-(BASE_DATOS[[#This Row],[NSK Reen]]/BASE_DATOS[[#This Row],[NSK Original]]),"")</f>
        <v>0.72972972972972971</v>
      </c>
      <c r="AE128" s="344">
        <f>IFERROR(100%-BASE_DATOS[[#This Row],[NSK]]/BASE_DATOS[[#This Row],[NSK Original]],"")</f>
        <v>9.009009009009028E-3</v>
      </c>
      <c r="AF128" s="344">
        <f>IFERROR(BASE_DATOS[[#This Row],[% Max Des.]]-BASE_DATOS[[#This Row],[% Des]],"")</f>
        <v>0.72072072072072069</v>
      </c>
      <c r="AG128" s="287"/>
      <c r="AH128" s="273"/>
      <c r="AI128" s="363" t="str">
        <f>IF(OR(BASE_DATOS[[#This Row],[Hr.]]="",BASE_DATOS[[#This Row],[Hr. Actual]]=""),"",BASE_DATOS[[#This Row],[Hr. Actual]]-BASE_DATOS[[#This Row],[Hr.]]+BASE_DATOS[[#This Row],[Horas Acumuladas]])</f>
        <v/>
      </c>
      <c r="AJ128" s="364" t="str">
        <f>IFERROR(BASE_DATOS[[#This Row],[Precio US$]]/BASE_DATOS[[#This Row],[Horas Rodadas]],"")</f>
        <v/>
      </c>
      <c r="AK128" s="365" t="str">
        <f>IFERROR(BASE_DATOS[[#This Row],[Horas Rodadas]]/(BASE_DATOS[[#This Row],[NSK Original]]-BASE_DATOS[[#This Row],[NSK]]),"")</f>
        <v/>
      </c>
      <c r="AL12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28" s="366" t="str">
        <f>IFERROR(BASE_DATOS[[#This Row],[Precio US$]]/BASE_DATOS[[#This Row],[Horas Proy.]],"")</f>
        <v/>
      </c>
      <c r="AN128" s="176" t="str">
        <f>IF(OR(BASE_DATOS[[#This Row],[Km.]]="",BASE_DATOS[[#This Row],[Km. Actual]]=""),"",BASE_DATOS[[#This Row],[Km. Actual]]-BASE_DATOS[[#This Row],[Km.]]+BASE_DATOS[[#This Row],[Kilómetros Acumulados]])</f>
        <v/>
      </c>
      <c r="AO128" s="177" t="str">
        <f>IFERROR(BASE_DATOS[[#This Row],[Precio US$]]/BASE_DATOS[[#This Row],[Kilómetros Rodados]],"")</f>
        <v/>
      </c>
      <c r="AP128" s="176" t="str">
        <f>IFERROR(BASE_DATOS[[#This Row],[Kilómetros Rodados]]/(BASE_DATOS[[#This Row],[NSK Original]]-BASE_DATOS[[#This Row],[NSK]]),"")</f>
        <v/>
      </c>
      <c r="AQ12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28" s="177" t="str">
        <f>IFERROR(BASE_DATOS[[#This Row],[Precio US$]]/BASE_DATOS[[#This Row],[Kilómetros Proy.]],"")</f>
        <v/>
      </c>
      <c r="AS128" s="167" t="s">
        <v>62</v>
      </c>
      <c r="AT128" s="167"/>
      <c r="AU128" s="167"/>
      <c r="AV128" s="167" t="s">
        <v>515</v>
      </c>
      <c r="AW128" s="179"/>
      <c r="AX128" s="179"/>
      <c r="AY128" s="179" t="str">
        <f>CONCATENATE(BASE_DATOS[[#This Row],[Código_U]]&amp;BASE_DATOS[[#This Row],[Pos.]]&amp;BASE_DATOS[[#This Row],[Situación Actual]])</f>
        <v>TC-1265Rodando</v>
      </c>
    </row>
    <row r="129" spans="1:51" ht="12" x14ac:dyDescent="0.25">
      <c r="A129" s="227" t="s">
        <v>133</v>
      </c>
      <c r="B129" s="217" t="s">
        <v>134</v>
      </c>
      <c r="C129" s="228" t="s">
        <v>296</v>
      </c>
      <c r="D129" s="229" t="s">
        <v>61</v>
      </c>
      <c r="E129" s="255"/>
      <c r="F129" s="256" t="s">
        <v>71</v>
      </c>
      <c r="G129" s="256" t="s">
        <v>271</v>
      </c>
      <c r="H129" s="257" t="str">
        <f>IF(BASE_DATOS[[#This Row],[N-R]]="N",BASE_DATOS[[#This Row],[Diseño]],"Reencauche")</f>
        <v>KMAXD</v>
      </c>
      <c r="I129" s="256" t="s">
        <v>294</v>
      </c>
      <c r="J129" s="243" t="s">
        <v>72</v>
      </c>
      <c r="K129" s="258">
        <v>22.2</v>
      </c>
      <c r="L129" s="241">
        <v>110</v>
      </c>
      <c r="M129" s="259"/>
      <c r="N129" s="260"/>
      <c r="O129" s="277"/>
      <c r="P129" s="278"/>
      <c r="Q129" s="279"/>
      <c r="R129" s="309" t="s">
        <v>103</v>
      </c>
      <c r="S129" s="310">
        <v>45384</v>
      </c>
      <c r="T129" s="313"/>
      <c r="U129" s="279"/>
      <c r="V129" s="227">
        <v>22</v>
      </c>
      <c r="W129" s="281"/>
      <c r="X129" s="282">
        <v>22</v>
      </c>
      <c r="Y129" s="293">
        <f t="shared" si="6"/>
        <v>22</v>
      </c>
      <c r="Z129" s="175" t="s">
        <v>85</v>
      </c>
      <c r="AA129" s="342">
        <f>IFERROR(BASE_DATOS[[#This Row],[NSK Original]]-BASE_DATOS[[#This Row],[NSK]]," ")</f>
        <v>0.19999999999999929</v>
      </c>
      <c r="AB129" s="343">
        <f>'NSK-TRACTO'!$A$2</f>
        <v>6</v>
      </c>
      <c r="AC129" s="343">
        <f>IF(BASE_DATOS[[#This Row],[NSK]]&gt;=BASE_DATOS[[#This Row],[NSK Reen]],BASE_DATOS[[#This Row],[NSK Reen]],BASE_DATOS[[#This Row],[NSK]])</f>
        <v>6</v>
      </c>
      <c r="AD129" s="344">
        <f>IFERROR(100%-(BASE_DATOS[[#This Row],[NSK Reen]]/BASE_DATOS[[#This Row],[NSK Original]]),"")</f>
        <v>0.72972972972972971</v>
      </c>
      <c r="AE129" s="344">
        <f>IFERROR(100%-BASE_DATOS[[#This Row],[NSK]]/BASE_DATOS[[#This Row],[NSK Original]],"")</f>
        <v>9.009009009009028E-3</v>
      </c>
      <c r="AF129" s="344">
        <f>IFERROR(BASE_DATOS[[#This Row],[% Max Des.]]-BASE_DATOS[[#This Row],[% Des]],"")</f>
        <v>0.72072072072072069</v>
      </c>
      <c r="AG129" s="287"/>
      <c r="AH129" s="273"/>
      <c r="AI129" s="363" t="str">
        <f>IF(OR(BASE_DATOS[[#This Row],[Hr.]]="",BASE_DATOS[[#This Row],[Hr. Actual]]=""),"",BASE_DATOS[[#This Row],[Hr. Actual]]-BASE_DATOS[[#This Row],[Hr.]]+BASE_DATOS[[#This Row],[Horas Acumuladas]])</f>
        <v/>
      </c>
      <c r="AJ129" s="364" t="str">
        <f>IFERROR(BASE_DATOS[[#This Row],[Precio US$]]/BASE_DATOS[[#This Row],[Horas Rodadas]],"")</f>
        <v/>
      </c>
      <c r="AK129" s="365" t="str">
        <f>IFERROR(BASE_DATOS[[#This Row],[Horas Rodadas]]/(BASE_DATOS[[#This Row],[NSK Original]]-BASE_DATOS[[#This Row],[NSK]]),"")</f>
        <v/>
      </c>
      <c r="AL12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29" s="366" t="str">
        <f>IFERROR(BASE_DATOS[[#This Row],[Precio US$]]/BASE_DATOS[[#This Row],[Horas Proy.]],"")</f>
        <v/>
      </c>
      <c r="AN129" s="176" t="str">
        <f>IF(OR(BASE_DATOS[[#This Row],[Km.]]="",BASE_DATOS[[#This Row],[Km. Actual]]=""),"",BASE_DATOS[[#This Row],[Km. Actual]]-BASE_DATOS[[#This Row],[Km.]]+BASE_DATOS[[#This Row],[Kilómetros Acumulados]])</f>
        <v/>
      </c>
      <c r="AO129" s="177" t="str">
        <f>IFERROR(BASE_DATOS[[#This Row],[Precio US$]]/BASE_DATOS[[#This Row],[Kilómetros Rodados]],"")</f>
        <v/>
      </c>
      <c r="AP129" s="176" t="str">
        <f>IFERROR(BASE_DATOS[[#This Row],[Kilómetros Rodados]]/(BASE_DATOS[[#This Row],[NSK Original]]-BASE_DATOS[[#This Row],[NSK]]),"")</f>
        <v/>
      </c>
      <c r="AQ12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29" s="177" t="str">
        <f>IFERROR(BASE_DATOS[[#This Row],[Precio US$]]/BASE_DATOS[[#This Row],[Kilómetros Proy.]],"")</f>
        <v/>
      </c>
      <c r="AS129" s="167" t="s">
        <v>62</v>
      </c>
      <c r="AT129" s="167"/>
      <c r="AU129" s="167"/>
      <c r="AV129" s="167" t="s">
        <v>515</v>
      </c>
      <c r="AW129" s="179"/>
      <c r="AX129" s="179"/>
      <c r="AY129" s="179" t="str">
        <f>CONCATENATE(BASE_DATOS[[#This Row],[Código_U]]&amp;BASE_DATOS[[#This Row],[Pos.]]&amp;BASE_DATOS[[#This Row],[Situación Actual]])</f>
        <v>TC-1266Rodando</v>
      </c>
    </row>
    <row r="130" spans="1:51" ht="12" x14ac:dyDescent="0.25">
      <c r="A130" s="227" t="s">
        <v>133</v>
      </c>
      <c r="B130" s="217" t="s">
        <v>134</v>
      </c>
      <c r="C130" s="228" t="s">
        <v>296</v>
      </c>
      <c r="D130" s="229" t="s">
        <v>61</v>
      </c>
      <c r="E130" s="255"/>
      <c r="F130" s="256" t="s">
        <v>71</v>
      </c>
      <c r="G130" s="256" t="s">
        <v>271</v>
      </c>
      <c r="H130" s="257" t="str">
        <f>IF(BASE_DATOS[[#This Row],[N-R]]="N",BASE_DATOS[[#This Row],[Diseño]],"Reencauche")</f>
        <v>KMAXD</v>
      </c>
      <c r="I130" s="256" t="s">
        <v>294</v>
      </c>
      <c r="J130" s="243" t="s">
        <v>72</v>
      </c>
      <c r="K130" s="258">
        <v>22.2</v>
      </c>
      <c r="L130" s="241">
        <v>110</v>
      </c>
      <c r="M130" s="259"/>
      <c r="N130" s="260"/>
      <c r="O130" s="277"/>
      <c r="P130" s="278"/>
      <c r="Q130" s="279"/>
      <c r="R130" s="309" t="s">
        <v>104</v>
      </c>
      <c r="S130" s="310">
        <v>45384</v>
      </c>
      <c r="T130" s="313"/>
      <c r="U130" s="279"/>
      <c r="V130" s="227">
        <v>17</v>
      </c>
      <c r="W130" s="281"/>
      <c r="X130" s="282">
        <v>17</v>
      </c>
      <c r="Y130" s="293">
        <f t="shared" si="6"/>
        <v>17</v>
      </c>
      <c r="Z130" s="175" t="s">
        <v>85</v>
      </c>
      <c r="AA130" s="342">
        <f>IFERROR(BASE_DATOS[[#This Row],[NSK Original]]-BASE_DATOS[[#This Row],[NSK]]," ")</f>
        <v>5.1999999999999993</v>
      </c>
      <c r="AB130" s="343">
        <f>'NSK-TRACTO'!$A$2</f>
        <v>6</v>
      </c>
      <c r="AC130" s="343">
        <f>IF(BASE_DATOS[[#This Row],[NSK]]&gt;=BASE_DATOS[[#This Row],[NSK Reen]],BASE_DATOS[[#This Row],[NSK Reen]],BASE_DATOS[[#This Row],[NSK]])</f>
        <v>6</v>
      </c>
      <c r="AD130" s="344">
        <f>IFERROR(100%-(BASE_DATOS[[#This Row],[NSK Reen]]/BASE_DATOS[[#This Row],[NSK Original]]),"")</f>
        <v>0.72972972972972971</v>
      </c>
      <c r="AE130" s="344">
        <f>IFERROR(100%-BASE_DATOS[[#This Row],[NSK]]/BASE_DATOS[[#This Row],[NSK Original]],"")</f>
        <v>0.23423423423423417</v>
      </c>
      <c r="AF130" s="344">
        <f>IFERROR(BASE_DATOS[[#This Row],[% Max Des.]]-BASE_DATOS[[#This Row],[% Des]],"")</f>
        <v>0.49549549549549554</v>
      </c>
      <c r="AG130" s="287"/>
      <c r="AH130" s="273"/>
      <c r="AI130" s="363" t="str">
        <f>IF(OR(BASE_DATOS[[#This Row],[Hr.]]="",BASE_DATOS[[#This Row],[Hr. Actual]]=""),"",BASE_DATOS[[#This Row],[Hr. Actual]]-BASE_DATOS[[#This Row],[Hr.]]+BASE_DATOS[[#This Row],[Horas Acumuladas]])</f>
        <v/>
      </c>
      <c r="AJ130" s="364" t="str">
        <f>IFERROR(BASE_DATOS[[#This Row],[Precio US$]]/BASE_DATOS[[#This Row],[Horas Rodadas]],"")</f>
        <v/>
      </c>
      <c r="AK130" s="365" t="str">
        <f>IFERROR(BASE_DATOS[[#This Row],[Horas Rodadas]]/(BASE_DATOS[[#This Row],[NSK Original]]-BASE_DATOS[[#This Row],[NSK]]),"")</f>
        <v/>
      </c>
      <c r="AL13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30" s="366" t="str">
        <f>IFERROR(BASE_DATOS[[#This Row],[Precio US$]]/BASE_DATOS[[#This Row],[Horas Proy.]],"")</f>
        <v/>
      </c>
      <c r="AN130" s="176" t="str">
        <f>IF(OR(BASE_DATOS[[#This Row],[Km.]]="",BASE_DATOS[[#This Row],[Km. Actual]]=""),"",BASE_DATOS[[#This Row],[Km. Actual]]-BASE_DATOS[[#This Row],[Km.]]+BASE_DATOS[[#This Row],[Kilómetros Acumulados]])</f>
        <v/>
      </c>
      <c r="AO130" s="177" t="str">
        <f>IFERROR(BASE_DATOS[[#This Row],[Precio US$]]/BASE_DATOS[[#This Row],[Kilómetros Rodados]],"")</f>
        <v/>
      </c>
      <c r="AP130" s="176" t="str">
        <f>IFERROR(BASE_DATOS[[#This Row],[Kilómetros Rodados]]/(BASE_DATOS[[#This Row],[NSK Original]]-BASE_DATOS[[#This Row],[NSK]]),"")</f>
        <v/>
      </c>
      <c r="AQ13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30" s="177" t="str">
        <f>IFERROR(BASE_DATOS[[#This Row],[Precio US$]]/BASE_DATOS[[#This Row],[Kilómetros Proy.]],"")</f>
        <v/>
      </c>
      <c r="AS130" s="167" t="s">
        <v>62</v>
      </c>
      <c r="AT130" s="167"/>
      <c r="AU130" s="167"/>
      <c r="AV130" s="167" t="s">
        <v>515</v>
      </c>
      <c r="AW130" s="179"/>
      <c r="AX130" s="179"/>
      <c r="AY130" s="179" t="str">
        <f>CONCATENATE(BASE_DATOS[[#This Row],[Código_U]]&amp;BASE_DATOS[[#This Row],[Pos.]]&amp;BASE_DATOS[[#This Row],[Situación Actual]])</f>
        <v>TC-1267Rodando</v>
      </c>
    </row>
    <row r="131" spans="1:51" ht="12" x14ac:dyDescent="0.25">
      <c r="A131" s="227" t="s">
        <v>133</v>
      </c>
      <c r="B131" s="217" t="s">
        <v>134</v>
      </c>
      <c r="C131" s="228" t="s">
        <v>296</v>
      </c>
      <c r="D131" s="229" t="s">
        <v>61</v>
      </c>
      <c r="E131" s="255"/>
      <c r="F131" s="256" t="s">
        <v>71</v>
      </c>
      <c r="G131" s="256" t="s">
        <v>271</v>
      </c>
      <c r="H131" s="257" t="str">
        <f>IF(BASE_DATOS[[#This Row],[N-R]]="N",BASE_DATOS[[#This Row],[Diseño]],"Reencauche")</f>
        <v>KMAXD</v>
      </c>
      <c r="I131" s="256" t="s">
        <v>294</v>
      </c>
      <c r="J131" s="243" t="s">
        <v>72</v>
      </c>
      <c r="K131" s="258">
        <v>22.2</v>
      </c>
      <c r="L131" s="241">
        <v>110</v>
      </c>
      <c r="M131" s="259"/>
      <c r="N131" s="260"/>
      <c r="O131" s="277"/>
      <c r="P131" s="278"/>
      <c r="Q131" s="279"/>
      <c r="R131" s="309" t="s">
        <v>105</v>
      </c>
      <c r="S131" s="310">
        <v>45384</v>
      </c>
      <c r="T131" s="313"/>
      <c r="U131" s="279"/>
      <c r="V131" s="227">
        <v>17</v>
      </c>
      <c r="W131" s="281"/>
      <c r="X131" s="282">
        <v>17</v>
      </c>
      <c r="Y131" s="293">
        <f t="shared" si="6"/>
        <v>17</v>
      </c>
      <c r="Z131" s="175" t="s">
        <v>85</v>
      </c>
      <c r="AA131" s="342">
        <f>IFERROR(BASE_DATOS[[#This Row],[NSK Original]]-BASE_DATOS[[#This Row],[NSK]]," ")</f>
        <v>5.1999999999999993</v>
      </c>
      <c r="AB131" s="343">
        <f>'NSK-TRACTO'!$A$2</f>
        <v>6</v>
      </c>
      <c r="AC131" s="343">
        <f>IF(BASE_DATOS[[#This Row],[NSK]]&gt;=BASE_DATOS[[#This Row],[NSK Reen]],BASE_DATOS[[#This Row],[NSK Reen]],BASE_DATOS[[#This Row],[NSK]])</f>
        <v>6</v>
      </c>
      <c r="AD131" s="344">
        <f>IFERROR(100%-(BASE_DATOS[[#This Row],[NSK Reen]]/BASE_DATOS[[#This Row],[NSK Original]]),"")</f>
        <v>0.72972972972972971</v>
      </c>
      <c r="AE131" s="344">
        <f>IFERROR(100%-BASE_DATOS[[#This Row],[NSK]]/BASE_DATOS[[#This Row],[NSK Original]],"")</f>
        <v>0.23423423423423417</v>
      </c>
      <c r="AF131" s="344">
        <f>IFERROR(BASE_DATOS[[#This Row],[% Max Des.]]-BASE_DATOS[[#This Row],[% Des]],"")</f>
        <v>0.49549549549549554</v>
      </c>
      <c r="AG131" s="287"/>
      <c r="AH131" s="273"/>
      <c r="AI131" s="363" t="str">
        <f>IF(OR(BASE_DATOS[[#This Row],[Hr.]]="",BASE_DATOS[[#This Row],[Hr. Actual]]=""),"",BASE_DATOS[[#This Row],[Hr. Actual]]-BASE_DATOS[[#This Row],[Hr.]]+BASE_DATOS[[#This Row],[Horas Acumuladas]])</f>
        <v/>
      </c>
      <c r="AJ131" s="364" t="str">
        <f>IFERROR(BASE_DATOS[[#This Row],[Precio US$]]/BASE_DATOS[[#This Row],[Horas Rodadas]],"")</f>
        <v/>
      </c>
      <c r="AK131" s="365" t="str">
        <f>IFERROR(BASE_DATOS[[#This Row],[Horas Rodadas]]/(BASE_DATOS[[#This Row],[NSK Original]]-BASE_DATOS[[#This Row],[NSK]]),"")</f>
        <v/>
      </c>
      <c r="AL13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31" s="366" t="str">
        <f>IFERROR(BASE_DATOS[[#This Row],[Precio US$]]/BASE_DATOS[[#This Row],[Horas Proy.]],"")</f>
        <v/>
      </c>
      <c r="AN131" s="176" t="str">
        <f>IF(OR(BASE_DATOS[[#This Row],[Km.]]="",BASE_DATOS[[#This Row],[Km. Actual]]=""),"",BASE_DATOS[[#This Row],[Km. Actual]]-BASE_DATOS[[#This Row],[Km.]]+BASE_DATOS[[#This Row],[Kilómetros Acumulados]])</f>
        <v/>
      </c>
      <c r="AO131" s="177" t="str">
        <f>IFERROR(BASE_DATOS[[#This Row],[Precio US$]]/BASE_DATOS[[#This Row],[Kilómetros Rodados]],"")</f>
        <v/>
      </c>
      <c r="AP131" s="176" t="str">
        <f>IFERROR(BASE_DATOS[[#This Row],[Kilómetros Rodados]]/(BASE_DATOS[[#This Row],[NSK Original]]-BASE_DATOS[[#This Row],[NSK]]),"")</f>
        <v/>
      </c>
      <c r="AQ13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31" s="177" t="str">
        <f>IFERROR(BASE_DATOS[[#This Row],[Precio US$]]/BASE_DATOS[[#This Row],[Kilómetros Proy.]],"")</f>
        <v/>
      </c>
      <c r="AS131" s="167" t="s">
        <v>62</v>
      </c>
      <c r="AT131" s="167"/>
      <c r="AU131" s="167"/>
      <c r="AV131" s="167" t="s">
        <v>515</v>
      </c>
      <c r="AW131" s="179"/>
      <c r="AX131" s="179"/>
      <c r="AY131" s="179" t="str">
        <f>CONCATENATE(BASE_DATOS[[#This Row],[Código_U]]&amp;BASE_DATOS[[#This Row],[Pos.]]&amp;BASE_DATOS[[#This Row],[Situación Actual]])</f>
        <v>TC-1268Rodando</v>
      </c>
    </row>
    <row r="132" spans="1:51" ht="12" x14ac:dyDescent="0.25">
      <c r="A132" s="227" t="s">
        <v>133</v>
      </c>
      <c r="B132" s="217" t="s">
        <v>134</v>
      </c>
      <c r="C132" s="228" t="s">
        <v>296</v>
      </c>
      <c r="D132" s="229" t="s">
        <v>61</v>
      </c>
      <c r="E132" s="255"/>
      <c r="F132" s="256" t="s">
        <v>71</v>
      </c>
      <c r="G132" s="256" t="s">
        <v>271</v>
      </c>
      <c r="H132" s="257" t="str">
        <f>IF(BASE_DATOS[[#This Row],[N-R]]="N",BASE_DATOS[[#This Row],[Diseño]],"Reencauche")</f>
        <v>KMAXD</v>
      </c>
      <c r="I132" s="256" t="s">
        <v>294</v>
      </c>
      <c r="J132" s="243" t="s">
        <v>72</v>
      </c>
      <c r="K132" s="258">
        <v>22.2</v>
      </c>
      <c r="L132" s="241">
        <v>110</v>
      </c>
      <c r="M132" s="259"/>
      <c r="N132" s="260"/>
      <c r="O132" s="277"/>
      <c r="P132" s="278"/>
      <c r="Q132" s="279"/>
      <c r="R132" s="309" t="s">
        <v>106</v>
      </c>
      <c r="S132" s="310">
        <v>45384</v>
      </c>
      <c r="T132" s="313"/>
      <c r="U132" s="279"/>
      <c r="V132" s="227">
        <v>17</v>
      </c>
      <c r="W132" s="281"/>
      <c r="X132" s="282">
        <v>17</v>
      </c>
      <c r="Y132" s="293">
        <f t="shared" si="6"/>
        <v>17</v>
      </c>
      <c r="Z132" s="175" t="s">
        <v>85</v>
      </c>
      <c r="AA132" s="342">
        <f>IFERROR(BASE_DATOS[[#This Row],[NSK Original]]-BASE_DATOS[[#This Row],[NSK]]," ")</f>
        <v>5.1999999999999993</v>
      </c>
      <c r="AB132" s="343">
        <f>'NSK-TRACTO'!$A$2</f>
        <v>6</v>
      </c>
      <c r="AC132" s="343">
        <f>IF(BASE_DATOS[[#This Row],[NSK]]&gt;=BASE_DATOS[[#This Row],[NSK Reen]],BASE_DATOS[[#This Row],[NSK Reen]],BASE_DATOS[[#This Row],[NSK]])</f>
        <v>6</v>
      </c>
      <c r="AD132" s="344">
        <f>IFERROR(100%-(BASE_DATOS[[#This Row],[NSK Reen]]/BASE_DATOS[[#This Row],[NSK Original]]),"")</f>
        <v>0.72972972972972971</v>
      </c>
      <c r="AE132" s="344">
        <f>IFERROR(100%-BASE_DATOS[[#This Row],[NSK]]/BASE_DATOS[[#This Row],[NSK Original]],"")</f>
        <v>0.23423423423423417</v>
      </c>
      <c r="AF132" s="344">
        <f>IFERROR(BASE_DATOS[[#This Row],[% Max Des.]]-BASE_DATOS[[#This Row],[% Des]],"")</f>
        <v>0.49549549549549554</v>
      </c>
      <c r="AG132" s="287"/>
      <c r="AH132" s="273"/>
      <c r="AI132" s="363" t="str">
        <f>IF(OR(BASE_DATOS[[#This Row],[Hr.]]="",BASE_DATOS[[#This Row],[Hr. Actual]]=""),"",BASE_DATOS[[#This Row],[Hr. Actual]]-BASE_DATOS[[#This Row],[Hr.]]+BASE_DATOS[[#This Row],[Horas Acumuladas]])</f>
        <v/>
      </c>
      <c r="AJ132" s="364" t="str">
        <f>IFERROR(BASE_DATOS[[#This Row],[Precio US$]]/BASE_DATOS[[#This Row],[Horas Rodadas]],"")</f>
        <v/>
      </c>
      <c r="AK132" s="365" t="str">
        <f>IFERROR(BASE_DATOS[[#This Row],[Horas Rodadas]]/(BASE_DATOS[[#This Row],[NSK Original]]-BASE_DATOS[[#This Row],[NSK]]),"")</f>
        <v/>
      </c>
      <c r="AL13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32" s="366" t="str">
        <f>IFERROR(BASE_DATOS[[#This Row],[Precio US$]]/BASE_DATOS[[#This Row],[Horas Proy.]],"")</f>
        <v/>
      </c>
      <c r="AN132" s="176" t="str">
        <f>IF(OR(BASE_DATOS[[#This Row],[Km.]]="",BASE_DATOS[[#This Row],[Km. Actual]]=""),"",BASE_DATOS[[#This Row],[Km. Actual]]-BASE_DATOS[[#This Row],[Km.]]+BASE_DATOS[[#This Row],[Kilómetros Acumulados]])</f>
        <v/>
      </c>
      <c r="AO132" s="177" t="str">
        <f>IFERROR(BASE_DATOS[[#This Row],[Precio US$]]/BASE_DATOS[[#This Row],[Kilómetros Rodados]],"")</f>
        <v/>
      </c>
      <c r="AP132" s="176" t="str">
        <f>IFERROR(BASE_DATOS[[#This Row],[Kilómetros Rodados]]/(BASE_DATOS[[#This Row],[NSK Original]]-BASE_DATOS[[#This Row],[NSK]]),"")</f>
        <v/>
      </c>
      <c r="AQ13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32" s="177" t="str">
        <f>IFERROR(BASE_DATOS[[#This Row],[Precio US$]]/BASE_DATOS[[#This Row],[Kilómetros Proy.]],"")</f>
        <v/>
      </c>
      <c r="AS132" s="167" t="s">
        <v>62</v>
      </c>
      <c r="AT132" s="167"/>
      <c r="AU132" s="167"/>
      <c r="AV132" s="167" t="s">
        <v>515</v>
      </c>
      <c r="AW132" s="179"/>
      <c r="AX132" s="179"/>
      <c r="AY132" s="179" t="str">
        <f>CONCATENATE(BASE_DATOS[[#This Row],[Código_U]]&amp;BASE_DATOS[[#This Row],[Pos.]]&amp;BASE_DATOS[[#This Row],[Situación Actual]])</f>
        <v>TC-1269Rodando</v>
      </c>
    </row>
    <row r="133" spans="1:51" ht="12" x14ac:dyDescent="0.25">
      <c r="A133" s="227" t="s">
        <v>133</v>
      </c>
      <c r="B133" s="217" t="s">
        <v>134</v>
      </c>
      <c r="C133" s="228" t="s">
        <v>296</v>
      </c>
      <c r="D133" s="229" t="s">
        <v>61</v>
      </c>
      <c r="E133" s="255"/>
      <c r="F133" s="256" t="s">
        <v>71</v>
      </c>
      <c r="G133" s="256" t="s">
        <v>271</v>
      </c>
      <c r="H133" s="257" t="str">
        <f>IF(BASE_DATOS[[#This Row],[N-R]]="N",BASE_DATOS[[#This Row],[Diseño]],"Reencauche")</f>
        <v>KMAXD</v>
      </c>
      <c r="I133" s="256" t="s">
        <v>294</v>
      </c>
      <c r="J133" s="243" t="s">
        <v>72</v>
      </c>
      <c r="K133" s="258">
        <v>22.2</v>
      </c>
      <c r="L133" s="241">
        <v>110</v>
      </c>
      <c r="M133" s="259"/>
      <c r="N133" s="260"/>
      <c r="O133" s="277"/>
      <c r="P133" s="278"/>
      <c r="Q133" s="279"/>
      <c r="R133" s="309" t="s">
        <v>107</v>
      </c>
      <c r="S133" s="310">
        <v>45384</v>
      </c>
      <c r="T133" s="313"/>
      <c r="U133" s="279"/>
      <c r="V133" s="227">
        <v>17</v>
      </c>
      <c r="W133" s="281"/>
      <c r="X133" s="282">
        <v>17</v>
      </c>
      <c r="Y133" s="293">
        <f t="shared" si="6"/>
        <v>17</v>
      </c>
      <c r="Z133" s="175" t="s">
        <v>85</v>
      </c>
      <c r="AA133" s="342">
        <f>IFERROR(BASE_DATOS[[#This Row],[NSK Original]]-BASE_DATOS[[#This Row],[NSK]]," ")</f>
        <v>5.1999999999999993</v>
      </c>
      <c r="AB133" s="343">
        <f>'NSK-TRACTO'!$A$2</f>
        <v>6</v>
      </c>
      <c r="AC133" s="343">
        <f>IF(BASE_DATOS[[#This Row],[NSK]]&gt;=BASE_DATOS[[#This Row],[NSK Reen]],BASE_DATOS[[#This Row],[NSK Reen]],BASE_DATOS[[#This Row],[NSK]])</f>
        <v>6</v>
      </c>
      <c r="AD133" s="344">
        <f>IFERROR(100%-(BASE_DATOS[[#This Row],[NSK Reen]]/BASE_DATOS[[#This Row],[NSK Original]]),"")</f>
        <v>0.72972972972972971</v>
      </c>
      <c r="AE133" s="344">
        <f>IFERROR(100%-BASE_DATOS[[#This Row],[NSK]]/BASE_DATOS[[#This Row],[NSK Original]],"")</f>
        <v>0.23423423423423417</v>
      </c>
      <c r="AF133" s="344">
        <f>IFERROR(BASE_DATOS[[#This Row],[% Max Des.]]-BASE_DATOS[[#This Row],[% Des]],"")</f>
        <v>0.49549549549549554</v>
      </c>
      <c r="AG133" s="287"/>
      <c r="AH133" s="273"/>
      <c r="AI133" s="363" t="str">
        <f>IF(OR(BASE_DATOS[[#This Row],[Hr.]]="",BASE_DATOS[[#This Row],[Hr. Actual]]=""),"",BASE_DATOS[[#This Row],[Hr. Actual]]-BASE_DATOS[[#This Row],[Hr.]]+BASE_DATOS[[#This Row],[Horas Acumuladas]])</f>
        <v/>
      </c>
      <c r="AJ133" s="364" t="str">
        <f>IFERROR(BASE_DATOS[[#This Row],[Precio US$]]/BASE_DATOS[[#This Row],[Horas Rodadas]],"")</f>
        <v/>
      </c>
      <c r="AK133" s="365" t="str">
        <f>IFERROR(BASE_DATOS[[#This Row],[Horas Rodadas]]/(BASE_DATOS[[#This Row],[NSK Original]]-BASE_DATOS[[#This Row],[NSK]]),"")</f>
        <v/>
      </c>
      <c r="AL13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33" s="366" t="str">
        <f>IFERROR(BASE_DATOS[[#This Row],[Precio US$]]/BASE_DATOS[[#This Row],[Horas Proy.]],"")</f>
        <v/>
      </c>
      <c r="AN133" s="176" t="str">
        <f>IF(OR(BASE_DATOS[[#This Row],[Km.]]="",BASE_DATOS[[#This Row],[Km. Actual]]=""),"",BASE_DATOS[[#This Row],[Km. Actual]]-BASE_DATOS[[#This Row],[Km.]]+BASE_DATOS[[#This Row],[Kilómetros Acumulados]])</f>
        <v/>
      </c>
      <c r="AO133" s="177" t="str">
        <f>IFERROR(BASE_DATOS[[#This Row],[Precio US$]]/BASE_DATOS[[#This Row],[Kilómetros Rodados]],"")</f>
        <v/>
      </c>
      <c r="AP133" s="176" t="str">
        <f>IFERROR(BASE_DATOS[[#This Row],[Kilómetros Rodados]]/(BASE_DATOS[[#This Row],[NSK Original]]-BASE_DATOS[[#This Row],[NSK]]),"")</f>
        <v/>
      </c>
      <c r="AQ13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33" s="177" t="str">
        <f>IFERROR(BASE_DATOS[[#This Row],[Precio US$]]/BASE_DATOS[[#This Row],[Kilómetros Proy.]],"")</f>
        <v/>
      </c>
      <c r="AS133" s="167" t="s">
        <v>62</v>
      </c>
      <c r="AT133" s="167"/>
      <c r="AU133" s="167"/>
      <c r="AV133" s="167" t="s">
        <v>515</v>
      </c>
      <c r="AW133" s="179"/>
      <c r="AX133" s="179"/>
      <c r="AY133" s="179" t="str">
        <f>CONCATENATE(BASE_DATOS[[#This Row],[Código_U]]&amp;BASE_DATOS[[#This Row],[Pos.]]&amp;BASE_DATOS[[#This Row],[Situación Actual]])</f>
        <v>TC-12610Rodando</v>
      </c>
    </row>
    <row r="134" spans="1:51" ht="12" x14ac:dyDescent="0.25">
      <c r="A134" s="224" t="s">
        <v>135</v>
      </c>
      <c r="B134" s="213" t="s">
        <v>136</v>
      </c>
      <c r="C134" s="225" t="s">
        <v>295</v>
      </c>
      <c r="D134" s="226" t="s">
        <v>87</v>
      </c>
      <c r="E134" s="249"/>
      <c r="F134" s="250" t="s">
        <v>97</v>
      </c>
      <c r="G134" s="250" t="s">
        <v>269</v>
      </c>
      <c r="H134" s="251" t="str">
        <f>IF(BASE_DATOS[[#This Row],[N-R]]="N",BASE_DATOS[[#This Row],[Diseño]],"Reencauche")</f>
        <v>AGC28</v>
      </c>
      <c r="I134" s="250" t="s">
        <v>270</v>
      </c>
      <c r="J134" s="235" t="s">
        <v>72</v>
      </c>
      <c r="K134" s="252">
        <v>16.5</v>
      </c>
      <c r="L134" s="250">
        <v>110</v>
      </c>
      <c r="M134" s="253"/>
      <c r="N134" s="254"/>
      <c r="O134" s="274"/>
      <c r="P134" s="275"/>
      <c r="Q134" s="276"/>
      <c r="R134" s="305" t="s">
        <v>98</v>
      </c>
      <c r="S134" s="306">
        <v>45384</v>
      </c>
      <c r="T134" s="314"/>
      <c r="U134" s="276"/>
      <c r="V134" s="224">
        <v>10</v>
      </c>
      <c r="W134" s="325">
        <v>9</v>
      </c>
      <c r="X134" s="326">
        <v>10</v>
      </c>
      <c r="Y134" s="292">
        <f t="shared" si="6"/>
        <v>9</v>
      </c>
      <c r="Z134" s="194" t="s">
        <v>85</v>
      </c>
      <c r="AA134" s="339">
        <f>IFERROR(BASE_DATOS[[#This Row],[NSK Original]]-BASE_DATOS[[#This Row],[NSK]]," ")</f>
        <v>7.5</v>
      </c>
      <c r="AB134" s="340">
        <f>'NSK-TRACTO'!$A$2</f>
        <v>6</v>
      </c>
      <c r="AC134" s="340">
        <f>IF(BASE_DATOS[[#This Row],[NSK]]&gt;=BASE_DATOS[[#This Row],[NSK Reen]],BASE_DATOS[[#This Row],[NSK Reen]],BASE_DATOS[[#This Row],[NSK]])</f>
        <v>6</v>
      </c>
      <c r="AD134" s="341">
        <f>IFERROR(100%-(BASE_DATOS[[#This Row],[NSK Reen]]/BASE_DATOS[[#This Row],[NSK Original]]),"")</f>
        <v>0.63636363636363635</v>
      </c>
      <c r="AE134" s="341">
        <f>IFERROR(100%-BASE_DATOS[[#This Row],[NSK]]/BASE_DATOS[[#This Row],[NSK Original]],"")</f>
        <v>0.45454545454545459</v>
      </c>
      <c r="AF134" s="341">
        <f>IFERROR(BASE_DATOS[[#This Row],[% Max Des.]]-BASE_DATOS[[#This Row],[% Des]],"")</f>
        <v>0.18181818181818177</v>
      </c>
      <c r="AG134" s="284"/>
      <c r="AH134" s="335"/>
      <c r="AI134" s="359" t="str">
        <f>IF(OR(BASE_DATOS[[#This Row],[Hr.]]="",BASE_DATOS[[#This Row],[Hr. Actual]]=""),"",BASE_DATOS[[#This Row],[Hr. Actual]]-BASE_DATOS[[#This Row],[Hr.]]+BASE_DATOS[[#This Row],[Horas Acumuladas]])</f>
        <v/>
      </c>
      <c r="AJ134" s="360" t="str">
        <f>IFERROR(BASE_DATOS[[#This Row],[Precio US$]]/BASE_DATOS[[#This Row],[Horas Rodadas]],"")</f>
        <v/>
      </c>
      <c r="AK134" s="361" t="str">
        <f>IFERROR(BASE_DATOS[[#This Row],[Horas Rodadas]]/(BASE_DATOS[[#This Row],[NSK Original]]-BASE_DATOS[[#This Row],[NSK]]),"")</f>
        <v/>
      </c>
      <c r="AL134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34" s="362" t="str">
        <f>IFERROR(BASE_DATOS[[#This Row],[Precio US$]]/BASE_DATOS[[#This Row],[Horas Proy.]],"")</f>
        <v/>
      </c>
      <c r="AN134" s="195" t="str">
        <f>IF(OR(BASE_DATOS[[#This Row],[Km.]]="",BASE_DATOS[[#This Row],[Km. Actual]]=""),"",BASE_DATOS[[#This Row],[Km. Actual]]-BASE_DATOS[[#This Row],[Km.]]+BASE_DATOS[[#This Row],[Kilómetros Acumulados]])</f>
        <v/>
      </c>
      <c r="AO134" s="196" t="str">
        <f>IFERROR(BASE_DATOS[[#This Row],[Precio US$]]/BASE_DATOS[[#This Row],[Kilómetros Rodados]],"")</f>
        <v/>
      </c>
      <c r="AP134" s="195" t="str">
        <f>IFERROR(BASE_DATOS[[#This Row],[Kilómetros Rodados]]/(BASE_DATOS[[#This Row],[NSK Original]]-BASE_DATOS[[#This Row],[NSK]]),"")</f>
        <v/>
      </c>
      <c r="AQ134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34" s="196" t="str">
        <f>IFERROR(BASE_DATOS[[#This Row],[Precio US$]]/BASE_DATOS[[#This Row],[Kilómetros Proy.]],"")</f>
        <v/>
      </c>
      <c r="AS134" s="191" t="s">
        <v>62</v>
      </c>
      <c r="AT134" s="191"/>
      <c r="AU134" s="191"/>
      <c r="AV134" s="191"/>
      <c r="AW134" s="198"/>
      <c r="AX134" s="198"/>
      <c r="AY134" s="198" t="str">
        <f>CONCATENATE(BASE_DATOS[[#This Row],[Código_U]]&amp;BASE_DATOS[[#This Row],[Pos.]]&amp;BASE_DATOS[[#This Row],[Situación Actual]])</f>
        <v>SR-1261Rodando</v>
      </c>
    </row>
    <row r="135" spans="1:51" ht="12" x14ac:dyDescent="0.25">
      <c r="A135" s="227" t="s">
        <v>135</v>
      </c>
      <c r="B135" s="217" t="s">
        <v>136</v>
      </c>
      <c r="C135" s="228" t="s">
        <v>295</v>
      </c>
      <c r="D135" s="229" t="s">
        <v>87</v>
      </c>
      <c r="E135" s="255"/>
      <c r="F135" s="256" t="s">
        <v>97</v>
      </c>
      <c r="G135" s="256" t="s">
        <v>269</v>
      </c>
      <c r="H135" s="257" t="str">
        <f>IF(BASE_DATOS[[#This Row],[N-R]]="N",BASE_DATOS[[#This Row],[Diseño]],"Reencauche")</f>
        <v>AGC28</v>
      </c>
      <c r="I135" s="256" t="s">
        <v>270</v>
      </c>
      <c r="J135" s="243" t="s">
        <v>72</v>
      </c>
      <c r="K135" s="258">
        <v>16.5</v>
      </c>
      <c r="L135" s="256">
        <v>110</v>
      </c>
      <c r="M135" s="259"/>
      <c r="N135" s="260"/>
      <c r="O135" s="277"/>
      <c r="P135" s="278"/>
      <c r="Q135" s="279"/>
      <c r="R135" s="309" t="s">
        <v>99</v>
      </c>
      <c r="S135" s="310">
        <v>45384</v>
      </c>
      <c r="T135" s="313"/>
      <c r="U135" s="279"/>
      <c r="V135" s="227">
        <v>11</v>
      </c>
      <c r="W135" s="281">
        <v>10</v>
      </c>
      <c r="X135" s="282">
        <v>11</v>
      </c>
      <c r="Y135" s="293">
        <f t="shared" si="6"/>
        <v>10</v>
      </c>
      <c r="Z135" s="175" t="s">
        <v>85</v>
      </c>
      <c r="AA135" s="342">
        <f>IFERROR(BASE_DATOS[[#This Row],[NSK Original]]-BASE_DATOS[[#This Row],[NSK]]," ")</f>
        <v>6.5</v>
      </c>
      <c r="AB135" s="343">
        <f>'NSK-TRACTO'!$A$2</f>
        <v>6</v>
      </c>
      <c r="AC135" s="343">
        <f>IF(BASE_DATOS[[#This Row],[NSK]]&gt;=BASE_DATOS[[#This Row],[NSK Reen]],BASE_DATOS[[#This Row],[NSK Reen]],BASE_DATOS[[#This Row],[NSK]])</f>
        <v>6</v>
      </c>
      <c r="AD135" s="344">
        <f>IFERROR(100%-(BASE_DATOS[[#This Row],[NSK Reen]]/BASE_DATOS[[#This Row],[NSK Original]]),"")</f>
        <v>0.63636363636363635</v>
      </c>
      <c r="AE135" s="344">
        <f>IFERROR(100%-BASE_DATOS[[#This Row],[NSK]]/BASE_DATOS[[#This Row],[NSK Original]],"")</f>
        <v>0.39393939393939392</v>
      </c>
      <c r="AF135" s="344">
        <f>IFERROR(BASE_DATOS[[#This Row],[% Max Des.]]-BASE_DATOS[[#This Row],[% Des]],"")</f>
        <v>0.24242424242424243</v>
      </c>
      <c r="AG135" s="287"/>
      <c r="AH135" s="273"/>
      <c r="AI135" s="363" t="str">
        <f>IF(OR(BASE_DATOS[[#This Row],[Hr.]]="",BASE_DATOS[[#This Row],[Hr. Actual]]=""),"",BASE_DATOS[[#This Row],[Hr. Actual]]-BASE_DATOS[[#This Row],[Hr.]]+BASE_DATOS[[#This Row],[Horas Acumuladas]])</f>
        <v/>
      </c>
      <c r="AJ135" s="364" t="str">
        <f>IFERROR(BASE_DATOS[[#This Row],[Precio US$]]/BASE_DATOS[[#This Row],[Horas Rodadas]],"")</f>
        <v/>
      </c>
      <c r="AK135" s="365" t="str">
        <f>IFERROR(BASE_DATOS[[#This Row],[Horas Rodadas]]/(BASE_DATOS[[#This Row],[NSK Original]]-BASE_DATOS[[#This Row],[NSK]]),"")</f>
        <v/>
      </c>
      <c r="AL13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35" s="366" t="str">
        <f>IFERROR(BASE_DATOS[[#This Row],[Precio US$]]/BASE_DATOS[[#This Row],[Horas Proy.]],"")</f>
        <v/>
      </c>
      <c r="AN135" s="176" t="str">
        <f>IF(OR(BASE_DATOS[[#This Row],[Km.]]="",BASE_DATOS[[#This Row],[Km. Actual]]=""),"",BASE_DATOS[[#This Row],[Km. Actual]]-BASE_DATOS[[#This Row],[Km.]]+BASE_DATOS[[#This Row],[Kilómetros Acumulados]])</f>
        <v/>
      </c>
      <c r="AO135" s="177" t="str">
        <f>IFERROR(BASE_DATOS[[#This Row],[Precio US$]]/BASE_DATOS[[#This Row],[Kilómetros Rodados]],"")</f>
        <v/>
      </c>
      <c r="AP135" s="176" t="str">
        <f>IFERROR(BASE_DATOS[[#This Row],[Kilómetros Rodados]]/(BASE_DATOS[[#This Row],[NSK Original]]-BASE_DATOS[[#This Row],[NSK]]),"")</f>
        <v/>
      </c>
      <c r="AQ13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35" s="177" t="str">
        <f>IFERROR(BASE_DATOS[[#This Row],[Precio US$]]/BASE_DATOS[[#This Row],[Kilómetros Proy.]],"")</f>
        <v/>
      </c>
      <c r="AS135" s="167" t="s">
        <v>62</v>
      </c>
      <c r="AT135" s="167"/>
      <c r="AU135" s="167"/>
      <c r="AV135" s="167"/>
      <c r="AW135" s="179"/>
      <c r="AX135" s="179"/>
      <c r="AY135" s="179" t="str">
        <f>CONCATENATE(BASE_DATOS[[#This Row],[Código_U]]&amp;BASE_DATOS[[#This Row],[Pos.]]&amp;BASE_DATOS[[#This Row],[Situación Actual]])</f>
        <v>SR-1262Rodando</v>
      </c>
    </row>
    <row r="136" spans="1:51" ht="12" x14ac:dyDescent="0.25">
      <c r="A136" s="227" t="s">
        <v>135</v>
      </c>
      <c r="B136" s="217" t="s">
        <v>136</v>
      </c>
      <c r="C136" s="228" t="s">
        <v>295</v>
      </c>
      <c r="D136" s="229" t="s">
        <v>87</v>
      </c>
      <c r="E136" s="255"/>
      <c r="F136" s="256" t="s">
        <v>97</v>
      </c>
      <c r="G136" s="256" t="s">
        <v>269</v>
      </c>
      <c r="H136" s="257" t="str">
        <f>IF(BASE_DATOS[[#This Row],[N-R]]="N",BASE_DATOS[[#This Row],[Diseño]],"Reencauche")</f>
        <v>AGC28</v>
      </c>
      <c r="I136" s="256" t="s">
        <v>270</v>
      </c>
      <c r="J136" s="243" t="s">
        <v>72</v>
      </c>
      <c r="K136" s="258">
        <v>16.5</v>
      </c>
      <c r="L136" s="256">
        <v>110</v>
      </c>
      <c r="M136" s="259"/>
      <c r="N136" s="260"/>
      <c r="O136" s="277"/>
      <c r="P136" s="278"/>
      <c r="Q136" s="279"/>
      <c r="R136" s="309" t="s">
        <v>100</v>
      </c>
      <c r="S136" s="310">
        <v>45384</v>
      </c>
      <c r="T136" s="313"/>
      <c r="U136" s="279"/>
      <c r="V136" s="227">
        <v>19</v>
      </c>
      <c r="W136" s="281">
        <v>18</v>
      </c>
      <c r="X136" s="282">
        <v>18</v>
      </c>
      <c r="Y136" s="293">
        <f t="shared" si="6"/>
        <v>18</v>
      </c>
      <c r="Z136" s="175" t="s">
        <v>85</v>
      </c>
      <c r="AA136" s="342">
        <f>IFERROR(BASE_DATOS[[#This Row],[NSK Original]]-BASE_DATOS[[#This Row],[NSK]]," ")</f>
        <v>-1.5</v>
      </c>
      <c r="AB136" s="343">
        <f>'NSK-TRACTO'!$A$2</f>
        <v>6</v>
      </c>
      <c r="AC136" s="343">
        <f>IF(BASE_DATOS[[#This Row],[NSK]]&gt;=BASE_DATOS[[#This Row],[NSK Reen]],BASE_DATOS[[#This Row],[NSK Reen]],BASE_DATOS[[#This Row],[NSK]])</f>
        <v>6</v>
      </c>
      <c r="AD136" s="344">
        <f>IFERROR(100%-(BASE_DATOS[[#This Row],[NSK Reen]]/BASE_DATOS[[#This Row],[NSK Original]]),"")</f>
        <v>0.63636363636363635</v>
      </c>
      <c r="AE136" s="344">
        <f>IFERROR(100%-BASE_DATOS[[#This Row],[NSK]]/BASE_DATOS[[#This Row],[NSK Original]],"")</f>
        <v>-9.0909090909090828E-2</v>
      </c>
      <c r="AF136" s="344">
        <f>IFERROR(BASE_DATOS[[#This Row],[% Max Des.]]-BASE_DATOS[[#This Row],[% Des]],"")</f>
        <v>0.72727272727272718</v>
      </c>
      <c r="AG136" s="287"/>
      <c r="AH136" s="273"/>
      <c r="AI136" s="363" t="str">
        <f>IF(OR(BASE_DATOS[[#This Row],[Hr.]]="",BASE_DATOS[[#This Row],[Hr. Actual]]=""),"",BASE_DATOS[[#This Row],[Hr. Actual]]-BASE_DATOS[[#This Row],[Hr.]]+BASE_DATOS[[#This Row],[Horas Acumuladas]])</f>
        <v/>
      </c>
      <c r="AJ136" s="364" t="str">
        <f>IFERROR(BASE_DATOS[[#This Row],[Precio US$]]/BASE_DATOS[[#This Row],[Horas Rodadas]],"")</f>
        <v/>
      </c>
      <c r="AK136" s="365" t="str">
        <f>IFERROR(BASE_DATOS[[#This Row],[Horas Rodadas]]/(BASE_DATOS[[#This Row],[NSK Original]]-BASE_DATOS[[#This Row],[NSK]]),"")</f>
        <v/>
      </c>
      <c r="AL13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36" s="366" t="str">
        <f>IFERROR(BASE_DATOS[[#This Row],[Precio US$]]/BASE_DATOS[[#This Row],[Horas Proy.]],"")</f>
        <v/>
      </c>
      <c r="AN136" s="176" t="str">
        <f>IF(OR(BASE_DATOS[[#This Row],[Km.]]="",BASE_DATOS[[#This Row],[Km. Actual]]=""),"",BASE_DATOS[[#This Row],[Km. Actual]]-BASE_DATOS[[#This Row],[Km.]]+BASE_DATOS[[#This Row],[Kilómetros Acumulados]])</f>
        <v/>
      </c>
      <c r="AO136" s="177" t="str">
        <f>IFERROR(BASE_DATOS[[#This Row],[Precio US$]]/BASE_DATOS[[#This Row],[Kilómetros Rodados]],"")</f>
        <v/>
      </c>
      <c r="AP136" s="176" t="str">
        <f>IFERROR(BASE_DATOS[[#This Row],[Kilómetros Rodados]]/(BASE_DATOS[[#This Row],[NSK Original]]-BASE_DATOS[[#This Row],[NSK]]),"")</f>
        <v/>
      </c>
      <c r="AQ13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36" s="177" t="str">
        <f>IFERROR(BASE_DATOS[[#This Row],[Precio US$]]/BASE_DATOS[[#This Row],[Kilómetros Proy.]],"")</f>
        <v/>
      </c>
      <c r="AS136" s="167" t="s">
        <v>62</v>
      </c>
      <c r="AT136" s="167"/>
      <c r="AU136" s="167"/>
      <c r="AV136" s="167"/>
      <c r="AW136" s="179"/>
      <c r="AX136" s="179"/>
      <c r="AY136" s="179" t="str">
        <f>CONCATENATE(BASE_DATOS[[#This Row],[Código_U]]&amp;BASE_DATOS[[#This Row],[Pos.]]&amp;BASE_DATOS[[#This Row],[Situación Actual]])</f>
        <v>SR-1263Rodando</v>
      </c>
    </row>
    <row r="137" spans="1:51" ht="12" x14ac:dyDescent="0.25">
      <c r="A137" s="227" t="s">
        <v>135</v>
      </c>
      <c r="B137" s="217" t="s">
        <v>136</v>
      </c>
      <c r="C137" s="228" t="s">
        <v>295</v>
      </c>
      <c r="D137" s="229" t="s">
        <v>87</v>
      </c>
      <c r="E137" s="255"/>
      <c r="F137" s="256" t="s">
        <v>97</v>
      </c>
      <c r="G137" s="256" t="s">
        <v>269</v>
      </c>
      <c r="H137" s="257" t="str">
        <f>IF(BASE_DATOS[[#This Row],[N-R]]="N",BASE_DATOS[[#This Row],[Diseño]],"Reencauche")</f>
        <v>AGC28</v>
      </c>
      <c r="I137" s="256" t="s">
        <v>270</v>
      </c>
      <c r="J137" s="243" t="s">
        <v>72</v>
      </c>
      <c r="K137" s="258">
        <v>16.5</v>
      </c>
      <c r="L137" s="256">
        <v>110</v>
      </c>
      <c r="M137" s="259"/>
      <c r="N137" s="260"/>
      <c r="O137" s="277"/>
      <c r="P137" s="278"/>
      <c r="Q137" s="279"/>
      <c r="R137" s="309" t="s">
        <v>101</v>
      </c>
      <c r="S137" s="310">
        <v>45384</v>
      </c>
      <c r="T137" s="313"/>
      <c r="U137" s="279"/>
      <c r="V137" s="227">
        <v>13</v>
      </c>
      <c r="W137" s="281">
        <v>13</v>
      </c>
      <c r="X137" s="282">
        <v>13</v>
      </c>
      <c r="Y137" s="293">
        <f t="shared" si="6"/>
        <v>13</v>
      </c>
      <c r="Z137" s="175" t="s">
        <v>85</v>
      </c>
      <c r="AA137" s="342">
        <f>IFERROR(BASE_DATOS[[#This Row],[NSK Original]]-BASE_DATOS[[#This Row],[NSK]]," ")</f>
        <v>3.5</v>
      </c>
      <c r="AB137" s="343">
        <f>'NSK-TRACTO'!$A$2</f>
        <v>6</v>
      </c>
      <c r="AC137" s="343">
        <f>IF(BASE_DATOS[[#This Row],[NSK]]&gt;=BASE_DATOS[[#This Row],[NSK Reen]],BASE_DATOS[[#This Row],[NSK Reen]],BASE_DATOS[[#This Row],[NSK]])</f>
        <v>6</v>
      </c>
      <c r="AD137" s="344">
        <f>IFERROR(100%-(BASE_DATOS[[#This Row],[NSK Reen]]/BASE_DATOS[[#This Row],[NSK Original]]),"")</f>
        <v>0.63636363636363635</v>
      </c>
      <c r="AE137" s="344">
        <f>IFERROR(100%-BASE_DATOS[[#This Row],[NSK]]/BASE_DATOS[[#This Row],[NSK Original]],"")</f>
        <v>0.21212121212121215</v>
      </c>
      <c r="AF137" s="344">
        <f>IFERROR(BASE_DATOS[[#This Row],[% Max Des.]]-BASE_DATOS[[#This Row],[% Des]],"")</f>
        <v>0.4242424242424242</v>
      </c>
      <c r="AG137" s="287"/>
      <c r="AH137" s="273"/>
      <c r="AI137" s="363" t="str">
        <f>IF(OR(BASE_DATOS[[#This Row],[Hr.]]="",BASE_DATOS[[#This Row],[Hr. Actual]]=""),"",BASE_DATOS[[#This Row],[Hr. Actual]]-BASE_DATOS[[#This Row],[Hr.]]+BASE_DATOS[[#This Row],[Horas Acumuladas]])</f>
        <v/>
      </c>
      <c r="AJ137" s="364" t="str">
        <f>IFERROR(BASE_DATOS[[#This Row],[Precio US$]]/BASE_DATOS[[#This Row],[Horas Rodadas]],"")</f>
        <v/>
      </c>
      <c r="AK137" s="365" t="str">
        <f>IFERROR(BASE_DATOS[[#This Row],[Horas Rodadas]]/(BASE_DATOS[[#This Row],[NSK Original]]-BASE_DATOS[[#This Row],[NSK]]),"")</f>
        <v/>
      </c>
      <c r="AL13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37" s="366" t="str">
        <f>IFERROR(BASE_DATOS[[#This Row],[Precio US$]]/BASE_DATOS[[#This Row],[Horas Proy.]],"")</f>
        <v/>
      </c>
      <c r="AN137" s="176" t="str">
        <f>IF(OR(BASE_DATOS[[#This Row],[Km.]]="",BASE_DATOS[[#This Row],[Km. Actual]]=""),"",BASE_DATOS[[#This Row],[Km. Actual]]-BASE_DATOS[[#This Row],[Km.]]+BASE_DATOS[[#This Row],[Kilómetros Acumulados]])</f>
        <v/>
      </c>
      <c r="AO137" s="177" t="str">
        <f>IFERROR(BASE_DATOS[[#This Row],[Precio US$]]/BASE_DATOS[[#This Row],[Kilómetros Rodados]],"")</f>
        <v/>
      </c>
      <c r="AP137" s="176" t="str">
        <f>IFERROR(BASE_DATOS[[#This Row],[Kilómetros Rodados]]/(BASE_DATOS[[#This Row],[NSK Original]]-BASE_DATOS[[#This Row],[NSK]]),"")</f>
        <v/>
      </c>
      <c r="AQ13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37" s="177" t="str">
        <f>IFERROR(BASE_DATOS[[#This Row],[Precio US$]]/BASE_DATOS[[#This Row],[Kilómetros Proy.]],"")</f>
        <v/>
      </c>
      <c r="AS137" s="167" t="s">
        <v>62</v>
      </c>
      <c r="AT137" s="167"/>
      <c r="AU137" s="167"/>
      <c r="AV137" s="167"/>
      <c r="AW137" s="179"/>
      <c r="AX137" s="179"/>
      <c r="AY137" s="179" t="str">
        <f>CONCATENATE(BASE_DATOS[[#This Row],[Código_U]]&amp;BASE_DATOS[[#This Row],[Pos.]]&amp;BASE_DATOS[[#This Row],[Situación Actual]])</f>
        <v>SR-1264Rodando</v>
      </c>
    </row>
    <row r="138" spans="1:51" ht="12" x14ac:dyDescent="0.25">
      <c r="A138" s="227" t="s">
        <v>135</v>
      </c>
      <c r="B138" s="217" t="s">
        <v>136</v>
      </c>
      <c r="C138" s="228" t="s">
        <v>295</v>
      </c>
      <c r="D138" s="229" t="s">
        <v>87</v>
      </c>
      <c r="E138" s="255"/>
      <c r="F138" s="256" t="s">
        <v>97</v>
      </c>
      <c r="G138" s="256" t="s">
        <v>269</v>
      </c>
      <c r="H138" s="257" t="str">
        <f>IF(BASE_DATOS[[#This Row],[N-R]]="N",BASE_DATOS[[#This Row],[Diseño]],"Reencauche")</f>
        <v>AGC28</v>
      </c>
      <c r="I138" s="256" t="s">
        <v>270</v>
      </c>
      <c r="J138" s="243" t="s">
        <v>72</v>
      </c>
      <c r="K138" s="258">
        <v>16.5</v>
      </c>
      <c r="L138" s="256">
        <v>110</v>
      </c>
      <c r="M138" s="259"/>
      <c r="N138" s="260"/>
      <c r="O138" s="277"/>
      <c r="P138" s="278"/>
      <c r="Q138" s="279"/>
      <c r="R138" s="309" t="s">
        <v>102</v>
      </c>
      <c r="S138" s="310">
        <v>45384</v>
      </c>
      <c r="T138" s="313"/>
      <c r="U138" s="279"/>
      <c r="V138" s="227">
        <v>16</v>
      </c>
      <c r="W138" s="281">
        <v>16</v>
      </c>
      <c r="X138" s="282">
        <v>16</v>
      </c>
      <c r="Y138" s="293">
        <f t="shared" si="6"/>
        <v>16</v>
      </c>
      <c r="Z138" s="175" t="s">
        <v>85</v>
      </c>
      <c r="AA138" s="342">
        <f>IFERROR(BASE_DATOS[[#This Row],[NSK Original]]-BASE_DATOS[[#This Row],[NSK]]," ")</f>
        <v>0.5</v>
      </c>
      <c r="AB138" s="343">
        <f>'NSK-TRACTO'!$A$2</f>
        <v>6</v>
      </c>
      <c r="AC138" s="343">
        <f>IF(BASE_DATOS[[#This Row],[NSK]]&gt;=BASE_DATOS[[#This Row],[NSK Reen]],BASE_DATOS[[#This Row],[NSK Reen]],BASE_DATOS[[#This Row],[NSK]])</f>
        <v>6</v>
      </c>
      <c r="AD138" s="344">
        <f>IFERROR(100%-(BASE_DATOS[[#This Row],[NSK Reen]]/BASE_DATOS[[#This Row],[NSK Original]]),"")</f>
        <v>0.63636363636363635</v>
      </c>
      <c r="AE138" s="344">
        <f>IFERROR(100%-BASE_DATOS[[#This Row],[NSK]]/BASE_DATOS[[#This Row],[NSK Original]],"")</f>
        <v>3.0303030303030276E-2</v>
      </c>
      <c r="AF138" s="344">
        <f>IFERROR(BASE_DATOS[[#This Row],[% Max Des.]]-BASE_DATOS[[#This Row],[% Des]],"")</f>
        <v>0.60606060606060608</v>
      </c>
      <c r="AG138" s="287"/>
      <c r="AH138" s="273"/>
      <c r="AI138" s="363" t="str">
        <f>IF(OR(BASE_DATOS[[#This Row],[Hr.]]="",BASE_DATOS[[#This Row],[Hr. Actual]]=""),"",BASE_DATOS[[#This Row],[Hr. Actual]]-BASE_DATOS[[#This Row],[Hr.]]+BASE_DATOS[[#This Row],[Horas Acumuladas]])</f>
        <v/>
      </c>
      <c r="AJ138" s="364" t="str">
        <f>IFERROR(BASE_DATOS[[#This Row],[Precio US$]]/BASE_DATOS[[#This Row],[Horas Rodadas]],"")</f>
        <v/>
      </c>
      <c r="AK138" s="365" t="str">
        <f>IFERROR(BASE_DATOS[[#This Row],[Horas Rodadas]]/(BASE_DATOS[[#This Row],[NSK Original]]-BASE_DATOS[[#This Row],[NSK]]),"")</f>
        <v/>
      </c>
      <c r="AL13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38" s="366" t="str">
        <f>IFERROR(BASE_DATOS[[#This Row],[Precio US$]]/BASE_DATOS[[#This Row],[Horas Proy.]],"")</f>
        <v/>
      </c>
      <c r="AN138" s="176" t="str">
        <f>IF(OR(BASE_DATOS[[#This Row],[Km.]]="",BASE_DATOS[[#This Row],[Km. Actual]]=""),"",BASE_DATOS[[#This Row],[Km. Actual]]-BASE_DATOS[[#This Row],[Km.]]+BASE_DATOS[[#This Row],[Kilómetros Acumulados]])</f>
        <v/>
      </c>
      <c r="AO138" s="177" t="str">
        <f>IFERROR(BASE_DATOS[[#This Row],[Precio US$]]/BASE_DATOS[[#This Row],[Kilómetros Rodados]],"")</f>
        <v/>
      </c>
      <c r="AP138" s="176" t="str">
        <f>IFERROR(BASE_DATOS[[#This Row],[Kilómetros Rodados]]/(BASE_DATOS[[#This Row],[NSK Original]]-BASE_DATOS[[#This Row],[NSK]]),"")</f>
        <v/>
      </c>
      <c r="AQ13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38" s="177" t="str">
        <f>IFERROR(BASE_DATOS[[#This Row],[Precio US$]]/BASE_DATOS[[#This Row],[Kilómetros Proy.]],"")</f>
        <v/>
      </c>
      <c r="AS138" s="167" t="s">
        <v>62</v>
      </c>
      <c r="AT138" s="167"/>
      <c r="AU138" s="167"/>
      <c r="AV138" s="167"/>
      <c r="AW138" s="179"/>
      <c r="AX138" s="179"/>
      <c r="AY138" s="179" t="str">
        <f>CONCATENATE(BASE_DATOS[[#This Row],[Código_U]]&amp;BASE_DATOS[[#This Row],[Pos.]]&amp;BASE_DATOS[[#This Row],[Situación Actual]])</f>
        <v>SR-1265Rodando</v>
      </c>
    </row>
    <row r="139" spans="1:51" ht="12" x14ac:dyDescent="0.25">
      <c r="A139" s="227" t="s">
        <v>135</v>
      </c>
      <c r="B139" s="217" t="s">
        <v>136</v>
      </c>
      <c r="C139" s="228" t="s">
        <v>295</v>
      </c>
      <c r="D139" s="229" t="s">
        <v>87</v>
      </c>
      <c r="E139" s="255"/>
      <c r="F139" s="256" t="s">
        <v>97</v>
      </c>
      <c r="G139" s="256" t="s">
        <v>269</v>
      </c>
      <c r="H139" s="257" t="str">
        <f>IF(BASE_DATOS[[#This Row],[N-R]]="N",BASE_DATOS[[#This Row],[Diseño]],"Reencauche")</f>
        <v>AGC28</v>
      </c>
      <c r="I139" s="256" t="s">
        <v>270</v>
      </c>
      <c r="J139" s="243" t="s">
        <v>72</v>
      </c>
      <c r="K139" s="258">
        <v>16.5</v>
      </c>
      <c r="L139" s="256">
        <v>110</v>
      </c>
      <c r="M139" s="259"/>
      <c r="N139" s="260"/>
      <c r="O139" s="277"/>
      <c r="P139" s="278"/>
      <c r="Q139" s="279"/>
      <c r="R139" s="309" t="s">
        <v>103</v>
      </c>
      <c r="S139" s="310">
        <v>45384</v>
      </c>
      <c r="T139" s="313"/>
      <c r="U139" s="279"/>
      <c r="V139" s="227">
        <v>16</v>
      </c>
      <c r="W139" s="281">
        <v>16</v>
      </c>
      <c r="X139" s="282">
        <v>16</v>
      </c>
      <c r="Y139" s="293">
        <f t="shared" si="6"/>
        <v>16</v>
      </c>
      <c r="Z139" s="175" t="s">
        <v>85</v>
      </c>
      <c r="AA139" s="342">
        <f>IFERROR(BASE_DATOS[[#This Row],[NSK Original]]-BASE_DATOS[[#This Row],[NSK]]," ")</f>
        <v>0.5</v>
      </c>
      <c r="AB139" s="343">
        <f>'NSK-TRACTO'!$A$2</f>
        <v>6</v>
      </c>
      <c r="AC139" s="343">
        <f>IF(BASE_DATOS[[#This Row],[NSK]]&gt;=BASE_DATOS[[#This Row],[NSK Reen]],BASE_DATOS[[#This Row],[NSK Reen]],BASE_DATOS[[#This Row],[NSK]])</f>
        <v>6</v>
      </c>
      <c r="AD139" s="344">
        <f>IFERROR(100%-(BASE_DATOS[[#This Row],[NSK Reen]]/BASE_DATOS[[#This Row],[NSK Original]]),"")</f>
        <v>0.63636363636363635</v>
      </c>
      <c r="AE139" s="344">
        <f>IFERROR(100%-BASE_DATOS[[#This Row],[NSK]]/BASE_DATOS[[#This Row],[NSK Original]],"")</f>
        <v>3.0303030303030276E-2</v>
      </c>
      <c r="AF139" s="344">
        <f>IFERROR(BASE_DATOS[[#This Row],[% Max Des.]]-BASE_DATOS[[#This Row],[% Des]],"")</f>
        <v>0.60606060606060608</v>
      </c>
      <c r="AG139" s="287"/>
      <c r="AH139" s="273"/>
      <c r="AI139" s="363" t="str">
        <f>IF(OR(BASE_DATOS[[#This Row],[Hr.]]="",BASE_DATOS[[#This Row],[Hr. Actual]]=""),"",BASE_DATOS[[#This Row],[Hr. Actual]]-BASE_DATOS[[#This Row],[Hr.]]+BASE_DATOS[[#This Row],[Horas Acumuladas]])</f>
        <v/>
      </c>
      <c r="AJ139" s="364" t="str">
        <f>IFERROR(BASE_DATOS[[#This Row],[Precio US$]]/BASE_DATOS[[#This Row],[Horas Rodadas]],"")</f>
        <v/>
      </c>
      <c r="AK139" s="365" t="str">
        <f>IFERROR(BASE_DATOS[[#This Row],[Horas Rodadas]]/(BASE_DATOS[[#This Row],[NSK Original]]-BASE_DATOS[[#This Row],[NSK]]),"")</f>
        <v/>
      </c>
      <c r="AL13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39" s="366" t="str">
        <f>IFERROR(BASE_DATOS[[#This Row],[Precio US$]]/BASE_DATOS[[#This Row],[Horas Proy.]],"")</f>
        <v/>
      </c>
      <c r="AN139" s="176" t="str">
        <f>IF(OR(BASE_DATOS[[#This Row],[Km.]]="",BASE_DATOS[[#This Row],[Km. Actual]]=""),"",BASE_DATOS[[#This Row],[Km. Actual]]-BASE_DATOS[[#This Row],[Km.]]+BASE_DATOS[[#This Row],[Kilómetros Acumulados]])</f>
        <v/>
      </c>
      <c r="AO139" s="177" t="str">
        <f>IFERROR(BASE_DATOS[[#This Row],[Precio US$]]/BASE_DATOS[[#This Row],[Kilómetros Rodados]],"")</f>
        <v/>
      </c>
      <c r="AP139" s="176" t="str">
        <f>IFERROR(BASE_DATOS[[#This Row],[Kilómetros Rodados]]/(BASE_DATOS[[#This Row],[NSK Original]]-BASE_DATOS[[#This Row],[NSK]]),"")</f>
        <v/>
      </c>
      <c r="AQ13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39" s="177" t="str">
        <f>IFERROR(BASE_DATOS[[#This Row],[Precio US$]]/BASE_DATOS[[#This Row],[Kilómetros Proy.]],"")</f>
        <v/>
      </c>
      <c r="AS139" s="167" t="s">
        <v>62</v>
      </c>
      <c r="AT139" s="167"/>
      <c r="AU139" s="167"/>
      <c r="AV139" s="167"/>
      <c r="AW139" s="179"/>
      <c r="AX139" s="179"/>
      <c r="AY139" s="179" t="str">
        <f>CONCATENATE(BASE_DATOS[[#This Row],[Código_U]]&amp;BASE_DATOS[[#This Row],[Pos.]]&amp;BASE_DATOS[[#This Row],[Situación Actual]])</f>
        <v>SR-1266Rodando</v>
      </c>
    </row>
    <row r="140" spans="1:51" ht="12" x14ac:dyDescent="0.25">
      <c r="A140" s="224" t="s">
        <v>137</v>
      </c>
      <c r="B140" s="213" t="s">
        <v>138</v>
      </c>
      <c r="C140" s="225" t="s">
        <v>296</v>
      </c>
      <c r="D140" s="226" t="s">
        <v>86</v>
      </c>
      <c r="E140" s="249"/>
      <c r="F140" s="250" t="s">
        <v>278</v>
      </c>
      <c r="G140" s="250" t="s">
        <v>271</v>
      </c>
      <c r="H140" s="251" t="str">
        <f>IF(BASE_DATOS[[#This Row],[N-R]]="N",BASE_DATOS[[#This Row],[Diseño]],"Reencauche")</f>
        <v>HS3+</v>
      </c>
      <c r="I140" s="250" t="s">
        <v>279</v>
      </c>
      <c r="J140" s="235" t="s">
        <v>72</v>
      </c>
      <c r="K140" s="252">
        <v>16</v>
      </c>
      <c r="L140" s="233">
        <v>100</v>
      </c>
      <c r="M140" s="253"/>
      <c r="N140" s="254"/>
      <c r="O140" s="274"/>
      <c r="P140" s="275"/>
      <c r="Q140" s="276"/>
      <c r="R140" s="305" t="s">
        <v>98</v>
      </c>
      <c r="S140" s="306">
        <v>45385</v>
      </c>
      <c r="T140" s="307"/>
      <c r="U140" s="308"/>
      <c r="V140" s="224">
        <v>16</v>
      </c>
      <c r="W140" s="325">
        <v>16</v>
      </c>
      <c r="X140" s="326">
        <v>16</v>
      </c>
      <c r="Y140" s="292">
        <f t="shared" si="6"/>
        <v>16</v>
      </c>
      <c r="Z140" s="185" t="s">
        <v>73</v>
      </c>
      <c r="AA140" s="339">
        <f>IFERROR(BASE_DATOS[[#This Row],[NSK Original]]-BASE_DATOS[[#This Row],[NSK]]," ")</f>
        <v>0</v>
      </c>
      <c r="AB140" s="340">
        <f>'NSK-TRACTO'!$A$2</f>
        <v>6</v>
      </c>
      <c r="AC140" s="340">
        <f>IF(BASE_DATOS[[#This Row],[NSK]]&gt;=BASE_DATOS[[#This Row],[NSK Reen]],BASE_DATOS[[#This Row],[NSK Reen]],BASE_DATOS[[#This Row],[NSK]])</f>
        <v>6</v>
      </c>
      <c r="AD140" s="341">
        <f>IFERROR(100%-(BASE_DATOS[[#This Row],[NSK Reen]]/BASE_DATOS[[#This Row],[NSK Original]]),"")</f>
        <v>0.625</v>
      </c>
      <c r="AE140" s="341">
        <f>IFERROR(100%-BASE_DATOS[[#This Row],[NSK]]/BASE_DATOS[[#This Row],[NSK Original]],"")</f>
        <v>0</v>
      </c>
      <c r="AF140" s="341">
        <f>IFERROR(BASE_DATOS[[#This Row],[% Max Des.]]-BASE_DATOS[[#This Row],[% Des]],"")</f>
        <v>0.625</v>
      </c>
      <c r="AG140" s="284"/>
      <c r="AH140" s="335"/>
      <c r="AI140" s="359" t="str">
        <f>IF(OR(BASE_DATOS[[#This Row],[Hr.]]="",BASE_DATOS[[#This Row],[Hr. Actual]]=""),"",BASE_DATOS[[#This Row],[Hr. Actual]]-BASE_DATOS[[#This Row],[Hr.]]+BASE_DATOS[[#This Row],[Horas Acumuladas]])</f>
        <v/>
      </c>
      <c r="AJ140" s="360" t="str">
        <f>IFERROR(BASE_DATOS[[#This Row],[Precio US$]]/BASE_DATOS[[#This Row],[Horas Rodadas]],"")</f>
        <v/>
      </c>
      <c r="AK140" s="361" t="str">
        <f>IFERROR(BASE_DATOS[[#This Row],[Horas Rodadas]]/(BASE_DATOS[[#This Row],[NSK Original]]-BASE_DATOS[[#This Row],[NSK]]),"")</f>
        <v/>
      </c>
      <c r="AL140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40" s="362" t="str">
        <f>IFERROR(BASE_DATOS[[#This Row],[Precio US$]]/BASE_DATOS[[#This Row],[Horas Proy.]],"")</f>
        <v/>
      </c>
      <c r="AN140" s="195" t="str">
        <f>IF(OR(BASE_DATOS[[#This Row],[Km.]]="",BASE_DATOS[[#This Row],[Km. Actual]]=""),"",BASE_DATOS[[#This Row],[Km. Actual]]-BASE_DATOS[[#This Row],[Km.]]+BASE_DATOS[[#This Row],[Kilómetros Acumulados]])</f>
        <v/>
      </c>
      <c r="AO140" s="196" t="str">
        <f>IFERROR(BASE_DATOS[[#This Row],[Precio US$]]/BASE_DATOS[[#This Row],[Kilómetros Rodados]],"")</f>
        <v/>
      </c>
      <c r="AP140" s="195" t="str">
        <f>IFERROR(BASE_DATOS[[#This Row],[Kilómetros Rodados]]/(BASE_DATOS[[#This Row],[NSK Original]]-BASE_DATOS[[#This Row],[NSK]]),"")</f>
        <v/>
      </c>
      <c r="AQ140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40" s="196" t="str">
        <f>IFERROR(BASE_DATOS[[#This Row],[Precio US$]]/BASE_DATOS[[#This Row],[Kilómetros Proy.]],"")</f>
        <v/>
      </c>
      <c r="AS140" s="191" t="s">
        <v>62</v>
      </c>
      <c r="AT140" s="191"/>
      <c r="AU140" s="191"/>
      <c r="AV140" s="191"/>
      <c r="AW140" s="198"/>
      <c r="AX140" s="198"/>
      <c r="AY140" s="198" t="str">
        <f>CONCATENATE(BASE_DATOS[[#This Row],[Código_U]]&amp;BASE_DATOS[[#This Row],[Pos.]]&amp;BASE_DATOS[[#This Row],[Situación Actual]])</f>
        <v>TC-1281Rodando</v>
      </c>
    </row>
    <row r="141" spans="1:51" ht="12" x14ac:dyDescent="0.25">
      <c r="A141" s="227" t="s">
        <v>137</v>
      </c>
      <c r="B141" s="217" t="s">
        <v>138</v>
      </c>
      <c r="C141" s="228" t="s">
        <v>296</v>
      </c>
      <c r="D141" s="229" t="s">
        <v>86</v>
      </c>
      <c r="E141" s="255"/>
      <c r="F141" s="256" t="s">
        <v>278</v>
      </c>
      <c r="G141" s="256" t="s">
        <v>271</v>
      </c>
      <c r="H141" s="257" t="str">
        <f>IF(BASE_DATOS[[#This Row],[N-R]]="N",BASE_DATOS[[#This Row],[Diseño]],"Reencauche")</f>
        <v>HS3+</v>
      </c>
      <c r="I141" s="256" t="s">
        <v>279</v>
      </c>
      <c r="J141" s="243" t="s">
        <v>72</v>
      </c>
      <c r="K141" s="258">
        <v>16</v>
      </c>
      <c r="L141" s="241">
        <v>100</v>
      </c>
      <c r="M141" s="259"/>
      <c r="N141" s="260"/>
      <c r="O141" s="277"/>
      <c r="P141" s="278"/>
      <c r="Q141" s="279"/>
      <c r="R141" s="309" t="s">
        <v>99</v>
      </c>
      <c r="S141" s="310">
        <v>45385</v>
      </c>
      <c r="T141" s="311"/>
      <c r="U141" s="312"/>
      <c r="V141" s="227">
        <v>16</v>
      </c>
      <c r="W141" s="281">
        <v>16</v>
      </c>
      <c r="X141" s="282">
        <v>16</v>
      </c>
      <c r="Y141" s="293">
        <f t="shared" si="6"/>
        <v>16</v>
      </c>
      <c r="Z141" s="175" t="s">
        <v>85</v>
      </c>
      <c r="AA141" s="342">
        <f>IFERROR(BASE_DATOS[[#This Row],[NSK Original]]-BASE_DATOS[[#This Row],[NSK]]," ")</f>
        <v>0</v>
      </c>
      <c r="AB141" s="343">
        <f>'NSK-TRACTO'!$A$2</f>
        <v>6</v>
      </c>
      <c r="AC141" s="343">
        <f>IF(BASE_DATOS[[#This Row],[NSK]]&gt;=BASE_DATOS[[#This Row],[NSK Reen]],BASE_DATOS[[#This Row],[NSK Reen]],BASE_DATOS[[#This Row],[NSK]])</f>
        <v>6</v>
      </c>
      <c r="AD141" s="344">
        <f>IFERROR(100%-(BASE_DATOS[[#This Row],[NSK Reen]]/BASE_DATOS[[#This Row],[NSK Original]]),"")</f>
        <v>0.625</v>
      </c>
      <c r="AE141" s="344">
        <f>IFERROR(100%-BASE_DATOS[[#This Row],[NSK]]/BASE_DATOS[[#This Row],[NSK Original]],"")</f>
        <v>0</v>
      </c>
      <c r="AF141" s="344">
        <f>IFERROR(BASE_DATOS[[#This Row],[% Max Des.]]-BASE_DATOS[[#This Row],[% Des]],"")</f>
        <v>0.625</v>
      </c>
      <c r="AG141" s="287"/>
      <c r="AH141" s="273"/>
      <c r="AI141" s="363" t="str">
        <f>IF(OR(BASE_DATOS[[#This Row],[Hr.]]="",BASE_DATOS[[#This Row],[Hr. Actual]]=""),"",BASE_DATOS[[#This Row],[Hr. Actual]]-BASE_DATOS[[#This Row],[Hr.]]+BASE_DATOS[[#This Row],[Horas Acumuladas]])</f>
        <v/>
      </c>
      <c r="AJ141" s="364" t="str">
        <f>IFERROR(BASE_DATOS[[#This Row],[Precio US$]]/BASE_DATOS[[#This Row],[Horas Rodadas]],"")</f>
        <v/>
      </c>
      <c r="AK141" s="365" t="str">
        <f>IFERROR(BASE_DATOS[[#This Row],[Horas Rodadas]]/(BASE_DATOS[[#This Row],[NSK Original]]-BASE_DATOS[[#This Row],[NSK]]),"")</f>
        <v/>
      </c>
      <c r="AL14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41" s="366" t="str">
        <f>IFERROR(BASE_DATOS[[#This Row],[Precio US$]]/BASE_DATOS[[#This Row],[Horas Proy.]],"")</f>
        <v/>
      </c>
      <c r="AN141" s="176" t="str">
        <f>IF(OR(BASE_DATOS[[#This Row],[Km.]]="",BASE_DATOS[[#This Row],[Km. Actual]]=""),"",BASE_DATOS[[#This Row],[Km. Actual]]-BASE_DATOS[[#This Row],[Km.]]+BASE_DATOS[[#This Row],[Kilómetros Acumulados]])</f>
        <v/>
      </c>
      <c r="AO141" s="177" t="str">
        <f>IFERROR(BASE_DATOS[[#This Row],[Precio US$]]/BASE_DATOS[[#This Row],[Kilómetros Rodados]],"")</f>
        <v/>
      </c>
      <c r="AP141" s="176" t="str">
        <f>IFERROR(BASE_DATOS[[#This Row],[Kilómetros Rodados]]/(BASE_DATOS[[#This Row],[NSK Original]]-BASE_DATOS[[#This Row],[NSK]]),"")</f>
        <v/>
      </c>
      <c r="AQ14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41" s="177" t="str">
        <f>IFERROR(BASE_DATOS[[#This Row],[Precio US$]]/BASE_DATOS[[#This Row],[Kilómetros Proy.]],"")</f>
        <v/>
      </c>
      <c r="AS141" s="167" t="s">
        <v>62</v>
      </c>
      <c r="AT141" s="167"/>
      <c r="AU141" s="167"/>
      <c r="AV141" s="167"/>
      <c r="AW141" s="179"/>
      <c r="AX141" s="179"/>
      <c r="AY141" s="179" t="str">
        <f>CONCATENATE(BASE_DATOS[[#This Row],[Código_U]]&amp;BASE_DATOS[[#This Row],[Pos.]]&amp;BASE_DATOS[[#This Row],[Situación Actual]])</f>
        <v>TC-1282Rodando</v>
      </c>
    </row>
    <row r="142" spans="1:51" ht="12" x14ac:dyDescent="0.25">
      <c r="A142" s="227" t="s">
        <v>137</v>
      </c>
      <c r="B142" s="217" t="s">
        <v>138</v>
      </c>
      <c r="C142" s="228" t="s">
        <v>296</v>
      </c>
      <c r="D142" s="229" t="s">
        <v>61</v>
      </c>
      <c r="E142" s="255"/>
      <c r="F142" s="256" t="s">
        <v>273</v>
      </c>
      <c r="G142" s="256" t="s">
        <v>271</v>
      </c>
      <c r="H142" s="257" t="str">
        <f>IF(BASE_DATOS[[#This Row],[N-R]]="N",BASE_DATOS[[#This Row],[Diseño]],"Reencauche")</f>
        <v>XMULTI2D</v>
      </c>
      <c r="I142" s="256" t="s">
        <v>299</v>
      </c>
      <c r="J142" s="243" t="s">
        <v>72</v>
      </c>
      <c r="K142" s="258">
        <v>21.4</v>
      </c>
      <c r="L142" s="241">
        <v>110</v>
      </c>
      <c r="M142" s="259"/>
      <c r="N142" s="260"/>
      <c r="O142" s="277"/>
      <c r="P142" s="278"/>
      <c r="Q142" s="279"/>
      <c r="R142" s="309" t="s">
        <v>100</v>
      </c>
      <c r="S142" s="310">
        <v>45385</v>
      </c>
      <c r="T142" s="311"/>
      <c r="U142" s="312"/>
      <c r="V142" s="227">
        <v>13</v>
      </c>
      <c r="W142" s="281"/>
      <c r="X142" s="282">
        <v>14</v>
      </c>
      <c r="Y142" s="293">
        <f t="shared" si="6"/>
        <v>13</v>
      </c>
      <c r="Z142" s="175" t="s">
        <v>85</v>
      </c>
      <c r="AA142" s="342">
        <f>IFERROR(BASE_DATOS[[#This Row],[NSK Original]]-BASE_DATOS[[#This Row],[NSK]]," ")</f>
        <v>8.3999999999999986</v>
      </c>
      <c r="AB142" s="343">
        <f>'NSK-TRACTO'!$A$2</f>
        <v>6</v>
      </c>
      <c r="AC142" s="343">
        <f>IF(BASE_DATOS[[#This Row],[NSK]]&gt;=BASE_DATOS[[#This Row],[NSK Reen]],BASE_DATOS[[#This Row],[NSK Reen]],BASE_DATOS[[#This Row],[NSK]])</f>
        <v>6</v>
      </c>
      <c r="AD142" s="344">
        <f>IFERROR(100%-(BASE_DATOS[[#This Row],[NSK Reen]]/BASE_DATOS[[#This Row],[NSK Original]]),"")</f>
        <v>0.71962616822429903</v>
      </c>
      <c r="AE142" s="344">
        <f>IFERROR(100%-BASE_DATOS[[#This Row],[NSK]]/BASE_DATOS[[#This Row],[NSK Original]],"")</f>
        <v>0.39252336448598124</v>
      </c>
      <c r="AF142" s="344">
        <f>IFERROR(BASE_DATOS[[#This Row],[% Max Des.]]-BASE_DATOS[[#This Row],[% Des]],"")</f>
        <v>0.32710280373831779</v>
      </c>
      <c r="AG142" s="287"/>
      <c r="AH142" s="273"/>
      <c r="AI142" s="363" t="str">
        <f>IF(OR(BASE_DATOS[[#This Row],[Hr.]]="",BASE_DATOS[[#This Row],[Hr. Actual]]=""),"",BASE_DATOS[[#This Row],[Hr. Actual]]-BASE_DATOS[[#This Row],[Hr.]]+BASE_DATOS[[#This Row],[Horas Acumuladas]])</f>
        <v/>
      </c>
      <c r="AJ142" s="364" t="str">
        <f>IFERROR(BASE_DATOS[[#This Row],[Precio US$]]/BASE_DATOS[[#This Row],[Horas Rodadas]],"")</f>
        <v/>
      </c>
      <c r="AK142" s="365" t="str">
        <f>IFERROR(BASE_DATOS[[#This Row],[Horas Rodadas]]/(BASE_DATOS[[#This Row],[NSK Original]]-BASE_DATOS[[#This Row],[NSK]]),"")</f>
        <v/>
      </c>
      <c r="AL14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42" s="366" t="str">
        <f>IFERROR(BASE_DATOS[[#This Row],[Precio US$]]/BASE_DATOS[[#This Row],[Horas Proy.]],"")</f>
        <v/>
      </c>
      <c r="AN142" s="176" t="str">
        <f>IF(OR(BASE_DATOS[[#This Row],[Km.]]="",BASE_DATOS[[#This Row],[Km. Actual]]=""),"",BASE_DATOS[[#This Row],[Km. Actual]]-BASE_DATOS[[#This Row],[Km.]]+BASE_DATOS[[#This Row],[Kilómetros Acumulados]])</f>
        <v/>
      </c>
      <c r="AO142" s="177" t="str">
        <f>IFERROR(BASE_DATOS[[#This Row],[Precio US$]]/BASE_DATOS[[#This Row],[Kilómetros Rodados]],"")</f>
        <v/>
      </c>
      <c r="AP142" s="176" t="str">
        <f>IFERROR(BASE_DATOS[[#This Row],[Kilómetros Rodados]]/(BASE_DATOS[[#This Row],[NSK Original]]-BASE_DATOS[[#This Row],[NSK]]),"")</f>
        <v/>
      </c>
      <c r="AQ14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42" s="177" t="str">
        <f>IFERROR(BASE_DATOS[[#This Row],[Precio US$]]/BASE_DATOS[[#This Row],[Kilómetros Proy.]],"")</f>
        <v/>
      </c>
      <c r="AS142" s="167" t="s">
        <v>62</v>
      </c>
      <c r="AT142" s="167"/>
      <c r="AU142" s="167"/>
      <c r="AV142" s="167"/>
      <c r="AW142" s="179"/>
      <c r="AX142" s="179"/>
      <c r="AY142" s="179" t="str">
        <f>CONCATENATE(BASE_DATOS[[#This Row],[Código_U]]&amp;BASE_DATOS[[#This Row],[Pos.]]&amp;BASE_DATOS[[#This Row],[Situación Actual]])</f>
        <v>TC-1283Rodando</v>
      </c>
    </row>
    <row r="143" spans="1:51" ht="12" x14ac:dyDescent="0.25">
      <c r="A143" s="227" t="s">
        <v>137</v>
      </c>
      <c r="B143" s="217" t="s">
        <v>138</v>
      </c>
      <c r="C143" s="228" t="s">
        <v>296</v>
      </c>
      <c r="D143" s="229" t="s">
        <v>61</v>
      </c>
      <c r="E143" s="255"/>
      <c r="F143" s="256" t="s">
        <v>273</v>
      </c>
      <c r="G143" s="256" t="s">
        <v>271</v>
      </c>
      <c r="H143" s="257" t="str">
        <f>IF(BASE_DATOS[[#This Row],[N-R]]="N",BASE_DATOS[[#This Row],[Diseño]],"Reencauche")</f>
        <v>XMULTI2D</v>
      </c>
      <c r="I143" s="256" t="s">
        <v>299</v>
      </c>
      <c r="J143" s="243" t="s">
        <v>72</v>
      </c>
      <c r="K143" s="258">
        <v>21.4</v>
      </c>
      <c r="L143" s="241">
        <v>110</v>
      </c>
      <c r="M143" s="259"/>
      <c r="N143" s="260"/>
      <c r="O143" s="277"/>
      <c r="P143" s="278"/>
      <c r="Q143" s="279"/>
      <c r="R143" s="309" t="s">
        <v>101</v>
      </c>
      <c r="S143" s="310">
        <v>45385</v>
      </c>
      <c r="T143" s="311"/>
      <c r="U143" s="312"/>
      <c r="V143" s="227">
        <v>13</v>
      </c>
      <c r="W143" s="281"/>
      <c r="X143" s="282">
        <v>13</v>
      </c>
      <c r="Y143" s="293">
        <f t="shared" si="6"/>
        <v>13</v>
      </c>
      <c r="Z143" s="175" t="s">
        <v>85</v>
      </c>
      <c r="AA143" s="342">
        <f>IFERROR(BASE_DATOS[[#This Row],[NSK Original]]-BASE_DATOS[[#This Row],[NSK]]," ")</f>
        <v>8.3999999999999986</v>
      </c>
      <c r="AB143" s="343">
        <f>'NSK-TRACTO'!$A$2</f>
        <v>6</v>
      </c>
      <c r="AC143" s="343">
        <f>IF(BASE_DATOS[[#This Row],[NSK]]&gt;=BASE_DATOS[[#This Row],[NSK Reen]],BASE_DATOS[[#This Row],[NSK Reen]],BASE_DATOS[[#This Row],[NSK]])</f>
        <v>6</v>
      </c>
      <c r="AD143" s="344">
        <f>IFERROR(100%-(BASE_DATOS[[#This Row],[NSK Reen]]/BASE_DATOS[[#This Row],[NSK Original]]),"")</f>
        <v>0.71962616822429903</v>
      </c>
      <c r="AE143" s="344">
        <f>IFERROR(100%-BASE_DATOS[[#This Row],[NSK]]/BASE_DATOS[[#This Row],[NSK Original]],"")</f>
        <v>0.39252336448598124</v>
      </c>
      <c r="AF143" s="344">
        <f>IFERROR(BASE_DATOS[[#This Row],[% Max Des.]]-BASE_DATOS[[#This Row],[% Des]],"")</f>
        <v>0.32710280373831779</v>
      </c>
      <c r="AG143" s="287"/>
      <c r="AH143" s="273"/>
      <c r="AI143" s="363" t="str">
        <f>IF(OR(BASE_DATOS[[#This Row],[Hr.]]="",BASE_DATOS[[#This Row],[Hr. Actual]]=""),"",BASE_DATOS[[#This Row],[Hr. Actual]]-BASE_DATOS[[#This Row],[Hr.]]+BASE_DATOS[[#This Row],[Horas Acumuladas]])</f>
        <v/>
      </c>
      <c r="AJ143" s="364" t="str">
        <f>IFERROR(BASE_DATOS[[#This Row],[Precio US$]]/BASE_DATOS[[#This Row],[Horas Rodadas]],"")</f>
        <v/>
      </c>
      <c r="AK143" s="365" t="str">
        <f>IFERROR(BASE_DATOS[[#This Row],[Horas Rodadas]]/(BASE_DATOS[[#This Row],[NSK Original]]-BASE_DATOS[[#This Row],[NSK]]),"")</f>
        <v/>
      </c>
      <c r="AL14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43" s="366" t="str">
        <f>IFERROR(BASE_DATOS[[#This Row],[Precio US$]]/BASE_DATOS[[#This Row],[Horas Proy.]],"")</f>
        <v/>
      </c>
      <c r="AN143" s="176" t="str">
        <f>IF(OR(BASE_DATOS[[#This Row],[Km.]]="",BASE_DATOS[[#This Row],[Km. Actual]]=""),"",BASE_DATOS[[#This Row],[Km. Actual]]-BASE_DATOS[[#This Row],[Km.]]+BASE_DATOS[[#This Row],[Kilómetros Acumulados]])</f>
        <v/>
      </c>
      <c r="AO143" s="177" t="str">
        <f>IFERROR(BASE_DATOS[[#This Row],[Precio US$]]/BASE_DATOS[[#This Row],[Kilómetros Rodados]],"")</f>
        <v/>
      </c>
      <c r="AP143" s="176" t="str">
        <f>IFERROR(BASE_DATOS[[#This Row],[Kilómetros Rodados]]/(BASE_DATOS[[#This Row],[NSK Original]]-BASE_DATOS[[#This Row],[NSK]]),"")</f>
        <v/>
      </c>
      <c r="AQ14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43" s="177" t="str">
        <f>IFERROR(BASE_DATOS[[#This Row],[Precio US$]]/BASE_DATOS[[#This Row],[Kilómetros Proy.]],"")</f>
        <v/>
      </c>
      <c r="AS143" s="167" t="s">
        <v>62</v>
      </c>
      <c r="AT143" s="167"/>
      <c r="AU143" s="167"/>
      <c r="AV143" s="167"/>
      <c r="AW143" s="179"/>
      <c r="AX143" s="179"/>
      <c r="AY143" s="179" t="str">
        <f>CONCATENATE(BASE_DATOS[[#This Row],[Código_U]]&amp;BASE_DATOS[[#This Row],[Pos.]]&amp;BASE_DATOS[[#This Row],[Situación Actual]])</f>
        <v>TC-1284Rodando</v>
      </c>
    </row>
    <row r="144" spans="1:51" ht="12" x14ac:dyDescent="0.25">
      <c r="A144" s="227" t="s">
        <v>137</v>
      </c>
      <c r="B144" s="217" t="s">
        <v>138</v>
      </c>
      <c r="C144" s="228" t="s">
        <v>296</v>
      </c>
      <c r="D144" s="229" t="s">
        <v>61</v>
      </c>
      <c r="E144" s="255"/>
      <c r="F144" s="256" t="s">
        <v>273</v>
      </c>
      <c r="G144" s="256" t="s">
        <v>271</v>
      </c>
      <c r="H144" s="257" t="str">
        <f>IF(BASE_DATOS[[#This Row],[N-R]]="N",BASE_DATOS[[#This Row],[Diseño]],"Reencauche")</f>
        <v>XMULTI2D</v>
      </c>
      <c r="I144" s="256" t="s">
        <v>299</v>
      </c>
      <c r="J144" s="243" t="s">
        <v>72</v>
      </c>
      <c r="K144" s="258">
        <v>21.4</v>
      </c>
      <c r="L144" s="241">
        <v>110</v>
      </c>
      <c r="M144" s="259"/>
      <c r="N144" s="260"/>
      <c r="O144" s="277"/>
      <c r="P144" s="278"/>
      <c r="Q144" s="279"/>
      <c r="R144" s="309" t="s">
        <v>102</v>
      </c>
      <c r="S144" s="310">
        <v>45385</v>
      </c>
      <c r="T144" s="311"/>
      <c r="U144" s="312"/>
      <c r="V144" s="227">
        <v>13</v>
      </c>
      <c r="W144" s="281"/>
      <c r="X144" s="282">
        <v>15</v>
      </c>
      <c r="Y144" s="293">
        <f t="shared" si="6"/>
        <v>13</v>
      </c>
      <c r="Z144" s="175" t="s">
        <v>85</v>
      </c>
      <c r="AA144" s="342">
        <f>IFERROR(BASE_DATOS[[#This Row],[NSK Original]]-BASE_DATOS[[#This Row],[NSK]]," ")</f>
        <v>8.3999999999999986</v>
      </c>
      <c r="AB144" s="343">
        <f>'NSK-TRACTO'!$A$2</f>
        <v>6</v>
      </c>
      <c r="AC144" s="343">
        <f>IF(BASE_DATOS[[#This Row],[NSK]]&gt;=BASE_DATOS[[#This Row],[NSK Reen]],BASE_DATOS[[#This Row],[NSK Reen]],BASE_DATOS[[#This Row],[NSK]])</f>
        <v>6</v>
      </c>
      <c r="AD144" s="344">
        <f>IFERROR(100%-(BASE_DATOS[[#This Row],[NSK Reen]]/BASE_DATOS[[#This Row],[NSK Original]]),"")</f>
        <v>0.71962616822429903</v>
      </c>
      <c r="AE144" s="344">
        <f>IFERROR(100%-BASE_DATOS[[#This Row],[NSK]]/BASE_DATOS[[#This Row],[NSK Original]],"")</f>
        <v>0.39252336448598124</v>
      </c>
      <c r="AF144" s="344">
        <f>IFERROR(BASE_DATOS[[#This Row],[% Max Des.]]-BASE_DATOS[[#This Row],[% Des]],"")</f>
        <v>0.32710280373831779</v>
      </c>
      <c r="AG144" s="287"/>
      <c r="AH144" s="273"/>
      <c r="AI144" s="363" t="str">
        <f>IF(OR(BASE_DATOS[[#This Row],[Hr.]]="",BASE_DATOS[[#This Row],[Hr. Actual]]=""),"",BASE_DATOS[[#This Row],[Hr. Actual]]-BASE_DATOS[[#This Row],[Hr.]]+BASE_DATOS[[#This Row],[Horas Acumuladas]])</f>
        <v/>
      </c>
      <c r="AJ144" s="364" t="str">
        <f>IFERROR(BASE_DATOS[[#This Row],[Precio US$]]/BASE_DATOS[[#This Row],[Horas Rodadas]],"")</f>
        <v/>
      </c>
      <c r="AK144" s="365" t="str">
        <f>IFERROR(BASE_DATOS[[#This Row],[Horas Rodadas]]/(BASE_DATOS[[#This Row],[NSK Original]]-BASE_DATOS[[#This Row],[NSK]]),"")</f>
        <v/>
      </c>
      <c r="AL14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44" s="366" t="str">
        <f>IFERROR(BASE_DATOS[[#This Row],[Precio US$]]/BASE_DATOS[[#This Row],[Horas Proy.]],"")</f>
        <v/>
      </c>
      <c r="AN144" s="176" t="str">
        <f>IF(OR(BASE_DATOS[[#This Row],[Km.]]="",BASE_DATOS[[#This Row],[Km. Actual]]=""),"",BASE_DATOS[[#This Row],[Km. Actual]]-BASE_DATOS[[#This Row],[Km.]]+BASE_DATOS[[#This Row],[Kilómetros Acumulados]])</f>
        <v/>
      </c>
      <c r="AO144" s="177" t="str">
        <f>IFERROR(BASE_DATOS[[#This Row],[Precio US$]]/BASE_DATOS[[#This Row],[Kilómetros Rodados]],"")</f>
        <v/>
      </c>
      <c r="AP144" s="176" t="str">
        <f>IFERROR(BASE_DATOS[[#This Row],[Kilómetros Rodados]]/(BASE_DATOS[[#This Row],[NSK Original]]-BASE_DATOS[[#This Row],[NSK]]),"")</f>
        <v/>
      </c>
      <c r="AQ14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44" s="177" t="str">
        <f>IFERROR(BASE_DATOS[[#This Row],[Precio US$]]/BASE_DATOS[[#This Row],[Kilómetros Proy.]],"")</f>
        <v/>
      </c>
      <c r="AS144" s="167" t="s">
        <v>62</v>
      </c>
      <c r="AT144" s="167"/>
      <c r="AU144" s="167"/>
      <c r="AV144" s="167"/>
      <c r="AW144" s="179"/>
      <c r="AX144" s="179"/>
      <c r="AY144" s="179" t="str">
        <f>CONCATENATE(BASE_DATOS[[#This Row],[Código_U]]&amp;BASE_DATOS[[#This Row],[Pos.]]&amp;BASE_DATOS[[#This Row],[Situación Actual]])</f>
        <v>TC-1285Rodando</v>
      </c>
    </row>
    <row r="145" spans="1:51" ht="12" x14ac:dyDescent="0.25">
      <c r="A145" s="227" t="s">
        <v>137</v>
      </c>
      <c r="B145" s="217" t="s">
        <v>138</v>
      </c>
      <c r="C145" s="228" t="s">
        <v>296</v>
      </c>
      <c r="D145" s="229" t="s">
        <v>61</v>
      </c>
      <c r="E145" s="255"/>
      <c r="F145" s="256" t="s">
        <v>273</v>
      </c>
      <c r="G145" s="256" t="s">
        <v>271</v>
      </c>
      <c r="H145" s="257" t="str">
        <f>IF(BASE_DATOS[[#This Row],[N-R]]="N",BASE_DATOS[[#This Row],[Diseño]],"Reencauche")</f>
        <v>XMULTI2D</v>
      </c>
      <c r="I145" s="256" t="s">
        <v>299</v>
      </c>
      <c r="J145" s="243" t="s">
        <v>72</v>
      </c>
      <c r="K145" s="258">
        <v>21.4</v>
      </c>
      <c r="L145" s="241">
        <v>110</v>
      </c>
      <c r="M145" s="259"/>
      <c r="N145" s="260"/>
      <c r="O145" s="277"/>
      <c r="P145" s="278"/>
      <c r="Q145" s="279"/>
      <c r="R145" s="309" t="s">
        <v>103</v>
      </c>
      <c r="S145" s="310">
        <v>45385</v>
      </c>
      <c r="T145" s="311"/>
      <c r="U145" s="312"/>
      <c r="V145" s="227">
        <v>13</v>
      </c>
      <c r="W145" s="281"/>
      <c r="X145" s="282">
        <v>15</v>
      </c>
      <c r="Y145" s="293">
        <f t="shared" si="6"/>
        <v>13</v>
      </c>
      <c r="Z145" s="175" t="s">
        <v>85</v>
      </c>
      <c r="AA145" s="342">
        <f>IFERROR(BASE_DATOS[[#This Row],[NSK Original]]-BASE_DATOS[[#This Row],[NSK]]," ")</f>
        <v>8.3999999999999986</v>
      </c>
      <c r="AB145" s="343">
        <f>'NSK-TRACTO'!$A$2</f>
        <v>6</v>
      </c>
      <c r="AC145" s="343">
        <f>IF(BASE_DATOS[[#This Row],[NSK]]&gt;=BASE_DATOS[[#This Row],[NSK Reen]],BASE_DATOS[[#This Row],[NSK Reen]],BASE_DATOS[[#This Row],[NSK]])</f>
        <v>6</v>
      </c>
      <c r="AD145" s="344">
        <f>IFERROR(100%-(BASE_DATOS[[#This Row],[NSK Reen]]/BASE_DATOS[[#This Row],[NSK Original]]),"")</f>
        <v>0.71962616822429903</v>
      </c>
      <c r="AE145" s="344">
        <f>IFERROR(100%-BASE_DATOS[[#This Row],[NSK]]/BASE_DATOS[[#This Row],[NSK Original]],"")</f>
        <v>0.39252336448598124</v>
      </c>
      <c r="AF145" s="344">
        <f>IFERROR(BASE_DATOS[[#This Row],[% Max Des.]]-BASE_DATOS[[#This Row],[% Des]],"")</f>
        <v>0.32710280373831779</v>
      </c>
      <c r="AG145" s="287"/>
      <c r="AH145" s="273"/>
      <c r="AI145" s="363" t="str">
        <f>IF(OR(BASE_DATOS[[#This Row],[Hr.]]="",BASE_DATOS[[#This Row],[Hr. Actual]]=""),"",BASE_DATOS[[#This Row],[Hr. Actual]]-BASE_DATOS[[#This Row],[Hr.]]+BASE_DATOS[[#This Row],[Horas Acumuladas]])</f>
        <v/>
      </c>
      <c r="AJ145" s="364" t="str">
        <f>IFERROR(BASE_DATOS[[#This Row],[Precio US$]]/BASE_DATOS[[#This Row],[Horas Rodadas]],"")</f>
        <v/>
      </c>
      <c r="AK145" s="365" t="str">
        <f>IFERROR(BASE_DATOS[[#This Row],[Horas Rodadas]]/(BASE_DATOS[[#This Row],[NSK Original]]-BASE_DATOS[[#This Row],[NSK]]),"")</f>
        <v/>
      </c>
      <c r="AL14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45" s="366" t="str">
        <f>IFERROR(BASE_DATOS[[#This Row],[Precio US$]]/BASE_DATOS[[#This Row],[Horas Proy.]],"")</f>
        <v/>
      </c>
      <c r="AN145" s="176" t="str">
        <f>IF(OR(BASE_DATOS[[#This Row],[Km.]]="",BASE_DATOS[[#This Row],[Km. Actual]]=""),"",BASE_DATOS[[#This Row],[Km. Actual]]-BASE_DATOS[[#This Row],[Km.]]+BASE_DATOS[[#This Row],[Kilómetros Acumulados]])</f>
        <v/>
      </c>
      <c r="AO145" s="177" t="str">
        <f>IFERROR(BASE_DATOS[[#This Row],[Precio US$]]/BASE_DATOS[[#This Row],[Kilómetros Rodados]],"")</f>
        <v/>
      </c>
      <c r="AP145" s="176" t="str">
        <f>IFERROR(BASE_DATOS[[#This Row],[Kilómetros Rodados]]/(BASE_DATOS[[#This Row],[NSK Original]]-BASE_DATOS[[#This Row],[NSK]]),"")</f>
        <v/>
      </c>
      <c r="AQ14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45" s="177" t="str">
        <f>IFERROR(BASE_DATOS[[#This Row],[Precio US$]]/BASE_DATOS[[#This Row],[Kilómetros Proy.]],"")</f>
        <v/>
      </c>
      <c r="AS145" s="167" t="s">
        <v>62</v>
      </c>
      <c r="AT145" s="167"/>
      <c r="AU145" s="167"/>
      <c r="AV145" s="167"/>
      <c r="AW145" s="179"/>
      <c r="AX145" s="179"/>
      <c r="AY145" s="179" t="str">
        <f>CONCATENATE(BASE_DATOS[[#This Row],[Código_U]]&amp;BASE_DATOS[[#This Row],[Pos.]]&amp;BASE_DATOS[[#This Row],[Situación Actual]])</f>
        <v>TC-1286Rodando</v>
      </c>
    </row>
    <row r="146" spans="1:51" ht="12" x14ac:dyDescent="0.25">
      <c r="A146" s="227" t="s">
        <v>137</v>
      </c>
      <c r="B146" s="217" t="s">
        <v>138</v>
      </c>
      <c r="C146" s="228" t="s">
        <v>296</v>
      </c>
      <c r="D146" s="229" t="s">
        <v>61</v>
      </c>
      <c r="E146" s="255"/>
      <c r="F146" s="256" t="s">
        <v>71</v>
      </c>
      <c r="G146" s="256" t="s">
        <v>271</v>
      </c>
      <c r="H146" s="257" t="str">
        <f>IF(BASE_DATOS[[#This Row],[N-R]]="N",BASE_DATOS[[#This Row],[Diseño]],"Reencauche")</f>
        <v>Reencauche</v>
      </c>
      <c r="I146" s="256" t="s">
        <v>282</v>
      </c>
      <c r="J146" s="243" t="s">
        <v>82</v>
      </c>
      <c r="K146" s="258">
        <v>22</v>
      </c>
      <c r="L146" s="241">
        <v>110</v>
      </c>
      <c r="M146" s="259"/>
      <c r="N146" s="260"/>
      <c r="O146" s="277"/>
      <c r="P146" s="278"/>
      <c r="Q146" s="279"/>
      <c r="R146" s="309" t="s">
        <v>104</v>
      </c>
      <c r="S146" s="310">
        <v>45385</v>
      </c>
      <c r="T146" s="311"/>
      <c r="U146" s="312"/>
      <c r="V146" s="227">
        <v>8</v>
      </c>
      <c r="W146" s="281"/>
      <c r="X146" s="282">
        <v>11</v>
      </c>
      <c r="Y146" s="293">
        <f t="shared" si="6"/>
        <v>8</v>
      </c>
      <c r="Z146" s="175" t="s">
        <v>85</v>
      </c>
      <c r="AA146" s="342">
        <f>IFERROR(BASE_DATOS[[#This Row],[NSK Original]]-BASE_DATOS[[#This Row],[NSK]]," ")</f>
        <v>14</v>
      </c>
      <c r="AB146" s="343">
        <f>'NSK-TRACTO'!$A$2</f>
        <v>6</v>
      </c>
      <c r="AC146" s="343">
        <f>IF(BASE_DATOS[[#This Row],[NSK]]&gt;=BASE_DATOS[[#This Row],[NSK Reen]],BASE_DATOS[[#This Row],[NSK Reen]],BASE_DATOS[[#This Row],[NSK]])</f>
        <v>6</v>
      </c>
      <c r="AD146" s="344">
        <f>IFERROR(100%-(BASE_DATOS[[#This Row],[NSK Reen]]/BASE_DATOS[[#This Row],[NSK Original]]),"")</f>
        <v>0.72727272727272729</v>
      </c>
      <c r="AE146" s="344">
        <f>IFERROR(100%-BASE_DATOS[[#This Row],[NSK]]/BASE_DATOS[[#This Row],[NSK Original]],"")</f>
        <v>0.63636363636363635</v>
      </c>
      <c r="AF146" s="344">
        <f>IFERROR(BASE_DATOS[[#This Row],[% Max Des.]]-BASE_DATOS[[#This Row],[% Des]],"")</f>
        <v>9.0909090909090939E-2</v>
      </c>
      <c r="AG146" s="287"/>
      <c r="AH146" s="273"/>
      <c r="AI146" s="363" t="str">
        <f>IF(OR(BASE_DATOS[[#This Row],[Hr.]]="",BASE_DATOS[[#This Row],[Hr. Actual]]=""),"",BASE_DATOS[[#This Row],[Hr. Actual]]-BASE_DATOS[[#This Row],[Hr.]]+BASE_DATOS[[#This Row],[Horas Acumuladas]])</f>
        <v/>
      </c>
      <c r="AJ146" s="364" t="str">
        <f>IFERROR(BASE_DATOS[[#This Row],[Precio US$]]/BASE_DATOS[[#This Row],[Horas Rodadas]],"")</f>
        <v/>
      </c>
      <c r="AK146" s="365" t="str">
        <f>IFERROR(BASE_DATOS[[#This Row],[Horas Rodadas]]/(BASE_DATOS[[#This Row],[NSK Original]]-BASE_DATOS[[#This Row],[NSK]]),"")</f>
        <v/>
      </c>
      <c r="AL14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46" s="366" t="str">
        <f>IFERROR(BASE_DATOS[[#This Row],[Precio US$]]/BASE_DATOS[[#This Row],[Horas Proy.]],"")</f>
        <v/>
      </c>
      <c r="AN146" s="176" t="str">
        <f>IF(OR(BASE_DATOS[[#This Row],[Km.]]="",BASE_DATOS[[#This Row],[Km. Actual]]=""),"",BASE_DATOS[[#This Row],[Km. Actual]]-BASE_DATOS[[#This Row],[Km.]]+BASE_DATOS[[#This Row],[Kilómetros Acumulados]])</f>
        <v/>
      </c>
      <c r="AO146" s="177" t="str">
        <f>IFERROR(BASE_DATOS[[#This Row],[Precio US$]]/BASE_DATOS[[#This Row],[Kilómetros Rodados]],"")</f>
        <v/>
      </c>
      <c r="AP146" s="176" t="str">
        <f>IFERROR(BASE_DATOS[[#This Row],[Kilómetros Rodados]]/(BASE_DATOS[[#This Row],[NSK Original]]-BASE_DATOS[[#This Row],[NSK]]),"")</f>
        <v/>
      </c>
      <c r="AQ14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46" s="177" t="str">
        <f>IFERROR(BASE_DATOS[[#This Row],[Precio US$]]/BASE_DATOS[[#This Row],[Kilómetros Proy.]],"")</f>
        <v/>
      </c>
      <c r="AS146" s="167" t="s">
        <v>62</v>
      </c>
      <c r="AT146" s="167"/>
      <c r="AU146" s="167"/>
      <c r="AV146" s="167"/>
      <c r="AW146" s="179"/>
      <c r="AX146" s="179"/>
      <c r="AY146" s="179" t="str">
        <f>CONCATENATE(BASE_DATOS[[#This Row],[Código_U]]&amp;BASE_DATOS[[#This Row],[Pos.]]&amp;BASE_DATOS[[#This Row],[Situación Actual]])</f>
        <v>TC-1287Rodando</v>
      </c>
    </row>
    <row r="147" spans="1:51" ht="12" x14ac:dyDescent="0.25">
      <c r="A147" s="227" t="s">
        <v>137</v>
      </c>
      <c r="B147" s="217" t="s">
        <v>138</v>
      </c>
      <c r="C147" s="228" t="s">
        <v>296</v>
      </c>
      <c r="D147" s="229" t="s">
        <v>61</v>
      </c>
      <c r="E147" s="255"/>
      <c r="F147" s="256" t="s">
        <v>71</v>
      </c>
      <c r="G147" s="256" t="s">
        <v>271</v>
      </c>
      <c r="H147" s="257" t="str">
        <f>IF(BASE_DATOS[[#This Row],[N-R]]="N",BASE_DATOS[[#This Row],[Diseño]],"Reencauche")</f>
        <v>Reencauche</v>
      </c>
      <c r="I147" s="256" t="s">
        <v>282</v>
      </c>
      <c r="J147" s="243" t="s">
        <v>82</v>
      </c>
      <c r="K147" s="258">
        <v>22</v>
      </c>
      <c r="L147" s="241">
        <v>110</v>
      </c>
      <c r="M147" s="259"/>
      <c r="N147" s="260"/>
      <c r="O147" s="277"/>
      <c r="P147" s="278"/>
      <c r="Q147" s="279"/>
      <c r="R147" s="309" t="s">
        <v>105</v>
      </c>
      <c r="S147" s="310">
        <v>45385</v>
      </c>
      <c r="T147" s="311"/>
      <c r="U147" s="312"/>
      <c r="V147" s="227">
        <v>8</v>
      </c>
      <c r="W147" s="281"/>
      <c r="X147" s="282">
        <v>11</v>
      </c>
      <c r="Y147" s="293">
        <f t="shared" si="6"/>
        <v>8</v>
      </c>
      <c r="Z147" s="175" t="s">
        <v>85</v>
      </c>
      <c r="AA147" s="342">
        <f>IFERROR(BASE_DATOS[[#This Row],[NSK Original]]-BASE_DATOS[[#This Row],[NSK]]," ")</f>
        <v>14</v>
      </c>
      <c r="AB147" s="343">
        <f>'NSK-TRACTO'!$A$2</f>
        <v>6</v>
      </c>
      <c r="AC147" s="343">
        <f>IF(BASE_DATOS[[#This Row],[NSK]]&gt;=BASE_DATOS[[#This Row],[NSK Reen]],BASE_DATOS[[#This Row],[NSK Reen]],BASE_DATOS[[#This Row],[NSK]])</f>
        <v>6</v>
      </c>
      <c r="AD147" s="344">
        <f>IFERROR(100%-(BASE_DATOS[[#This Row],[NSK Reen]]/BASE_DATOS[[#This Row],[NSK Original]]),"")</f>
        <v>0.72727272727272729</v>
      </c>
      <c r="AE147" s="344">
        <f>IFERROR(100%-BASE_DATOS[[#This Row],[NSK]]/BASE_DATOS[[#This Row],[NSK Original]],"")</f>
        <v>0.63636363636363635</v>
      </c>
      <c r="AF147" s="344">
        <f>IFERROR(BASE_DATOS[[#This Row],[% Max Des.]]-BASE_DATOS[[#This Row],[% Des]],"")</f>
        <v>9.0909090909090939E-2</v>
      </c>
      <c r="AG147" s="287"/>
      <c r="AH147" s="273"/>
      <c r="AI147" s="363" t="str">
        <f>IF(OR(BASE_DATOS[[#This Row],[Hr.]]="",BASE_DATOS[[#This Row],[Hr. Actual]]=""),"",BASE_DATOS[[#This Row],[Hr. Actual]]-BASE_DATOS[[#This Row],[Hr.]]+BASE_DATOS[[#This Row],[Horas Acumuladas]])</f>
        <v/>
      </c>
      <c r="AJ147" s="364" t="str">
        <f>IFERROR(BASE_DATOS[[#This Row],[Precio US$]]/BASE_DATOS[[#This Row],[Horas Rodadas]],"")</f>
        <v/>
      </c>
      <c r="AK147" s="365" t="str">
        <f>IFERROR(BASE_DATOS[[#This Row],[Horas Rodadas]]/(BASE_DATOS[[#This Row],[NSK Original]]-BASE_DATOS[[#This Row],[NSK]]),"")</f>
        <v/>
      </c>
      <c r="AL14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47" s="366" t="str">
        <f>IFERROR(BASE_DATOS[[#This Row],[Precio US$]]/BASE_DATOS[[#This Row],[Horas Proy.]],"")</f>
        <v/>
      </c>
      <c r="AN147" s="176" t="str">
        <f>IF(OR(BASE_DATOS[[#This Row],[Km.]]="",BASE_DATOS[[#This Row],[Km. Actual]]=""),"",BASE_DATOS[[#This Row],[Km. Actual]]-BASE_DATOS[[#This Row],[Km.]]+BASE_DATOS[[#This Row],[Kilómetros Acumulados]])</f>
        <v/>
      </c>
      <c r="AO147" s="177" t="str">
        <f>IFERROR(BASE_DATOS[[#This Row],[Precio US$]]/BASE_DATOS[[#This Row],[Kilómetros Rodados]],"")</f>
        <v/>
      </c>
      <c r="AP147" s="176" t="str">
        <f>IFERROR(BASE_DATOS[[#This Row],[Kilómetros Rodados]]/(BASE_DATOS[[#This Row],[NSK Original]]-BASE_DATOS[[#This Row],[NSK]]),"")</f>
        <v/>
      </c>
      <c r="AQ14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47" s="177" t="str">
        <f>IFERROR(BASE_DATOS[[#This Row],[Precio US$]]/BASE_DATOS[[#This Row],[Kilómetros Proy.]],"")</f>
        <v/>
      </c>
      <c r="AS147" s="167" t="s">
        <v>62</v>
      </c>
      <c r="AT147" s="167"/>
      <c r="AU147" s="167"/>
      <c r="AV147" s="167"/>
      <c r="AW147" s="179"/>
      <c r="AX147" s="179"/>
      <c r="AY147" s="179" t="str">
        <f>CONCATENATE(BASE_DATOS[[#This Row],[Código_U]]&amp;BASE_DATOS[[#This Row],[Pos.]]&amp;BASE_DATOS[[#This Row],[Situación Actual]])</f>
        <v>TC-1288Rodando</v>
      </c>
    </row>
    <row r="148" spans="1:51" ht="12" x14ac:dyDescent="0.25">
      <c r="A148" s="227" t="s">
        <v>137</v>
      </c>
      <c r="B148" s="217" t="s">
        <v>138</v>
      </c>
      <c r="C148" s="228" t="s">
        <v>296</v>
      </c>
      <c r="D148" s="229" t="s">
        <v>61</v>
      </c>
      <c r="E148" s="255"/>
      <c r="F148" s="256" t="s">
        <v>273</v>
      </c>
      <c r="G148" s="256" t="s">
        <v>271</v>
      </c>
      <c r="H148" s="257" t="str">
        <f>IF(BASE_DATOS[[#This Row],[N-R]]="N",BASE_DATOS[[#This Row],[Diseño]],"Reencauche")</f>
        <v>Reencauche</v>
      </c>
      <c r="I148" s="256" t="s">
        <v>282</v>
      </c>
      <c r="J148" s="243" t="s">
        <v>82</v>
      </c>
      <c r="K148" s="258">
        <v>22</v>
      </c>
      <c r="L148" s="241">
        <v>110</v>
      </c>
      <c r="M148" s="259"/>
      <c r="N148" s="260"/>
      <c r="O148" s="277"/>
      <c r="P148" s="278"/>
      <c r="Q148" s="279"/>
      <c r="R148" s="309" t="s">
        <v>106</v>
      </c>
      <c r="S148" s="310">
        <v>45385</v>
      </c>
      <c r="T148" s="311"/>
      <c r="U148" s="312"/>
      <c r="V148" s="227">
        <v>9</v>
      </c>
      <c r="W148" s="281"/>
      <c r="X148" s="282">
        <v>10</v>
      </c>
      <c r="Y148" s="293">
        <f t="shared" si="6"/>
        <v>9</v>
      </c>
      <c r="Z148" s="175" t="s">
        <v>85</v>
      </c>
      <c r="AA148" s="342">
        <f>IFERROR(BASE_DATOS[[#This Row],[NSK Original]]-BASE_DATOS[[#This Row],[NSK]]," ")</f>
        <v>13</v>
      </c>
      <c r="AB148" s="343">
        <f>'NSK-TRACTO'!$A$2</f>
        <v>6</v>
      </c>
      <c r="AC148" s="343">
        <f>IF(BASE_DATOS[[#This Row],[NSK]]&gt;=BASE_DATOS[[#This Row],[NSK Reen]],BASE_DATOS[[#This Row],[NSK Reen]],BASE_DATOS[[#This Row],[NSK]])</f>
        <v>6</v>
      </c>
      <c r="AD148" s="344">
        <f>IFERROR(100%-(BASE_DATOS[[#This Row],[NSK Reen]]/BASE_DATOS[[#This Row],[NSK Original]]),"")</f>
        <v>0.72727272727272729</v>
      </c>
      <c r="AE148" s="344">
        <f>IFERROR(100%-BASE_DATOS[[#This Row],[NSK]]/BASE_DATOS[[#This Row],[NSK Original]],"")</f>
        <v>0.59090909090909083</v>
      </c>
      <c r="AF148" s="344">
        <f>IFERROR(BASE_DATOS[[#This Row],[% Max Des.]]-BASE_DATOS[[#This Row],[% Des]],"")</f>
        <v>0.13636363636363646</v>
      </c>
      <c r="AG148" s="287"/>
      <c r="AH148" s="273"/>
      <c r="AI148" s="363" t="str">
        <f>IF(OR(BASE_DATOS[[#This Row],[Hr.]]="",BASE_DATOS[[#This Row],[Hr. Actual]]=""),"",BASE_DATOS[[#This Row],[Hr. Actual]]-BASE_DATOS[[#This Row],[Hr.]]+BASE_DATOS[[#This Row],[Horas Acumuladas]])</f>
        <v/>
      </c>
      <c r="AJ148" s="364" t="str">
        <f>IFERROR(BASE_DATOS[[#This Row],[Precio US$]]/BASE_DATOS[[#This Row],[Horas Rodadas]],"")</f>
        <v/>
      </c>
      <c r="AK148" s="365" t="str">
        <f>IFERROR(BASE_DATOS[[#This Row],[Horas Rodadas]]/(BASE_DATOS[[#This Row],[NSK Original]]-BASE_DATOS[[#This Row],[NSK]]),"")</f>
        <v/>
      </c>
      <c r="AL14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48" s="366" t="str">
        <f>IFERROR(BASE_DATOS[[#This Row],[Precio US$]]/BASE_DATOS[[#This Row],[Horas Proy.]],"")</f>
        <v/>
      </c>
      <c r="AN148" s="176" t="str">
        <f>IF(OR(BASE_DATOS[[#This Row],[Km.]]="",BASE_DATOS[[#This Row],[Km. Actual]]=""),"",BASE_DATOS[[#This Row],[Km. Actual]]-BASE_DATOS[[#This Row],[Km.]]+BASE_DATOS[[#This Row],[Kilómetros Acumulados]])</f>
        <v/>
      </c>
      <c r="AO148" s="177" t="str">
        <f>IFERROR(BASE_DATOS[[#This Row],[Precio US$]]/BASE_DATOS[[#This Row],[Kilómetros Rodados]],"")</f>
        <v/>
      </c>
      <c r="AP148" s="176" t="str">
        <f>IFERROR(BASE_DATOS[[#This Row],[Kilómetros Rodados]]/(BASE_DATOS[[#This Row],[NSK Original]]-BASE_DATOS[[#This Row],[NSK]]),"")</f>
        <v/>
      </c>
      <c r="AQ14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48" s="177" t="str">
        <f>IFERROR(BASE_DATOS[[#This Row],[Precio US$]]/BASE_DATOS[[#This Row],[Kilómetros Proy.]],"")</f>
        <v/>
      </c>
      <c r="AS148" s="167" t="s">
        <v>62</v>
      </c>
      <c r="AT148" s="167"/>
      <c r="AU148" s="167"/>
      <c r="AV148" s="167"/>
      <c r="AW148" s="179"/>
      <c r="AX148" s="179"/>
      <c r="AY148" s="179" t="str">
        <f>CONCATENATE(BASE_DATOS[[#This Row],[Código_U]]&amp;BASE_DATOS[[#This Row],[Pos.]]&amp;BASE_DATOS[[#This Row],[Situación Actual]])</f>
        <v>TC-1289Rodando</v>
      </c>
    </row>
    <row r="149" spans="1:51" ht="12" x14ac:dyDescent="0.25">
      <c r="A149" s="227" t="s">
        <v>137</v>
      </c>
      <c r="B149" s="217" t="s">
        <v>138</v>
      </c>
      <c r="C149" s="228" t="s">
        <v>296</v>
      </c>
      <c r="D149" s="229" t="s">
        <v>61</v>
      </c>
      <c r="E149" s="255"/>
      <c r="F149" s="256" t="s">
        <v>273</v>
      </c>
      <c r="G149" s="256" t="s">
        <v>271</v>
      </c>
      <c r="H149" s="257" t="str">
        <f>IF(BASE_DATOS[[#This Row],[N-R]]="N",BASE_DATOS[[#This Row],[Diseño]],"Reencauche")</f>
        <v>Reencauche</v>
      </c>
      <c r="I149" s="256" t="s">
        <v>282</v>
      </c>
      <c r="J149" s="243" t="s">
        <v>82</v>
      </c>
      <c r="K149" s="258">
        <v>22</v>
      </c>
      <c r="L149" s="241">
        <v>110</v>
      </c>
      <c r="M149" s="259"/>
      <c r="N149" s="260"/>
      <c r="O149" s="277"/>
      <c r="P149" s="278"/>
      <c r="Q149" s="279"/>
      <c r="R149" s="309" t="s">
        <v>107</v>
      </c>
      <c r="S149" s="310">
        <v>45385</v>
      </c>
      <c r="T149" s="311"/>
      <c r="U149" s="312"/>
      <c r="V149" s="227">
        <v>9</v>
      </c>
      <c r="W149" s="281"/>
      <c r="X149" s="282">
        <v>10</v>
      </c>
      <c r="Y149" s="293">
        <f t="shared" si="6"/>
        <v>9</v>
      </c>
      <c r="Z149" s="175" t="s">
        <v>85</v>
      </c>
      <c r="AA149" s="342">
        <f>IFERROR(BASE_DATOS[[#This Row],[NSK Original]]-BASE_DATOS[[#This Row],[NSK]]," ")</f>
        <v>13</v>
      </c>
      <c r="AB149" s="343">
        <f>'NSK-TRACTO'!$A$2</f>
        <v>6</v>
      </c>
      <c r="AC149" s="343">
        <f>IF(BASE_DATOS[[#This Row],[NSK]]&gt;=BASE_DATOS[[#This Row],[NSK Reen]],BASE_DATOS[[#This Row],[NSK Reen]],BASE_DATOS[[#This Row],[NSK]])</f>
        <v>6</v>
      </c>
      <c r="AD149" s="344">
        <f>IFERROR(100%-(BASE_DATOS[[#This Row],[NSK Reen]]/BASE_DATOS[[#This Row],[NSK Original]]),"")</f>
        <v>0.72727272727272729</v>
      </c>
      <c r="AE149" s="344">
        <f>IFERROR(100%-BASE_DATOS[[#This Row],[NSK]]/BASE_DATOS[[#This Row],[NSK Original]],"")</f>
        <v>0.59090909090909083</v>
      </c>
      <c r="AF149" s="344">
        <f>IFERROR(BASE_DATOS[[#This Row],[% Max Des.]]-BASE_DATOS[[#This Row],[% Des]],"")</f>
        <v>0.13636363636363646</v>
      </c>
      <c r="AG149" s="287"/>
      <c r="AH149" s="273"/>
      <c r="AI149" s="363" t="str">
        <f>IF(OR(BASE_DATOS[[#This Row],[Hr.]]="",BASE_DATOS[[#This Row],[Hr. Actual]]=""),"",BASE_DATOS[[#This Row],[Hr. Actual]]-BASE_DATOS[[#This Row],[Hr.]]+BASE_DATOS[[#This Row],[Horas Acumuladas]])</f>
        <v/>
      </c>
      <c r="AJ149" s="364" t="str">
        <f>IFERROR(BASE_DATOS[[#This Row],[Precio US$]]/BASE_DATOS[[#This Row],[Horas Rodadas]],"")</f>
        <v/>
      </c>
      <c r="AK149" s="365" t="str">
        <f>IFERROR(BASE_DATOS[[#This Row],[Horas Rodadas]]/(BASE_DATOS[[#This Row],[NSK Original]]-BASE_DATOS[[#This Row],[NSK]]),"")</f>
        <v/>
      </c>
      <c r="AL14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49" s="366" t="str">
        <f>IFERROR(BASE_DATOS[[#This Row],[Precio US$]]/BASE_DATOS[[#This Row],[Horas Proy.]],"")</f>
        <v/>
      </c>
      <c r="AN149" s="176" t="str">
        <f>IF(OR(BASE_DATOS[[#This Row],[Km.]]="",BASE_DATOS[[#This Row],[Km. Actual]]=""),"",BASE_DATOS[[#This Row],[Km. Actual]]-BASE_DATOS[[#This Row],[Km.]]+BASE_DATOS[[#This Row],[Kilómetros Acumulados]])</f>
        <v/>
      </c>
      <c r="AO149" s="177" t="str">
        <f>IFERROR(BASE_DATOS[[#This Row],[Precio US$]]/BASE_DATOS[[#This Row],[Kilómetros Rodados]],"")</f>
        <v/>
      </c>
      <c r="AP149" s="176" t="str">
        <f>IFERROR(BASE_DATOS[[#This Row],[Kilómetros Rodados]]/(BASE_DATOS[[#This Row],[NSK Original]]-BASE_DATOS[[#This Row],[NSK]]),"")</f>
        <v/>
      </c>
      <c r="AQ14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49" s="177" t="str">
        <f>IFERROR(BASE_DATOS[[#This Row],[Precio US$]]/BASE_DATOS[[#This Row],[Kilómetros Proy.]],"")</f>
        <v/>
      </c>
      <c r="AS149" s="167" t="s">
        <v>62</v>
      </c>
      <c r="AT149" s="167"/>
      <c r="AU149" s="167"/>
      <c r="AV149" s="167"/>
      <c r="AW149" s="179"/>
      <c r="AX149" s="179"/>
      <c r="AY149" s="179" t="str">
        <f>CONCATENATE(BASE_DATOS[[#This Row],[Código_U]]&amp;BASE_DATOS[[#This Row],[Pos.]]&amp;BASE_DATOS[[#This Row],[Situación Actual]])</f>
        <v>TC-12810Rodando</v>
      </c>
    </row>
    <row r="150" spans="1:51" ht="12" x14ac:dyDescent="0.25">
      <c r="A150" s="224" t="s">
        <v>139</v>
      </c>
      <c r="B150" s="213" t="s">
        <v>140</v>
      </c>
      <c r="C150" s="225" t="s">
        <v>295</v>
      </c>
      <c r="D150" s="226" t="s">
        <v>87</v>
      </c>
      <c r="E150" s="249"/>
      <c r="F150" s="250" t="s">
        <v>273</v>
      </c>
      <c r="G150" s="250" t="s">
        <v>274</v>
      </c>
      <c r="H150" s="251" t="str">
        <f>IF(BASE_DATOS[[#This Row],[N-R]]="N",BASE_DATOS[[#This Row],[Diseño]],"Reencauche")</f>
        <v>Reencauche</v>
      </c>
      <c r="I150" s="250" t="s">
        <v>275</v>
      </c>
      <c r="J150" s="235" t="s">
        <v>82</v>
      </c>
      <c r="K150" s="252">
        <v>19</v>
      </c>
      <c r="L150" s="250">
        <v>110</v>
      </c>
      <c r="M150" s="253"/>
      <c r="N150" s="254"/>
      <c r="O150" s="274"/>
      <c r="P150" s="275"/>
      <c r="Q150" s="276"/>
      <c r="R150" s="305" t="s">
        <v>98</v>
      </c>
      <c r="S150" s="306">
        <v>45385</v>
      </c>
      <c r="T150" s="314"/>
      <c r="U150" s="276"/>
      <c r="V150" s="224">
        <v>10</v>
      </c>
      <c r="W150" s="325">
        <v>9</v>
      </c>
      <c r="X150" s="326">
        <v>10</v>
      </c>
      <c r="Y150" s="292">
        <f t="shared" si="6"/>
        <v>9</v>
      </c>
      <c r="Z150" s="194" t="s">
        <v>85</v>
      </c>
      <c r="AA150" s="339">
        <f>IFERROR(BASE_DATOS[[#This Row],[NSK Original]]-BASE_DATOS[[#This Row],[NSK]]," ")</f>
        <v>10</v>
      </c>
      <c r="AB150" s="340">
        <f>'NSK-TRACTO'!$A$2</f>
        <v>6</v>
      </c>
      <c r="AC150" s="340">
        <f>IF(BASE_DATOS[[#This Row],[NSK]]&gt;=BASE_DATOS[[#This Row],[NSK Reen]],BASE_DATOS[[#This Row],[NSK Reen]],BASE_DATOS[[#This Row],[NSK]])</f>
        <v>6</v>
      </c>
      <c r="AD150" s="341">
        <f>IFERROR(100%-(BASE_DATOS[[#This Row],[NSK Reen]]/BASE_DATOS[[#This Row],[NSK Original]]),"")</f>
        <v>0.68421052631578949</v>
      </c>
      <c r="AE150" s="341">
        <f>IFERROR(100%-BASE_DATOS[[#This Row],[NSK]]/BASE_DATOS[[#This Row],[NSK Original]],"")</f>
        <v>0.52631578947368429</v>
      </c>
      <c r="AF150" s="341">
        <f>IFERROR(BASE_DATOS[[#This Row],[% Max Des.]]-BASE_DATOS[[#This Row],[% Des]],"")</f>
        <v>0.1578947368421052</v>
      </c>
      <c r="AG150" s="284"/>
      <c r="AH150" s="335"/>
      <c r="AI150" s="359" t="str">
        <f>IF(OR(BASE_DATOS[[#This Row],[Hr.]]="",BASE_DATOS[[#This Row],[Hr. Actual]]=""),"",BASE_DATOS[[#This Row],[Hr. Actual]]-BASE_DATOS[[#This Row],[Hr.]]+BASE_DATOS[[#This Row],[Horas Acumuladas]])</f>
        <v/>
      </c>
      <c r="AJ150" s="360" t="str">
        <f>IFERROR(BASE_DATOS[[#This Row],[Precio US$]]/BASE_DATOS[[#This Row],[Horas Rodadas]],"")</f>
        <v/>
      </c>
      <c r="AK150" s="361" t="str">
        <f>IFERROR(BASE_DATOS[[#This Row],[Horas Rodadas]]/(BASE_DATOS[[#This Row],[NSK Original]]-BASE_DATOS[[#This Row],[NSK]]),"")</f>
        <v/>
      </c>
      <c r="AL150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50" s="362" t="str">
        <f>IFERROR(BASE_DATOS[[#This Row],[Precio US$]]/BASE_DATOS[[#This Row],[Horas Proy.]],"")</f>
        <v/>
      </c>
      <c r="AN150" s="195" t="str">
        <f>IF(OR(BASE_DATOS[[#This Row],[Km.]]="",BASE_DATOS[[#This Row],[Km. Actual]]=""),"",BASE_DATOS[[#This Row],[Km. Actual]]-BASE_DATOS[[#This Row],[Km.]]+BASE_DATOS[[#This Row],[Kilómetros Acumulados]])</f>
        <v/>
      </c>
      <c r="AO150" s="196" t="str">
        <f>IFERROR(BASE_DATOS[[#This Row],[Precio US$]]/BASE_DATOS[[#This Row],[Kilómetros Rodados]],"")</f>
        <v/>
      </c>
      <c r="AP150" s="195" t="str">
        <f>IFERROR(BASE_DATOS[[#This Row],[Kilómetros Rodados]]/(BASE_DATOS[[#This Row],[NSK Original]]-BASE_DATOS[[#This Row],[NSK]]),"")</f>
        <v/>
      </c>
      <c r="AQ150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50" s="196" t="str">
        <f>IFERROR(BASE_DATOS[[#This Row],[Precio US$]]/BASE_DATOS[[#This Row],[Kilómetros Proy.]],"")</f>
        <v/>
      </c>
      <c r="AS150" s="191" t="s">
        <v>62</v>
      </c>
      <c r="AT150" s="191"/>
      <c r="AU150" s="191"/>
      <c r="AV150" s="191"/>
      <c r="AW150" s="198"/>
      <c r="AX150" s="198"/>
      <c r="AY150" s="198" t="str">
        <f>CONCATENATE(BASE_DATOS[[#This Row],[Código_U]]&amp;BASE_DATOS[[#This Row],[Pos.]]&amp;BASE_DATOS[[#This Row],[Situación Actual]])</f>
        <v>SR-1281Rodando</v>
      </c>
    </row>
    <row r="151" spans="1:51" ht="12" x14ac:dyDescent="0.25">
      <c r="A151" s="227" t="s">
        <v>139</v>
      </c>
      <c r="B151" s="217" t="s">
        <v>140</v>
      </c>
      <c r="C151" s="228" t="s">
        <v>295</v>
      </c>
      <c r="D151" s="229" t="s">
        <v>87</v>
      </c>
      <c r="E151" s="255"/>
      <c r="F151" s="256" t="s">
        <v>273</v>
      </c>
      <c r="G151" s="256" t="s">
        <v>274</v>
      </c>
      <c r="H151" s="257" t="str">
        <f>IF(BASE_DATOS[[#This Row],[N-R]]="N",BASE_DATOS[[#This Row],[Diseño]],"Reencauche")</f>
        <v>Reencauche</v>
      </c>
      <c r="I151" s="256" t="s">
        <v>275</v>
      </c>
      <c r="J151" s="243" t="s">
        <v>82</v>
      </c>
      <c r="K151" s="258">
        <v>19</v>
      </c>
      <c r="L151" s="256">
        <v>110</v>
      </c>
      <c r="M151" s="259"/>
      <c r="N151" s="260"/>
      <c r="O151" s="277"/>
      <c r="P151" s="278"/>
      <c r="Q151" s="279"/>
      <c r="R151" s="309" t="s">
        <v>99</v>
      </c>
      <c r="S151" s="310">
        <v>45385</v>
      </c>
      <c r="T151" s="313"/>
      <c r="U151" s="279"/>
      <c r="V151" s="227">
        <v>9</v>
      </c>
      <c r="W151" s="281">
        <v>8</v>
      </c>
      <c r="X151" s="282">
        <v>9</v>
      </c>
      <c r="Y151" s="293">
        <f t="shared" si="6"/>
        <v>8</v>
      </c>
      <c r="Z151" s="175" t="s">
        <v>85</v>
      </c>
      <c r="AA151" s="342">
        <f>IFERROR(BASE_DATOS[[#This Row],[NSK Original]]-BASE_DATOS[[#This Row],[NSK]]," ")</f>
        <v>11</v>
      </c>
      <c r="AB151" s="343">
        <f>'NSK-TRACTO'!$A$2</f>
        <v>6</v>
      </c>
      <c r="AC151" s="343">
        <f>IF(BASE_DATOS[[#This Row],[NSK]]&gt;=BASE_DATOS[[#This Row],[NSK Reen]],BASE_DATOS[[#This Row],[NSK Reen]],BASE_DATOS[[#This Row],[NSK]])</f>
        <v>6</v>
      </c>
      <c r="AD151" s="344">
        <f>IFERROR(100%-(BASE_DATOS[[#This Row],[NSK Reen]]/BASE_DATOS[[#This Row],[NSK Original]]),"")</f>
        <v>0.68421052631578949</v>
      </c>
      <c r="AE151" s="344">
        <f>IFERROR(100%-BASE_DATOS[[#This Row],[NSK]]/BASE_DATOS[[#This Row],[NSK Original]],"")</f>
        <v>0.57894736842105265</v>
      </c>
      <c r="AF151" s="344">
        <f>IFERROR(BASE_DATOS[[#This Row],[% Max Des.]]-BASE_DATOS[[#This Row],[% Des]],"")</f>
        <v>0.10526315789473684</v>
      </c>
      <c r="AG151" s="287"/>
      <c r="AH151" s="273"/>
      <c r="AI151" s="363" t="str">
        <f>IF(OR(BASE_DATOS[[#This Row],[Hr.]]="",BASE_DATOS[[#This Row],[Hr. Actual]]=""),"",BASE_DATOS[[#This Row],[Hr. Actual]]-BASE_DATOS[[#This Row],[Hr.]]+BASE_DATOS[[#This Row],[Horas Acumuladas]])</f>
        <v/>
      </c>
      <c r="AJ151" s="364" t="str">
        <f>IFERROR(BASE_DATOS[[#This Row],[Precio US$]]/BASE_DATOS[[#This Row],[Horas Rodadas]],"")</f>
        <v/>
      </c>
      <c r="AK151" s="365" t="str">
        <f>IFERROR(BASE_DATOS[[#This Row],[Horas Rodadas]]/(BASE_DATOS[[#This Row],[NSK Original]]-BASE_DATOS[[#This Row],[NSK]]),"")</f>
        <v/>
      </c>
      <c r="AL15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51" s="366" t="str">
        <f>IFERROR(BASE_DATOS[[#This Row],[Precio US$]]/BASE_DATOS[[#This Row],[Horas Proy.]],"")</f>
        <v/>
      </c>
      <c r="AN151" s="176" t="str">
        <f>IF(OR(BASE_DATOS[[#This Row],[Km.]]="",BASE_DATOS[[#This Row],[Km. Actual]]=""),"",BASE_DATOS[[#This Row],[Km. Actual]]-BASE_DATOS[[#This Row],[Km.]]+BASE_DATOS[[#This Row],[Kilómetros Acumulados]])</f>
        <v/>
      </c>
      <c r="AO151" s="177" t="str">
        <f>IFERROR(BASE_DATOS[[#This Row],[Precio US$]]/BASE_DATOS[[#This Row],[Kilómetros Rodados]],"")</f>
        <v/>
      </c>
      <c r="AP151" s="176" t="str">
        <f>IFERROR(BASE_DATOS[[#This Row],[Kilómetros Rodados]]/(BASE_DATOS[[#This Row],[NSK Original]]-BASE_DATOS[[#This Row],[NSK]]),"")</f>
        <v/>
      </c>
      <c r="AQ15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51" s="177" t="str">
        <f>IFERROR(BASE_DATOS[[#This Row],[Precio US$]]/BASE_DATOS[[#This Row],[Kilómetros Proy.]],"")</f>
        <v/>
      </c>
      <c r="AS151" s="167" t="s">
        <v>62</v>
      </c>
      <c r="AT151" s="167"/>
      <c r="AU151" s="167"/>
      <c r="AV151" s="167"/>
      <c r="AW151" s="179"/>
      <c r="AX151" s="179"/>
      <c r="AY151" s="179" t="str">
        <f>CONCATENATE(BASE_DATOS[[#This Row],[Código_U]]&amp;BASE_DATOS[[#This Row],[Pos.]]&amp;BASE_DATOS[[#This Row],[Situación Actual]])</f>
        <v>SR-1282Rodando</v>
      </c>
    </row>
    <row r="152" spans="1:51" ht="12" x14ac:dyDescent="0.25">
      <c r="A152" s="227" t="s">
        <v>139</v>
      </c>
      <c r="B152" s="217" t="s">
        <v>140</v>
      </c>
      <c r="C152" s="228" t="s">
        <v>295</v>
      </c>
      <c r="D152" s="229" t="s">
        <v>87</v>
      </c>
      <c r="E152" s="255"/>
      <c r="F152" s="256" t="s">
        <v>97</v>
      </c>
      <c r="G152" s="256" t="s">
        <v>269</v>
      </c>
      <c r="H152" s="257" t="str">
        <f>IF(BASE_DATOS[[#This Row],[N-R]]="N",BASE_DATOS[[#This Row],[Diseño]],"Reencauche")</f>
        <v>AGC28</v>
      </c>
      <c r="I152" s="256" t="s">
        <v>270</v>
      </c>
      <c r="J152" s="243" t="s">
        <v>72</v>
      </c>
      <c r="K152" s="258">
        <v>16.5</v>
      </c>
      <c r="L152" s="256">
        <v>110</v>
      </c>
      <c r="M152" s="259"/>
      <c r="N152" s="260"/>
      <c r="O152" s="277"/>
      <c r="P152" s="278"/>
      <c r="Q152" s="279"/>
      <c r="R152" s="309" t="s">
        <v>100</v>
      </c>
      <c r="S152" s="310">
        <v>45385</v>
      </c>
      <c r="T152" s="313"/>
      <c r="U152" s="279"/>
      <c r="V152" s="227">
        <v>14</v>
      </c>
      <c r="W152" s="281">
        <v>14</v>
      </c>
      <c r="X152" s="282">
        <v>14</v>
      </c>
      <c r="Y152" s="293">
        <f t="shared" si="6"/>
        <v>14</v>
      </c>
      <c r="Z152" s="175" t="s">
        <v>85</v>
      </c>
      <c r="AA152" s="342">
        <f>IFERROR(BASE_DATOS[[#This Row],[NSK Original]]-BASE_DATOS[[#This Row],[NSK]]," ")</f>
        <v>2.5</v>
      </c>
      <c r="AB152" s="343">
        <f>'NSK-TRACTO'!$A$2</f>
        <v>6</v>
      </c>
      <c r="AC152" s="343">
        <f>IF(BASE_DATOS[[#This Row],[NSK]]&gt;=BASE_DATOS[[#This Row],[NSK Reen]],BASE_DATOS[[#This Row],[NSK Reen]],BASE_DATOS[[#This Row],[NSK]])</f>
        <v>6</v>
      </c>
      <c r="AD152" s="344">
        <f>IFERROR(100%-(BASE_DATOS[[#This Row],[NSK Reen]]/BASE_DATOS[[#This Row],[NSK Original]]),"")</f>
        <v>0.63636363636363635</v>
      </c>
      <c r="AE152" s="344">
        <f>IFERROR(100%-BASE_DATOS[[#This Row],[NSK]]/BASE_DATOS[[#This Row],[NSK Original]],"")</f>
        <v>0.15151515151515149</v>
      </c>
      <c r="AF152" s="344">
        <f>IFERROR(BASE_DATOS[[#This Row],[% Max Des.]]-BASE_DATOS[[#This Row],[% Des]],"")</f>
        <v>0.48484848484848486</v>
      </c>
      <c r="AG152" s="287"/>
      <c r="AH152" s="273"/>
      <c r="AI152" s="363" t="str">
        <f>IF(OR(BASE_DATOS[[#This Row],[Hr.]]="",BASE_DATOS[[#This Row],[Hr. Actual]]=""),"",BASE_DATOS[[#This Row],[Hr. Actual]]-BASE_DATOS[[#This Row],[Hr.]]+BASE_DATOS[[#This Row],[Horas Acumuladas]])</f>
        <v/>
      </c>
      <c r="AJ152" s="364" t="str">
        <f>IFERROR(BASE_DATOS[[#This Row],[Precio US$]]/BASE_DATOS[[#This Row],[Horas Rodadas]],"")</f>
        <v/>
      </c>
      <c r="AK152" s="365" t="str">
        <f>IFERROR(BASE_DATOS[[#This Row],[Horas Rodadas]]/(BASE_DATOS[[#This Row],[NSK Original]]-BASE_DATOS[[#This Row],[NSK]]),"")</f>
        <v/>
      </c>
      <c r="AL15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52" s="366" t="str">
        <f>IFERROR(BASE_DATOS[[#This Row],[Precio US$]]/BASE_DATOS[[#This Row],[Horas Proy.]],"")</f>
        <v/>
      </c>
      <c r="AN152" s="176" t="str">
        <f>IF(OR(BASE_DATOS[[#This Row],[Km.]]="",BASE_DATOS[[#This Row],[Km. Actual]]=""),"",BASE_DATOS[[#This Row],[Km. Actual]]-BASE_DATOS[[#This Row],[Km.]]+BASE_DATOS[[#This Row],[Kilómetros Acumulados]])</f>
        <v/>
      </c>
      <c r="AO152" s="177" t="str">
        <f>IFERROR(BASE_DATOS[[#This Row],[Precio US$]]/BASE_DATOS[[#This Row],[Kilómetros Rodados]],"")</f>
        <v/>
      </c>
      <c r="AP152" s="176" t="str">
        <f>IFERROR(BASE_DATOS[[#This Row],[Kilómetros Rodados]]/(BASE_DATOS[[#This Row],[NSK Original]]-BASE_DATOS[[#This Row],[NSK]]),"")</f>
        <v/>
      </c>
      <c r="AQ15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52" s="177" t="str">
        <f>IFERROR(BASE_DATOS[[#This Row],[Precio US$]]/BASE_DATOS[[#This Row],[Kilómetros Proy.]],"")</f>
        <v/>
      </c>
      <c r="AS152" s="167" t="s">
        <v>62</v>
      </c>
      <c r="AT152" s="167"/>
      <c r="AU152" s="167"/>
      <c r="AV152" s="167"/>
      <c r="AW152" s="179"/>
      <c r="AX152" s="179"/>
      <c r="AY152" s="179" t="str">
        <f>CONCATENATE(BASE_DATOS[[#This Row],[Código_U]]&amp;BASE_DATOS[[#This Row],[Pos.]]&amp;BASE_DATOS[[#This Row],[Situación Actual]])</f>
        <v>SR-1283Rodando</v>
      </c>
    </row>
    <row r="153" spans="1:51" ht="12" x14ac:dyDescent="0.25">
      <c r="A153" s="227" t="s">
        <v>139</v>
      </c>
      <c r="B153" s="217" t="s">
        <v>140</v>
      </c>
      <c r="C153" s="228" t="s">
        <v>295</v>
      </c>
      <c r="D153" s="229" t="s">
        <v>87</v>
      </c>
      <c r="E153" s="255"/>
      <c r="F153" s="256" t="s">
        <v>97</v>
      </c>
      <c r="G153" s="256" t="s">
        <v>269</v>
      </c>
      <c r="H153" s="257" t="str">
        <f>IF(BASE_DATOS[[#This Row],[N-R]]="N",BASE_DATOS[[#This Row],[Diseño]],"Reencauche")</f>
        <v>AGC28</v>
      </c>
      <c r="I153" s="256" t="s">
        <v>270</v>
      </c>
      <c r="J153" s="243" t="s">
        <v>72</v>
      </c>
      <c r="K153" s="258">
        <v>16.5</v>
      </c>
      <c r="L153" s="256">
        <v>110</v>
      </c>
      <c r="M153" s="259"/>
      <c r="N153" s="260"/>
      <c r="O153" s="277"/>
      <c r="P153" s="278"/>
      <c r="Q153" s="279"/>
      <c r="R153" s="309" t="s">
        <v>101</v>
      </c>
      <c r="S153" s="310">
        <v>45385</v>
      </c>
      <c r="T153" s="313"/>
      <c r="U153" s="279"/>
      <c r="V153" s="227">
        <v>14</v>
      </c>
      <c r="W153" s="281">
        <v>14</v>
      </c>
      <c r="X153" s="282">
        <v>13</v>
      </c>
      <c r="Y153" s="293">
        <f t="shared" si="6"/>
        <v>13</v>
      </c>
      <c r="Z153" s="175" t="s">
        <v>85</v>
      </c>
      <c r="AA153" s="342">
        <f>IFERROR(BASE_DATOS[[#This Row],[NSK Original]]-BASE_DATOS[[#This Row],[NSK]]," ")</f>
        <v>3.5</v>
      </c>
      <c r="AB153" s="343">
        <f>'NSK-TRACTO'!$A$2</f>
        <v>6</v>
      </c>
      <c r="AC153" s="343">
        <f>IF(BASE_DATOS[[#This Row],[NSK]]&gt;=BASE_DATOS[[#This Row],[NSK Reen]],BASE_DATOS[[#This Row],[NSK Reen]],BASE_DATOS[[#This Row],[NSK]])</f>
        <v>6</v>
      </c>
      <c r="AD153" s="344">
        <f>IFERROR(100%-(BASE_DATOS[[#This Row],[NSK Reen]]/BASE_DATOS[[#This Row],[NSK Original]]),"")</f>
        <v>0.63636363636363635</v>
      </c>
      <c r="AE153" s="344">
        <f>IFERROR(100%-BASE_DATOS[[#This Row],[NSK]]/BASE_DATOS[[#This Row],[NSK Original]],"")</f>
        <v>0.21212121212121215</v>
      </c>
      <c r="AF153" s="344">
        <f>IFERROR(BASE_DATOS[[#This Row],[% Max Des.]]-BASE_DATOS[[#This Row],[% Des]],"")</f>
        <v>0.4242424242424242</v>
      </c>
      <c r="AG153" s="287"/>
      <c r="AH153" s="273"/>
      <c r="AI153" s="363" t="str">
        <f>IF(OR(BASE_DATOS[[#This Row],[Hr.]]="",BASE_DATOS[[#This Row],[Hr. Actual]]=""),"",BASE_DATOS[[#This Row],[Hr. Actual]]-BASE_DATOS[[#This Row],[Hr.]]+BASE_DATOS[[#This Row],[Horas Acumuladas]])</f>
        <v/>
      </c>
      <c r="AJ153" s="364" t="str">
        <f>IFERROR(BASE_DATOS[[#This Row],[Precio US$]]/BASE_DATOS[[#This Row],[Horas Rodadas]],"")</f>
        <v/>
      </c>
      <c r="AK153" s="365" t="str">
        <f>IFERROR(BASE_DATOS[[#This Row],[Horas Rodadas]]/(BASE_DATOS[[#This Row],[NSK Original]]-BASE_DATOS[[#This Row],[NSK]]),"")</f>
        <v/>
      </c>
      <c r="AL15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53" s="366" t="str">
        <f>IFERROR(BASE_DATOS[[#This Row],[Precio US$]]/BASE_DATOS[[#This Row],[Horas Proy.]],"")</f>
        <v/>
      </c>
      <c r="AN153" s="176" t="str">
        <f>IF(OR(BASE_DATOS[[#This Row],[Km.]]="",BASE_DATOS[[#This Row],[Km. Actual]]=""),"",BASE_DATOS[[#This Row],[Km. Actual]]-BASE_DATOS[[#This Row],[Km.]]+BASE_DATOS[[#This Row],[Kilómetros Acumulados]])</f>
        <v/>
      </c>
      <c r="AO153" s="177" t="str">
        <f>IFERROR(BASE_DATOS[[#This Row],[Precio US$]]/BASE_DATOS[[#This Row],[Kilómetros Rodados]],"")</f>
        <v/>
      </c>
      <c r="AP153" s="176" t="str">
        <f>IFERROR(BASE_DATOS[[#This Row],[Kilómetros Rodados]]/(BASE_DATOS[[#This Row],[NSK Original]]-BASE_DATOS[[#This Row],[NSK]]),"")</f>
        <v/>
      </c>
      <c r="AQ15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53" s="177" t="str">
        <f>IFERROR(BASE_DATOS[[#This Row],[Precio US$]]/BASE_DATOS[[#This Row],[Kilómetros Proy.]],"")</f>
        <v/>
      </c>
      <c r="AS153" s="167" t="s">
        <v>62</v>
      </c>
      <c r="AT153" s="167"/>
      <c r="AU153" s="167"/>
      <c r="AV153" s="167"/>
      <c r="AW153" s="179"/>
      <c r="AX153" s="179"/>
      <c r="AY153" s="179" t="str">
        <f>CONCATENATE(BASE_DATOS[[#This Row],[Código_U]]&amp;BASE_DATOS[[#This Row],[Pos.]]&amp;BASE_DATOS[[#This Row],[Situación Actual]])</f>
        <v>SR-1284Rodando</v>
      </c>
    </row>
    <row r="154" spans="1:51" ht="12" x14ac:dyDescent="0.25">
      <c r="A154" s="227" t="s">
        <v>139</v>
      </c>
      <c r="B154" s="217" t="s">
        <v>140</v>
      </c>
      <c r="C154" s="228" t="s">
        <v>295</v>
      </c>
      <c r="D154" s="229" t="s">
        <v>87</v>
      </c>
      <c r="E154" s="255"/>
      <c r="F154" s="256" t="s">
        <v>97</v>
      </c>
      <c r="G154" s="256" t="s">
        <v>269</v>
      </c>
      <c r="H154" s="257" t="str">
        <f>IF(BASE_DATOS[[#This Row],[N-R]]="N",BASE_DATOS[[#This Row],[Diseño]],"Reencauche")</f>
        <v>Reencauche</v>
      </c>
      <c r="I154" s="256" t="s">
        <v>275</v>
      </c>
      <c r="J154" s="243" t="s">
        <v>276</v>
      </c>
      <c r="K154" s="258">
        <v>20</v>
      </c>
      <c r="L154" s="256">
        <v>110</v>
      </c>
      <c r="M154" s="259"/>
      <c r="N154" s="260"/>
      <c r="O154" s="277"/>
      <c r="P154" s="278"/>
      <c r="Q154" s="279"/>
      <c r="R154" s="309" t="s">
        <v>102</v>
      </c>
      <c r="S154" s="310">
        <v>45385</v>
      </c>
      <c r="T154" s="313"/>
      <c r="U154" s="279"/>
      <c r="V154" s="227">
        <v>17</v>
      </c>
      <c r="W154" s="281"/>
      <c r="X154" s="282">
        <v>17</v>
      </c>
      <c r="Y154" s="293">
        <f t="shared" si="6"/>
        <v>17</v>
      </c>
      <c r="Z154" s="175" t="s">
        <v>85</v>
      </c>
      <c r="AA154" s="342">
        <f>IFERROR(BASE_DATOS[[#This Row],[NSK Original]]-BASE_DATOS[[#This Row],[NSK]]," ")</f>
        <v>3</v>
      </c>
      <c r="AB154" s="343">
        <f>'NSK-TRACTO'!$A$2</f>
        <v>6</v>
      </c>
      <c r="AC154" s="343">
        <f>IF(BASE_DATOS[[#This Row],[NSK]]&gt;=BASE_DATOS[[#This Row],[NSK Reen]],BASE_DATOS[[#This Row],[NSK Reen]],BASE_DATOS[[#This Row],[NSK]])</f>
        <v>6</v>
      </c>
      <c r="AD154" s="344">
        <f>IFERROR(100%-(BASE_DATOS[[#This Row],[NSK Reen]]/BASE_DATOS[[#This Row],[NSK Original]]),"")</f>
        <v>0.7</v>
      </c>
      <c r="AE154" s="344">
        <f>IFERROR(100%-BASE_DATOS[[#This Row],[NSK]]/BASE_DATOS[[#This Row],[NSK Original]],"")</f>
        <v>0.15000000000000002</v>
      </c>
      <c r="AF154" s="344">
        <f>IFERROR(BASE_DATOS[[#This Row],[% Max Des.]]-BASE_DATOS[[#This Row],[% Des]],"")</f>
        <v>0.54999999999999993</v>
      </c>
      <c r="AG154" s="287"/>
      <c r="AH154" s="273"/>
      <c r="AI154" s="363" t="str">
        <f>IF(OR(BASE_DATOS[[#This Row],[Hr.]]="",BASE_DATOS[[#This Row],[Hr. Actual]]=""),"",BASE_DATOS[[#This Row],[Hr. Actual]]-BASE_DATOS[[#This Row],[Hr.]]+BASE_DATOS[[#This Row],[Horas Acumuladas]])</f>
        <v/>
      </c>
      <c r="AJ154" s="364" t="str">
        <f>IFERROR(BASE_DATOS[[#This Row],[Precio US$]]/BASE_DATOS[[#This Row],[Horas Rodadas]],"")</f>
        <v/>
      </c>
      <c r="AK154" s="365" t="str">
        <f>IFERROR(BASE_DATOS[[#This Row],[Horas Rodadas]]/(BASE_DATOS[[#This Row],[NSK Original]]-BASE_DATOS[[#This Row],[NSK]]),"")</f>
        <v/>
      </c>
      <c r="AL15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54" s="366" t="str">
        <f>IFERROR(BASE_DATOS[[#This Row],[Precio US$]]/BASE_DATOS[[#This Row],[Horas Proy.]],"")</f>
        <v/>
      </c>
      <c r="AN154" s="176" t="str">
        <f>IF(OR(BASE_DATOS[[#This Row],[Km.]]="",BASE_DATOS[[#This Row],[Km. Actual]]=""),"",BASE_DATOS[[#This Row],[Km. Actual]]-BASE_DATOS[[#This Row],[Km.]]+BASE_DATOS[[#This Row],[Kilómetros Acumulados]])</f>
        <v/>
      </c>
      <c r="AO154" s="177" t="str">
        <f>IFERROR(BASE_DATOS[[#This Row],[Precio US$]]/BASE_DATOS[[#This Row],[Kilómetros Rodados]],"")</f>
        <v/>
      </c>
      <c r="AP154" s="176" t="str">
        <f>IFERROR(BASE_DATOS[[#This Row],[Kilómetros Rodados]]/(BASE_DATOS[[#This Row],[NSK Original]]-BASE_DATOS[[#This Row],[NSK]]),"")</f>
        <v/>
      </c>
      <c r="AQ15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54" s="177" t="str">
        <f>IFERROR(BASE_DATOS[[#This Row],[Precio US$]]/BASE_DATOS[[#This Row],[Kilómetros Proy.]],"")</f>
        <v/>
      </c>
      <c r="AS154" s="167" t="s">
        <v>62</v>
      </c>
      <c r="AT154" s="167"/>
      <c r="AU154" s="167"/>
      <c r="AV154" s="167"/>
      <c r="AW154" s="179"/>
      <c r="AX154" s="179"/>
      <c r="AY154" s="179" t="str">
        <f>CONCATENATE(BASE_DATOS[[#This Row],[Código_U]]&amp;BASE_DATOS[[#This Row],[Pos.]]&amp;BASE_DATOS[[#This Row],[Situación Actual]])</f>
        <v>SR-1285Rodando</v>
      </c>
    </row>
    <row r="155" spans="1:51" ht="12" x14ac:dyDescent="0.25">
      <c r="A155" s="227" t="s">
        <v>139</v>
      </c>
      <c r="B155" s="217" t="s">
        <v>140</v>
      </c>
      <c r="C155" s="228" t="s">
        <v>295</v>
      </c>
      <c r="D155" s="229" t="s">
        <v>87</v>
      </c>
      <c r="E155" s="255"/>
      <c r="F155" s="256" t="s">
        <v>97</v>
      </c>
      <c r="G155" s="256" t="s">
        <v>269</v>
      </c>
      <c r="H155" s="257" t="str">
        <f>IF(BASE_DATOS[[#This Row],[N-R]]="N",BASE_DATOS[[#This Row],[Diseño]],"Reencauche")</f>
        <v>Reencauche</v>
      </c>
      <c r="I155" s="256" t="s">
        <v>275</v>
      </c>
      <c r="J155" s="243" t="s">
        <v>276</v>
      </c>
      <c r="K155" s="258">
        <v>20</v>
      </c>
      <c r="L155" s="256">
        <v>110</v>
      </c>
      <c r="M155" s="259"/>
      <c r="N155" s="260"/>
      <c r="O155" s="277"/>
      <c r="P155" s="278"/>
      <c r="Q155" s="279"/>
      <c r="R155" s="309" t="s">
        <v>103</v>
      </c>
      <c r="S155" s="310">
        <v>45385</v>
      </c>
      <c r="T155" s="313"/>
      <c r="U155" s="279"/>
      <c r="V155" s="227">
        <v>17</v>
      </c>
      <c r="W155" s="281"/>
      <c r="X155" s="282">
        <v>17</v>
      </c>
      <c r="Y155" s="293">
        <f t="shared" si="6"/>
        <v>17</v>
      </c>
      <c r="Z155" s="175" t="s">
        <v>85</v>
      </c>
      <c r="AA155" s="342">
        <f>IFERROR(BASE_DATOS[[#This Row],[NSK Original]]-BASE_DATOS[[#This Row],[NSK]]," ")</f>
        <v>3</v>
      </c>
      <c r="AB155" s="343">
        <f>'NSK-TRACTO'!$A$2</f>
        <v>6</v>
      </c>
      <c r="AC155" s="343">
        <f>IF(BASE_DATOS[[#This Row],[NSK]]&gt;=BASE_DATOS[[#This Row],[NSK Reen]],BASE_DATOS[[#This Row],[NSK Reen]],BASE_DATOS[[#This Row],[NSK]])</f>
        <v>6</v>
      </c>
      <c r="AD155" s="344">
        <f>IFERROR(100%-(BASE_DATOS[[#This Row],[NSK Reen]]/BASE_DATOS[[#This Row],[NSK Original]]),"")</f>
        <v>0.7</v>
      </c>
      <c r="AE155" s="344">
        <f>IFERROR(100%-BASE_DATOS[[#This Row],[NSK]]/BASE_DATOS[[#This Row],[NSK Original]],"")</f>
        <v>0.15000000000000002</v>
      </c>
      <c r="AF155" s="344">
        <f>IFERROR(BASE_DATOS[[#This Row],[% Max Des.]]-BASE_DATOS[[#This Row],[% Des]],"")</f>
        <v>0.54999999999999993</v>
      </c>
      <c r="AG155" s="287"/>
      <c r="AH155" s="273"/>
      <c r="AI155" s="363" t="str">
        <f>IF(OR(BASE_DATOS[[#This Row],[Hr.]]="",BASE_DATOS[[#This Row],[Hr. Actual]]=""),"",BASE_DATOS[[#This Row],[Hr. Actual]]-BASE_DATOS[[#This Row],[Hr.]]+BASE_DATOS[[#This Row],[Horas Acumuladas]])</f>
        <v/>
      </c>
      <c r="AJ155" s="364" t="str">
        <f>IFERROR(BASE_DATOS[[#This Row],[Precio US$]]/BASE_DATOS[[#This Row],[Horas Rodadas]],"")</f>
        <v/>
      </c>
      <c r="AK155" s="365" t="str">
        <f>IFERROR(BASE_DATOS[[#This Row],[Horas Rodadas]]/(BASE_DATOS[[#This Row],[NSK Original]]-BASE_DATOS[[#This Row],[NSK]]),"")</f>
        <v/>
      </c>
      <c r="AL15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55" s="366" t="str">
        <f>IFERROR(BASE_DATOS[[#This Row],[Precio US$]]/BASE_DATOS[[#This Row],[Horas Proy.]],"")</f>
        <v/>
      </c>
      <c r="AN155" s="176" t="str">
        <f>IF(OR(BASE_DATOS[[#This Row],[Km.]]="",BASE_DATOS[[#This Row],[Km. Actual]]=""),"",BASE_DATOS[[#This Row],[Km. Actual]]-BASE_DATOS[[#This Row],[Km.]]+BASE_DATOS[[#This Row],[Kilómetros Acumulados]])</f>
        <v/>
      </c>
      <c r="AO155" s="177" t="str">
        <f>IFERROR(BASE_DATOS[[#This Row],[Precio US$]]/BASE_DATOS[[#This Row],[Kilómetros Rodados]],"")</f>
        <v/>
      </c>
      <c r="AP155" s="176" t="str">
        <f>IFERROR(BASE_DATOS[[#This Row],[Kilómetros Rodados]]/(BASE_DATOS[[#This Row],[NSK Original]]-BASE_DATOS[[#This Row],[NSK]]),"")</f>
        <v/>
      </c>
      <c r="AQ15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55" s="177" t="str">
        <f>IFERROR(BASE_DATOS[[#This Row],[Precio US$]]/BASE_DATOS[[#This Row],[Kilómetros Proy.]],"")</f>
        <v/>
      </c>
      <c r="AS155" s="167" t="s">
        <v>62</v>
      </c>
      <c r="AT155" s="167"/>
      <c r="AU155" s="167"/>
      <c r="AV155" s="167"/>
      <c r="AW155" s="179"/>
      <c r="AX155" s="179"/>
      <c r="AY155" s="179" t="str">
        <f>CONCATENATE(BASE_DATOS[[#This Row],[Código_U]]&amp;BASE_DATOS[[#This Row],[Pos.]]&amp;BASE_DATOS[[#This Row],[Situación Actual]])</f>
        <v>SR-1286Rodando</v>
      </c>
    </row>
    <row r="156" spans="1:51" ht="12" x14ac:dyDescent="0.25">
      <c r="A156" s="227" t="s">
        <v>139</v>
      </c>
      <c r="B156" s="217" t="s">
        <v>140</v>
      </c>
      <c r="C156" s="228" t="s">
        <v>295</v>
      </c>
      <c r="D156" s="229" t="s">
        <v>384</v>
      </c>
      <c r="E156" s="255"/>
      <c r="F156" s="256" t="s">
        <v>97</v>
      </c>
      <c r="G156" s="256" t="s">
        <v>269</v>
      </c>
      <c r="H156" s="257" t="str">
        <f>IF(BASE_DATOS[[#This Row],[N-R]]="N",BASE_DATOS[[#This Row],[Diseño]],"Reencauche")</f>
        <v>AGC28</v>
      </c>
      <c r="I156" s="256" t="s">
        <v>270</v>
      </c>
      <c r="J156" s="243" t="s">
        <v>72</v>
      </c>
      <c r="K156" s="258">
        <v>16.5</v>
      </c>
      <c r="L156" s="256">
        <v>110</v>
      </c>
      <c r="M156" s="259"/>
      <c r="N156" s="260"/>
      <c r="O156" s="277"/>
      <c r="P156" s="278"/>
      <c r="Q156" s="279"/>
      <c r="R156" s="309" t="s">
        <v>509</v>
      </c>
      <c r="S156" s="310">
        <v>45385</v>
      </c>
      <c r="T156" s="313"/>
      <c r="U156" s="279"/>
      <c r="V156" s="227">
        <v>14</v>
      </c>
      <c r="W156" s="281">
        <v>14</v>
      </c>
      <c r="X156" s="282">
        <v>14</v>
      </c>
      <c r="Y156" s="293">
        <f t="shared" si="6"/>
        <v>14</v>
      </c>
      <c r="Z156" s="175" t="s">
        <v>85</v>
      </c>
      <c r="AA156" s="342">
        <f>IFERROR(BASE_DATOS[[#This Row],[NSK Original]]-BASE_DATOS[[#This Row],[NSK]]," ")</f>
        <v>2.5</v>
      </c>
      <c r="AB156" s="343">
        <f>'NSK-TRACTO'!$A$2</f>
        <v>6</v>
      </c>
      <c r="AC156" s="343">
        <f>IF(BASE_DATOS[[#This Row],[NSK]]&gt;=BASE_DATOS[[#This Row],[NSK Reen]],BASE_DATOS[[#This Row],[NSK Reen]],BASE_DATOS[[#This Row],[NSK]])</f>
        <v>6</v>
      </c>
      <c r="AD156" s="344">
        <f>IFERROR(100%-(BASE_DATOS[[#This Row],[NSK Reen]]/BASE_DATOS[[#This Row],[NSK Original]]),"")</f>
        <v>0.63636363636363635</v>
      </c>
      <c r="AE156" s="344">
        <f>IFERROR(100%-BASE_DATOS[[#This Row],[NSK]]/BASE_DATOS[[#This Row],[NSK Original]],"")</f>
        <v>0.15151515151515149</v>
      </c>
      <c r="AF156" s="344">
        <f>IFERROR(BASE_DATOS[[#This Row],[% Max Des.]]-BASE_DATOS[[#This Row],[% Des]],"")</f>
        <v>0.48484848484848486</v>
      </c>
      <c r="AG156" s="287"/>
      <c r="AH156" s="273"/>
      <c r="AI156" s="363" t="str">
        <f>IF(OR(BASE_DATOS[[#This Row],[Hr.]]="",BASE_DATOS[[#This Row],[Hr. Actual]]=""),"",BASE_DATOS[[#This Row],[Hr. Actual]]-BASE_DATOS[[#This Row],[Hr.]]+BASE_DATOS[[#This Row],[Horas Acumuladas]])</f>
        <v/>
      </c>
      <c r="AJ156" s="364" t="str">
        <f>IFERROR(BASE_DATOS[[#This Row],[Precio US$]]/BASE_DATOS[[#This Row],[Horas Rodadas]],"")</f>
        <v/>
      </c>
      <c r="AK156" s="365" t="str">
        <f>IFERROR(BASE_DATOS[[#This Row],[Horas Rodadas]]/(BASE_DATOS[[#This Row],[NSK Original]]-BASE_DATOS[[#This Row],[NSK]]),"")</f>
        <v/>
      </c>
      <c r="AL15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56" s="366" t="str">
        <f>IFERROR(BASE_DATOS[[#This Row],[Precio US$]]/BASE_DATOS[[#This Row],[Horas Proy.]],"")</f>
        <v/>
      </c>
      <c r="AN156" s="176" t="str">
        <f>IF(OR(BASE_DATOS[[#This Row],[Km.]]="",BASE_DATOS[[#This Row],[Km. Actual]]=""),"",BASE_DATOS[[#This Row],[Km. Actual]]-BASE_DATOS[[#This Row],[Km.]]+BASE_DATOS[[#This Row],[Kilómetros Acumulados]])</f>
        <v/>
      </c>
      <c r="AO156" s="177" t="str">
        <f>IFERROR(BASE_DATOS[[#This Row],[Precio US$]]/BASE_DATOS[[#This Row],[Kilómetros Rodados]],"")</f>
        <v/>
      </c>
      <c r="AP156" s="176" t="str">
        <f>IFERROR(BASE_DATOS[[#This Row],[Kilómetros Rodados]]/(BASE_DATOS[[#This Row],[NSK Original]]-BASE_DATOS[[#This Row],[NSK]]),"")</f>
        <v/>
      </c>
      <c r="AQ15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56" s="177" t="str">
        <f>IFERROR(BASE_DATOS[[#This Row],[Precio US$]]/BASE_DATOS[[#This Row],[Kilómetros Proy.]],"")</f>
        <v/>
      </c>
      <c r="AS156" s="167" t="s">
        <v>62</v>
      </c>
      <c r="AT156" s="167"/>
      <c r="AU156" s="167"/>
      <c r="AV156" s="167"/>
      <c r="AW156" s="179"/>
      <c r="AX156" s="179"/>
      <c r="AY156" s="179" t="str">
        <f>CONCATENATE(BASE_DATOS[[#This Row],[Código_U]]&amp;BASE_DATOS[[#This Row],[Pos.]]&amp;BASE_DATOS[[#This Row],[Situación Actual]])</f>
        <v>SR-128RERodando</v>
      </c>
    </row>
    <row r="157" spans="1:51" ht="12" x14ac:dyDescent="0.25">
      <c r="A157" s="227" t="s">
        <v>139</v>
      </c>
      <c r="B157" s="217" t="s">
        <v>140</v>
      </c>
      <c r="C157" s="228" t="s">
        <v>295</v>
      </c>
      <c r="D157" s="229" t="s">
        <v>108</v>
      </c>
      <c r="E157" s="255"/>
      <c r="F157" s="256" t="s">
        <v>273</v>
      </c>
      <c r="G157" s="256" t="s">
        <v>271</v>
      </c>
      <c r="H157" s="257" t="str">
        <f>IF(BASE_DATOS[[#This Row],[N-R]]="N",BASE_DATOS[[#This Row],[Diseño]],"Reencauche")</f>
        <v>XMULTI2D</v>
      </c>
      <c r="I157" s="256" t="s">
        <v>299</v>
      </c>
      <c r="J157" s="243" t="s">
        <v>72</v>
      </c>
      <c r="K157" s="258">
        <v>21.4</v>
      </c>
      <c r="L157" s="256">
        <v>110</v>
      </c>
      <c r="M157" s="259"/>
      <c r="N157" s="260"/>
      <c r="O157" s="277"/>
      <c r="P157" s="278"/>
      <c r="Q157" s="279"/>
      <c r="R157" s="309" t="s">
        <v>108</v>
      </c>
      <c r="S157" s="310">
        <v>45385</v>
      </c>
      <c r="T157" s="313"/>
      <c r="U157" s="279"/>
      <c r="V157" s="227">
        <v>7</v>
      </c>
      <c r="W157" s="281"/>
      <c r="X157" s="282">
        <v>7</v>
      </c>
      <c r="Y157" s="293">
        <f t="shared" si="6"/>
        <v>7</v>
      </c>
      <c r="Z157" s="175" t="s">
        <v>85</v>
      </c>
      <c r="AA157" s="342">
        <f>IFERROR(BASE_DATOS[[#This Row],[NSK Original]]-BASE_DATOS[[#This Row],[NSK]]," ")</f>
        <v>14.399999999999999</v>
      </c>
      <c r="AB157" s="343">
        <f>'NSK-TRACTO'!$A$2</f>
        <v>6</v>
      </c>
      <c r="AC157" s="343">
        <f>IF(BASE_DATOS[[#This Row],[NSK]]&gt;=BASE_DATOS[[#This Row],[NSK Reen]],BASE_DATOS[[#This Row],[NSK Reen]],BASE_DATOS[[#This Row],[NSK]])</f>
        <v>6</v>
      </c>
      <c r="AD157" s="344">
        <f>IFERROR(100%-(BASE_DATOS[[#This Row],[NSK Reen]]/BASE_DATOS[[#This Row],[NSK Original]]),"")</f>
        <v>0.71962616822429903</v>
      </c>
      <c r="AE157" s="344">
        <f>IFERROR(100%-BASE_DATOS[[#This Row],[NSK]]/BASE_DATOS[[#This Row],[NSK Original]],"")</f>
        <v>0.67289719626168221</v>
      </c>
      <c r="AF157" s="344">
        <f>IFERROR(BASE_DATOS[[#This Row],[% Max Des.]]-BASE_DATOS[[#This Row],[% Des]],"")</f>
        <v>4.6728971962616828E-2</v>
      </c>
      <c r="AG157" s="287"/>
      <c r="AH157" s="273"/>
      <c r="AI157" s="363" t="str">
        <f>IF(OR(BASE_DATOS[[#This Row],[Hr.]]="",BASE_DATOS[[#This Row],[Hr. Actual]]=""),"",BASE_DATOS[[#This Row],[Hr. Actual]]-BASE_DATOS[[#This Row],[Hr.]]+BASE_DATOS[[#This Row],[Horas Acumuladas]])</f>
        <v/>
      </c>
      <c r="AJ157" s="364" t="str">
        <f>IFERROR(BASE_DATOS[[#This Row],[Precio US$]]/BASE_DATOS[[#This Row],[Horas Rodadas]],"")</f>
        <v/>
      </c>
      <c r="AK157" s="365" t="str">
        <f>IFERROR(BASE_DATOS[[#This Row],[Horas Rodadas]]/(BASE_DATOS[[#This Row],[NSK Original]]-BASE_DATOS[[#This Row],[NSK]]),"")</f>
        <v/>
      </c>
      <c r="AL15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57" s="366" t="str">
        <f>IFERROR(BASE_DATOS[[#This Row],[Precio US$]]/BASE_DATOS[[#This Row],[Horas Proy.]],"")</f>
        <v/>
      </c>
      <c r="AN157" s="176" t="str">
        <f>IF(OR(BASE_DATOS[[#This Row],[Km.]]="",BASE_DATOS[[#This Row],[Km. Actual]]=""),"",BASE_DATOS[[#This Row],[Km. Actual]]-BASE_DATOS[[#This Row],[Km.]]+BASE_DATOS[[#This Row],[Kilómetros Acumulados]])</f>
        <v/>
      </c>
      <c r="AO157" s="177" t="str">
        <f>IFERROR(BASE_DATOS[[#This Row],[Precio US$]]/BASE_DATOS[[#This Row],[Kilómetros Rodados]],"")</f>
        <v/>
      </c>
      <c r="AP157" s="176" t="str">
        <f>IFERROR(BASE_DATOS[[#This Row],[Kilómetros Rodados]]/(BASE_DATOS[[#This Row],[NSK Original]]-BASE_DATOS[[#This Row],[NSK]]),"")</f>
        <v/>
      </c>
      <c r="AQ15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57" s="177" t="str">
        <f>IFERROR(BASE_DATOS[[#This Row],[Precio US$]]/BASE_DATOS[[#This Row],[Kilómetros Proy.]],"")</f>
        <v/>
      </c>
      <c r="AS157" s="167" t="s">
        <v>62</v>
      </c>
      <c r="AT157" s="167"/>
      <c r="AU157" s="167"/>
      <c r="AV157" s="167"/>
      <c r="AW157" s="179"/>
      <c r="AX157" s="179"/>
      <c r="AY157" s="179" t="str">
        <f>CONCATENATE(BASE_DATOS[[#This Row],[Código_U]]&amp;BASE_DATOS[[#This Row],[Pos.]]&amp;BASE_DATOS[[#This Row],[Situación Actual]])</f>
        <v>SR-128RTRodando</v>
      </c>
    </row>
    <row r="158" spans="1:51" ht="12" x14ac:dyDescent="0.25">
      <c r="A158" s="224" t="s">
        <v>141</v>
      </c>
      <c r="B158" s="213" t="s">
        <v>142</v>
      </c>
      <c r="C158" s="225" t="s">
        <v>296</v>
      </c>
      <c r="D158" s="226" t="s">
        <v>86</v>
      </c>
      <c r="E158" s="249"/>
      <c r="F158" s="250" t="s">
        <v>71</v>
      </c>
      <c r="G158" s="250" t="s">
        <v>271</v>
      </c>
      <c r="H158" s="251" t="str">
        <f>IF(BASE_DATOS[[#This Row],[N-R]]="N",BASE_DATOS[[#This Row],[Diseño]],"Reencauche")</f>
        <v>KMAX S</v>
      </c>
      <c r="I158" s="250" t="s">
        <v>287</v>
      </c>
      <c r="J158" s="235" t="s">
        <v>72</v>
      </c>
      <c r="K158" s="252">
        <v>15.8</v>
      </c>
      <c r="L158" s="233">
        <v>100</v>
      </c>
      <c r="M158" s="253"/>
      <c r="N158" s="254"/>
      <c r="O158" s="274"/>
      <c r="P158" s="275"/>
      <c r="Q158" s="276"/>
      <c r="R158" s="305" t="s">
        <v>98</v>
      </c>
      <c r="S158" s="306">
        <v>45384</v>
      </c>
      <c r="T158" s="314"/>
      <c r="U158" s="276"/>
      <c r="V158" s="224">
        <v>8</v>
      </c>
      <c r="W158" s="325">
        <v>10</v>
      </c>
      <c r="X158" s="326">
        <v>10</v>
      </c>
      <c r="Y158" s="292">
        <f t="shared" si="6"/>
        <v>8</v>
      </c>
      <c r="Z158" s="194" t="s">
        <v>85</v>
      </c>
      <c r="AA158" s="339">
        <f>IFERROR(BASE_DATOS[[#This Row],[NSK Original]]-BASE_DATOS[[#This Row],[NSK]]," ")</f>
        <v>7.8000000000000007</v>
      </c>
      <c r="AB158" s="340">
        <f>'NSK-TRACTO'!$A$2</f>
        <v>6</v>
      </c>
      <c r="AC158" s="340">
        <f>IF(BASE_DATOS[[#This Row],[NSK]]&gt;=BASE_DATOS[[#This Row],[NSK Reen]],BASE_DATOS[[#This Row],[NSK Reen]],BASE_DATOS[[#This Row],[NSK]])</f>
        <v>6</v>
      </c>
      <c r="AD158" s="341">
        <f>IFERROR(100%-(BASE_DATOS[[#This Row],[NSK Reen]]/BASE_DATOS[[#This Row],[NSK Original]]),"")</f>
        <v>0.620253164556962</v>
      </c>
      <c r="AE158" s="341">
        <f>IFERROR(100%-BASE_DATOS[[#This Row],[NSK]]/BASE_DATOS[[#This Row],[NSK Original]],"")</f>
        <v>0.49367088607594944</v>
      </c>
      <c r="AF158" s="341">
        <f>IFERROR(BASE_DATOS[[#This Row],[% Max Des.]]-BASE_DATOS[[#This Row],[% Des]],"")</f>
        <v>0.12658227848101256</v>
      </c>
      <c r="AG158" s="284"/>
      <c r="AH158" s="335"/>
      <c r="AI158" s="359" t="str">
        <f>IF(OR(BASE_DATOS[[#This Row],[Hr.]]="",BASE_DATOS[[#This Row],[Hr. Actual]]=""),"",BASE_DATOS[[#This Row],[Hr. Actual]]-BASE_DATOS[[#This Row],[Hr.]]+BASE_DATOS[[#This Row],[Horas Acumuladas]])</f>
        <v/>
      </c>
      <c r="AJ158" s="360" t="str">
        <f>IFERROR(BASE_DATOS[[#This Row],[Precio US$]]/BASE_DATOS[[#This Row],[Horas Rodadas]],"")</f>
        <v/>
      </c>
      <c r="AK158" s="361" t="str">
        <f>IFERROR(BASE_DATOS[[#This Row],[Horas Rodadas]]/(BASE_DATOS[[#This Row],[NSK Original]]-BASE_DATOS[[#This Row],[NSK]]),"")</f>
        <v/>
      </c>
      <c r="AL158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58" s="362" t="str">
        <f>IFERROR(BASE_DATOS[[#This Row],[Precio US$]]/BASE_DATOS[[#This Row],[Horas Proy.]],"")</f>
        <v/>
      </c>
      <c r="AN158" s="195" t="str">
        <f>IF(OR(BASE_DATOS[[#This Row],[Km.]]="",BASE_DATOS[[#This Row],[Km. Actual]]=""),"",BASE_DATOS[[#This Row],[Km. Actual]]-BASE_DATOS[[#This Row],[Km.]]+BASE_DATOS[[#This Row],[Kilómetros Acumulados]])</f>
        <v/>
      </c>
      <c r="AO158" s="196" t="str">
        <f>IFERROR(BASE_DATOS[[#This Row],[Precio US$]]/BASE_DATOS[[#This Row],[Kilómetros Rodados]],"")</f>
        <v/>
      </c>
      <c r="AP158" s="195" t="str">
        <f>IFERROR(BASE_DATOS[[#This Row],[Kilómetros Rodados]]/(BASE_DATOS[[#This Row],[NSK Original]]-BASE_DATOS[[#This Row],[NSK]]),"")</f>
        <v/>
      </c>
      <c r="AQ158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58" s="196" t="str">
        <f>IFERROR(BASE_DATOS[[#This Row],[Precio US$]]/BASE_DATOS[[#This Row],[Kilómetros Proy.]],"")</f>
        <v/>
      </c>
      <c r="AS158" s="191" t="s">
        <v>62</v>
      </c>
      <c r="AT158" s="191"/>
      <c r="AU158" s="191" t="s">
        <v>515</v>
      </c>
      <c r="AV158" s="191"/>
      <c r="AW158" s="198"/>
      <c r="AX158" s="198" t="s">
        <v>371</v>
      </c>
      <c r="AY158" s="198" t="str">
        <f>CONCATENATE(BASE_DATOS[[#This Row],[Código_U]]&amp;BASE_DATOS[[#This Row],[Pos.]]&amp;BASE_DATOS[[#This Row],[Situación Actual]])</f>
        <v>TC-1301Rodando</v>
      </c>
    </row>
    <row r="159" spans="1:51" ht="12" x14ac:dyDescent="0.25">
      <c r="A159" s="227" t="s">
        <v>141</v>
      </c>
      <c r="B159" s="217" t="s">
        <v>142</v>
      </c>
      <c r="C159" s="228" t="s">
        <v>296</v>
      </c>
      <c r="D159" s="229" t="s">
        <v>86</v>
      </c>
      <c r="E159" s="255"/>
      <c r="F159" s="256" t="s">
        <v>71</v>
      </c>
      <c r="G159" s="256" t="s">
        <v>271</v>
      </c>
      <c r="H159" s="257" t="str">
        <f>IF(BASE_DATOS[[#This Row],[N-R]]="N",BASE_DATOS[[#This Row],[Diseño]],"Reencauche")</f>
        <v>KMAX S</v>
      </c>
      <c r="I159" s="256" t="s">
        <v>287</v>
      </c>
      <c r="J159" s="243" t="s">
        <v>72</v>
      </c>
      <c r="K159" s="258">
        <v>15.8</v>
      </c>
      <c r="L159" s="241">
        <v>100</v>
      </c>
      <c r="M159" s="259"/>
      <c r="N159" s="260"/>
      <c r="O159" s="277"/>
      <c r="P159" s="278"/>
      <c r="Q159" s="279"/>
      <c r="R159" s="309" t="s">
        <v>99</v>
      </c>
      <c r="S159" s="310">
        <v>45384</v>
      </c>
      <c r="T159" s="313"/>
      <c r="U159" s="279"/>
      <c r="V159" s="227">
        <v>9</v>
      </c>
      <c r="W159" s="281">
        <v>11</v>
      </c>
      <c r="X159" s="282">
        <v>10</v>
      </c>
      <c r="Y159" s="293">
        <f t="shared" si="6"/>
        <v>9</v>
      </c>
      <c r="Z159" s="175" t="s">
        <v>85</v>
      </c>
      <c r="AA159" s="342">
        <f>IFERROR(BASE_DATOS[[#This Row],[NSK Original]]-BASE_DATOS[[#This Row],[NSK]]," ")</f>
        <v>6.8000000000000007</v>
      </c>
      <c r="AB159" s="343">
        <f>'NSK-TRACTO'!$A$2</f>
        <v>6</v>
      </c>
      <c r="AC159" s="343">
        <f>IF(BASE_DATOS[[#This Row],[NSK]]&gt;=BASE_DATOS[[#This Row],[NSK Reen]],BASE_DATOS[[#This Row],[NSK Reen]],BASE_DATOS[[#This Row],[NSK]])</f>
        <v>6</v>
      </c>
      <c r="AD159" s="344">
        <f>IFERROR(100%-(BASE_DATOS[[#This Row],[NSK Reen]]/BASE_DATOS[[#This Row],[NSK Original]]),"")</f>
        <v>0.620253164556962</v>
      </c>
      <c r="AE159" s="344">
        <f>IFERROR(100%-BASE_DATOS[[#This Row],[NSK]]/BASE_DATOS[[#This Row],[NSK Original]],"")</f>
        <v>0.43037974683544311</v>
      </c>
      <c r="AF159" s="344">
        <f>IFERROR(BASE_DATOS[[#This Row],[% Max Des.]]-BASE_DATOS[[#This Row],[% Des]],"")</f>
        <v>0.18987341772151889</v>
      </c>
      <c r="AG159" s="287"/>
      <c r="AH159" s="273"/>
      <c r="AI159" s="363" t="str">
        <f>IF(OR(BASE_DATOS[[#This Row],[Hr.]]="",BASE_DATOS[[#This Row],[Hr. Actual]]=""),"",BASE_DATOS[[#This Row],[Hr. Actual]]-BASE_DATOS[[#This Row],[Hr.]]+BASE_DATOS[[#This Row],[Horas Acumuladas]])</f>
        <v/>
      </c>
      <c r="AJ159" s="364" t="str">
        <f>IFERROR(BASE_DATOS[[#This Row],[Precio US$]]/BASE_DATOS[[#This Row],[Horas Rodadas]],"")</f>
        <v/>
      </c>
      <c r="AK159" s="365" t="str">
        <f>IFERROR(BASE_DATOS[[#This Row],[Horas Rodadas]]/(BASE_DATOS[[#This Row],[NSK Original]]-BASE_DATOS[[#This Row],[NSK]]),"")</f>
        <v/>
      </c>
      <c r="AL15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59" s="366" t="str">
        <f>IFERROR(BASE_DATOS[[#This Row],[Precio US$]]/BASE_DATOS[[#This Row],[Horas Proy.]],"")</f>
        <v/>
      </c>
      <c r="AN159" s="176" t="str">
        <f>IF(OR(BASE_DATOS[[#This Row],[Km.]]="",BASE_DATOS[[#This Row],[Km. Actual]]=""),"",BASE_DATOS[[#This Row],[Km. Actual]]-BASE_DATOS[[#This Row],[Km.]]+BASE_DATOS[[#This Row],[Kilómetros Acumulados]])</f>
        <v/>
      </c>
      <c r="AO159" s="177" t="str">
        <f>IFERROR(BASE_DATOS[[#This Row],[Precio US$]]/BASE_DATOS[[#This Row],[Kilómetros Rodados]],"")</f>
        <v/>
      </c>
      <c r="AP159" s="176" t="str">
        <f>IFERROR(BASE_DATOS[[#This Row],[Kilómetros Rodados]]/(BASE_DATOS[[#This Row],[NSK Original]]-BASE_DATOS[[#This Row],[NSK]]),"")</f>
        <v/>
      </c>
      <c r="AQ15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59" s="177" t="str">
        <f>IFERROR(BASE_DATOS[[#This Row],[Precio US$]]/BASE_DATOS[[#This Row],[Kilómetros Proy.]],"")</f>
        <v/>
      </c>
      <c r="AS159" s="167" t="s">
        <v>62</v>
      </c>
      <c r="AT159" s="167"/>
      <c r="AU159" s="167" t="s">
        <v>515</v>
      </c>
      <c r="AV159" s="167"/>
      <c r="AW159" s="179"/>
      <c r="AX159" s="179" t="s">
        <v>371</v>
      </c>
      <c r="AY159" s="179" t="str">
        <f>CONCATENATE(BASE_DATOS[[#This Row],[Código_U]]&amp;BASE_DATOS[[#This Row],[Pos.]]&amp;BASE_DATOS[[#This Row],[Situación Actual]])</f>
        <v>TC-1302Rodando</v>
      </c>
    </row>
    <row r="160" spans="1:51" ht="12" x14ac:dyDescent="0.25">
      <c r="A160" s="227" t="s">
        <v>141</v>
      </c>
      <c r="B160" s="217" t="s">
        <v>142</v>
      </c>
      <c r="C160" s="228" t="s">
        <v>296</v>
      </c>
      <c r="D160" s="229" t="s">
        <v>61</v>
      </c>
      <c r="E160" s="255"/>
      <c r="F160" s="256" t="s">
        <v>273</v>
      </c>
      <c r="G160" s="256" t="s">
        <v>271</v>
      </c>
      <c r="H160" s="257" t="str">
        <f>IF(BASE_DATOS[[#This Row],[N-R]]="N",BASE_DATOS[[#This Row],[Diseño]],"Reencauche")</f>
        <v>Reencauche</v>
      </c>
      <c r="I160" s="256" t="s">
        <v>282</v>
      </c>
      <c r="J160" s="243" t="s">
        <v>82</v>
      </c>
      <c r="K160" s="258">
        <v>22</v>
      </c>
      <c r="L160" s="241">
        <v>110</v>
      </c>
      <c r="M160" s="259"/>
      <c r="N160" s="260"/>
      <c r="O160" s="277"/>
      <c r="P160" s="278"/>
      <c r="Q160" s="279"/>
      <c r="R160" s="309" t="s">
        <v>100</v>
      </c>
      <c r="S160" s="310">
        <v>45384</v>
      </c>
      <c r="T160" s="313"/>
      <c r="U160" s="279"/>
      <c r="V160" s="227">
        <v>21</v>
      </c>
      <c r="W160" s="281"/>
      <c r="X160" s="282">
        <v>21</v>
      </c>
      <c r="Y160" s="293">
        <f t="shared" si="6"/>
        <v>21</v>
      </c>
      <c r="Z160" s="175" t="s">
        <v>85</v>
      </c>
      <c r="AA160" s="342">
        <f>IFERROR(BASE_DATOS[[#This Row],[NSK Original]]-BASE_DATOS[[#This Row],[NSK]]," ")</f>
        <v>1</v>
      </c>
      <c r="AB160" s="343">
        <f>'NSK-TRACTO'!$A$2</f>
        <v>6</v>
      </c>
      <c r="AC160" s="343">
        <f>IF(BASE_DATOS[[#This Row],[NSK]]&gt;=BASE_DATOS[[#This Row],[NSK Reen]],BASE_DATOS[[#This Row],[NSK Reen]],BASE_DATOS[[#This Row],[NSK]])</f>
        <v>6</v>
      </c>
      <c r="AD160" s="344">
        <f>IFERROR(100%-(BASE_DATOS[[#This Row],[NSK Reen]]/BASE_DATOS[[#This Row],[NSK Original]]),"")</f>
        <v>0.72727272727272729</v>
      </c>
      <c r="AE160" s="344">
        <f>IFERROR(100%-BASE_DATOS[[#This Row],[NSK]]/BASE_DATOS[[#This Row],[NSK Original]],"")</f>
        <v>4.5454545454545414E-2</v>
      </c>
      <c r="AF160" s="344">
        <f>IFERROR(BASE_DATOS[[#This Row],[% Max Des.]]-BASE_DATOS[[#This Row],[% Des]],"")</f>
        <v>0.68181818181818188</v>
      </c>
      <c r="AG160" s="287"/>
      <c r="AH160" s="273"/>
      <c r="AI160" s="363" t="str">
        <f>IF(OR(BASE_DATOS[[#This Row],[Hr.]]="",BASE_DATOS[[#This Row],[Hr. Actual]]=""),"",BASE_DATOS[[#This Row],[Hr. Actual]]-BASE_DATOS[[#This Row],[Hr.]]+BASE_DATOS[[#This Row],[Horas Acumuladas]])</f>
        <v/>
      </c>
      <c r="AJ160" s="364" t="str">
        <f>IFERROR(BASE_DATOS[[#This Row],[Precio US$]]/BASE_DATOS[[#This Row],[Horas Rodadas]],"")</f>
        <v/>
      </c>
      <c r="AK160" s="365" t="str">
        <f>IFERROR(BASE_DATOS[[#This Row],[Horas Rodadas]]/(BASE_DATOS[[#This Row],[NSK Original]]-BASE_DATOS[[#This Row],[NSK]]),"")</f>
        <v/>
      </c>
      <c r="AL16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60" s="366" t="str">
        <f>IFERROR(BASE_DATOS[[#This Row],[Precio US$]]/BASE_DATOS[[#This Row],[Horas Proy.]],"")</f>
        <v/>
      </c>
      <c r="AN160" s="176" t="str">
        <f>IF(OR(BASE_DATOS[[#This Row],[Km.]]="",BASE_DATOS[[#This Row],[Km. Actual]]=""),"",BASE_DATOS[[#This Row],[Km. Actual]]-BASE_DATOS[[#This Row],[Km.]]+BASE_DATOS[[#This Row],[Kilómetros Acumulados]])</f>
        <v/>
      </c>
      <c r="AO160" s="177" t="str">
        <f>IFERROR(BASE_DATOS[[#This Row],[Precio US$]]/BASE_DATOS[[#This Row],[Kilómetros Rodados]],"")</f>
        <v/>
      </c>
      <c r="AP160" s="176" t="str">
        <f>IFERROR(BASE_DATOS[[#This Row],[Kilómetros Rodados]]/(BASE_DATOS[[#This Row],[NSK Original]]-BASE_DATOS[[#This Row],[NSK]]),"")</f>
        <v/>
      </c>
      <c r="AQ16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60" s="177" t="str">
        <f>IFERROR(BASE_DATOS[[#This Row],[Precio US$]]/BASE_DATOS[[#This Row],[Kilómetros Proy.]],"")</f>
        <v/>
      </c>
      <c r="AS160" s="167" t="s">
        <v>62</v>
      </c>
      <c r="AT160" s="167"/>
      <c r="AU160" s="167"/>
      <c r="AV160" s="167" t="s">
        <v>515</v>
      </c>
      <c r="AW160" s="179"/>
      <c r="AX160" s="179"/>
      <c r="AY160" s="179" t="str">
        <f>CONCATENATE(BASE_DATOS[[#This Row],[Código_U]]&amp;BASE_DATOS[[#This Row],[Pos.]]&amp;BASE_DATOS[[#This Row],[Situación Actual]])</f>
        <v>TC-1303Rodando</v>
      </c>
    </row>
    <row r="161" spans="1:51" ht="12" x14ac:dyDescent="0.25">
      <c r="A161" s="227" t="s">
        <v>141</v>
      </c>
      <c r="B161" s="217" t="s">
        <v>142</v>
      </c>
      <c r="C161" s="228" t="s">
        <v>296</v>
      </c>
      <c r="D161" s="229" t="s">
        <v>61</v>
      </c>
      <c r="E161" s="255"/>
      <c r="F161" s="256" t="s">
        <v>273</v>
      </c>
      <c r="G161" s="256" t="s">
        <v>271</v>
      </c>
      <c r="H161" s="257" t="str">
        <f>IF(BASE_DATOS[[#This Row],[N-R]]="N",BASE_DATOS[[#This Row],[Diseño]],"Reencauche")</f>
        <v>Reencauche</v>
      </c>
      <c r="I161" s="256" t="s">
        <v>282</v>
      </c>
      <c r="J161" s="243" t="s">
        <v>82</v>
      </c>
      <c r="K161" s="258">
        <v>22</v>
      </c>
      <c r="L161" s="241">
        <v>110</v>
      </c>
      <c r="M161" s="259"/>
      <c r="N161" s="260"/>
      <c r="O161" s="277"/>
      <c r="P161" s="278"/>
      <c r="Q161" s="279"/>
      <c r="R161" s="309" t="s">
        <v>101</v>
      </c>
      <c r="S161" s="310">
        <v>45384</v>
      </c>
      <c r="T161" s="313"/>
      <c r="U161" s="279"/>
      <c r="V161" s="227">
        <v>21</v>
      </c>
      <c r="W161" s="281"/>
      <c r="X161" s="282">
        <v>21</v>
      </c>
      <c r="Y161" s="293">
        <f t="shared" si="6"/>
        <v>21</v>
      </c>
      <c r="Z161" s="175" t="s">
        <v>85</v>
      </c>
      <c r="AA161" s="342">
        <f>IFERROR(BASE_DATOS[[#This Row],[NSK Original]]-BASE_DATOS[[#This Row],[NSK]]," ")</f>
        <v>1</v>
      </c>
      <c r="AB161" s="343">
        <f>'NSK-TRACTO'!$A$2</f>
        <v>6</v>
      </c>
      <c r="AC161" s="343">
        <f>IF(BASE_DATOS[[#This Row],[NSK]]&gt;=BASE_DATOS[[#This Row],[NSK Reen]],BASE_DATOS[[#This Row],[NSK Reen]],BASE_DATOS[[#This Row],[NSK]])</f>
        <v>6</v>
      </c>
      <c r="AD161" s="344">
        <f>IFERROR(100%-(BASE_DATOS[[#This Row],[NSK Reen]]/BASE_DATOS[[#This Row],[NSK Original]]),"")</f>
        <v>0.72727272727272729</v>
      </c>
      <c r="AE161" s="344">
        <f>IFERROR(100%-BASE_DATOS[[#This Row],[NSK]]/BASE_DATOS[[#This Row],[NSK Original]],"")</f>
        <v>4.5454545454545414E-2</v>
      </c>
      <c r="AF161" s="344">
        <f>IFERROR(BASE_DATOS[[#This Row],[% Max Des.]]-BASE_DATOS[[#This Row],[% Des]],"")</f>
        <v>0.68181818181818188</v>
      </c>
      <c r="AG161" s="287"/>
      <c r="AH161" s="273"/>
      <c r="AI161" s="363" t="str">
        <f>IF(OR(BASE_DATOS[[#This Row],[Hr.]]="",BASE_DATOS[[#This Row],[Hr. Actual]]=""),"",BASE_DATOS[[#This Row],[Hr. Actual]]-BASE_DATOS[[#This Row],[Hr.]]+BASE_DATOS[[#This Row],[Horas Acumuladas]])</f>
        <v/>
      </c>
      <c r="AJ161" s="364" t="str">
        <f>IFERROR(BASE_DATOS[[#This Row],[Precio US$]]/BASE_DATOS[[#This Row],[Horas Rodadas]],"")</f>
        <v/>
      </c>
      <c r="AK161" s="365" t="str">
        <f>IFERROR(BASE_DATOS[[#This Row],[Horas Rodadas]]/(BASE_DATOS[[#This Row],[NSK Original]]-BASE_DATOS[[#This Row],[NSK]]),"")</f>
        <v/>
      </c>
      <c r="AL16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61" s="366" t="str">
        <f>IFERROR(BASE_DATOS[[#This Row],[Precio US$]]/BASE_DATOS[[#This Row],[Horas Proy.]],"")</f>
        <v/>
      </c>
      <c r="AN161" s="176" t="str">
        <f>IF(OR(BASE_DATOS[[#This Row],[Km.]]="",BASE_DATOS[[#This Row],[Km. Actual]]=""),"",BASE_DATOS[[#This Row],[Km. Actual]]-BASE_DATOS[[#This Row],[Km.]]+BASE_DATOS[[#This Row],[Kilómetros Acumulados]])</f>
        <v/>
      </c>
      <c r="AO161" s="177" t="str">
        <f>IFERROR(BASE_DATOS[[#This Row],[Precio US$]]/BASE_DATOS[[#This Row],[Kilómetros Rodados]],"")</f>
        <v/>
      </c>
      <c r="AP161" s="176" t="str">
        <f>IFERROR(BASE_DATOS[[#This Row],[Kilómetros Rodados]]/(BASE_DATOS[[#This Row],[NSK Original]]-BASE_DATOS[[#This Row],[NSK]]),"")</f>
        <v/>
      </c>
      <c r="AQ16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61" s="177" t="str">
        <f>IFERROR(BASE_DATOS[[#This Row],[Precio US$]]/BASE_DATOS[[#This Row],[Kilómetros Proy.]],"")</f>
        <v/>
      </c>
      <c r="AS161" s="167" t="s">
        <v>62</v>
      </c>
      <c r="AT161" s="167"/>
      <c r="AU161" s="167"/>
      <c r="AV161" s="167" t="s">
        <v>515</v>
      </c>
      <c r="AW161" s="179"/>
      <c r="AX161" s="179"/>
      <c r="AY161" s="179" t="str">
        <f>CONCATENATE(BASE_DATOS[[#This Row],[Código_U]]&amp;BASE_DATOS[[#This Row],[Pos.]]&amp;BASE_DATOS[[#This Row],[Situación Actual]])</f>
        <v>TC-1304Rodando</v>
      </c>
    </row>
    <row r="162" spans="1:51" ht="12" x14ac:dyDescent="0.25">
      <c r="A162" s="227" t="s">
        <v>141</v>
      </c>
      <c r="B162" s="217" t="s">
        <v>142</v>
      </c>
      <c r="C162" s="228" t="s">
        <v>296</v>
      </c>
      <c r="D162" s="229" t="s">
        <v>61</v>
      </c>
      <c r="E162" s="255"/>
      <c r="F162" s="256" t="s">
        <v>278</v>
      </c>
      <c r="G162" s="256" t="s">
        <v>271</v>
      </c>
      <c r="H162" s="257" t="str">
        <f>IF(BASE_DATOS[[#This Row],[N-R]]="N",BASE_DATOS[[#This Row],[Diseño]],"Reencauche")</f>
        <v>Reencauche</v>
      </c>
      <c r="I162" s="256" t="s">
        <v>282</v>
      </c>
      <c r="J162" s="243" t="s">
        <v>82</v>
      </c>
      <c r="K162" s="258">
        <v>22</v>
      </c>
      <c r="L162" s="241">
        <v>110</v>
      </c>
      <c r="M162" s="259"/>
      <c r="N162" s="260"/>
      <c r="O162" s="277"/>
      <c r="P162" s="278"/>
      <c r="Q162" s="279"/>
      <c r="R162" s="309" t="s">
        <v>102</v>
      </c>
      <c r="S162" s="310">
        <v>45384</v>
      </c>
      <c r="T162" s="313"/>
      <c r="U162" s="279"/>
      <c r="V162" s="227">
        <v>21</v>
      </c>
      <c r="W162" s="281"/>
      <c r="X162" s="282">
        <v>21</v>
      </c>
      <c r="Y162" s="293">
        <f t="shared" si="6"/>
        <v>21</v>
      </c>
      <c r="Z162" s="175" t="s">
        <v>85</v>
      </c>
      <c r="AA162" s="342">
        <f>IFERROR(BASE_DATOS[[#This Row],[NSK Original]]-BASE_DATOS[[#This Row],[NSK]]," ")</f>
        <v>1</v>
      </c>
      <c r="AB162" s="343">
        <f>'NSK-TRACTO'!$A$2</f>
        <v>6</v>
      </c>
      <c r="AC162" s="343">
        <f>IF(BASE_DATOS[[#This Row],[NSK]]&gt;=BASE_DATOS[[#This Row],[NSK Reen]],BASE_DATOS[[#This Row],[NSK Reen]],BASE_DATOS[[#This Row],[NSK]])</f>
        <v>6</v>
      </c>
      <c r="AD162" s="344">
        <f>IFERROR(100%-(BASE_DATOS[[#This Row],[NSK Reen]]/BASE_DATOS[[#This Row],[NSK Original]]),"")</f>
        <v>0.72727272727272729</v>
      </c>
      <c r="AE162" s="344">
        <f>IFERROR(100%-BASE_DATOS[[#This Row],[NSK]]/BASE_DATOS[[#This Row],[NSK Original]],"")</f>
        <v>4.5454545454545414E-2</v>
      </c>
      <c r="AF162" s="344">
        <f>IFERROR(BASE_DATOS[[#This Row],[% Max Des.]]-BASE_DATOS[[#This Row],[% Des]],"")</f>
        <v>0.68181818181818188</v>
      </c>
      <c r="AG162" s="287"/>
      <c r="AH162" s="273"/>
      <c r="AI162" s="363" t="str">
        <f>IF(OR(BASE_DATOS[[#This Row],[Hr.]]="",BASE_DATOS[[#This Row],[Hr. Actual]]=""),"",BASE_DATOS[[#This Row],[Hr. Actual]]-BASE_DATOS[[#This Row],[Hr.]]+BASE_DATOS[[#This Row],[Horas Acumuladas]])</f>
        <v/>
      </c>
      <c r="AJ162" s="364" t="str">
        <f>IFERROR(BASE_DATOS[[#This Row],[Precio US$]]/BASE_DATOS[[#This Row],[Horas Rodadas]],"")</f>
        <v/>
      </c>
      <c r="AK162" s="365" t="str">
        <f>IFERROR(BASE_DATOS[[#This Row],[Horas Rodadas]]/(BASE_DATOS[[#This Row],[NSK Original]]-BASE_DATOS[[#This Row],[NSK]]),"")</f>
        <v/>
      </c>
      <c r="AL16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62" s="366" t="str">
        <f>IFERROR(BASE_DATOS[[#This Row],[Precio US$]]/BASE_DATOS[[#This Row],[Horas Proy.]],"")</f>
        <v/>
      </c>
      <c r="AN162" s="176" t="str">
        <f>IF(OR(BASE_DATOS[[#This Row],[Km.]]="",BASE_DATOS[[#This Row],[Km. Actual]]=""),"",BASE_DATOS[[#This Row],[Km. Actual]]-BASE_DATOS[[#This Row],[Km.]]+BASE_DATOS[[#This Row],[Kilómetros Acumulados]])</f>
        <v/>
      </c>
      <c r="AO162" s="177" t="str">
        <f>IFERROR(BASE_DATOS[[#This Row],[Precio US$]]/BASE_DATOS[[#This Row],[Kilómetros Rodados]],"")</f>
        <v/>
      </c>
      <c r="AP162" s="176" t="str">
        <f>IFERROR(BASE_DATOS[[#This Row],[Kilómetros Rodados]]/(BASE_DATOS[[#This Row],[NSK Original]]-BASE_DATOS[[#This Row],[NSK]]),"")</f>
        <v/>
      </c>
      <c r="AQ16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62" s="177" t="str">
        <f>IFERROR(BASE_DATOS[[#This Row],[Precio US$]]/BASE_DATOS[[#This Row],[Kilómetros Proy.]],"")</f>
        <v/>
      </c>
      <c r="AS162" s="167" t="s">
        <v>62</v>
      </c>
      <c r="AT162" s="167"/>
      <c r="AU162" s="167"/>
      <c r="AV162" s="167" t="s">
        <v>515</v>
      </c>
      <c r="AW162" s="179"/>
      <c r="AX162" s="179"/>
      <c r="AY162" s="179" t="str">
        <f>CONCATENATE(BASE_DATOS[[#This Row],[Código_U]]&amp;BASE_DATOS[[#This Row],[Pos.]]&amp;BASE_DATOS[[#This Row],[Situación Actual]])</f>
        <v>TC-1305Rodando</v>
      </c>
    </row>
    <row r="163" spans="1:51" ht="12" x14ac:dyDescent="0.25">
      <c r="A163" s="227" t="s">
        <v>141</v>
      </c>
      <c r="B163" s="217" t="s">
        <v>142</v>
      </c>
      <c r="C163" s="228" t="s">
        <v>296</v>
      </c>
      <c r="D163" s="229" t="s">
        <v>61</v>
      </c>
      <c r="E163" s="255"/>
      <c r="F163" s="256" t="s">
        <v>278</v>
      </c>
      <c r="G163" s="256" t="s">
        <v>271</v>
      </c>
      <c r="H163" s="257" t="str">
        <f>IF(BASE_DATOS[[#This Row],[N-R]]="N",BASE_DATOS[[#This Row],[Diseño]],"Reencauche")</f>
        <v>Reencauche</v>
      </c>
      <c r="I163" s="256" t="s">
        <v>282</v>
      </c>
      <c r="J163" s="243" t="s">
        <v>82</v>
      </c>
      <c r="K163" s="258">
        <v>22</v>
      </c>
      <c r="L163" s="241">
        <v>110</v>
      </c>
      <c r="M163" s="259"/>
      <c r="N163" s="260"/>
      <c r="O163" s="277"/>
      <c r="P163" s="278"/>
      <c r="Q163" s="279"/>
      <c r="R163" s="309" t="s">
        <v>103</v>
      </c>
      <c r="S163" s="310">
        <v>45384</v>
      </c>
      <c r="T163" s="313"/>
      <c r="U163" s="279"/>
      <c r="V163" s="227">
        <v>21</v>
      </c>
      <c r="W163" s="281"/>
      <c r="X163" s="282">
        <v>21</v>
      </c>
      <c r="Y163" s="293">
        <f t="shared" si="6"/>
        <v>21</v>
      </c>
      <c r="Z163" s="161" t="s">
        <v>385</v>
      </c>
      <c r="AA163" s="342">
        <f>IFERROR(BASE_DATOS[[#This Row],[NSK Original]]-BASE_DATOS[[#This Row],[NSK]]," ")</f>
        <v>1</v>
      </c>
      <c r="AB163" s="343">
        <f>'NSK-TRACTO'!$A$2</f>
        <v>6</v>
      </c>
      <c r="AC163" s="343">
        <f>IF(BASE_DATOS[[#This Row],[NSK]]&gt;=BASE_DATOS[[#This Row],[NSK Reen]],BASE_DATOS[[#This Row],[NSK Reen]],BASE_DATOS[[#This Row],[NSK]])</f>
        <v>6</v>
      </c>
      <c r="AD163" s="344">
        <f>IFERROR(100%-(BASE_DATOS[[#This Row],[NSK Reen]]/BASE_DATOS[[#This Row],[NSK Original]]),"")</f>
        <v>0.72727272727272729</v>
      </c>
      <c r="AE163" s="344">
        <f>IFERROR(100%-BASE_DATOS[[#This Row],[NSK]]/BASE_DATOS[[#This Row],[NSK Original]],"")</f>
        <v>4.5454545454545414E-2</v>
      </c>
      <c r="AF163" s="344">
        <f>IFERROR(BASE_DATOS[[#This Row],[% Max Des.]]-BASE_DATOS[[#This Row],[% Des]],"")</f>
        <v>0.68181818181818188</v>
      </c>
      <c r="AG163" s="287"/>
      <c r="AH163" s="273"/>
      <c r="AI163" s="363" t="str">
        <f>IF(OR(BASE_DATOS[[#This Row],[Hr.]]="",BASE_DATOS[[#This Row],[Hr. Actual]]=""),"",BASE_DATOS[[#This Row],[Hr. Actual]]-BASE_DATOS[[#This Row],[Hr.]]+BASE_DATOS[[#This Row],[Horas Acumuladas]])</f>
        <v/>
      </c>
      <c r="AJ163" s="364" t="str">
        <f>IFERROR(BASE_DATOS[[#This Row],[Precio US$]]/BASE_DATOS[[#This Row],[Horas Rodadas]],"")</f>
        <v/>
      </c>
      <c r="AK163" s="365" t="str">
        <f>IFERROR(BASE_DATOS[[#This Row],[Horas Rodadas]]/(BASE_DATOS[[#This Row],[NSK Original]]-BASE_DATOS[[#This Row],[NSK]]),"")</f>
        <v/>
      </c>
      <c r="AL16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63" s="366" t="str">
        <f>IFERROR(BASE_DATOS[[#This Row],[Precio US$]]/BASE_DATOS[[#This Row],[Horas Proy.]],"")</f>
        <v/>
      </c>
      <c r="AN163" s="176" t="str">
        <f>IF(OR(BASE_DATOS[[#This Row],[Km.]]="",BASE_DATOS[[#This Row],[Km. Actual]]=""),"",BASE_DATOS[[#This Row],[Km. Actual]]-BASE_DATOS[[#This Row],[Km.]]+BASE_DATOS[[#This Row],[Kilómetros Acumulados]])</f>
        <v/>
      </c>
      <c r="AO163" s="177" t="str">
        <f>IFERROR(BASE_DATOS[[#This Row],[Precio US$]]/BASE_DATOS[[#This Row],[Kilómetros Rodados]],"")</f>
        <v/>
      </c>
      <c r="AP163" s="176" t="str">
        <f>IFERROR(BASE_DATOS[[#This Row],[Kilómetros Rodados]]/(BASE_DATOS[[#This Row],[NSK Original]]-BASE_DATOS[[#This Row],[NSK]]),"")</f>
        <v/>
      </c>
      <c r="AQ16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63" s="177" t="str">
        <f>IFERROR(BASE_DATOS[[#This Row],[Precio US$]]/BASE_DATOS[[#This Row],[Kilómetros Proy.]],"")</f>
        <v/>
      </c>
      <c r="AS163" s="167" t="s">
        <v>62</v>
      </c>
      <c r="AT163" s="167"/>
      <c r="AU163" s="167"/>
      <c r="AV163" s="167" t="s">
        <v>515</v>
      </c>
      <c r="AW163" s="179"/>
      <c r="AX163" s="179"/>
      <c r="AY163" s="179" t="str">
        <f>CONCATENATE(BASE_DATOS[[#This Row],[Código_U]]&amp;BASE_DATOS[[#This Row],[Pos.]]&amp;BASE_DATOS[[#This Row],[Situación Actual]])</f>
        <v>TC-1306Rodando</v>
      </c>
    </row>
    <row r="164" spans="1:51" ht="12" x14ac:dyDescent="0.25">
      <c r="A164" s="227" t="s">
        <v>141</v>
      </c>
      <c r="B164" s="217" t="s">
        <v>142</v>
      </c>
      <c r="C164" s="228" t="s">
        <v>296</v>
      </c>
      <c r="D164" s="229" t="s">
        <v>61</v>
      </c>
      <c r="E164" s="255"/>
      <c r="F164" s="256" t="s">
        <v>71</v>
      </c>
      <c r="G164" s="256" t="s">
        <v>271</v>
      </c>
      <c r="H164" s="257" t="str">
        <f>IF(BASE_DATOS[[#This Row],[N-R]]="N",BASE_DATOS[[#This Row],[Diseño]],"Reencauche")</f>
        <v>KMAXD</v>
      </c>
      <c r="I164" s="256" t="s">
        <v>294</v>
      </c>
      <c r="J164" s="243" t="s">
        <v>72</v>
      </c>
      <c r="K164" s="258">
        <v>22.2</v>
      </c>
      <c r="L164" s="241">
        <v>110</v>
      </c>
      <c r="M164" s="259"/>
      <c r="N164" s="260"/>
      <c r="O164" s="277"/>
      <c r="P164" s="278"/>
      <c r="Q164" s="279"/>
      <c r="R164" s="309" t="s">
        <v>104</v>
      </c>
      <c r="S164" s="310">
        <v>45384</v>
      </c>
      <c r="T164" s="313"/>
      <c r="U164" s="279"/>
      <c r="V164" s="227">
        <v>18</v>
      </c>
      <c r="W164" s="281"/>
      <c r="X164" s="282">
        <v>19</v>
      </c>
      <c r="Y164" s="293">
        <f t="shared" si="6"/>
        <v>18</v>
      </c>
      <c r="Z164" s="175" t="s">
        <v>85</v>
      </c>
      <c r="AA164" s="342">
        <f>IFERROR(BASE_DATOS[[#This Row],[NSK Original]]-BASE_DATOS[[#This Row],[NSK]]," ")</f>
        <v>4.1999999999999993</v>
      </c>
      <c r="AB164" s="343">
        <f>'NSK-TRACTO'!$A$2</f>
        <v>6</v>
      </c>
      <c r="AC164" s="343">
        <f>IF(BASE_DATOS[[#This Row],[NSK]]&gt;=BASE_DATOS[[#This Row],[NSK Reen]],BASE_DATOS[[#This Row],[NSK Reen]],BASE_DATOS[[#This Row],[NSK]])</f>
        <v>6</v>
      </c>
      <c r="AD164" s="344">
        <f>IFERROR(100%-(BASE_DATOS[[#This Row],[NSK Reen]]/BASE_DATOS[[#This Row],[NSK Original]]),"")</f>
        <v>0.72972972972972971</v>
      </c>
      <c r="AE164" s="344">
        <f>IFERROR(100%-BASE_DATOS[[#This Row],[NSK]]/BASE_DATOS[[#This Row],[NSK Original]],"")</f>
        <v>0.18918918918918914</v>
      </c>
      <c r="AF164" s="344">
        <f>IFERROR(BASE_DATOS[[#This Row],[% Max Des.]]-BASE_DATOS[[#This Row],[% Des]],"")</f>
        <v>0.54054054054054057</v>
      </c>
      <c r="AG164" s="287"/>
      <c r="AH164" s="273"/>
      <c r="AI164" s="363" t="str">
        <f>IF(OR(BASE_DATOS[[#This Row],[Hr.]]="",BASE_DATOS[[#This Row],[Hr. Actual]]=""),"",BASE_DATOS[[#This Row],[Hr. Actual]]-BASE_DATOS[[#This Row],[Hr.]]+BASE_DATOS[[#This Row],[Horas Acumuladas]])</f>
        <v/>
      </c>
      <c r="AJ164" s="364" t="str">
        <f>IFERROR(BASE_DATOS[[#This Row],[Precio US$]]/BASE_DATOS[[#This Row],[Horas Rodadas]],"")</f>
        <v/>
      </c>
      <c r="AK164" s="365" t="str">
        <f>IFERROR(BASE_DATOS[[#This Row],[Horas Rodadas]]/(BASE_DATOS[[#This Row],[NSK Original]]-BASE_DATOS[[#This Row],[NSK]]),"")</f>
        <v/>
      </c>
      <c r="AL16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64" s="366" t="str">
        <f>IFERROR(BASE_DATOS[[#This Row],[Precio US$]]/BASE_DATOS[[#This Row],[Horas Proy.]],"")</f>
        <v/>
      </c>
      <c r="AN164" s="176" t="str">
        <f>IF(OR(BASE_DATOS[[#This Row],[Km.]]="",BASE_DATOS[[#This Row],[Km. Actual]]=""),"",BASE_DATOS[[#This Row],[Km. Actual]]-BASE_DATOS[[#This Row],[Km.]]+BASE_DATOS[[#This Row],[Kilómetros Acumulados]])</f>
        <v/>
      </c>
      <c r="AO164" s="177" t="str">
        <f>IFERROR(BASE_DATOS[[#This Row],[Precio US$]]/BASE_DATOS[[#This Row],[Kilómetros Rodados]],"")</f>
        <v/>
      </c>
      <c r="AP164" s="176" t="str">
        <f>IFERROR(BASE_DATOS[[#This Row],[Kilómetros Rodados]]/(BASE_DATOS[[#This Row],[NSK Original]]-BASE_DATOS[[#This Row],[NSK]]),"")</f>
        <v/>
      </c>
      <c r="AQ16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64" s="177" t="str">
        <f>IFERROR(BASE_DATOS[[#This Row],[Precio US$]]/BASE_DATOS[[#This Row],[Kilómetros Proy.]],"")</f>
        <v/>
      </c>
      <c r="AS164" s="167" t="s">
        <v>62</v>
      </c>
      <c r="AT164" s="167"/>
      <c r="AU164" s="167"/>
      <c r="AV164" s="167" t="s">
        <v>515</v>
      </c>
      <c r="AW164" s="179"/>
      <c r="AX164" s="179"/>
      <c r="AY164" s="179" t="str">
        <f>CONCATENATE(BASE_DATOS[[#This Row],[Código_U]]&amp;BASE_DATOS[[#This Row],[Pos.]]&amp;BASE_DATOS[[#This Row],[Situación Actual]])</f>
        <v>TC-1307Rodando</v>
      </c>
    </row>
    <row r="165" spans="1:51" ht="12" x14ac:dyDescent="0.25">
      <c r="A165" s="227" t="s">
        <v>141</v>
      </c>
      <c r="B165" s="217" t="s">
        <v>142</v>
      </c>
      <c r="C165" s="228" t="s">
        <v>296</v>
      </c>
      <c r="D165" s="229" t="s">
        <v>61</v>
      </c>
      <c r="E165" s="255"/>
      <c r="F165" s="256" t="s">
        <v>71</v>
      </c>
      <c r="G165" s="256" t="s">
        <v>271</v>
      </c>
      <c r="H165" s="257" t="str">
        <f>IF(BASE_DATOS[[#This Row],[N-R]]="N",BASE_DATOS[[#This Row],[Diseño]],"Reencauche")</f>
        <v>KMAXD</v>
      </c>
      <c r="I165" s="256" t="s">
        <v>294</v>
      </c>
      <c r="J165" s="243" t="s">
        <v>72</v>
      </c>
      <c r="K165" s="258">
        <v>22.2</v>
      </c>
      <c r="L165" s="241">
        <v>110</v>
      </c>
      <c r="M165" s="259"/>
      <c r="N165" s="260"/>
      <c r="O165" s="277"/>
      <c r="P165" s="278"/>
      <c r="Q165" s="279"/>
      <c r="R165" s="309" t="s">
        <v>105</v>
      </c>
      <c r="S165" s="310">
        <v>45384</v>
      </c>
      <c r="T165" s="313"/>
      <c r="U165" s="279"/>
      <c r="V165" s="227">
        <v>19</v>
      </c>
      <c r="W165" s="281"/>
      <c r="X165" s="282">
        <v>18</v>
      </c>
      <c r="Y165" s="293">
        <f t="shared" si="6"/>
        <v>18</v>
      </c>
      <c r="Z165" s="175" t="s">
        <v>85</v>
      </c>
      <c r="AA165" s="342">
        <f>IFERROR(BASE_DATOS[[#This Row],[NSK Original]]-BASE_DATOS[[#This Row],[NSK]]," ")</f>
        <v>4.1999999999999993</v>
      </c>
      <c r="AB165" s="343">
        <f>'NSK-TRACTO'!$A$2</f>
        <v>6</v>
      </c>
      <c r="AC165" s="343">
        <f>IF(BASE_DATOS[[#This Row],[NSK]]&gt;=BASE_DATOS[[#This Row],[NSK Reen]],BASE_DATOS[[#This Row],[NSK Reen]],BASE_DATOS[[#This Row],[NSK]])</f>
        <v>6</v>
      </c>
      <c r="AD165" s="344">
        <f>IFERROR(100%-(BASE_DATOS[[#This Row],[NSK Reen]]/BASE_DATOS[[#This Row],[NSK Original]]),"")</f>
        <v>0.72972972972972971</v>
      </c>
      <c r="AE165" s="344">
        <f>IFERROR(100%-BASE_DATOS[[#This Row],[NSK]]/BASE_DATOS[[#This Row],[NSK Original]],"")</f>
        <v>0.18918918918918914</v>
      </c>
      <c r="AF165" s="344">
        <f>IFERROR(BASE_DATOS[[#This Row],[% Max Des.]]-BASE_DATOS[[#This Row],[% Des]],"")</f>
        <v>0.54054054054054057</v>
      </c>
      <c r="AG165" s="287"/>
      <c r="AH165" s="273"/>
      <c r="AI165" s="363" t="str">
        <f>IF(OR(BASE_DATOS[[#This Row],[Hr.]]="",BASE_DATOS[[#This Row],[Hr. Actual]]=""),"",BASE_DATOS[[#This Row],[Hr. Actual]]-BASE_DATOS[[#This Row],[Hr.]]+BASE_DATOS[[#This Row],[Horas Acumuladas]])</f>
        <v/>
      </c>
      <c r="AJ165" s="364" t="str">
        <f>IFERROR(BASE_DATOS[[#This Row],[Precio US$]]/BASE_DATOS[[#This Row],[Horas Rodadas]],"")</f>
        <v/>
      </c>
      <c r="AK165" s="365" t="str">
        <f>IFERROR(BASE_DATOS[[#This Row],[Horas Rodadas]]/(BASE_DATOS[[#This Row],[NSK Original]]-BASE_DATOS[[#This Row],[NSK]]),"")</f>
        <v/>
      </c>
      <c r="AL16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65" s="366" t="str">
        <f>IFERROR(BASE_DATOS[[#This Row],[Precio US$]]/BASE_DATOS[[#This Row],[Horas Proy.]],"")</f>
        <v/>
      </c>
      <c r="AN165" s="176" t="str">
        <f>IF(OR(BASE_DATOS[[#This Row],[Km.]]="",BASE_DATOS[[#This Row],[Km. Actual]]=""),"",BASE_DATOS[[#This Row],[Km. Actual]]-BASE_DATOS[[#This Row],[Km.]]+BASE_DATOS[[#This Row],[Kilómetros Acumulados]])</f>
        <v/>
      </c>
      <c r="AO165" s="177" t="str">
        <f>IFERROR(BASE_DATOS[[#This Row],[Precio US$]]/BASE_DATOS[[#This Row],[Kilómetros Rodados]],"")</f>
        <v/>
      </c>
      <c r="AP165" s="176" t="str">
        <f>IFERROR(BASE_DATOS[[#This Row],[Kilómetros Rodados]]/(BASE_DATOS[[#This Row],[NSK Original]]-BASE_DATOS[[#This Row],[NSK]]),"")</f>
        <v/>
      </c>
      <c r="AQ16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65" s="177" t="str">
        <f>IFERROR(BASE_DATOS[[#This Row],[Precio US$]]/BASE_DATOS[[#This Row],[Kilómetros Proy.]],"")</f>
        <v/>
      </c>
      <c r="AS165" s="167" t="s">
        <v>62</v>
      </c>
      <c r="AT165" s="167"/>
      <c r="AU165" s="167"/>
      <c r="AV165" s="167" t="s">
        <v>515</v>
      </c>
      <c r="AW165" s="179"/>
      <c r="AX165" s="179"/>
      <c r="AY165" s="179" t="str">
        <f>CONCATENATE(BASE_DATOS[[#This Row],[Código_U]]&amp;BASE_DATOS[[#This Row],[Pos.]]&amp;BASE_DATOS[[#This Row],[Situación Actual]])</f>
        <v>TC-1308Rodando</v>
      </c>
    </row>
    <row r="166" spans="1:51" ht="12" x14ac:dyDescent="0.25">
      <c r="A166" s="227" t="s">
        <v>141</v>
      </c>
      <c r="B166" s="217" t="s">
        <v>142</v>
      </c>
      <c r="C166" s="228" t="s">
        <v>296</v>
      </c>
      <c r="D166" s="229" t="s">
        <v>61</v>
      </c>
      <c r="E166" s="255"/>
      <c r="F166" s="256" t="s">
        <v>71</v>
      </c>
      <c r="G166" s="256" t="s">
        <v>271</v>
      </c>
      <c r="H166" s="257" t="str">
        <f>IF(BASE_DATOS[[#This Row],[N-R]]="N",BASE_DATOS[[#This Row],[Diseño]],"Reencauche")</f>
        <v>KMAXD</v>
      </c>
      <c r="I166" s="256" t="s">
        <v>294</v>
      </c>
      <c r="J166" s="243" t="s">
        <v>72</v>
      </c>
      <c r="K166" s="258">
        <v>22.2</v>
      </c>
      <c r="L166" s="241">
        <v>110</v>
      </c>
      <c r="M166" s="259"/>
      <c r="N166" s="260"/>
      <c r="O166" s="277"/>
      <c r="P166" s="278"/>
      <c r="Q166" s="279"/>
      <c r="R166" s="309" t="s">
        <v>106</v>
      </c>
      <c r="S166" s="310">
        <v>45384</v>
      </c>
      <c r="T166" s="313"/>
      <c r="U166" s="279"/>
      <c r="V166" s="227">
        <v>18</v>
      </c>
      <c r="W166" s="281"/>
      <c r="X166" s="282">
        <v>18</v>
      </c>
      <c r="Y166" s="293">
        <f t="shared" si="6"/>
        <v>18</v>
      </c>
      <c r="Z166" s="175" t="s">
        <v>85</v>
      </c>
      <c r="AA166" s="342">
        <f>IFERROR(BASE_DATOS[[#This Row],[NSK Original]]-BASE_DATOS[[#This Row],[NSK]]," ")</f>
        <v>4.1999999999999993</v>
      </c>
      <c r="AB166" s="343">
        <f>'NSK-TRACTO'!$A$2</f>
        <v>6</v>
      </c>
      <c r="AC166" s="343">
        <f>IF(BASE_DATOS[[#This Row],[NSK]]&gt;=BASE_DATOS[[#This Row],[NSK Reen]],BASE_DATOS[[#This Row],[NSK Reen]],BASE_DATOS[[#This Row],[NSK]])</f>
        <v>6</v>
      </c>
      <c r="AD166" s="344">
        <f>IFERROR(100%-(BASE_DATOS[[#This Row],[NSK Reen]]/BASE_DATOS[[#This Row],[NSK Original]]),"")</f>
        <v>0.72972972972972971</v>
      </c>
      <c r="AE166" s="344">
        <f>IFERROR(100%-BASE_DATOS[[#This Row],[NSK]]/BASE_DATOS[[#This Row],[NSK Original]],"")</f>
        <v>0.18918918918918914</v>
      </c>
      <c r="AF166" s="344">
        <f>IFERROR(BASE_DATOS[[#This Row],[% Max Des.]]-BASE_DATOS[[#This Row],[% Des]],"")</f>
        <v>0.54054054054054057</v>
      </c>
      <c r="AG166" s="287"/>
      <c r="AH166" s="273"/>
      <c r="AI166" s="363" t="str">
        <f>IF(OR(BASE_DATOS[[#This Row],[Hr.]]="",BASE_DATOS[[#This Row],[Hr. Actual]]=""),"",BASE_DATOS[[#This Row],[Hr. Actual]]-BASE_DATOS[[#This Row],[Hr.]]+BASE_DATOS[[#This Row],[Horas Acumuladas]])</f>
        <v/>
      </c>
      <c r="AJ166" s="364" t="str">
        <f>IFERROR(BASE_DATOS[[#This Row],[Precio US$]]/BASE_DATOS[[#This Row],[Horas Rodadas]],"")</f>
        <v/>
      </c>
      <c r="AK166" s="365" t="str">
        <f>IFERROR(BASE_DATOS[[#This Row],[Horas Rodadas]]/(BASE_DATOS[[#This Row],[NSK Original]]-BASE_DATOS[[#This Row],[NSK]]),"")</f>
        <v/>
      </c>
      <c r="AL16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66" s="366" t="str">
        <f>IFERROR(BASE_DATOS[[#This Row],[Precio US$]]/BASE_DATOS[[#This Row],[Horas Proy.]],"")</f>
        <v/>
      </c>
      <c r="AN166" s="176" t="str">
        <f>IF(OR(BASE_DATOS[[#This Row],[Km.]]="",BASE_DATOS[[#This Row],[Km. Actual]]=""),"",BASE_DATOS[[#This Row],[Km. Actual]]-BASE_DATOS[[#This Row],[Km.]]+BASE_DATOS[[#This Row],[Kilómetros Acumulados]])</f>
        <v/>
      </c>
      <c r="AO166" s="177" t="str">
        <f>IFERROR(BASE_DATOS[[#This Row],[Precio US$]]/BASE_DATOS[[#This Row],[Kilómetros Rodados]],"")</f>
        <v/>
      </c>
      <c r="AP166" s="176" t="str">
        <f>IFERROR(BASE_DATOS[[#This Row],[Kilómetros Rodados]]/(BASE_DATOS[[#This Row],[NSK Original]]-BASE_DATOS[[#This Row],[NSK]]),"")</f>
        <v/>
      </c>
      <c r="AQ16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66" s="177" t="str">
        <f>IFERROR(BASE_DATOS[[#This Row],[Precio US$]]/BASE_DATOS[[#This Row],[Kilómetros Proy.]],"")</f>
        <v/>
      </c>
      <c r="AS166" s="167" t="s">
        <v>62</v>
      </c>
      <c r="AT166" s="167"/>
      <c r="AU166" s="167"/>
      <c r="AV166" s="167" t="s">
        <v>515</v>
      </c>
      <c r="AW166" s="179"/>
      <c r="AX166" s="179"/>
      <c r="AY166" s="179" t="str">
        <f>CONCATENATE(BASE_DATOS[[#This Row],[Código_U]]&amp;BASE_DATOS[[#This Row],[Pos.]]&amp;BASE_DATOS[[#This Row],[Situación Actual]])</f>
        <v>TC-1309Rodando</v>
      </c>
    </row>
    <row r="167" spans="1:51" ht="12" x14ac:dyDescent="0.25">
      <c r="A167" s="227" t="s">
        <v>141</v>
      </c>
      <c r="B167" s="217" t="s">
        <v>142</v>
      </c>
      <c r="C167" s="228" t="s">
        <v>296</v>
      </c>
      <c r="D167" s="229" t="s">
        <v>61</v>
      </c>
      <c r="E167" s="255"/>
      <c r="F167" s="256" t="s">
        <v>71</v>
      </c>
      <c r="G167" s="256" t="s">
        <v>271</v>
      </c>
      <c r="H167" s="257" t="str">
        <f>IF(BASE_DATOS[[#This Row],[N-R]]="N",BASE_DATOS[[#This Row],[Diseño]],"Reencauche")</f>
        <v>KMAXD</v>
      </c>
      <c r="I167" s="256" t="s">
        <v>294</v>
      </c>
      <c r="J167" s="243" t="s">
        <v>72</v>
      </c>
      <c r="K167" s="258">
        <v>22.2</v>
      </c>
      <c r="L167" s="241">
        <v>110</v>
      </c>
      <c r="M167" s="259"/>
      <c r="N167" s="260"/>
      <c r="O167" s="277"/>
      <c r="P167" s="278"/>
      <c r="Q167" s="279"/>
      <c r="R167" s="309" t="s">
        <v>107</v>
      </c>
      <c r="S167" s="310">
        <v>45384</v>
      </c>
      <c r="T167" s="313"/>
      <c r="U167" s="279"/>
      <c r="V167" s="227">
        <v>18</v>
      </c>
      <c r="W167" s="281"/>
      <c r="X167" s="282">
        <v>18</v>
      </c>
      <c r="Y167" s="293">
        <f t="shared" si="6"/>
        <v>18</v>
      </c>
      <c r="Z167" s="175" t="s">
        <v>85</v>
      </c>
      <c r="AA167" s="342">
        <f>IFERROR(BASE_DATOS[[#This Row],[NSK Original]]-BASE_DATOS[[#This Row],[NSK]]," ")</f>
        <v>4.1999999999999993</v>
      </c>
      <c r="AB167" s="343">
        <f>'NSK-TRACTO'!$A$2</f>
        <v>6</v>
      </c>
      <c r="AC167" s="343">
        <f>IF(BASE_DATOS[[#This Row],[NSK]]&gt;=BASE_DATOS[[#This Row],[NSK Reen]],BASE_DATOS[[#This Row],[NSK Reen]],BASE_DATOS[[#This Row],[NSK]])</f>
        <v>6</v>
      </c>
      <c r="AD167" s="344">
        <f>IFERROR(100%-(BASE_DATOS[[#This Row],[NSK Reen]]/BASE_DATOS[[#This Row],[NSK Original]]),"")</f>
        <v>0.72972972972972971</v>
      </c>
      <c r="AE167" s="344">
        <f>IFERROR(100%-BASE_DATOS[[#This Row],[NSK]]/BASE_DATOS[[#This Row],[NSK Original]],"")</f>
        <v>0.18918918918918914</v>
      </c>
      <c r="AF167" s="344">
        <f>IFERROR(BASE_DATOS[[#This Row],[% Max Des.]]-BASE_DATOS[[#This Row],[% Des]],"")</f>
        <v>0.54054054054054057</v>
      </c>
      <c r="AG167" s="287"/>
      <c r="AH167" s="273"/>
      <c r="AI167" s="363" t="str">
        <f>IF(OR(BASE_DATOS[[#This Row],[Hr.]]="",BASE_DATOS[[#This Row],[Hr. Actual]]=""),"",BASE_DATOS[[#This Row],[Hr. Actual]]-BASE_DATOS[[#This Row],[Hr.]]+BASE_DATOS[[#This Row],[Horas Acumuladas]])</f>
        <v/>
      </c>
      <c r="AJ167" s="364" t="str">
        <f>IFERROR(BASE_DATOS[[#This Row],[Precio US$]]/BASE_DATOS[[#This Row],[Horas Rodadas]],"")</f>
        <v/>
      </c>
      <c r="AK167" s="365" t="str">
        <f>IFERROR(BASE_DATOS[[#This Row],[Horas Rodadas]]/(BASE_DATOS[[#This Row],[NSK Original]]-BASE_DATOS[[#This Row],[NSK]]),"")</f>
        <v/>
      </c>
      <c r="AL16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67" s="366" t="str">
        <f>IFERROR(BASE_DATOS[[#This Row],[Precio US$]]/BASE_DATOS[[#This Row],[Horas Proy.]],"")</f>
        <v/>
      </c>
      <c r="AN167" s="176" t="str">
        <f>IF(OR(BASE_DATOS[[#This Row],[Km.]]="",BASE_DATOS[[#This Row],[Km. Actual]]=""),"",BASE_DATOS[[#This Row],[Km. Actual]]-BASE_DATOS[[#This Row],[Km.]]+BASE_DATOS[[#This Row],[Kilómetros Acumulados]])</f>
        <v/>
      </c>
      <c r="AO167" s="177" t="str">
        <f>IFERROR(BASE_DATOS[[#This Row],[Precio US$]]/BASE_DATOS[[#This Row],[Kilómetros Rodados]],"")</f>
        <v/>
      </c>
      <c r="AP167" s="176" t="str">
        <f>IFERROR(BASE_DATOS[[#This Row],[Kilómetros Rodados]]/(BASE_DATOS[[#This Row],[NSK Original]]-BASE_DATOS[[#This Row],[NSK]]),"")</f>
        <v/>
      </c>
      <c r="AQ16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67" s="177" t="str">
        <f>IFERROR(BASE_DATOS[[#This Row],[Precio US$]]/BASE_DATOS[[#This Row],[Kilómetros Proy.]],"")</f>
        <v/>
      </c>
      <c r="AS167" s="167" t="s">
        <v>62</v>
      </c>
      <c r="AT167" s="167"/>
      <c r="AU167" s="167"/>
      <c r="AV167" s="167" t="s">
        <v>515</v>
      </c>
      <c r="AW167" s="179"/>
      <c r="AX167" s="179"/>
      <c r="AY167" s="179" t="str">
        <f>CONCATENATE(BASE_DATOS[[#This Row],[Código_U]]&amp;BASE_DATOS[[#This Row],[Pos.]]&amp;BASE_DATOS[[#This Row],[Situación Actual]])</f>
        <v>TC-13010Rodando</v>
      </c>
    </row>
    <row r="168" spans="1:51" ht="12" x14ac:dyDescent="0.25">
      <c r="A168" s="224" t="s">
        <v>143</v>
      </c>
      <c r="B168" s="213" t="s">
        <v>144</v>
      </c>
      <c r="C168" s="225" t="s">
        <v>296</v>
      </c>
      <c r="D168" s="226" t="s">
        <v>86</v>
      </c>
      <c r="E168" s="249" t="s">
        <v>332</v>
      </c>
      <c r="F168" s="250" t="s">
        <v>71</v>
      </c>
      <c r="G168" s="250" t="s">
        <v>271</v>
      </c>
      <c r="H168" s="251" t="str">
        <f>IF(BASE_DATOS[[#This Row],[N-R]]="N",BASE_DATOS[[#This Row],[Diseño]],"Reencauche")</f>
        <v>KMAX EXTREME</v>
      </c>
      <c r="I168" s="250" t="s">
        <v>272</v>
      </c>
      <c r="J168" s="235" t="s">
        <v>72</v>
      </c>
      <c r="K168" s="252">
        <v>17.5</v>
      </c>
      <c r="L168" s="233">
        <v>100</v>
      </c>
      <c r="M168" s="253"/>
      <c r="N168" s="254"/>
      <c r="O168" s="274"/>
      <c r="P168" s="275"/>
      <c r="Q168" s="276"/>
      <c r="R168" s="305" t="s">
        <v>98</v>
      </c>
      <c r="S168" s="306">
        <v>45384</v>
      </c>
      <c r="T168" s="314"/>
      <c r="U168" s="276"/>
      <c r="V168" s="224">
        <v>9</v>
      </c>
      <c r="W168" s="325">
        <v>11</v>
      </c>
      <c r="X168" s="326">
        <v>9</v>
      </c>
      <c r="Y168" s="292">
        <f t="shared" ref="Y168:Y198" si="7">IFERROR(MIN(V168:X168),"")</f>
        <v>9</v>
      </c>
      <c r="Z168" s="185" t="s">
        <v>85</v>
      </c>
      <c r="AA168" s="339">
        <f>IFERROR(BASE_DATOS[[#This Row],[NSK Original]]-BASE_DATOS[[#This Row],[NSK]]," ")</f>
        <v>8.5</v>
      </c>
      <c r="AB168" s="340">
        <f>'NSK-TRACTO'!$A$2</f>
        <v>6</v>
      </c>
      <c r="AC168" s="340">
        <f>IF(BASE_DATOS[[#This Row],[NSK]]&gt;=BASE_DATOS[[#This Row],[NSK Reen]],BASE_DATOS[[#This Row],[NSK Reen]],BASE_DATOS[[#This Row],[NSK]])</f>
        <v>6</v>
      </c>
      <c r="AD168" s="341">
        <f>IFERROR(100%-(BASE_DATOS[[#This Row],[NSK Reen]]/BASE_DATOS[[#This Row],[NSK Original]]),"")</f>
        <v>0.65714285714285714</v>
      </c>
      <c r="AE168" s="341">
        <f>IFERROR(100%-BASE_DATOS[[#This Row],[NSK]]/BASE_DATOS[[#This Row],[NSK Original]],"")</f>
        <v>0.48571428571428577</v>
      </c>
      <c r="AF168" s="341">
        <f>IFERROR(BASE_DATOS[[#This Row],[% Max Des.]]-BASE_DATOS[[#This Row],[% Des]],"")</f>
        <v>0.17142857142857137</v>
      </c>
      <c r="AG168" s="284"/>
      <c r="AH168" s="335"/>
      <c r="AI168" s="359" t="str">
        <f>IF(OR(BASE_DATOS[[#This Row],[Hr.]]="",BASE_DATOS[[#This Row],[Hr. Actual]]=""),"",BASE_DATOS[[#This Row],[Hr. Actual]]-BASE_DATOS[[#This Row],[Hr.]]+BASE_DATOS[[#This Row],[Horas Acumuladas]])</f>
        <v/>
      </c>
      <c r="AJ168" s="360" t="str">
        <f>IFERROR(BASE_DATOS[[#This Row],[Precio US$]]/BASE_DATOS[[#This Row],[Horas Rodadas]],"")</f>
        <v/>
      </c>
      <c r="AK168" s="361" t="str">
        <f>IFERROR(BASE_DATOS[[#This Row],[Horas Rodadas]]/(BASE_DATOS[[#This Row],[NSK Original]]-BASE_DATOS[[#This Row],[NSK]]),"")</f>
        <v/>
      </c>
      <c r="AL168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68" s="362" t="str">
        <f>IFERROR(BASE_DATOS[[#This Row],[Precio US$]]/BASE_DATOS[[#This Row],[Horas Proy.]],"")</f>
        <v/>
      </c>
      <c r="AN168" s="195" t="str">
        <f>IF(OR(BASE_DATOS[[#This Row],[Km.]]="",BASE_DATOS[[#This Row],[Km. Actual]]=""),"",BASE_DATOS[[#This Row],[Km. Actual]]-BASE_DATOS[[#This Row],[Km.]]+BASE_DATOS[[#This Row],[Kilómetros Acumulados]])</f>
        <v/>
      </c>
      <c r="AO168" s="196" t="str">
        <f>IFERROR(BASE_DATOS[[#This Row],[Precio US$]]/BASE_DATOS[[#This Row],[Kilómetros Rodados]],"")</f>
        <v/>
      </c>
      <c r="AP168" s="195" t="str">
        <f>IFERROR(BASE_DATOS[[#This Row],[Kilómetros Rodados]]/(BASE_DATOS[[#This Row],[NSK Original]]-BASE_DATOS[[#This Row],[NSK]]),"")</f>
        <v/>
      </c>
      <c r="AQ168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68" s="196" t="str">
        <f>IFERROR(BASE_DATOS[[#This Row],[Precio US$]]/BASE_DATOS[[#This Row],[Kilómetros Proy.]],"")</f>
        <v/>
      </c>
      <c r="AS168" s="191" t="s">
        <v>62</v>
      </c>
      <c r="AT168" s="191"/>
      <c r="AU168" s="191" t="s">
        <v>515</v>
      </c>
      <c r="AV168" s="191"/>
      <c r="AW168" s="198"/>
      <c r="AX168" s="198" t="s">
        <v>371</v>
      </c>
      <c r="AY168" s="198" t="str">
        <f>CONCATENATE(BASE_DATOS[[#This Row],[Código_U]]&amp;BASE_DATOS[[#This Row],[Pos.]]&amp;BASE_DATOS[[#This Row],[Situación Actual]])</f>
        <v>TC-1321Rodando</v>
      </c>
    </row>
    <row r="169" spans="1:51" ht="12" x14ac:dyDescent="0.25">
      <c r="A169" s="227" t="s">
        <v>143</v>
      </c>
      <c r="B169" s="217" t="s">
        <v>144</v>
      </c>
      <c r="C169" s="228" t="s">
        <v>296</v>
      </c>
      <c r="D169" s="229" t="s">
        <v>86</v>
      </c>
      <c r="E169" s="248" t="s">
        <v>387</v>
      </c>
      <c r="F169" s="256" t="s">
        <v>71</v>
      </c>
      <c r="G169" s="256" t="s">
        <v>271</v>
      </c>
      <c r="H169" s="257" t="str">
        <f>IF(BASE_DATOS[[#This Row],[N-R]]="N",BASE_DATOS[[#This Row],[Diseño]],"Reencauche")</f>
        <v>KMAX EXTREME</v>
      </c>
      <c r="I169" s="256" t="s">
        <v>272</v>
      </c>
      <c r="J169" s="243" t="s">
        <v>72</v>
      </c>
      <c r="K169" s="258">
        <v>17.5</v>
      </c>
      <c r="L169" s="241">
        <v>100</v>
      </c>
      <c r="M169" s="259"/>
      <c r="N169" s="260"/>
      <c r="O169" s="277"/>
      <c r="P169" s="278"/>
      <c r="Q169" s="279"/>
      <c r="R169" s="309" t="s">
        <v>99</v>
      </c>
      <c r="S169" s="310">
        <v>45384</v>
      </c>
      <c r="T169" s="313"/>
      <c r="U169" s="279"/>
      <c r="V169" s="227">
        <v>11</v>
      </c>
      <c r="W169" s="281">
        <v>12</v>
      </c>
      <c r="X169" s="282">
        <v>10</v>
      </c>
      <c r="Y169" s="293">
        <f t="shared" si="7"/>
        <v>10</v>
      </c>
      <c r="Z169" s="161" t="s">
        <v>85</v>
      </c>
      <c r="AA169" s="342">
        <f>IFERROR(BASE_DATOS[[#This Row],[NSK Original]]-BASE_DATOS[[#This Row],[NSK]]," ")</f>
        <v>7.5</v>
      </c>
      <c r="AB169" s="343">
        <f>'NSK-TRACTO'!$A$2</f>
        <v>6</v>
      </c>
      <c r="AC169" s="343">
        <f>IF(BASE_DATOS[[#This Row],[NSK]]&gt;=BASE_DATOS[[#This Row],[NSK Reen]],BASE_DATOS[[#This Row],[NSK Reen]],BASE_DATOS[[#This Row],[NSK]])</f>
        <v>6</v>
      </c>
      <c r="AD169" s="344">
        <f>IFERROR(100%-(BASE_DATOS[[#This Row],[NSK Reen]]/BASE_DATOS[[#This Row],[NSK Original]]),"")</f>
        <v>0.65714285714285714</v>
      </c>
      <c r="AE169" s="344">
        <f>IFERROR(100%-BASE_DATOS[[#This Row],[NSK]]/BASE_DATOS[[#This Row],[NSK Original]],"")</f>
        <v>0.4285714285714286</v>
      </c>
      <c r="AF169" s="344">
        <f>IFERROR(BASE_DATOS[[#This Row],[% Max Des.]]-BASE_DATOS[[#This Row],[% Des]],"")</f>
        <v>0.22857142857142854</v>
      </c>
      <c r="AG169" s="287"/>
      <c r="AH169" s="273"/>
      <c r="AI169" s="363" t="str">
        <f>IF(OR(BASE_DATOS[[#This Row],[Hr.]]="",BASE_DATOS[[#This Row],[Hr. Actual]]=""),"",BASE_DATOS[[#This Row],[Hr. Actual]]-BASE_DATOS[[#This Row],[Hr.]]+BASE_DATOS[[#This Row],[Horas Acumuladas]])</f>
        <v/>
      </c>
      <c r="AJ169" s="364" t="str">
        <f>IFERROR(BASE_DATOS[[#This Row],[Precio US$]]/BASE_DATOS[[#This Row],[Horas Rodadas]],"")</f>
        <v/>
      </c>
      <c r="AK169" s="365" t="str">
        <f>IFERROR(BASE_DATOS[[#This Row],[Horas Rodadas]]/(BASE_DATOS[[#This Row],[NSK Original]]-BASE_DATOS[[#This Row],[NSK]]),"")</f>
        <v/>
      </c>
      <c r="AL16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69" s="366" t="str">
        <f>IFERROR(BASE_DATOS[[#This Row],[Precio US$]]/BASE_DATOS[[#This Row],[Horas Proy.]],"")</f>
        <v/>
      </c>
      <c r="AN169" s="176" t="str">
        <f>IF(OR(BASE_DATOS[[#This Row],[Km.]]="",BASE_DATOS[[#This Row],[Km. Actual]]=""),"",BASE_DATOS[[#This Row],[Km. Actual]]-BASE_DATOS[[#This Row],[Km.]]+BASE_DATOS[[#This Row],[Kilómetros Acumulados]])</f>
        <v/>
      </c>
      <c r="AO169" s="177" t="str">
        <f>IFERROR(BASE_DATOS[[#This Row],[Precio US$]]/BASE_DATOS[[#This Row],[Kilómetros Rodados]],"")</f>
        <v/>
      </c>
      <c r="AP169" s="176" t="str">
        <f>IFERROR(BASE_DATOS[[#This Row],[Kilómetros Rodados]]/(BASE_DATOS[[#This Row],[NSK Original]]-BASE_DATOS[[#This Row],[NSK]]),"")</f>
        <v/>
      </c>
      <c r="AQ16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69" s="177" t="str">
        <f>IFERROR(BASE_DATOS[[#This Row],[Precio US$]]/BASE_DATOS[[#This Row],[Kilómetros Proy.]],"")</f>
        <v/>
      </c>
      <c r="AS169" s="167" t="s">
        <v>62</v>
      </c>
      <c r="AT169" s="167"/>
      <c r="AU169" s="167" t="s">
        <v>515</v>
      </c>
      <c r="AV169" s="167"/>
      <c r="AW169" s="179"/>
      <c r="AX169" s="179" t="s">
        <v>371</v>
      </c>
      <c r="AY169" s="179" t="str">
        <f>CONCATENATE(BASE_DATOS[[#This Row],[Código_U]]&amp;BASE_DATOS[[#This Row],[Pos.]]&amp;BASE_DATOS[[#This Row],[Situación Actual]])</f>
        <v>TC-1322Rodando</v>
      </c>
    </row>
    <row r="170" spans="1:51" ht="12" x14ac:dyDescent="0.25">
      <c r="A170" s="227" t="s">
        <v>143</v>
      </c>
      <c r="B170" s="217" t="s">
        <v>144</v>
      </c>
      <c r="C170" s="228" t="s">
        <v>296</v>
      </c>
      <c r="D170" s="229" t="s">
        <v>61</v>
      </c>
      <c r="E170" s="255" t="s">
        <v>361</v>
      </c>
      <c r="F170" s="256" t="s">
        <v>273</v>
      </c>
      <c r="G170" s="256" t="s">
        <v>271</v>
      </c>
      <c r="H170" s="257" t="str">
        <f>IF(BASE_DATOS[[#This Row],[N-R]]="N",BASE_DATOS[[#This Row],[Diseño]],"Reencauche")</f>
        <v>Reencauche</v>
      </c>
      <c r="I170" s="256" t="s">
        <v>282</v>
      </c>
      <c r="J170" s="243" t="s">
        <v>82</v>
      </c>
      <c r="K170" s="258">
        <v>22</v>
      </c>
      <c r="L170" s="241">
        <v>110</v>
      </c>
      <c r="M170" s="259"/>
      <c r="N170" s="260"/>
      <c r="O170" s="277"/>
      <c r="P170" s="278"/>
      <c r="Q170" s="279"/>
      <c r="R170" s="309" t="s">
        <v>100</v>
      </c>
      <c r="S170" s="310">
        <v>45384</v>
      </c>
      <c r="T170" s="313"/>
      <c r="U170" s="279"/>
      <c r="V170" s="227">
        <v>11</v>
      </c>
      <c r="W170" s="281"/>
      <c r="X170" s="282">
        <v>11</v>
      </c>
      <c r="Y170" s="293">
        <f t="shared" si="7"/>
        <v>11</v>
      </c>
      <c r="Z170" s="161" t="s">
        <v>85</v>
      </c>
      <c r="AA170" s="342">
        <f>IFERROR(BASE_DATOS[[#This Row],[NSK Original]]-BASE_DATOS[[#This Row],[NSK]]," ")</f>
        <v>11</v>
      </c>
      <c r="AB170" s="343">
        <f>'NSK-TRACTO'!$A$2</f>
        <v>6</v>
      </c>
      <c r="AC170" s="343">
        <f>IF(BASE_DATOS[[#This Row],[NSK]]&gt;=BASE_DATOS[[#This Row],[NSK Reen]],BASE_DATOS[[#This Row],[NSK Reen]],BASE_DATOS[[#This Row],[NSK]])</f>
        <v>6</v>
      </c>
      <c r="AD170" s="344">
        <f>IFERROR(100%-(BASE_DATOS[[#This Row],[NSK Reen]]/BASE_DATOS[[#This Row],[NSK Original]]),"")</f>
        <v>0.72727272727272729</v>
      </c>
      <c r="AE170" s="344">
        <f>IFERROR(100%-BASE_DATOS[[#This Row],[NSK]]/BASE_DATOS[[#This Row],[NSK Original]],"")</f>
        <v>0.5</v>
      </c>
      <c r="AF170" s="344">
        <f>IFERROR(BASE_DATOS[[#This Row],[% Max Des.]]-BASE_DATOS[[#This Row],[% Des]],"")</f>
        <v>0.22727272727272729</v>
      </c>
      <c r="AG170" s="287"/>
      <c r="AH170" s="273"/>
      <c r="AI170" s="363" t="str">
        <f>IF(OR(BASE_DATOS[[#This Row],[Hr.]]="",BASE_DATOS[[#This Row],[Hr. Actual]]=""),"",BASE_DATOS[[#This Row],[Hr. Actual]]-BASE_DATOS[[#This Row],[Hr.]]+BASE_DATOS[[#This Row],[Horas Acumuladas]])</f>
        <v/>
      </c>
      <c r="AJ170" s="364" t="str">
        <f>IFERROR(BASE_DATOS[[#This Row],[Precio US$]]/BASE_DATOS[[#This Row],[Horas Rodadas]],"")</f>
        <v/>
      </c>
      <c r="AK170" s="365" t="str">
        <f>IFERROR(BASE_DATOS[[#This Row],[Horas Rodadas]]/(BASE_DATOS[[#This Row],[NSK Original]]-BASE_DATOS[[#This Row],[NSK]]),"")</f>
        <v/>
      </c>
      <c r="AL17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70" s="366" t="str">
        <f>IFERROR(BASE_DATOS[[#This Row],[Precio US$]]/BASE_DATOS[[#This Row],[Horas Proy.]],"")</f>
        <v/>
      </c>
      <c r="AN170" s="176" t="str">
        <f>IF(OR(BASE_DATOS[[#This Row],[Km.]]="",BASE_DATOS[[#This Row],[Km. Actual]]=""),"",BASE_DATOS[[#This Row],[Km. Actual]]-BASE_DATOS[[#This Row],[Km.]]+BASE_DATOS[[#This Row],[Kilómetros Acumulados]])</f>
        <v/>
      </c>
      <c r="AO170" s="177" t="str">
        <f>IFERROR(BASE_DATOS[[#This Row],[Precio US$]]/BASE_DATOS[[#This Row],[Kilómetros Rodados]],"")</f>
        <v/>
      </c>
      <c r="AP170" s="176" t="str">
        <f>IFERROR(BASE_DATOS[[#This Row],[Kilómetros Rodados]]/(BASE_DATOS[[#This Row],[NSK Original]]-BASE_DATOS[[#This Row],[NSK]]),"")</f>
        <v/>
      </c>
      <c r="AQ17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70" s="177" t="str">
        <f>IFERROR(BASE_DATOS[[#This Row],[Precio US$]]/BASE_DATOS[[#This Row],[Kilómetros Proy.]],"")</f>
        <v/>
      </c>
      <c r="AS170" s="167" t="s">
        <v>62</v>
      </c>
      <c r="AT170" s="167"/>
      <c r="AU170" s="167"/>
      <c r="AV170" s="167"/>
      <c r="AW170" s="179"/>
      <c r="AX170" s="179"/>
      <c r="AY170" s="179" t="str">
        <f>CONCATENATE(BASE_DATOS[[#This Row],[Código_U]]&amp;BASE_DATOS[[#This Row],[Pos.]]&amp;BASE_DATOS[[#This Row],[Situación Actual]])</f>
        <v>TC-1323Rodando</v>
      </c>
    </row>
    <row r="171" spans="1:51" ht="12" x14ac:dyDescent="0.25">
      <c r="A171" s="227" t="s">
        <v>143</v>
      </c>
      <c r="B171" s="217" t="s">
        <v>144</v>
      </c>
      <c r="C171" s="228" t="s">
        <v>296</v>
      </c>
      <c r="D171" s="229" t="s">
        <v>61</v>
      </c>
      <c r="E171" s="255"/>
      <c r="F171" s="256" t="s">
        <v>273</v>
      </c>
      <c r="G171" s="256" t="s">
        <v>271</v>
      </c>
      <c r="H171" s="257" t="str">
        <f>IF(BASE_DATOS[[#This Row],[N-R]]="N",BASE_DATOS[[#This Row],[Diseño]],"Reencauche")</f>
        <v>Reencauche</v>
      </c>
      <c r="I171" s="256" t="s">
        <v>282</v>
      </c>
      <c r="J171" s="243" t="s">
        <v>82</v>
      </c>
      <c r="K171" s="258">
        <v>22</v>
      </c>
      <c r="L171" s="241">
        <v>110</v>
      </c>
      <c r="M171" s="259"/>
      <c r="N171" s="260"/>
      <c r="O171" s="277"/>
      <c r="P171" s="278"/>
      <c r="Q171" s="279"/>
      <c r="R171" s="309" t="s">
        <v>101</v>
      </c>
      <c r="S171" s="310">
        <v>45384</v>
      </c>
      <c r="T171" s="313"/>
      <c r="U171" s="279"/>
      <c r="V171" s="227">
        <v>10</v>
      </c>
      <c r="W171" s="281"/>
      <c r="X171" s="282">
        <v>9</v>
      </c>
      <c r="Y171" s="293">
        <f t="shared" si="7"/>
        <v>9</v>
      </c>
      <c r="Z171" s="161" t="s">
        <v>85</v>
      </c>
      <c r="AA171" s="342">
        <f>IFERROR(BASE_DATOS[[#This Row],[NSK Original]]-BASE_DATOS[[#This Row],[NSK]]," ")</f>
        <v>13</v>
      </c>
      <c r="AB171" s="343">
        <f>'NSK-TRACTO'!$A$2</f>
        <v>6</v>
      </c>
      <c r="AC171" s="343">
        <f>IF(BASE_DATOS[[#This Row],[NSK]]&gt;=BASE_DATOS[[#This Row],[NSK Reen]],BASE_DATOS[[#This Row],[NSK Reen]],BASE_DATOS[[#This Row],[NSK]])</f>
        <v>6</v>
      </c>
      <c r="AD171" s="344">
        <f>IFERROR(100%-(BASE_DATOS[[#This Row],[NSK Reen]]/BASE_DATOS[[#This Row],[NSK Original]]),"")</f>
        <v>0.72727272727272729</v>
      </c>
      <c r="AE171" s="344">
        <f>IFERROR(100%-BASE_DATOS[[#This Row],[NSK]]/BASE_DATOS[[#This Row],[NSK Original]],"")</f>
        <v>0.59090909090909083</v>
      </c>
      <c r="AF171" s="344">
        <f>IFERROR(BASE_DATOS[[#This Row],[% Max Des.]]-BASE_DATOS[[#This Row],[% Des]],"")</f>
        <v>0.13636363636363646</v>
      </c>
      <c r="AG171" s="287"/>
      <c r="AH171" s="273"/>
      <c r="AI171" s="363" t="str">
        <f>IF(OR(BASE_DATOS[[#This Row],[Hr.]]="",BASE_DATOS[[#This Row],[Hr. Actual]]=""),"",BASE_DATOS[[#This Row],[Hr. Actual]]-BASE_DATOS[[#This Row],[Hr.]]+BASE_DATOS[[#This Row],[Horas Acumuladas]])</f>
        <v/>
      </c>
      <c r="AJ171" s="364" t="str">
        <f>IFERROR(BASE_DATOS[[#This Row],[Precio US$]]/BASE_DATOS[[#This Row],[Horas Rodadas]],"")</f>
        <v/>
      </c>
      <c r="AK171" s="365" t="str">
        <f>IFERROR(BASE_DATOS[[#This Row],[Horas Rodadas]]/(BASE_DATOS[[#This Row],[NSK Original]]-BASE_DATOS[[#This Row],[NSK]]),"")</f>
        <v/>
      </c>
      <c r="AL17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71" s="366" t="str">
        <f>IFERROR(BASE_DATOS[[#This Row],[Precio US$]]/BASE_DATOS[[#This Row],[Horas Proy.]],"")</f>
        <v/>
      </c>
      <c r="AN171" s="176" t="str">
        <f>IF(OR(BASE_DATOS[[#This Row],[Km.]]="",BASE_DATOS[[#This Row],[Km. Actual]]=""),"",BASE_DATOS[[#This Row],[Km. Actual]]-BASE_DATOS[[#This Row],[Km.]]+BASE_DATOS[[#This Row],[Kilómetros Acumulados]])</f>
        <v/>
      </c>
      <c r="AO171" s="177" t="str">
        <f>IFERROR(BASE_DATOS[[#This Row],[Precio US$]]/BASE_DATOS[[#This Row],[Kilómetros Rodados]],"")</f>
        <v/>
      </c>
      <c r="AP171" s="176" t="str">
        <f>IFERROR(BASE_DATOS[[#This Row],[Kilómetros Rodados]]/(BASE_DATOS[[#This Row],[NSK Original]]-BASE_DATOS[[#This Row],[NSK]]),"")</f>
        <v/>
      </c>
      <c r="AQ17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71" s="177" t="str">
        <f>IFERROR(BASE_DATOS[[#This Row],[Precio US$]]/BASE_DATOS[[#This Row],[Kilómetros Proy.]],"")</f>
        <v/>
      </c>
      <c r="AS171" s="167" t="s">
        <v>62</v>
      </c>
      <c r="AT171" s="167"/>
      <c r="AU171" s="167"/>
      <c r="AV171" s="167"/>
      <c r="AW171" s="179"/>
      <c r="AX171" s="179"/>
      <c r="AY171" s="179" t="str">
        <f>CONCATENATE(BASE_DATOS[[#This Row],[Código_U]]&amp;BASE_DATOS[[#This Row],[Pos.]]&amp;BASE_DATOS[[#This Row],[Situación Actual]])</f>
        <v>TC-1324Rodando</v>
      </c>
    </row>
    <row r="172" spans="1:51" ht="12" x14ac:dyDescent="0.25">
      <c r="A172" s="227" t="s">
        <v>143</v>
      </c>
      <c r="B172" s="217" t="s">
        <v>144</v>
      </c>
      <c r="C172" s="228" t="s">
        <v>296</v>
      </c>
      <c r="D172" s="229" t="s">
        <v>61</v>
      </c>
      <c r="E172" s="255"/>
      <c r="F172" s="256" t="s">
        <v>273</v>
      </c>
      <c r="G172" s="256" t="s">
        <v>271</v>
      </c>
      <c r="H172" s="257" t="str">
        <f>IF(BASE_DATOS[[#This Row],[N-R]]="N",BASE_DATOS[[#This Row],[Diseño]],"Reencauche")</f>
        <v>Reencauche</v>
      </c>
      <c r="I172" s="256" t="s">
        <v>282</v>
      </c>
      <c r="J172" s="243" t="s">
        <v>82</v>
      </c>
      <c r="K172" s="258">
        <v>22</v>
      </c>
      <c r="L172" s="241">
        <v>110</v>
      </c>
      <c r="M172" s="259"/>
      <c r="N172" s="260"/>
      <c r="O172" s="277"/>
      <c r="P172" s="278"/>
      <c r="Q172" s="279"/>
      <c r="R172" s="309" t="s">
        <v>102</v>
      </c>
      <c r="S172" s="310">
        <v>45384</v>
      </c>
      <c r="T172" s="313"/>
      <c r="U172" s="279"/>
      <c r="V172" s="227">
        <v>7</v>
      </c>
      <c r="W172" s="281"/>
      <c r="X172" s="282">
        <v>7</v>
      </c>
      <c r="Y172" s="293">
        <f t="shared" si="7"/>
        <v>7</v>
      </c>
      <c r="Z172" s="161" t="s">
        <v>85</v>
      </c>
      <c r="AA172" s="342">
        <f>IFERROR(BASE_DATOS[[#This Row],[NSK Original]]-BASE_DATOS[[#This Row],[NSK]]," ")</f>
        <v>15</v>
      </c>
      <c r="AB172" s="343">
        <f>'NSK-TRACTO'!$A$2</f>
        <v>6</v>
      </c>
      <c r="AC172" s="343">
        <f>IF(BASE_DATOS[[#This Row],[NSK]]&gt;=BASE_DATOS[[#This Row],[NSK Reen]],BASE_DATOS[[#This Row],[NSK Reen]],BASE_DATOS[[#This Row],[NSK]])</f>
        <v>6</v>
      </c>
      <c r="AD172" s="344">
        <f>IFERROR(100%-(BASE_DATOS[[#This Row],[NSK Reen]]/BASE_DATOS[[#This Row],[NSK Original]]),"")</f>
        <v>0.72727272727272729</v>
      </c>
      <c r="AE172" s="344">
        <f>IFERROR(100%-BASE_DATOS[[#This Row],[NSK]]/BASE_DATOS[[#This Row],[NSK Original]],"")</f>
        <v>0.68181818181818188</v>
      </c>
      <c r="AF172" s="344">
        <f>IFERROR(BASE_DATOS[[#This Row],[% Max Des.]]-BASE_DATOS[[#This Row],[% Des]],"")</f>
        <v>4.5454545454545414E-2</v>
      </c>
      <c r="AG172" s="287"/>
      <c r="AH172" s="273"/>
      <c r="AI172" s="363" t="str">
        <f>IF(OR(BASE_DATOS[[#This Row],[Hr.]]="",BASE_DATOS[[#This Row],[Hr. Actual]]=""),"",BASE_DATOS[[#This Row],[Hr. Actual]]-BASE_DATOS[[#This Row],[Hr.]]+BASE_DATOS[[#This Row],[Horas Acumuladas]])</f>
        <v/>
      </c>
      <c r="AJ172" s="364" t="str">
        <f>IFERROR(BASE_DATOS[[#This Row],[Precio US$]]/BASE_DATOS[[#This Row],[Horas Rodadas]],"")</f>
        <v/>
      </c>
      <c r="AK172" s="365" t="str">
        <f>IFERROR(BASE_DATOS[[#This Row],[Horas Rodadas]]/(BASE_DATOS[[#This Row],[NSK Original]]-BASE_DATOS[[#This Row],[NSK]]),"")</f>
        <v/>
      </c>
      <c r="AL17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72" s="366" t="str">
        <f>IFERROR(BASE_DATOS[[#This Row],[Precio US$]]/BASE_DATOS[[#This Row],[Horas Proy.]],"")</f>
        <v/>
      </c>
      <c r="AN172" s="176" t="str">
        <f>IF(OR(BASE_DATOS[[#This Row],[Km.]]="",BASE_DATOS[[#This Row],[Km. Actual]]=""),"",BASE_DATOS[[#This Row],[Km. Actual]]-BASE_DATOS[[#This Row],[Km.]]+BASE_DATOS[[#This Row],[Kilómetros Acumulados]])</f>
        <v/>
      </c>
      <c r="AO172" s="177" t="str">
        <f>IFERROR(BASE_DATOS[[#This Row],[Precio US$]]/BASE_DATOS[[#This Row],[Kilómetros Rodados]],"")</f>
        <v/>
      </c>
      <c r="AP172" s="176" t="str">
        <f>IFERROR(BASE_DATOS[[#This Row],[Kilómetros Rodados]]/(BASE_DATOS[[#This Row],[NSK Original]]-BASE_DATOS[[#This Row],[NSK]]),"")</f>
        <v/>
      </c>
      <c r="AQ17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72" s="177" t="str">
        <f>IFERROR(BASE_DATOS[[#This Row],[Precio US$]]/BASE_DATOS[[#This Row],[Kilómetros Proy.]],"")</f>
        <v/>
      </c>
      <c r="AS172" s="167" t="s">
        <v>62</v>
      </c>
      <c r="AT172" s="167"/>
      <c r="AU172" s="167"/>
      <c r="AV172" s="167"/>
      <c r="AW172" s="179"/>
      <c r="AX172" s="179"/>
      <c r="AY172" s="179" t="str">
        <f>CONCATENATE(BASE_DATOS[[#This Row],[Código_U]]&amp;BASE_DATOS[[#This Row],[Pos.]]&amp;BASE_DATOS[[#This Row],[Situación Actual]])</f>
        <v>TC-1325Rodando</v>
      </c>
    </row>
    <row r="173" spans="1:51" ht="12" x14ac:dyDescent="0.25">
      <c r="A173" s="227" t="s">
        <v>143</v>
      </c>
      <c r="B173" s="217" t="s">
        <v>144</v>
      </c>
      <c r="C173" s="228" t="s">
        <v>296</v>
      </c>
      <c r="D173" s="229" t="s">
        <v>61</v>
      </c>
      <c r="E173" s="255" t="s">
        <v>333</v>
      </c>
      <c r="F173" s="256" t="s">
        <v>273</v>
      </c>
      <c r="G173" s="256" t="s">
        <v>271</v>
      </c>
      <c r="H173" s="257" t="str">
        <f>IF(BASE_DATOS[[#This Row],[N-R]]="N",BASE_DATOS[[#This Row],[Diseño]],"Reencauche")</f>
        <v>XMULTI+Z</v>
      </c>
      <c r="I173" s="256" t="s">
        <v>297</v>
      </c>
      <c r="J173" s="243" t="s">
        <v>72</v>
      </c>
      <c r="K173" s="258">
        <v>16</v>
      </c>
      <c r="L173" s="241">
        <v>110</v>
      </c>
      <c r="M173" s="259"/>
      <c r="N173" s="260"/>
      <c r="O173" s="277"/>
      <c r="P173" s="278"/>
      <c r="Q173" s="279"/>
      <c r="R173" s="309" t="s">
        <v>103</v>
      </c>
      <c r="S173" s="310">
        <v>45384</v>
      </c>
      <c r="T173" s="313"/>
      <c r="U173" s="279"/>
      <c r="V173" s="227">
        <v>6</v>
      </c>
      <c r="W173" s="281"/>
      <c r="X173" s="282">
        <v>7</v>
      </c>
      <c r="Y173" s="293">
        <f t="shared" si="7"/>
        <v>6</v>
      </c>
      <c r="Z173" s="161" t="s">
        <v>85</v>
      </c>
      <c r="AA173" s="342">
        <f>IFERROR(BASE_DATOS[[#This Row],[NSK Original]]-BASE_DATOS[[#This Row],[NSK]]," ")</f>
        <v>10</v>
      </c>
      <c r="AB173" s="343">
        <f>'NSK-TRACTO'!$A$2</f>
        <v>6</v>
      </c>
      <c r="AC173" s="343">
        <f>IF(BASE_DATOS[[#This Row],[NSK]]&gt;=BASE_DATOS[[#This Row],[NSK Reen]],BASE_DATOS[[#This Row],[NSK Reen]],BASE_DATOS[[#This Row],[NSK]])</f>
        <v>6</v>
      </c>
      <c r="AD173" s="344">
        <f>IFERROR(100%-(BASE_DATOS[[#This Row],[NSK Reen]]/BASE_DATOS[[#This Row],[NSK Original]]),"")</f>
        <v>0.625</v>
      </c>
      <c r="AE173" s="344">
        <f>IFERROR(100%-BASE_DATOS[[#This Row],[NSK]]/BASE_DATOS[[#This Row],[NSK Original]],"")</f>
        <v>0.625</v>
      </c>
      <c r="AF173" s="344">
        <f>IFERROR(BASE_DATOS[[#This Row],[% Max Des.]]-BASE_DATOS[[#This Row],[% Des]],"")</f>
        <v>0</v>
      </c>
      <c r="AG173" s="287"/>
      <c r="AH173" s="273"/>
      <c r="AI173" s="363" t="str">
        <f>IF(OR(BASE_DATOS[[#This Row],[Hr.]]="",BASE_DATOS[[#This Row],[Hr. Actual]]=""),"",BASE_DATOS[[#This Row],[Hr. Actual]]-BASE_DATOS[[#This Row],[Hr.]]+BASE_DATOS[[#This Row],[Horas Acumuladas]])</f>
        <v/>
      </c>
      <c r="AJ173" s="364" t="str">
        <f>IFERROR(BASE_DATOS[[#This Row],[Precio US$]]/BASE_DATOS[[#This Row],[Horas Rodadas]],"")</f>
        <v/>
      </c>
      <c r="AK173" s="365" t="str">
        <f>IFERROR(BASE_DATOS[[#This Row],[Horas Rodadas]]/(BASE_DATOS[[#This Row],[NSK Original]]-BASE_DATOS[[#This Row],[NSK]]),"")</f>
        <v/>
      </c>
      <c r="AL17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73" s="366" t="str">
        <f>IFERROR(BASE_DATOS[[#This Row],[Precio US$]]/BASE_DATOS[[#This Row],[Horas Proy.]],"")</f>
        <v/>
      </c>
      <c r="AN173" s="176" t="str">
        <f>IF(OR(BASE_DATOS[[#This Row],[Km.]]="",BASE_DATOS[[#This Row],[Km. Actual]]=""),"",BASE_DATOS[[#This Row],[Km. Actual]]-BASE_DATOS[[#This Row],[Km.]]+BASE_DATOS[[#This Row],[Kilómetros Acumulados]])</f>
        <v/>
      </c>
      <c r="AO173" s="177" t="str">
        <f>IFERROR(BASE_DATOS[[#This Row],[Precio US$]]/BASE_DATOS[[#This Row],[Kilómetros Rodados]],"")</f>
        <v/>
      </c>
      <c r="AP173" s="176" t="str">
        <f>IFERROR(BASE_DATOS[[#This Row],[Kilómetros Rodados]]/(BASE_DATOS[[#This Row],[NSK Original]]-BASE_DATOS[[#This Row],[NSK]]),"")</f>
        <v/>
      </c>
      <c r="AQ17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73" s="177" t="str">
        <f>IFERROR(BASE_DATOS[[#This Row],[Precio US$]]/BASE_DATOS[[#This Row],[Kilómetros Proy.]],"")</f>
        <v/>
      </c>
      <c r="AS173" s="167" t="s">
        <v>62</v>
      </c>
      <c r="AT173" s="167"/>
      <c r="AU173" s="167"/>
      <c r="AV173" s="167"/>
      <c r="AW173" s="179"/>
      <c r="AX173" s="179"/>
      <c r="AY173" s="179" t="str">
        <f>CONCATENATE(BASE_DATOS[[#This Row],[Código_U]]&amp;BASE_DATOS[[#This Row],[Pos.]]&amp;BASE_DATOS[[#This Row],[Situación Actual]])</f>
        <v>TC-1326Rodando</v>
      </c>
    </row>
    <row r="174" spans="1:51" ht="12" x14ac:dyDescent="0.25">
      <c r="A174" s="227" t="s">
        <v>143</v>
      </c>
      <c r="B174" s="217" t="s">
        <v>144</v>
      </c>
      <c r="C174" s="228" t="s">
        <v>296</v>
      </c>
      <c r="D174" s="229" t="s">
        <v>61</v>
      </c>
      <c r="E174" s="255"/>
      <c r="F174" s="256" t="s">
        <v>278</v>
      </c>
      <c r="G174" s="256" t="s">
        <v>271</v>
      </c>
      <c r="H174" s="257" t="str">
        <f>IF(BASE_DATOS[[#This Row],[N-R]]="N",BASE_DATOS[[#This Row],[Diseño]],"Reencauche")</f>
        <v>Reencauche</v>
      </c>
      <c r="I174" s="256" t="s">
        <v>282</v>
      </c>
      <c r="J174" s="243" t="s">
        <v>83</v>
      </c>
      <c r="K174" s="258">
        <v>22</v>
      </c>
      <c r="L174" s="241">
        <v>110</v>
      </c>
      <c r="M174" s="259"/>
      <c r="N174" s="260"/>
      <c r="O174" s="277"/>
      <c r="P174" s="278"/>
      <c r="Q174" s="279"/>
      <c r="R174" s="309" t="s">
        <v>104</v>
      </c>
      <c r="S174" s="310">
        <v>45384</v>
      </c>
      <c r="T174" s="313"/>
      <c r="U174" s="279"/>
      <c r="V174" s="227">
        <v>6</v>
      </c>
      <c r="W174" s="281"/>
      <c r="X174" s="282">
        <v>6</v>
      </c>
      <c r="Y174" s="293">
        <f t="shared" si="7"/>
        <v>6</v>
      </c>
      <c r="Z174" s="161" t="s">
        <v>85</v>
      </c>
      <c r="AA174" s="342">
        <f>IFERROR(BASE_DATOS[[#This Row],[NSK Original]]-BASE_DATOS[[#This Row],[NSK]]," ")</f>
        <v>16</v>
      </c>
      <c r="AB174" s="343">
        <f>'NSK-TRACTO'!$A$2</f>
        <v>6</v>
      </c>
      <c r="AC174" s="343">
        <f>IF(BASE_DATOS[[#This Row],[NSK]]&gt;=BASE_DATOS[[#This Row],[NSK Reen]],BASE_DATOS[[#This Row],[NSK Reen]],BASE_DATOS[[#This Row],[NSK]])</f>
        <v>6</v>
      </c>
      <c r="AD174" s="344">
        <f>IFERROR(100%-(BASE_DATOS[[#This Row],[NSK Reen]]/BASE_DATOS[[#This Row],[NSK Original]]),"")</f>
        <v>0.72727272727272729</v>
      </c>
      <c r="AE174" s="344">
        <f>IFERROR(100%-BASE_DATOS[[#This Row],[NSK]]/BASE_DATOS[[#This Row],[NSK Original]],"")</f>
        <v>0.72727272727272729</v>
      </c>
      <c r="AF174" s="344">
        <f>IFERROR(BASE_DATOS[[#This Row],[% Max Des.]]-BASE_DATOS[[#This Row],[% Des]],"")</f>
        <v>0</v>
      </c>
      <c r="AG174" s="287"/>
      <c r="AH174" s="273"/>
      <c r="AI174" s="363" t="str">
        <f>IF(OR(BASE_DATOS[[#This Row],[Hr.]]="",BASE_DATOS[[#This Row],[Hr. Actual]]=""),"",BASE_DATOS[[#This Row],[Hr. Actual]]-BASE_DATOS[[#This Row],[Hr.]]+BASE_DATOS[[#This Row],[Horas Acumuladas]])</f>
        <v/>
      </c>
      <c r="AJ174" s="364" t="str">
        <f>IFERROR(BASE_DATOS[[#This Row],[Precio US$]]/BASE_DATOS[[#This Row],[Horas Rodadas]],"")</f>
        <v/>
      </c>
      <c r="AK174" s="365" t="str">
        <f>IFERROR(BASE_DATOS[[#This Row],[Horas Rodadas]]/(BASE_DATOS[[#This Row],[NSK Original]]-BASE_DATOS[[#This Row],[NSK]]),"")</f>
        <v/>
      </c>
      <c r="AL17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74" s="366" t="str">
        <f>IFERROR(BASE_DATOS[[#This Row],[Precio US$]]/BASE_DATOS[[#This Row],[Horas Proy.]],"")</f>
        <v/>
      </c>
      <c r="AN174" s="176" t="str">
        <f>IF(OR(BASE_DATOS[[#This Row],[Km.]]="",BASE_DATOS[[#This Row],[Km. Actual]]=""),"",BASE_DATOS[[#This Row],[Km. Actual]]-BASE_DATOS[[#This Row],[Km.]]+BASE_DATOS[[#This Row],[Kilómetros Acumulados]])</f>
        <v/>
      </c>
      <c r="AO174" s="177" t="str">
        <f>IFERROR(BASE_DATOS[[#This Row],[Precio US$]]/BASE_DATOS[[#This Row],[Kilómetros Rodados]],"")</f>
        <v/>
      </c>
      <c r="AP174" s="176" t="str">
        <f>IFERROR(BASE_DATOS[[#This Row],[Kilómetros Rodados]]/(BASE_DATOS[[#This Row],[NSK Original]]-BASE_DATOS[[#This Row],[NSK]]),"")</f>
        <v/>
      </c>
      <c r="AQ17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74" s="177" t="str">
        <f>IFERROR(BASE_DATOS[[#This Row],[Precio US$]]/BASE_DATOS[[#This Row],[Kilómetros Proy.]],"")</f>
        <v/>
      </c>
      <c r="AS174" s="167" t="s">
        <v>62</v>
      </c>
      <c r="AT174" s="167"/>
      <c r="AU174" s="167"/>
      <c r="AV174" s="167"/>
      <c r="AW174" s="179"/>
      <c r="AX174" s="179"/>
      <c r="AY174" s="179" t="str">
        <f>CONCATENATE(BASE_DATOS[[#This Row],[Código_U]]&amp;BASE_DATOS[[#This Row],[Pos.]]&amp;BASE_DATOS[[#This Row],[Situación Actual]])</f>
        <v>TC-1327Rodando</v>
      </c>
    </row>
    <row r="175" spans="1:51" ht="12" x14ac:dyDescent="0.25">
      <c r="A175" s="227" t="s">
        <v>143</v>
      </c>
      <c r="B175" s="217" t="s">
        <v>144</v>
      </c>
      <c r="C175" s="228" t="s">
        <v>296</v>
      </c>
      <c r="D175" s="229" t="s">
        <v>61</v>
      </c>
      <c r="E175" s="255"/>
      <c r="F175" s="256" t="s">
        <v>278</v>
      </c>
      <c r="G175" s="256" t="s">
        <v>271</v>
      </c>
      <c r="H175" s="257" t="str">
        <f>IF(BASE_DATOS[[#This Row],[N-R]]="N",BASE_DATOS[[#This Row],[Diseño]],"Reencauche")</f>
        <v>Reencauche</v>
      </c>
      <c r="I175" s="256" t="s">
        <v>282</v>
      </c>
      <c r="J175" s="243" t="s">
        <v>82</v>
      </c>
      <c r="K175" s="258">
        <v>22</v>
      </c>
      <c r="L175" s="241">
        <v>110</v>
      </c>
      <c r="M175" s="259"/>
      <c r="N175" s="260"/>
      <c r="O175" s="277"/>
      <c r="P175" s="278"/>
      <c r="Q175" s="279"/>
      <c r="R175" s="309" t="s">
        <v>105</v>
      </c>
      <c r="S175" s="310">
        <v>45384</v>
      </c>
      <c r="T175" s="313"/>
      <c r="U175" s="279"/>
      <c r="V175" s="227">
        <v>5</v>
      </c>
      <c r="W175" s="281"/>
      <c r="X175" s="282">
        <v>4</v>
      </c>
      <c r="Y175" s="293">
        <f t="shared" si="7"/>
        <v>4</v>
      </c>
      <c r="Z175" s="161" t="s">
        <v>85</v>
      </c>
      <c r="AA175" s="342">
        <f>IFERROR(BASE_DATOS[[#This Row],[NSK Original]]-BASE_DATOS[[#This Row],[NSK]]," ")</f>
        <v>18</v>
      </c>
      <c r="AB175" s="343">
        <f>'NSK-TRACTO'!$A$2</f>
        <v>6</v>
      </c>
      <c r="AC175" s="343">
        <f>IF(BASE_DATOS[[#This Row],[NSK]]&gt;=BASE_DATOS[[#This Row],[NSK Reen]],BASE_DATOS[[#This Row],[NSK Reen]],BASE_DATOS[[#This Row],[NSK]])</f>
        <v>4</v>
      </c>
      <c r="AD175" s="344">
        <f>IFERROR(100%-(BASE_DATOS[[#This Row],[NSK Reen]]/BASE_DATOS[[#This Row],[NSK Original]]),"")</f>
        <v>0.72727272727272729</v>
      </c>
      <c r="AE175" s="344">
        <f>IFERROR(100%-BASE_DATOS[[#This Row],[NSK]]/BASE_DATOS[[#This Row],[NSK Original]],"")</f>
        <v>0.81818181818181812</v>
      </c>
      <c r="AF175" s="344">
        <f>IFERROR(BASE_DATOS[[#This Row],[% Max Des.]]-BASE_DATOS[[#This Row],[% Des]],"")</f>
        <v>-9.0909090909090828E-2</v>
      </c>
      <c r="AG175" s="287"/>
      <c r="AH175" s="273"/>
      <c r="AI175" s="363" t="str">
        <f>IF(OR(BASE_DATOS[[#This Row],[Hr.]]="",BASE_DATOS[[#This Row],[Hr. Actual]]=""),"",BASE_DATOS[[#This Row],[Hr. Actual]]-BASE_DATOS[[#This Row],[Hr.]]+BASE_DATOS[[#This Row],[Horas Acumuladas]])</f>
        <v/>
      </c>
      <c r="AJ175" s="364" t="str">
        <f>IFERROR(BASE_DATOS[[#This Row],[Precio US$]]/BASE_DATOS[[#This Row],[Horas Rodadas]],"")</f>
        <v/>
      </c>
      <c r="AK175" s="365" t="str">
        <f>IFERROR(BASE_DATOS[[#This Row],[Horas Rodadas]]/(BASE_DATOS[[#This Row],[NSK Original]]-BASE_DATOS[[#This Row],[NSK]]),"")</f>
        <v/>
      </c>
      <c r="AL17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75" s="366" t="str">
        <f>IFERROR(BASE_DATOS[[#This Row],[Precio US$]]/BASE_DATOS[[#This Row],[Horas Proy.]],"")</f>
        <v/>
      </c>
      <c r="AN175" s="176" t="str">
        <f>IF(OR(BASE_DATOS[[#This Row],[Km.]]="",BASE_DATOS[[#This Row],[Km. Actual]]=""),"",BASE_DATOS[[#This Row],[Km. Actual]]-BASE_DATOS[[#This Row],[Km.]]+BASE_DATOS[[#This Row],[Kilómetros Acumulados]])</f>
        <v/>
      </c>
      <c r="AO175" s="177" t="str">
        <f>IFERROR(BASE_DATOS[[#This Row],[Precio US$]]/BASE_DATOS[[#This Row],[Kilómetros Rodados]],"")</f>
        <v/>
      </c>
      <c r="AP175" s="176" t="str">
        <f>IFERROR(BASE_DATOS[[#This Row],[Kilómetros Rodados]]/(BASE_DATOS[[#This Row],[NSK Original]]-BASE_DATOS[[#This Row],[NSK]]),"")</f>
        <v/>
      </c>
      <c r="AQ17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75" s="177" t="str">
        <f>IFERROR(BASE_DATOS[[#This Row],[Precio US$]]/BASE_DATOS[[#This Row],[Kilómetros Proy.]],"")</f>
        <v/>
      </c>
      <c r="AS175" s="167" t="s">
        <v>62</v>
      </c>
      <c r="AT175" s="167"/>
      <c r="AU175" s="167"/>
      <c r="AV175" s="167"/>
      <c r="AW175" s="179"/>
      <c r="AX175" s="179"/>
      <c r="AY175" s="179" t="str">
        <f>CONCATENATE(BASE_DATOS[[#This Row],[Código_U]]&amp;BASE_DATOS[[#This Row],[Pos.]]&amp;BASE_DATOS[[#This Row],[Situación Actual]])</f>
        <v>TC-1328Rodando</v>
      </c>
    </row>
    <row r="176" spans="1:51" ht="12" x14ac:dyDescent="0.25">
      <c r="A176" s="227" t="s">
        <v>143</v>
      </c>
      <c r="B176" s="217" t="s">
        <v>144</v>
      </c>
      <c r="C176" s="228" t="s">
        <v>296</v>
      </c>
      <c r="D176" s="229" t="s">
        <v>61</v>
      </c>
      <c r="E176" s="255" t="s">
        <v>362</v>
      </c>
      <c r="F176" s="256" t="s">
        <v>273</v>
      </c>
      <c r="G176" s="256" t="s">
        <v>271</v>
      </c>
      <c r="H176" s="257" t="str">
        <f>IF(BASE_DATOS[[#This Row],[N-R]]="N",BASE_DATOS[[#This Row],[Diseño]],"Reencauche")</f>
        <v>Reencauche</v>
      </c>
      <c r="I176" s="256" t="s">
        <v>282</v>
      </c>
      <c r="J176" s="243" t="s">
        <v>82</v>
      </c>
      <c r="K176" s="258">
        <v>22</v>
      </c>
      <c r="L176" s="241">
        <v>110</v>
      </c>
      <c r="M176" s="259"/>
      <c r="N176" s="260"/>
      <c r="O176" s="277"/>
      <c r="P176" s="278"/>
      <c r="Q176" s="279"/>
      <c r="R176" s="309" t="s">
        <v>106</v>
      </c>
      <c r="S176" s="310">
        <v>45384</v>
      </c>
      <c r="T176" s="313"/>
      <c r="U176" s="279"/>
      <c r="V176" s="227">
        <v>10</v>
      </c>
      <c r="W176" s="281"/>
      <c r="X176" s="282">
        <v>10</v>
      </c>
      <c r="Y176" s="293">
        <f t="shared" si="7"/>
        <v>10</v>
      </c>
      <c r="Z176" s="161" t="s">
        <v>85</v>
      </c>
      <c r="AA176" s="342">
        <f>IFERROR(BASE_DATOS[[#This Row],[NSK Original]]-BASE_DATOS[[#This Row],[NSK]]," ")</f>
        <v>12</v>
      </c>
      <c r="AB176" s="343">
        <f>'NSK-TRACTO'!$A$2</f>
        <v>6</v>
      </c>
      <c r="AC176" s="343">
        <f>IF(BASE_DATOS[[#This Row],[NSK]]&gt;=BASE_DATOS[[#This Row],[NSK Reen]],BASE_DATOS[[#This Row],[NSK Reen]],BASE_DATOS[[#This Row],[NSK]])</f>
        <v>6</v>
      </c>
      <c r="AD176" s="344">
        <f>IFERROR(100%-(BASE_DATOS[[#This Row],[NSK Reen]]/BASE_DATOS[[#This Row],[NSK Original]]),"")</f>
        <v>0.72727272727272729</v>
      </c>
      <c r="AE176" s="344">
        <f>IFERROR(100%-BASE_DATOS[[#This Row],[NSK]]/BASE_DATOS[[#This Row],[NSK Original]],"")</f>
        <v>0.54545454545454541</v>
      </c>
      <c r="AF176" s="344">
        <f>IFERROR(BASE_DATOS[[#This Row],[% Max Des.]]-BASE_DATOS[[#This Row],[% Des]],"")</f>
        <v>0.18181818181818188</v>
      </c>
      <c r="AG176" s="287"/>
      <c r="AH176" s="273"/>
      <c r="AI176" s="363" t="str">
        <f>IF(OR(BASE_DATOS[[#This Row],[Hr.]]="",BASE_DATOS[[#This Row],[Hr. Actual]]=""),"",BASE_DATOS[[#This Row],[Hr. Actual]]-BASE_DATOS[[#This Row],[Hr.]]+BASE_DATOS[[#This Row],[Horas Acumuladas]])</f>
        <v/>
      </c>
      <c r="AJ176" s="364" t="str">
        <f>IFERROR(BASE_DATOS[[#This Row],[Precio US$]]/BASE_DATOS[[#This Row],[Horas Rodadas]],"")</f>
        <v/>
      </c>
      <c r="AK176" s="365" t="str">
        <f>IFERROR(BASE_DATOS[[#This Row],[Horas Rodadas]]/(BASE_DATOS[[#This Row],[NSK Original]]-BASE_DATOS[[#This Row],[NSK]]),"")</f>
        <v/>
      </c>
      <c r="AL17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76" s="366" t="str">
        <f>IFERROR(BASE_DATOS[[#This Row],[Precio US$]]/BASE_DATOS[[#This Row],[Horas Proy.]],"")</f>
        <v/>
      </c>
      <c r="AN176" s="176" t="str">
        <f>IF(OR(BASE_DATOS[[#This Row],[Km.]]="",BASE_DATOS[[#This Row],[Km. Actual]]=""),"",BASE_DATOS[[#This Row],[Km. Actual]]-BASE_DATOS[[#This Row],[Km.]]+BASE_DATOS[[#This Row],[Kilómetros Acumulados]])</f>
        <v/>
      </c>
      <c r="AO176" s="177" t="str">
        <f>IFERROR(BASE_DATOS[[#This Row],[Precio US$]]/BASE_DATOS[[#This Row],[Kilómetros Rodados]],"")</f>
        <v/>
      </c>
      <c r="AP176" s="176" t="str">
        <f>IFERROR(BASE_DATOS[[#This Row],[Kilómetros Rodados]]/(BASE_DATOS[[#This Row],[NSK Original]]-BASE_DATOS[[#This Row],[NSK]]),"")</f>
        <v/>
      </c>
      <c r="AQ17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76" s="177" t="str">
        <f>IFERROR(BASE_DATOS[[#This Row],[Precio US$]]/BASE_DATOS[[#This Row],[Kilómetros Proy.]],"")</f>
        <v/>
      </c>
      <c r="AS176" s="167" t="s">
        <v>62</v>
      </c>
      <c r="AT176" s="167"/>
      <c r="AU176" s="167"/>
      <c r="AV176" s="167"/>
      <c r="AW176" s="179"/>
      <c r="AX176" s="179"/>
      <c r="AY176" s="179" t="str">
        <f>CONCATENATE(BASE_DATOS[[#This Row],[Código_U]]&amp;BASE_DATOS[[#This Row],[Pos.]]&amp;BASE_DATOS[[#This Row],[Situación Actual]])</f>
        <v>TC-1329Rodando</v>
      </c>
    </row>
    <row r="177" spans="1:51" ht="12" x14ac:dyDescent="0.25">
      <c r="A177" s="227" t="s">
        <v>143</v>
      </c>
      <c r="B177" s="217" t="s">
        <v>144</v>
      </c>
      <c r="C177" s="228" t="s">
        <v>296</v>
      </c>
      <c r="D177" s="229" t="s">
        <v>61</v>
      </c>
      <c r="E177" s="255" t="s">
        <v>334</v>
      </c>
      <c r="F177" s="256" t="s">
        <v>273</v>
      </c>
      <c r="G177" s="256" t="s">
        <v>271</v>
      </c>
      <c r="H177" s="257" t="str">
        <f>IF(BASE_DATOS[[#This Row],[N-R]]="N",BASE_DATOS[[#This Row],[Diseño]],"Reencauche")</f>
        <v>Reencauche</v>
      </c>
      <c r="I177" s="256" t="s">
        <v>282</v>
      </c>
      <c r="J177" s="243" t="s">
        <v>82</v>
      </c>
      <c r="K177" s="258">
        <v>22</v>
      </c>
      <c r="L177" s="241">
        <v>110</v>
      </c>
      <c r="M177" s="259"/>
      <c r="N177" s="260"/>
      <c r="O177" s="277"/>
      <c r="P177" s="278"/>
      <c r="Q177" s="279"/>
      <c r="R177" s="309" t="s">
        <v>107</v>
      </c>
      <c r="S177" s="310">
        <v>45384</v>
      </c>
      <c r="T177" s="313"/>
      <c r="U177" s="279"/>
      <c r="V177" s="227">
        <v>8</v>
      </c>
      <c r="W177" s="281"/>
      <c r="X177" s="282">
        <v>7</v>
      </c>
      <c r="Y177" s="293">
        <f t="shared" si="7"/>
        <v>7</v>
      </c>
      <c r="Z177" s="161" t="s">
        <v>85</v>
      </c>
      <c r="AA177" s="342">
        <f>IFERROR(BASE_DATOS[[#This Row],[NSK Original]]-BASE_DATOS[[#This Row],[NSK]]," ")</f>
        <v>15</v>
      </c>
      <c r="AB177" s="343">
        <f>'NSK-TRACTO'!$A$2</f>
        <v>6</v>
      </c>
      <c r="AC177" s="343">
        <f>IF(BASE_DATOS[[#This Row],[NSK]]&gt;=BASE_DATOS[[#This Row],[NSK Reen]],BASE_DATOS[[#This Row],[NSK Reen]],BASE_DATOS[[#This Row],[NSK]])</f>
        <v>6</v>
      </c>
      <c r="AD177" s="344">
        <f>IFERROR(100%-(BASE_DATOS[[#This Row],[NSK Reen]]/BASE_DATOS[[#This Row],[NSK Original]]),"")</f>
        <v>0.72727272727272729</v>
      </c>
      <c r="AE177" s="344">
        <f>IFERROR(100%-BASE_DATOS[[#This Row],[NSK]]/BASE_DATOS[[#This Row],[NSK Original]],"")</f>
        <v>0.68181818181818188</v>
      </c>
      <c r="AF177" s="344">
        <f>IFERROR(BASE_DATOS[[#This Row],[% Max Des.]]-BASE_DATOS[[#This Row],[% Des]],"")</f>
        <v>4.5454545454545414E-2</v>
      </c>
      <c r="AG177" s="287"/>
      <c r="AH177" s="273"/>
      <c r="AI177" s="363" t="str">
        <f>IF(OR(BASE_DATOS[[#This Row],[Hr.]]="",BASE_DATOS[[#This Row],[Hr. Actual]]=""),"",BASE_DATOS[[#This Row],[Hr. Actual]]-BASE_DATOS[[#This Row],[Hr.]]+BASE_DATOS[[#This Row],[Horas Acumuladas]])</f>
        <v/>
      </c>
      <c r="AJ177" s="364" t="str">
        <f>IFERROR(BASE_DATOS[[#This Row],[Precio US$]]/BASE_DATOS[[#This Row],[Horas Rodadas]],"")</f>
        <v/>
      </c>
      <c r="AK177" s="365" t="str">
        <f>IFERROR(BASE_DATOS[[#This Row],[Horas Rodadas]]/(BASE_DATOS[[#This Row],[NSK Original]]-BASE_DATOS[[#This Row],[NSK]]),"")</f>
        <v/>
      </c>
      <c r="AL17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77" s="366" t="str">
        <f>IFERROR(BASE_DATOS[[#This Row],[Precio US$]]/BASE_DATOS[[#This Row],[Horas Proy.]],"")</f>
        <v/>
      </c>
      <c r="AN177" s="176" t="str">
        <f>IF(OR(BASE_DATOS[[#This Row],[Km.]]="",BASE_DATOS[[#This Row],[Km. Actual]]=""),"",BASE_DATOS[[#This Row],[Km. Actual]]-BASE_DATOS[[#This Row],[Km.]]+BASE_DATOS[[#This Row],[Kilómetros Acumulados]])</f>
        <v/>
      </c>
      <c r="AO177" s="177" t="str">
        <f>IFERROR(BASE_DATOS[[#This Row],[Precio US$]]/BASE_DATOS[[#This Row],[Kilómetros Rodados]],"")</f>
        <v/>
      </c>
      <c r="AP177" s="176" t="str">
        <f>IFERROR(BASE_DATOS[[#This Row],[Kilómetros Rodados]]/(BASE_DATOS[[#This Row],[NSK Original]]-BASE_DATOS[[#This Row],[NSK]]),"")</f>
        <v/>
      </c>
      <c r="AQ17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77" s="177" t="str">
        <f>IFERROR(BASE_DATOS[[#This Row],[Precio US$]]/BASE_DATOS[[#This Row],[Kilómetros Proy.]],"")</f>
        <v/>
      </c>
      <c r="AS177" s="167" t="s">
        <v>62</v>
      </c>
      <c r="AT177" s="167"/>
      <c r="AU177" s="167"/>
      <c r="AV177" s="167"/>
      <c r="AW177" s="179"/>
      <c r="AX177" s="179"/>
      <c r="AY177" s="179" t="str">
        <f>CONCATENATE(BASE_DATOS[[#This Row],[Código_U]]&amp;BASE_DATOS[[#This Row],[Pos.]]&amp;BASE_DATOS[[#This Row],[Situación Actual]])</f>
        <v>TC-13210Rodando</v>
      </c>
    </row>
    <row r="178" spans="1:51" ht="12" x14ac:dyDescent="0.25">
      <c r="A178" s="224" t="s">
        <v>145</v>
      </c>
      <c r="B178" s="213" t="s">
        <v>146</v>
      </c>
      <c r="C178" s="225" t="s">
        <v>296</v>
      </c>
      <c r="D178" s="226" t="s">
        <v>86</v>
      </c>
      <c r="E178" s="249"/>
      <c r="F178" s="250" t="s">
        <v>273</v>
      </c>
      <c r="G178" s="250" t="s">
        <v>271</v>
      </c>
      <c r="H178" s="251" t="str">
        <f>IF(BASE_DATOS[[#This Row],[N-R]]="N",BASE_DATOS[[#This Row],[Diseño]],"Reencauche")</f>
        <v>XMULTI+Z</v>
      </c>
      <c r="I178" s="250" t="s">
        <v>297</v>
      </c>
      <c r="J178" s="235" t="s">
        <v>72</v>
      </c>
      <c r="K178" s="252">
        <v>16</v>
      </c>
      <c r="L178" s="233">
        <v>100</v>
      </c>
      <c r="M178" s="253"/>
      <c r="N178" s="254"/>
      <c r="O178" s="274"/>
      <c r="P178" s="275"/>
      <c r="Q178" s="276"/>
      <c r="R178" s="305" t="s">
        <v>98</v>
      </c>
      <c r="S178" s="306">
        <v>45385</v>
      </c>
      <c r="T178" s="314"/>
      <c r="U178" s="276"/>
      <c r="V178" s="224">
        <v>6</v>
      </c>
      <c r="W178" s="325">
        <v>8</v>
      </c>
      <c r="X178" s="326">
        <v>7</v>
      </c>
      <c r="Y178" s="292">
        <f t="shared" si="7"/>
        <v>6</v>
      </c>
      <c r="Z178" s="194" t="s">
        <v>85</v>
      </c>
      <c r="AA178" s="339">
        <f>IFERROR(BASE_DATOS[[#This Row],[NSK Original]]-BASE_DATOS[[#This Row],[NSK]]," ")</f>
        <v>10</v>
      </c>
      <c r="AB178" s="340">
        <f>'NSK-TRACTO'!$A$2</f>
        <v>6</v>
      </c>
      <c r="AC178" s="340">
        <f>IF(BASE_DATOS[[#This Row],[NSK]]&gt;=BASE_DATOS[[#This Row],[NSK Reen]],BASE_DATOS[[#This Row],[NSK Reen]],BASE_DATOS[[#This Row],[NSK]])</f>
        <v>6</v>
      </c>
      <c r="AD178" s="341">
        <f>IFERROR(100%-(BASE_DATOS[[#This Row],[NSK Reen]]/BASE_DATOS[[#This Row],[NSK Original]]),"")</f>
        <v>0.625</v>
      </c>
      <c r="AE178" s="341">
        <f>IFERROR(100%-BASE_DATOS[[#This Row],[NSK]]/BASE_DATOS[[#This Row],[NSK Original]],"")</f>
        <v>0.625</v>
      </c>
      <c r="AF178" s="341">
        <f>IFERROR(BASE_DATOS[[#This Row],[% Max Des.]]-BASE_DATOS[[#This Row],[% Des]],"")</f>
        <v>0</v>
      </c>
      <c r="AG178" s="284"/>
      <c r="AH178" s="335"/>
      <c r="AI178" s="359" t="str">
        <f>IF(OR(BASE_DATOS[[#This Row],[Hr.]]="",BASE_DATOS[[#This Row],[Hr. Actual]]=""),"",BASE_DATOS[[#This Row],[Hr. Actual]]-BASE_DATOS[[#This Row],[Hr.]]+BASE_DATOS[[#This Row],[Horas Acumuladas]])</f>
        <v/>
      </c>
      <c r="AJ178" s="360" t="str">
        <f>IFERROR(BASE_DATOS[[#This Row],[Precio US$]]/BASE_DATOS[[#This Row],[Horas Rodadas]],"")</f>
        <v/>
      </c>
      <c r="AK178" s="361" t="str">
        <f>IFERROR(BASE_DATOS[[#This Row],[Horas Rodadas]]/(BASE_DATOS[[#This Row],[NSK Original]]-BASE_DATOS[[#This Row],[NSK]]),"")</f>
        <v/>
      </c>
      <c r="AL178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78" s="362" t="str">
        <f>IFERROR(BASE_DATOS[[#This Row],[Precio US$]]/BASE_DATOS[[#This Row],[Horas Proy.]],"")</f>
        <v/>
      </c>
      <c r="AN178" s="195" t="str">
        <f>IF(OR(BASE_DATOS[[#This Row],[Km.]]="",BASE_DATOS[[#This Row],[Km. Actual]]=""),"",BASE_DATOS[[#This Row],[Km. Actual]]-BASE_DATOS[[#This Row],[Km.]]+BASE_DATOS[[#This Row],[Kilómetros Acumulados]])</f>
        <v/>
      </c>
      <c r="AO178" s="196" t="str">
        <f>IFERROR(BASE_DATOS[[#This Row],[Precio US$]]/BASE_DATOS[[#This Row],[Kilómetros Rodados]],"")</f>
        <v/>
      </c>
      <c r="AP178" s="195" t="str">
        <f>IFERROR(BASE_DATOS[[#This Row],[Kilómetros Rodados]]/(BASE_DATOS[[#This Row],[NSK Original]]-BASE_DATOS[[#This Row],[NSK]]),"")</f>
        <v/>
      </c>
      <c r="AQ178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78" s="196" t="str">
        <f>IFERROR(BASE_DATOS[[#This Row],[Precio US$]]/BASE_DATOS[[#This Row],[Kilómetros Proy.]],"")</f>
        <v/>
      </c>
      <c r="AS178" s="191" t="s">
        <v>62</v>
      </c>
      <c r="AT178" s="191"/>
      <c r="AU178" s="191" t="s">
        <v>515</v>
      </c>
      <c r="AV178" s="191"/>
      <c r="AW178" s="198"/>
      <c r="AX178" s="192" t="s">
        <v>371</v>
      </c>
      <c r="AY178" s="192" t="str">
        <f>CONCATENATE(BASE_DATOS[[#This Row],[Código_U]]&amp;BASE_DATOS[[#This Row],[Pos.]]&amp;BASE_DATOS[[#This Row],[Situación Actual]])</f>
        <v>TC-1341Rodando</v>
      </c>
    </row>
    <row r="179" spans="1:51" ht="12" x14ac:dyDescent="0.25">
      <c r="A179" s="227" t="s">
        <v>145</v>
      </c>
      <c r="B179" s="217" t="s">
        <v>146</v>
      </c>
      <c r="C179" s="228" t="s">
        <v>296</v>
      </c>
      <c r="D179" s="229" t="s">
        <v>86</v>
      </c>
      <c r="E179" s="255"/>
      <c r="F179" s="256" t="s">
        <v>273</v>
      </c>
      <c r="G179" s="256" t="s">
        <v>271</v>
      </c>
      <c r="H179" s="257" t="str">
        <f>IF(BASE_DATOS[[#This Row],[N-R]]="N",BASE_DATOS[[#This Row],[Diseño]],"Reencauche")</f>
        <v>XMULTI+Z</v>
      </c>
      <c r="I179" s="256" t="s">
        <v>297</v>
      </c>
      <c r="J179" s="243" t="s">
        <v>72</v>
      </c>
      <c r="K179" s="258">
        <v>16</v>
      </c>
      <c r="L179" s="241">
        <v>100</v>
      </c>
      <c r="M179" s="259"/>
      <c r="N179" s="260"/>
      <c r="O179" s="277"/>
      <c r="P179" s="278"/>
      <c r="Q179" s="279"/>
      <c r="R179" s="309" t="s">
        <v>99</v>
      </c>
      <c r="S179" s="310">
        <v>45385</v>
      </c>
      <c r="T179" s="313"/>
      <c r="U179" s="279"/>
      <c r="V179" s="227">
        <v>10</v>
      </c>
      <c r="W179" s="281">
        <v>12</v>
      </c>
      <c r="X179" s="282">
        <v>11</v>
      </c>
      <c r="Y179" s="293">
        <f t="shared" si="7"/>
        <v>10</v>
      </c>
      <c r="Z179" s="161" t="s">
        <v>73</v>
      </c>
      <c r="AA179" s="342">
        <f>IFERROR(BASE_DATOS[[#This Row],[NSK Original]]-BASE_DATOS[[#This Row],[NSK]]," ")</f>
        <v>6</v>
      </c>
      <c r="AB179" s="343">
        <f>'NSK-TRACTO'!$A$2</f>
        <v>6</v>
      </c>
      <c r="AC179" s="343">
        <f>IF(BASE_DATOS[[#This Row],[NSK]]&gt;=BASE_DATOS[[#This Row],[NSK Reen]],BASE_DATOS[[#This Row],[NSK Reen]],BASE_DATOS[[#This Row],[NSK]])</f>
        <v>6</v>
      </c>
      <c r="AD179" s="344">
        <f>IFERROR(100%-(BASE_DATOS[[#This Row],[NSK Reen]]/BASE_DATOS[[#This Row],[NSK Original]]),"")</f>
        <v>0.625</v>
      </c>
      <c r="AE179" s="344">
        <f>IFERROR(100%-BASE_DATOS[[#This Row],[NSK]]/BASE_DATOS[[#This Row],[NSK Original]],"")</f>
        <v>0.375</v>
      </c>
      <c r="AF179" s="344">
        <f>IFERROR(BASE_DATOS[[#This Row],[% Max Des.]]-BASE_DATOS[[#This Row],[% Des]],"")</f>
        <v>0.25</v>
      </c>
      <c r="AG179" s="287"/>
      <c r="AH179" s="273"/>
      <c r="AI179" s="363" t="str">
        <f>IF(OR(BASE_DATOS[[#This Row],[Hr.]]="",BASE_DATOS[[#This Row],[Hr. Actual]]=""),"",BASE_DATOS[[#This Row],[Hr. Actual]]-BASE_DATOS[[#This Row],[Hr.]]+BASE_DATOS[[#This Row],[Horas Acumuladas]])</f>
        <v/>
      </c>
      <c r="AJ179" s="364" t="str">
        <f>IFERROR(BASE_DATOS[[#This Row],[Precio US$]]/BASE_DATOS[[#This Row],[Horas Rodadas]],"")</f>
        <v/>
      </c>
      <c r="AK179" s="365" t="str">
        <f>IFERROR(BASE_DATOS[[#This Row],[Horas Rodadas]]/(BASE_DATOS[[#This Row],[NSK Original]]-BASE_DATOS[[#This Row],[NSK]]),"")</f>
        <v/>
      </c>
      <c r="AL17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79" s="366" t="str">
        <f>IFERROR(BASE_DATOS[[#This Row],[Precio US$]]/BASE_DATOS[[#This Row],[Horas Proy.]],"")</f>
        <v/>
      </c>
      <c r="AN179" s="176" t="str">
        <f>IF(OR(BASE_DATOS[[#This Row],[Km.]]="",BASE_DATOS[[#This Row],[Km. Actual]]=""),"",BASE_DATOS[[#This Row],[Km. Actual]]-BASE_DATOS[[#This Row],[Km.]]+BASE_DATOS[[#This Row],[Kilómetros Acumulados]])</f>
        <v/>
      </c>
      <c r="AO179" s="177" t="str">
        <f>IFERROR(BASE_DATOS[[#This Row],[Precio US$]]/BASE_DATOS[[#This Row],[Kilómetros Rodados]],"")</f>
        <v/>
      </c>
      <c r="AP179" s="176" t="str">
        <f>IFERROR(BASE_DATOS[[#This Row],[Kilómetros Rodados]]/(BASE_DATOS[[#This Row],[NSK Original]]-BASE_DATOS[[#This Row],[NSK]]),"")</f>
        <v/>
      </c>
      <c r="AQ17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79" s="177" t="str">
        <f>IFERROR(BASE_DATOS[[#This Row],[Precio US$]]/BASE_DATOS[[#This Row],[Kilómetros Proy.]],"")</f>
        <v/>
      </c>
      <c r="AS179" s="167" t="s">
        <v>62</v>
      </c>
      <c r="AT179" s="167"/>
      <c r="AU179" s="167" t="s">
        <v>515</v>
      </c>
      <c r="AV179" s="167"/>
      <c r="AW179" s="179"/>
      <c r="AX179" s="169" t="s">
        <v>371</v>
      </c>
      <c r="AY179" s="169" t="str">
        <f>CONCATENATE(BASE_DATOS[[#This Row],[Código_U]]&amp;BASE_DATOS[[#This Row],[Pos.]]&amp;BASE_DATOS[[#This Row],[Situación Actual]])</f>
        <v>TC-1342Rodando</v>
      </c>
    </row>
    <row r="180" spans="1:51" ht="12" x14ac:dyDescent="0.25">
      <c r="A180" s="227" t="s">
        <v>145</v>
      </c>
      <c r="B180" s="217" t="s">
        <v>146</v>
      </c>
      <c r="C180" s="228" t="s">
        <v>296</v>
      </c>
      <c r="D180" s="229" t="s">
        <v>61</v>
      </c>
      <c r="E180" s="255"/>
      <c r="F180" s="256" t="s">
        <v>273</v>
      </c>
      <c r="G180" s="256" t="s">
        <v>271</v>
      </c>
      <c r="H180" s="257" t="str">
        <f>IF(BASE_DATOS[[#This Row],[N-R]]="N",BASE_DATOS[[#This Row],[Diseño]],"Reencauche")</f>
        <v>Reencauche</v>
      </c>
      <c r="I180" s="256" t="s">
        <v>282</v>
      </c>
      <c r="J180" s="243" t="s">
        <v>82</v>
      </c>
      <c r="K180" s="258">
        <v>22</v>
      </c>
      <c r="L180" s="241">
        <v>110</v>
      </c>
      <c r="M180" s="259"/>
      <c r="N180" s="260"/>
      <c r="O180" s="277"/>
      <c r="P180" s="278"/>
      <c r="Q180" s="279"/>
      <c r="R180" s="309" t="s">
        <v>100</v>
      </c>
      <c r="S180" s="310">
        <v>45385</v>
      </c>
      <c r="T180" s="313"/>
      <c r="U180" s="279"/>
      <c r="V180" s="227">
        <v>12</v>
      </c>
      <c r="W180" s="281"/>
      <c r="X180" s="282">
        <v>12</v>
      </c>
      <c r="Y180" s="293">
        <f t="shared" si="7"/>
        <v>12</v>
      </c>
      <c r="Z180" s="175" t="s">
        <v>85</v>
      </c>
      <c r="AA180" s="342">
        <f>IFERROR(BASE_DATOS[[#This Row],[NSK Original]]-BASE_DATOS[[#This Row],[NSK]]," ")</f>
        <v>10</v>
      </c>
      <c r="AB180" s="343">
        <f>'NSK-TRACTO'!$A$2</f>
        <v>6</v>
      </c>
      <c r="AC180" s="343">
        <f>IF(BASE_DATOS[[#This Row],[NSK]]&gt;=BASE_DATOS[[#This Row],[NSK Reen]],BASE_DATOS[[#This Row],[NSK Reen]],BASE_DATOS[[#This Row],[NSK]])</f>
        <v>6</v>
      </c>
      <c r="AD180" s="344">
        <f>IFERROR(100%-(BASE_DATOS[[#This Row],[NSK Reen]]/BASE_DATOS[[#This Row],[NSK Original]]),"")</f>
        <v>0.72727272727272729</v>
      </c>
      <c r="AE180" s="344">
        <f>IFERROR(100%-BASE_DATOS[[#This Row],[NSK]]/BASE_DATOS[[#This Row],[NSK Original]],"")</f>
        <v>0.45454545454545459</v>
      </c>
      <c r="AF180" s="344">
        <f>IFERROR(BASE_DATOS[[#This Row],[% Max Des.]]-BASE_DATOS[[#This Row],[% Des]],"")</f>
        <v>0.27272727272727271</v>
      </c>
      <c r="AG180" s="287"/>
      <c r="AH180" s="273"/>
      <c r="AI180" s="363" t="str">
        <f>IF(OR(BASE_DATOS[[#This Row],[Hr.]]="",BASE_DATOS[[#This Row],[Hr. Actual]]=""),"",BASE_DATOS[[#This Row],[Hr. Actual]]-BASE_DATOS[[#This Row],[Hr.]]+BASE_DATOS[[#This Row],[Horas Acumuladas]])</f>
        <v/>
      </c>
      <c r="AJ180" s="364" t="str">
        <f>IFERROR(BASE_DATOS[[#This Row],[Precio US$]]/BASE_DATOS[[#This Row],[Horas Rodadas]],"")</f>
        <v/>
      </c>
      <c r="AK180" s="365" t="str">
        <f>IFERROR(BASE_DATOS[[#This Row],[Horas Rodadas]]/(BASE_DATOS[[#This Row],[NSK Original]]-BASE_DATOS[[#This Row],[NSK]]),"")</f>
        <v/>
      </c>
      <c r="AL18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80" s="366" t="str">
        <f>IFERROR(BASE_DATOS[[#This Row],[Precio US$]]/BASE_DATOS[[#This Row],[Horas Proy.]],"")</f>
        <v/>
      </c>
      <c r="AN180" s="176" t="str">
        <f>IF(OR(BASE_DATOS[[#This Row],[Km.]]="",BASE_DATOS[[#This Row],[Km. Actual]]=""),"",BASE_DATOS[[#This Row],[Km. Actual]]-BASE_DATOS[[#This Row],[Km.]]+BASE_DATOS[[#This Row],[Kilómetros Acumulados]])</f>
        <v/>
      </c>
      <c r="AO180" s="177" t="str">
        <f>IFERROR(BASE_DATOS[[#This Row],[Precio US$]]/BASE_DATOS[[#This Row],[Kilómetros Rodados]],"")</f>
        <v/>
      </c>
      <c r="AP180" s="176" t="str">
        <f>IFERROR(BASE_DATOS[[#This Row],[Kilómetros Rodados]]/(BASE_DATOS[[#This Row],[NSK Original]]-BASE_DATOS[[#This Row],[NSK]]),"")</f>
        <v/>
      </c>
      <c r="AQ18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80" s="177" t="str">
        <f>IFERROR(BASE_DATOS[[#This Row],[Precio US$]]/BASE_DATOS[[#This Row],[Kilómetros Proy.]],"")</f>
        <v/>
      </c>
      <c r="AS180" s="167" t="s">
        <v>62</v>
      </c>
      <c r="AT180" s="167"/>
      <c r="AU180" s="167"/>
      <c r="AV180" s="167"/>
      <c r="AW180" s="179"/>
      <c r="AX180" s="179"/>
      <c r="AY180" s="179" t="str">
        <f>CONCATENATE(BASE_DATOS[[#This Row],[Código_U]]&amp;BASE_DATOS[[#This Row],[Pos.]]&amp;BASE_DATOS[[#This Row],[Situación Actual]])</f>
        <v>TC-1343Rodando</v>
      </c>
    </row>
    <row r="181" spans="1:51" ht="12" x14ac:dyDescent="0.25">
      <c r="A181" s="227" t="s">
        <v>145</v>
      </c>
      <c r="B181" s="217" t="s">
        <v>146</v>
      </c>
      <c r="C181" s="228" t="s">
        <v>296</v>
      </c>
      <c r="D181" s="229" t="s">
        <v>61</v>
      </c>
      <c r="E181" s="255"/>
      <c r="F181" s="256" t="s">
        <v>273</v>
      </c>
      <c r="G181" s="256" t="s">
        <v>271</v>
      </c>
      <c r="H181" s="257" t="str">
        <f>IF(BASE_DATOS[[#This Row],[N-R]]="N",BASE_DATOS[[#This Row],[Diseño]],"Reencauche")</f>
        <v>Reencauche</v>
      </c>
      <c r="I181" s="256" t="s">
        <v>282</v>
      </c>
      <c r="J181" s="243" t="s">
        <v>82</v>
      </c>
      <c r="K181" s="258">
        <v>22</v>
      </c>
      <c r="L181" s="241">
        <v>110</v>
      </c>
      <c r="M181" s="259"/>
      <c r="N181" s="260"/>
      <c r="O181" s="277"/>
      <c r="P181" s="278"/>
      <c r="Q181" s="279"/>
      <c r="R181" s="309" t="s">
        <v>101</v>
      </c>
      <c r="S181" s="310">
        <v>45385</v>
      </c>
      <c r="T181" s="313"/>
      <c r="U181" s="279"/>
      <c r="V181" s="227">
        <v>12</v>
      </c>
      <c r="W181" s="281"/>
      <c r="X181" s="282">
        <v>12</v>
      </c>
      <c r="Y181" s="293">
        <f t="shared" si="7"/>
        <v>12</v>
      </c>
      <c r="Z181" s="175" t="s">
        <v>85</v>
      </c>
      <c r="AA181" s="342">
        <f>IFERROR(BASE_DATOS[[#This Row],[NSK Original]]-BASE_DATOS[[#This Row],[NSK]]," ")</f>
        <v>10</v>
      </c>
      <c r="AB181" s="343">
        <f>'NSK-TRACTO'!$A$2</f>
        <v>6</v>
      </c>
      <c r="AC181" s="343">
        <f>IF(BASE_DATOS[[#This Row],[NSK]]&gt;=BASE_DATOS[[#This Row],[NSK Reen]],BASE_DATOS[[#This Row],[NSK Reen]],BASE_DATOS[[#This Row],[NSK]])</f>
        <v>6</v>
      </c>
      <c r="AD181" s="344">
        <f>IFERROR(100%-(BASE_DATOS[[#This Row],[NSK Reen]]/BASE_DATOS[[#This Row],[NSK Original]]),"")</f>
        <v>0.72727272727272729</v>
      </c>
      <c r="AE181" s="344">
        <f>IFERROR(100%-BASE_DATOS[[#This Row],[NSK]]/BASE_DATOS[[#This Row],[NSK Original]],"")</f>
        <v>0.45454545454545459</v>
      </c>
      <c r="AF181" s="344">
        <f>IFERROR(BASE_DATOS[[#This Row],[% Max Des.]]-BASE_DATOS[[#This Row],[% Des]],"")</f>
        <v>0.27272727272727271</v>
      </c>
      <c r="AG181" s="287"/>
      <c r="AH181" s="273"/>
      <c r="AI181" s="363" t="str">
        <f>IF(OR(BASE_DATOS[[#This Row],[Hr.]]="",BASE_DATOS[[#This Row],[Hr. Actual]]=""),"",BASE_DATOS[[#This Row],[Hr. Actual]]-BASE_DATOS[[#This Row],[Hr.]]+BASE_DATOS[[#This Row],[Horas Acumuladas]])</f>
        <v/>
      </c>
      <c r="AJ181" s="364" t="str">
        <f>IFERROR(BASE_DATOS[[#This Row],[Precio US$]]/BASE_DATOS[[#This Row],[Horas Rodadas]],"")</f>
        <v/>
      </c>
      <c r="AK181" s="365" t="str">
        <f>IFERROR(BASE_DATOS[[#This Row],[Horas Rodadas]]/(BASE_DATOS[[#This Row],[NSK Original]]-BASE_DATOS[[#This Row],[NSK]]),"")</f>
        <v/>
      </c>
      <c r="AL18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81" s="366" t="str">
        <f>IFERROR(BASE_DATOS[[#This Row],[Precio US$]]/BASE_DATOS[[#This Row],[Horas Proy.]],"")</f>
        <v/>
      </c>
      <c r="AN181" s="176" t="str">
        <f>IF(OR(BASE_DATOS[[#This Row],[Km.]]="",BASE_DATOS[[#This Row],[Km. Actual]]=""),"",BASE_DATOS[[#This Row],[Km. Actual]]-BASE_DATOS[[#This Row],[Km.]]+BASE_DATOS[[#This Row],[Kilómetros Acumulados]])</f>
        <v/>
      </c>
      <c r="AO181" s="177" t="str">
        <f>IFERROR(BASE_DATOS[[#This Row],[Precio US$]]/BASE_DATOS[[#This Row],[Kilómetros Rodados]],"")</f>
        <v/>
      </c>
      <c r="AP181" s="176" t="str">
        <f>IFERROR(BASE_DATOS[[#This Row],[Kilómetros Rodados]]/(BASE_DATOS[[#This Row],[NSK Original]]-BASE_DATOS[[#This Row],[NSK]]),"")</f>
        <v/>
      </c>
      <c r="AQ18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81" s="177" t="str">
        <f>IFERROR(BASE_DATOS[[#This Row],[Precio US$]]/BASE_DATOS[[#This Row],[Kilómetros Proy.]],"")</f>
        <v/>
      </c>
      <c r="AS181" s="167" t="s">
        <v>62</v>
      </c>
      <c r="AT181" s="167"/>
      <c r="AU181" s="167"/>
      <c r="AV181" s="167"/>
      <c r="AW181" s="179"/>
      <c r="AX181" s="179"/>
      <c r="AY181" s="179" t="str">
        <f>CONCATENATE(BASE_DATOS[[#This Row],[Código_U]]&amp;BASE_DATOS[[#This Row],[Pos.]]&amp;BASE_DATOS[[#This Row],[Situación Actual]])</f>
        <v>TC-1344Rodando</v>
      </c>
    </row>
    <row r="182" spans="1:51" ht="12" x14ac:dyDescent="0.25">
      <c r="A182" s="227" t="s">
        <v>145</v>
      </c>
      <c r="B182" s="217" t="s">
        <v>146</v>
      </c>
      <c r="C182" s="228" t="s">
        <v>296</v>
      </c>
      <c r="D182" s="229" t="s">
        <v>61</v>
      </c>
      <c r="E182" s="255"/>
      <c r="F182" s="256" t="s">
        <v>273</v>
      </c>
      <c r="G182" s="256" t="s">
        <v>271</v>
      </c>
      <c r="H182" s="257" t="str">
        <f>IF(BASE_DATOS[[#This Row],[N-R]]="N",BASE_DATOS[[#This Row],[Diseño]],"Reencauche")</f>
        <v>Reencauche</v>
      </c>
      <c r="I182" s="256" t="s">
        <v>282</v>
      </c>
      <c r="J182" s="243" t="s">
        <v>82</v>
      </c>
      <c r="K182" s="258">
        <v>22</v>
      </c>
      <c r="L182" s="241">
        <v>110</v>
      </c>
      <c r="M182" s="259"/>
      <c r="N182" s="260"/>
      <c r="O182" s="277"/>
      <c r="P182" s="278"/>
      <c r="Q182" s="279"/>
      <c r="R182" s="309" t="s">
        <v>102</v>
      </c>
      <c r="S182" s="310">
        <v>45385</v>
      </c>
      <c r="T182" s="313"/>
      <c r="U182" s="279"/>
      <c r="V182" s="227">
        <v>12</v>
      </c>
      <c r="W182" s="281"/>
      <c r="X182" s="282">
        <v>12</v>
      </c>
      <c r="Y182" s="293">
        <f t="shared" si="7"/>
        <v>12</v>
      </c>
      <c r="Z182" s="175" t="s">
        <v>85</v>
      </c>
      <c r="AA182" s="342">
        <f>IFERROR(BASE_DATOS[[#This Row],[NSK Original]]-BASE_DATOS[[#This Row],[NSK]]," ")</f>
        <v>10</v>
      </c>
      <c r="AB182" s="343">
        <f>'NSK-TRACTO'!$A$2</f>
        <v>6</v>
      </c>
      <c r="AC182" s="343">
        <f>IF(BASE_DATOS[[#This Row],[NSK]]&gt;=BASE_DATOS[[#This Row],[NSK Reen]],BASE_DATOS[[#This Row],[NSK Reen]],BASE_DATOS[[#This Row],[NSK]])</f>
        <v>6</v>
      </c>
      <c r="AD182" s="344">
        <f>IFERROR(100%-(BASE_DATOS[[#This Row],[NSK Reen]]/BASE_DATOS[[#This Row],[NSK Original]]),"")</f>
        <v>0.72727272727272729</v>
      </c>
      <c r="AE182" s="344">
        <f>IFERROR(100%-BASE_DATOS[[#This Row],[NSK]]/BASE_DATOS[[#This Row],[NSK Original]],"")</f>
        <v>0.45454545454545459</v>
      </c>
      <c r="AF182" s="344">
        <f>IFERROR(BASE_DATOS[[#This Row],[% Max Des.]]-BASE_DATOS[[#This Row],[% Des]],"")</f>
        <v>0.27272727272727271</v>
      </c>
      <c r="AG182" s="287"/>
      <c r="AH182" s="273"/>
      <c r="AI182" s="363" t="str">
        <f>IF(OR(BASE_DATOS[[#This Row],[Hr.]]="",BASE_DATOS[[#This Row],[Hr. Actual]]=""),"",BASE_DATOS[[#This Row],[Hr. Actual]]-BASE_DATOS[[#This Row],[Hr.]]+BASE_DATOS[[#This Row],[Horas Acumuladas]])</f>
        <v/>
      </c>
      <c r="AJ182" s="364" t="str">
        <f>IFERROR(BASE_DATOS[[#This Row],[Precio US$]]/BASE_DATOS[[#This Row],[Horas Rodadas]],"")</f>
        <v/>
      </c>
      <c r="AK182" s="365" t="str">
        <f>IFERROR(BASE_DATOS[[#This Row],[Horas Rodadas]]/(BASE_DATOS[[#This Row],[NSK Original]]-BASE_DATOS[[#This Row],[NSK]]),"")</f>
        <v/>
      </c>
      <c r="AL18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82" s="366" t="str">
        <f>IFERROR(BASE_DATOS[[#This Row],[Precio US$]]/BASE_DATOS[[#This Row],[Horas Proy.]],"")</f>
        <v/>
      </c>
      <c r="AN182" s="176" t="str">
        <f>IF(OR(BASE_DATOS[[#This Row],[Km.]]="",BASE_DATOS[[#This Row],[Km. Actual]]=""),"",BASE_DATOS[[#This Row],[Km. Actual]]-BASE_DATOS[[#This Row],[Km.]]+BASE_DATOS[[#This Row],[Kilómetros Acumulados]])</f>
        <v/>
      </c>
      <c r="AO182" s="177" t="str">
        <f>IFERROR(BASE_DATOS[[#This Row],[Precio US$]]/BASE_DATOS[[#This Row],[Kilómetros Rodados]],"")</f>
        <v/>
      </c>
      <c r="AP182" s="176" t="str">
        <f>IFERROR(BASE_DATOS[[#This Row],[Kilómetros Rodados]]/(BASE_DATOS[[#This Row],[NSK Original]]-BASE_DATOS[[#This Row],[NSK]]),"")</f>
        <v/>
      </c>
      <c r="AQ18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82" s="177" t="str">
        <f>IFERROR(BASE_DATOS[[#This Row],[Precio US$]]/BASE_DATOS[[#This Row],[Kilómetros Proy.]],"")</f>
        <v/>
      </c>
      <c r="AS182" s="167" t="s">
        <v>62</v>
      </c>
      <c r="AT182" s="167"/>
      <c r="AU182" s="167"/>
      <c r="AV182" s="167"/>
      <c r="AW182" s="179"/>
      <c r="AX182" s="179"/>
      <c r="AY182" s="179" t="str">
        <f>CONCATENATE(BASE_DATOS[[#This Row],[Código_U]]&amp;BASE_DATOS[[#This Row],[Pos.]]&amp;BASE_DATOS[[#This Row],[Situación Actual]])</f>
        <v>TC-1345Rodando</v>
      </c>
    </row>
    <row r="183" spans="1:51" ht="12" x14ac:dyDescent="0.25">
      <c r="A183" s="227" t="s">
        <v>145</v>
      </c>
      <c r="B183" s="217" t="s">
        <v>146</v>
      </c>
      <c r="C183" s="228" t="s">
        <v>296</v>
      </c>
      <c r="D183" s="229" t="s">
        <v>61</v>
      </c>
      <c r="E183" s="255"/>
      <c r="F183" s="256" t="s">
        <v>273</v>
      </c>
      <c r="G183" s="256" t="s">
        <v>271</v>
      </c>
      <c r="H183" s="257" t="str">
        <f>IF(BASE_DATOS[[#This Row],[N-R]]="N",BASE_DATOS[[#This Row],[Diseño]],"Reencauche")</f>
        <v>Reencauche</v>
      </c>
      <c r="I183" s="256" t="s">
        <v>282</v>
      </c>
      <c r="J183" s="243" t="s">
        <v>82</v>
      </c>
      <c r="K183" s="258">
        <v>22</v>
      </c>
      <c r="L183" s="241">
        <v>110</v>
      </c>
      <c r="M183" s="259"/>
      <c r="N183" s="260"/>
      <c r="O183" s="277"/>
      <c r="P183" s="278"/>
      <c r="Q183" s="279"/>
      <c r="R183" s="309" t="s">
        <v>103</v>
      </c>
      <c r="S183" s="310">
        <v>45385</v>
      </c>
      <c r="T183" s="313"/>
      <c r="U183" s="279"/>
      <c r="V183" s="227">
        <v>12</v>
      </c>
      <c r="W183" s="281"/>
      <c r="X183" s="282">
        <v>12</v>
      </c>
      <c r="Y183" s="293">
        <f t="shared" si="7"/>
        <v>12</v>
      </c>
      <c r="Z183" s="175" t="s">
        <v>85</v>
      </c>
      <c r="AA183" s="342">
        <f>IFERROR(BASE_DATOS[[#This Row],[NSK Original]]-BASE_DATOS[[#This Row],[NSK]]," ")</f>
        <v>10</v>
      </c>
      <c r="AB183" s="343">
        <f>'NSK-TRACTO'!$A$2</f>
        <v>6</v>
      </c>
      <c r="AC183" s="343">
        <f>IF(BASE_DATOS[[#This Row],[NSK]]&gt;=BASE_DATOS[[#This Row],[NSK Reen]],BASE_DATOS[[#This Row],[NSK Reen]],BASE_DATOS[[#This Row],[NSK]])</f>
        <v>6</v>
      </c>
      <c r="AD183" s="344">
        <f>IFERROR(100%-(BASE_DATOS[[#This Row],[NSK Reen]]/BASE_DATOS[[#This Row],[NSK Original]]),"")</f>
        <v>0.72727272727272729</v>
      </c>
      <c r="AE183" s="344">
        <f>IFERROR(100%-BASE_DATOS[[#This Row],[NSK]]/BASE_DATOS[[#This Row],[NSK Original]],"")</f>
        <v>0.45454545454545459</v>
      </c>
      <c r="AF183" s="344">
        <f>IFERROR(BASE_DATOS[[#This Row],[% Max Des.]]-BASE_DATOS[[#This Row],[% Des]],"")</f>
        <v>0.27272727272727271</v>
      </c>
      <c r="AG183" s="287"/>
      <c r="AH183" s="273"/>
      <c r="AI183" s="363" t="str">
        <f>IF(OR(BASE_DATOS[[#This Row],[Hr.]]="",BASE_DATOS[[#This Row],[Hr. Actual]]=""),"",BASE_DATOS[[#This Row],[Hr. Actual]]-BASE_DATOS[[#This Row],[Hr.]]+BASE_DATOS[[#This Row],[Horas Acumuladas]])</f>
        <v/>
      </c>
      <c r="AJ183" s="364" t="str">
        <f>IFERROR(BASE_DATOS[[#This Row],[Precio US$]]/BASE_DATOS[[#This Row],[Horas Rodadas]],"")</f>
        <v/>
      </c>
      <c r="AK183" s="365" t="str">
        <f>IFERROR(BASE_DATOS[[#This Row],[Horas Rodadas]]/(BASE_DATOS[[#This Row],[NSK Original]]-BASE_DATOS[[#This Row],[NSK]]),"")</f>
        <v/>
      </c>
      <c r="AL18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83" s="366" t="str">
        <f>IFERROR(BASE_DATOS[[#This Row],[Precio US$]]/BASE_DATOS[[#This Row],[Horas Proy.]],"")</f>
        <v/>
      </c>
      <c r="AN183" s="176" t="str">
        <f>IF(OR(BASE_DATOS[[#This Row],[Km.]]="",BASE_DATOS[[#This Row],[Km. Actual]]=""),"",BASE_DATOS[[#This Row],[Km. Actual]]-BASE_DATOS[[#This Row],[Km.]]+BASE_DATOS[[#This Row],[Kilómetros Acumulados]])</f>
        <v/>
      </c>
      <c r="AO183" s="177" t="str">
        <f>IFERROR(BASE_DATOS[[#This Row],[Precio US$]]/BASE_DATOS[[#This Row],[Kilómetros Rodados]],"")</f>
        <v/>
      </c>
      <c r="AP183" s="176" t="str">
        <f>IFERROR(BASE_DATOS[[#This Row],[Kilómetros Rodados]]/(BASE_DATOS[[#This Row],[NSK Original]]-BASE_DATOS[[#This Row],[NSK]]),"")</f>
        <v/>
      </c>
      <c r="AQ18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83" s="177" t="str">
        <f>IFERROR(BASE_DATOS[[#This Row],[Precio US$]]/BASE_DATOS[[#This Row],[Kilómetros Proy.]],"")</f>
        <v/>
      </c>
      <c r="AS183" s="167" t="s">
        <v>62</v>
      </c>
      <c r="AT183" s="167"/>
      <c r="AU183" s="167"/>
      <c r="AV183" s="167"/>
      <c r="AW183" s="179"/>
      <c r="AX183" s="179"/>
      <c r="AY183" s="179" t="str">
        <f>CONCATENATE(BASE_DATOS[[#This Row],[Código_U]]&amp;BASE_DATOS[[#This Row],[Pos.]]&amp;BASE_DATOS[[#This Row],[Situación Actual]])</f>
        <v>TC-1346Rodando</v>
      </c>
    </row>
    <row r="184" spans="1:51" ht="12" x14ac:dyDescent="0.25">
      <c r="A184" s="227" t="s">
        <v>145</v>
      </c>
      <c r="B184" s="217" t="s">
        <v>146</v>
      </c>
      <c r="C184" s="228" t="s">
        <v>296</v>
      </c>
      <c r="D184" s="229" t="s">
        <v>61</v>
      </c>
      <c r="E184" s="255"/>
      <c r="F184" s="256" t="s">
        <v>273</v>
      </c>
      <c r="G184" s="256" t="s">
        <v>271</v>
      </c>
      <c r="H184" s="257" t="str">
        <f>IF(BASE_DATOS[[#This Row],[N-R]]="N",BASE_DATOS[[#This Row],[Diseño]],"Reencauche")</f>
        <v>Reencauche</v>
      </c>
      <c r="I184" s="256" t="s">
        <v>282</v>
      </c>
      <c r="J184" s="243" t="s">
        <v>83</v>
      </c>
      <c r="K184" s="258">
        <v>22</v>
      </c>
      <c r="L184" s="241">
        <v>110</v>
      </c>
      <c r="M184" s="259"/>
      <c r="N184" s="260"/>
      <c r="O184" s="277"/>
      <c r="P184" s="278"/>
      <c r="Q184" s="279"/>
      <c r="R184" s="309" t="s">
        <v>104</v>
      </c>
      <c r="S184" s="310">
        <v>45385</v>
      </c>
      <c r="T184" s="313"/>
      <c r="U184" s="279"/>
      <c r="V184" s="227">
        <v>5</v>
      </c>
      <c r="W184" s="281"/>
      <c r="X184" s="282">
        <v>5</v>
      </c>
      <c r="Y184" s="293">
        <f t="shared" si="7"/>
        <v>5</v>
      </c>
      <c r="Z184" s="175" t="s">
        <v>85</v>
      </c>
      <c r="AA184" s="342">
        <f>IFERROR(BASE_DATOS[[#This Row],[NSK Original]]-BASE_DATOS[[#This Row],[NSK]]," ")</f>
        <v>17</v>
      </c>
      <c r="AB184" s="343">
        <f>'NSK-TRACTO'!$A$2</f>
        <v>6</v>
      </c>
      <c r="AC184" s="343">
        <f>IF(BASE_DATOS[[#This Row],[NSK]]&gt;=BASE_DATOS[[#This Row],[NSK Reen]],BASE_DATOS[[#This Row],[NSK Reen]],BASE_DATOS[[#This Row],[NSK]])</f>
        <v>5</v>
      </c>
      <c r="AD184" s="344">
        <f>IFERROR(100%-(BASE_DATOS[[#This Row],[NSK Reen]]/BASE_DATOS[[#This Row],[NSK Original]]),"")</f>
        <v>0.72727272727272729</v>
      </c>
      <c r="AE184" s="344">
        <f>IFERROR(100%-BASE_DATOS[[#This Row],[NSK]]/BASE_DATOS[[#This Row],[NSK Original]],"")</f>
        <v>0.77272727272727271</v>
      </c>
      <c r="AF184" s="344">
        <f>IFERROR(BASE_DATOS[[#This Row],[% Max Des.]]-BASE_DATOS[[#This Row],[% Des]],"")</f>
        <v>-4.5454545454545414E-2</v>
      </c>
      <c r="AG184" s="287"/>
      <c r="AH184" s="273"/>
      <c r="AI184" s="363" t="str">
        <f>IF(OR(BASE_DATOS[[#This Row],[Hr.]]="",BASE_DATOS[[#This Row],[Hr. Actual]]=""),"",BASE_DATOS[[#This Row],[Hr. Actual]]-BASE_DATOS[[#This Row],[Hr.]]+BASE_DATOS[[#This Row],[Horas Acumuladas]])</f>
        <v/>
      </c>
      <c r="AJ184" s="364" t="str">
        <f>IFERROR(BASE_DATOS[[#This Row],[Precio US$]]/BASE_DATOS[[#This Row],[Horas Rodadas]],"")</f>
        <v/>
      </c>
      <c r="AK184" s="365" t="str">
        <f>IFERROR(BASE_DATOS[[#This Row],[Horas Rodadas]]/(BASE_DATOS[[#This Row],[NSK Original]]-BASE_DATOS[[#This Row],[NSK]]),"")</f>
        <v/>
      </c>
      <c r="AL18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84" s="366" t="str">
        <f>IFERROR(BASE_DATOS[[#This Row],[Precio US$]]/BASE_DATOS[[#This Row],[Horas Proy.]],"")</f>
        <v/>
      </c>
      <c r="AN184" s="176" t="str">
        <f>IF(OR(BASE_DATOS[[#This Row],[Km.]]="",BASE_DATOS[[#This Row],[Km. Actual]]=""),"",BASE_DATOS[[#This Row],[Km. Actual]]-BASE_DATOS[[#This Row],[Km.]]+BASE_DATOS[[#This Row],[Kilómetros Acumulados]])</f>
        <v/>
      </c>
      <c r="AO184" s="177" t="str">
        <f>IFERROR(BASE_DATOS[[#This Row],[Precio US$]]/BASE_DATOS[[#This Row],[Kilómetros Rodados]],"")</f>
        <v/>
      </c>
      <c r="AP184" s="176" t="str">
        <f>IFERROR(BASE_DATOS[[#This Row],[Kilómetros Rodados]]/(BASE_DATOS[[#This Row],[NSK Original]]-BASE_DATOS[[#This Row],[NSK]]),"")</f>
        <v/>
      </c>
      <c r="AQ18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84" s="177" t="str">
        <f>IFERROR(BASE_DATOS[[#This Row],[Precio US$]]/BASE_DATOS[[#This Row],[Kilómetros Proy.]],"")</f>
        <v/>
      </c>
      <c r="AS184" s="167" t="s">
        <v>62</v>
      </c>
      <c r="AT184" s="167"/>
      <c r="AU184" s="167"/>
      <c r="AV184" s="167"/>
      <c r="AW184" s="179"/>
      <c r="AX184" s="179"/>
      <c r="AY184" s="179" t="str">
        <f>CONCATENATE(BASE_DATOS[[#This Row],[Código_U]]&amp;BASE_DATOS[[#This Row],[Pos.]]&amp;BASE_DATOS[[#This Row],[Situación Actual]])</f>
        <v>TC-1347Rodando</v>
      </c>
    </row>
    <row r="185" spans="1:51" ht="12" x14ac:dyDescent="0.25">
      <c r="A185" s="227" t="s">
        <v>145</v>
      </c>
      <c r="B185" s="217" t="s">
        <v>146</v>
      </c>
      <c r="C185" s="228" t="s">
        <v>296</v>
      </c>
      <c r="D185" s="229" t="s">
        <v>61</v>
      </c>
      <c r="E185" s="255"/>
      <c r="F185" s="256" t="s">
        <v>273</v>
      </c>
      <c r="G185" s="256" t="s">
        <v>271</v>
      </c>
      <c r="H185" s="257" t="str">
        <f>IF(BASE_DATOS[[#This Row],[N-R]]="N",BASE_DATOS[[#This Row],[Diseño]],"Reencauche")</f>
        <v>Reencauche</v>
      </c>
      <c r="I185" s="256" t="s">
        <v>282</v>
      </c>
      <c r="J185" s="243" t="s">
        <v>82</v>
      </c>
      <c r="K185" s="258">
        <v>22</v>
      </c>
      <c r="L185" s="241">
        <v>110</v>
      </c>
      <c r="M185" s="259"/>
      <c r="N185" s="260"/>
      <c r="O185" s="277"/>
      <c r="P185" s="278"/>
      <c r="Q185" s="279"/>
      <c r="R185" s="309" t="s">
        <v>105</v>
      </c>
      <c r="S185" s="310">
        <v>45385</v>
      </c>
      <c r="T185" s="313"/>
      <c r="U185" s="279"/>
      <c r="V185" s="227">
        <v>5</v>
      </c>
      <c r="W185" s="281"/>
      <c r="X185" s="282">
        <v>6</v>
      </c>
      <c r="Y185" s="293">
        <f t="shared" si="7"/>
        <v>5</v>
      </c>
      <c r="Z185" s="175" t="s">
        <v>85</v>
      </c>
      <c r="AA185" s="342">
        <f>IFERROR(BASE_DATOS[[#This Row],[NSK Original]]-BASE_DATOS[[#This Row],[NSK]]," ")</f>
        <v>17</v>
      </c>
      <c r="AB185" s="343">
        <f>'NSK-TRACTO'!$A$2</f>
        <v>6</v>
      </c>
      <c r="AC185" s="343">
        <f>IF(BASE_DATOS[[#This Row],[NSK]]&gt;=BASE_DATOS[[#This Row],[NSK Reen]],BASE_DATOS[[#This Row],[NSK Reen]],BASE_DATOS[[#This Row],[NSK]])</f>
        <v>5</v>
      </c>
      <c r="AD185" s="344">
        <f>IFERROR(100%-(BASE_DATOS[[#This Row],[NSK Reen]]/BASE_DATOS[[#This Row],[NSK Original]]),"")</f>
        <v>0.72727272727272729</v>
      </c>
      <c r="AE185" s="344">
        <f>IFERROR(100%-BASE_DATOS[[#This Row],[NSK]]/BASE_DATOS[[#This Row],[NSK Original]],"")</f>
        <v>0.77272727272727271</v>
      </c>
      <c r="AF185" s="344">
        <f>IFERROR(BASE_DATOS[[#This Row],[% Max Des.]]-BASE_DATOS[[#This Row],[% Des]],"")</f>
        <v>-4.5454545454545414E-2</v>
      </c>
      <c r="AG185" s="287"/>
      <c r="AH185" s="273"/>
      <c r="AI185" s="363" t="str">
        <f>IF(OR(BASE_DATOS[[#This Row],[Hr.]]="",BASE_DATOS[[#This Row],[Hr. Actual]]=""),"",BASE_DATOS[[#This Row],[Hr. Actual]]-BASE_DATOS[[#This Row],[Hr.]]+BASE_DATOS[[#This Row],[Horas Acumuladas]])</f>
        <v/>
      </c>
      <c r="AJ185" s="364" t="str">
        <f>IFERROR(BASE_DATOS[[#This Row],[Precio US$]]/BASE_DATOS[[#This Row],[Horas Rodadas]],"")</f>
        <v/>
      </c>
      <c r="AK185" s="365" t="str">
        <f>IFERROR(BASE_DATOS[[#This Row],[Horas Rodadas]]/(BASE_DATOS[[#This Row],[NSK Original]]-BASE_DATOS[[#This Row],[NSK]]),"")</f>
        <v/>
      </c>
      <c r="AL18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85" s="366" t="str">
        <f>IFERROR(BASE_DATOS[[#This Row],[Precio US$]]/BASE_DATOS[[#This Row],[Horas Proy.]],"")</f>
        <v/>
      </c>
      <c r="AN185" s="176" t="str">
        <f>IF(OR(BASE_DATOS[[#This Row],[Km.]]="",BASE_DATOS[[#This Row],[Km. Actual]]=""),"",BASE_DATOS[[#This Row],[Km. Actual]]-BASE_DATOS[[#This Row],[Km.]]+BASE_DATOS[[#This Row],[Kilómetros Acumulados]])</f>
        <v/>
      </c>
      <c r="AO185" s="177" t="str">
        <f>IFERROR(BASE_DATOS[[#This Row],[Precio US$]]/BASE_DATOS[[#This Row],[Kilómetros Rodados]],"")</f>
        <v/>
      </c>
      <c r="AP185" s="176" t="str">
        <f>IFERROR(BASE_DATOS[[#This Row],[Kilómetros Rodados]]/(BASE_DATOS[[#This Row],[NSK Original]]-BASE_DATOS[[#This Row],[NSK]]),"")</f>
        <v/>
      </c>
      <c r="AQ18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85" s="177" t="str">
        <f>IFERROR(BASE_DATOS[[#This Row],[Precio US$]]/BASE_DATOS[[#This Row],[Kilómetros Proy.]],"")</f>
        <v/>
      </c>
      <c r="AS185" s="167" t="s">
        <v>62</v>
      </c>
      <c r="AT185" s="167"/>
      <c r="AU185" s="167"/>
      <c r="AV185" s="167"/>
      <c r="AW185" s="179"/>
      <c r="AX185" s="179"/>
      <c r="AY185" s="179" t="str">
        <f>CONCATENATE(BASE_DATOS[[#This Row],[Código_U]]&amp;BASE_DATOS[[#This Row],[Pos.]]&amp;BASE_DATOS[[#This Row],[Situación Actual]])</f>
        <v>TC-1348Rodando</v>
      </c>
    </row>
    <row r="186" spans="1:51" ht="12" x14ac:dyDescent="0.25">
      <c r="A186" s="227" t="s">
        <v>145</v>
      </c>
      <c r="B186" s="217" t="s">
        <v>146</v>
      </c>
      <c r="C186" s="228" t="s">
        <v>296</v>
      </c>
      <c r="D186" s="229" t="s">
        <v>61</v>
      </c>
      <c r="E186" s="255"/>
      <c r="F186" s="256" t="s">
        <v>273</v>
      </c>
      <c r="G186" s="256" t="s">
        <v>271</v>
      </c>
      <c r="H186" s="257" t="str">
        <f>IF(BASE_DATOS[[#This Row],[N-R]]="N",BASE_DATOS[[#This Row],[Diseño]],"Reencauche")</f>
        <v>Reencauche</v>
      </c>
      <c r="I186" s="256" t="s">
        <v>282</v>
      </c>
      <c r="J186" s="243" t="s">
        <v>82</v>
      </c>
      <c r="K186" s="258">
        <v>22</v>
      </c>
      <c r="L186" s="241">
        <v>110</v>
      </c>
      <c r="M186" s="259"/>
      <c r="N186" s="260"/>
      <c r="O186" s="277"/>
      <c r="P186" s="278"/>
      <c r="Q186" s="279"/>
      <c r="R186" s="309" t="s">
        <v>106</v>
      </c>
      <c r="S186" s="310">
        <v>45385</v>
      </c>
      <c r="T186" s="313"/>
      <c r="U186" s="279"/>
      <c r="V186" s="227">
        <v>6</v>
      </c>
      <c r="W186" s="281"/>
      <c r="X186" s="282">
        <v>8</v>
      </c>
      <c r="Y186" s="293">
        <f t="shared" si="7"/>
        <v>6</v>
      </c>
      <c r="Z186" s="175" t="s">
        <v>85</v>
      </c>
      <c r="AA186" s="342">
        <f>IFERROR(BASE_DATOS[[#This Row],[NSK Original]]-BASE_DATOS[[#This Row],[NSK]]," ")</f>
        <v>16</v>
      </c>
      <c r="AB186" s="343">
        <f>'NSK-TRACTO'!$A$2</f>
        <v>6</v>
      </c>
      <c r="AC186" s="343">
        <f>IF(BASE_DATOS[[#This Row],[NSK]]&gt;=BASE_DATOS[[#This Row],[NSK Reen]],BASE_DATOS[[#This Row],[NSK Reen]],BASE_DATOS[[#This Row],[NSK]])</f>
        <v>6</v>
      </c>
      <c r="AD186" s="344">
        <f>IFERROR(100%-(BASE_DATOS[[#This Row],[NSK Reen]]/BASE_DATOS[[#This Row],[NSK Original]]),"")</f>
        <v>0.72727272727272729</v>
      </c>
      <c r="AE186" s="344">
        <f>IFERROR(100%-BASE_DATOS[[#This Row],[NSK]]/BASE_DATOS[[#This Row],[NSK Original]],"")</f>
        <v>0.72727272727272729</v>
      </c>
      <c r="AF186" s="344">
        <f>IFERROR(BASE_DATOS[[#This Row],[% Max Des.]]-BASE_DATOS[[#This Row],[% Des]],"")</f>
        <v>0</v>
      </c>
      <c r="AG186" s="287"/>
      <c r="AH186" s="273"/>
      <c r="AI186" s="363" t="str">
        <f>IF(OR(BASE_DATOS[[#This Row],[Hr.]]="",BASE_DATOS[[#This Row],[Hr. Actual]]=""),"",BASE_DATOS[[#This Row],[Hr. Actual]]-BASE_DATOS[[#This Row],[Hr.]]+BASE_DATOS[[#This Row],[Horas Acumuladas]])</f>
        <v/>
      </c>
      <c r="AJ186" s="364" t="str">
        <f>IFERROR(BASE_DATOS[[#This Row],[Precio US$]]/BASE_DATOS[[#This Row],[Horas Rodadas]],"")</f>
        <v/>
      </c>
      <c r="AK186" s="365" t="str">
        <f>IFERROR(BASE_DATOS[[#This Row],[Horas Rodadas]]/(BASE_DATOS[[#This Row],[NSK Original]]-BASE_DATOS[[#This Row],[NSK]]),"")</f>
        <v/>
      </c>
      <c r="AL18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86" s="366" t="str">
        <f>IFERROR(BASE_DATOS[[#This Row],[Precio US$]]/BASE_DATOS[[#This Row],[Horas Proy.]],"")</f>
        <v/>
      </c>
      <c r="AN186" s="176" t="str">
        <f>IF(OR(BASE_DATOS[[#This Row],[Km.]]="",BASE_DATOS[[#This Row],[Km. Actual]]=""),"",BASE_DATOS[[#This Row],[Km. Actual]]-BASE_DATOS[[#This Row],[Km.]]+BASE_DATOS[[#This Row],[Kilómetros Acumulados]])</f>
        <v/>
      </c>
      <c r="AO186" s="177" t="str">
        <f>IFERROR(BASE_DATOS[[#This Row],[Precio US$]]/BASE_DATOS[[#This Row],[Kilómetros Rodados]],"")</f>
        <v/>
      </c>
      <c r="AP186" s="176" t="str">
        <f>IFERROR(BASE_DATOS[[#This Row],[Kilómetros Rodados]]/(BASE_DATOS[[#This Row],[NSK Original]]-BASE_DATOS[[#This Row],[NSK]]),"")</f>
        <v/>
      </c>
      <c r="AQ18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86" s="177" t="str">
        <f>IFERROR(BASE_DATOS[[#This Row],[Precio US$]]/BASE_DATOS[[#This Row],[Kilómetros Proy.]],"")</f>
        <v/>
      </c>
      <c r="AS186" s="167" t="s">
        <v>62</v>
      </c>
      <c r="AT186" s="167"/>
      <c r="AU186" s="167"/>
      <c r="AV186" s="167"/>
      <c r="AW186" s="179"/>
      <c r="AX186" s="179"/>
      <c r="AY186" s="179" t="str">
        <f>CONCATENATE(BASE_DATOS[[#This Row],[Código_U]]&amp;BASE_DATOS[[#This Row],[Pos.]]&amp;BASE_DATOS[[#This Row],[Situación Actual]])</f>
        <v>TC-1349Rodando</v>
      </c>
    </row>
    <row r="187" spans="1:51" ht="12" x14ac:dyDescent="0.25">
      <c r="A187" s="227" t="s">
        <v>145</v>
      </c>
      <c r="B187" s="217" t="s">
        <v>146</v>
      </c>
      <c r="C187" s="228" t="s">
        <v>296</v>
      </c>
      <c r="D187" s="229" t="s">
        <v>61</v>
      </c>
      <c r="E187" s="255"/>
      <c r="F187" s="256" t="s">
        <v>273</v>
      </c>
      <c r="G187" s="256" t="s">
        <v>271</v>
      </c>
      <c r="H187" s="257" t="str">
        <f>IF(BASE_DATOS[[#This Row],[N-R]]="N",BASE_DATOS[[#This Row],[Diseño]],"Reencauche")</f>
        <v>Reencauche</v>
      </c>
      <c r="I187" s="256" t="s">
        <v>282</v>
      </c>
      <c r="J187" s="243" t="s">
        <v>83</v>
      </c>
      <c r="K187" s="258">
        <v>22</v>
      </c>
      <c r="L187" s="241">
        <v>110</v>
      </c>
      <c r="M187" s="259"/>
      <c r="N187" s="260"/>
      <c r="O187" s="277"/>
      <c r="P187" s="278"/>
      <c r="Q187" s="279"/>
      <c r="R187" s="309" t="s">
        <v>107</v>
      </c>
      <c r="S187" s="310">
        <v>45385</v>
      </c>
      <c r="T187" s="313"/>
      <c r="U187" s="279"/>
      <c r="V187" s="227">
        <v>6</v>
      </c>
      <c r="W187" s="281"/>
      <c r="X187" s="282">
        <v>6</v>
      </c>
      <c r="Y187" s="293">
        <f t="shared" si="7"/>
        <v>6</v>
      </c>
      <c r="Z187" s="175" t="s">
        <v>85</v>
      </c>
      <c r="AA187" s="342">
        <f>IFERROR(BASE_DATOS[[#This Row],[NSK Original]]-BASE_DATOS[[#This Row],[NSK]]," ")</f>
        <v>16</v>
      </c>
      <c r="AB187" s="343">
        <f>'NSK-TRACTO'!$A$2</f>
        <v>6</v>
      </c>
      <c r="AC187" s="343">
        <f>IF(BASE_DATOS[[#This Row],[NSK]]&gt;=BASE_DATOS[[#This Row],[NSK Reen]],BASE_DATOS[[#This Row],[NSK Reen]],BASE_DATOS[[#This Row],[NSK]])</f>
        <v>6</v>
      </c>
      <c r="AD187" s="344">
        <f>IFERROR(100%-(BASE_DATOS[[#This Row],[NSK Reen]]/BASE_DATOS[[#This Row],[NSK Original]]),"")</f>
        <v>0.72727272727272729</v>
      </c>
      <c r="AE187" s="344">
        <f>IFERROR(100%-BASE_DATOS[[#This Row],[NSK]]/BASE_DATOS[[#This Row],[NSK Original]],"")</f>
        <v>0.72727272727272729</v>
      </c>
      <c r="AF187" s="344">
        <f>IFERROR(BASE_DATOS[[#This Row],[% Max Des.]]-BASE_DATOS[[#This Row],[% Des]],"")</f>
        <v>0</v>
      </c>
      <c r="AG187" s="287"/>
      <c r="AH187" s="273"/>
      <c r="AI187" s="363" t="str">
        <f>IF(OR(BASE_DATOS[[#This Row],[Hr.]]="",BASE_DATOS[[#This Row],[Hr. Actual]]=""),"",BASE_DATOS[[#This Row],[Hr. Actual]]-BASE_DATOS[[#This Row],[Hr.]]+BASE_DATOS[[#This Row],[Horas Acumuladas]])</f>
        <v/>
      </c>
      <c r="AJ187" s="364" t="str">
        <f>IFERROR(BASE_DATOS[[#This Row],[Precio US$]]/BASE_DATOS[[#This Row],[Horas Rodadas]],"")</f>
        <v/>
      </c>
      <c r="AK187" s="365" t="str">
        <f>IFERROR(BASE_DATOS[[#This Row],[Horas Rodadas]]/(BASE_DATOS[[#This Row],[NSK Original]]-BASE_DATOS[[#This Row],[NSK]]),"")</f>
        <v/>
      </c>
      <c r="AL18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87" s="366" t="str">
        <f>IFERROR(BASE_DATOS[[#This Row],[Precio US$]]/BASE_DATOS[[#This Row],[Horas Proy.]],"")</f>
        <v/>
      </c>
      <c r="AN187" s="176" t="str">
        <f>IF(OR(BASE_DATOS[[#This Row],[Km.]]="",BASE_DATOS[[#This Row],[Km. Actual]]=""),"",BASE_DATOS[[#This Row],[Km. Actual]]-BASE_DATOS[[#This Row],[Km.]]+BASE_DATOS[[#This Row],[Kilómetros Acumulados]])</f>
        <v/>
      </c>
      <c r="AO187" s="177" t="str">
        <f>IFERROR(BASE_DATOS[[#This Row],[Precio US$]]/BASE_DATOS[[#This Row],[Kilómetros Rodados]],"")</f>
        <v/>
      </c>
      <c r="AP187" s="176" t="str">
        <f>IFERROR(BASE_DATOS[[#This Row],[Kilómetros Rodados]]/(BASE_DATOS[[#This Row],[NSK Original]]-BASE_DATOS[[#This Row],[NSK]]),"")</f>
        <v/>
      </c>
      <c r="AQ18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87" s="177" t="str">
        <f>IFERROR(BASE_DATOS[[#This Row],[Precio US$]]/BASE_DATOS[[#This Row],[Kilómetros Proy.]],"")</f>
        <v/>
      </c>
      <c r="AS187" s="167" t="s">
        <v>62</v>
      </c>
      <c r="AT187" s="167"/>
      <c r="AU187" s="167"/>
      <c r="AV187" s="167"/>
      <c r="AW187" s="179"/>
      <c r="AX187" s="179"/>
      <c r="AY187" s="179" t="str">
        <f>CONCATENATE(BASE_DATOS[[#This Row],[Código_U]]&amp;BASE_DATOS[[#This Row],[Pos.]]&amp;BASE_DATOS[[#This Row],[Situación Actual]])</f>
        <v>TC-13410Rodando</v>
      </c>
    </row>
    <row r="188" spans="1:51" ht="12" x14ac:dyDescent="0.25">
      <c r="A188" s="224" t="s">
        <v>147</v>
      </c>
      <c r="B188" s="213" t="s">
        <v>148</v>
      </c>
      <c r="C188" s="225" t="s">
        <v>295</v>
      </c>
      <c r="D188" s="226" t="s">
        <v>87</v>
      </c>
      <c r="E188" s="232" t="s">
        <v>422</v>
      </c>
      <c r="F188" s="250" t="s">
        <v>97</v>
      </c>
      <c r="G188" s="250" t="s">
        <v>269</v>
      </c>
      <c r="H188" s="251" t="str">
        <f>IF(BASE_DATOS[[#This Row],[N-R]]="N",BASE_DATOS[[#This Row],[Diseño]],"Reencauche")</f>
        <v>AGC28</v>
      </c>
      <c r="I188" s="250" t="s">
        <v>270</v>
      </c>
      <c r="J188" s="235" t="s">
        <v>72</v>
      </c>
      <c r="K188" s="252">
        <v>16.5</v>
      </c>
      <c r="L188" s="250">
        <v>110</v>
      </c>
      <c r="M188" s="253"/>
      <c r="N188" s="254"/>
      <c r="O188" s="274"/>
      <c r="P188" s="275"/>
      <c r="Q188" s="276"/>
      <c r="R188" s="305" t="s">
        <v>98</v>
      </c>
      <c r="S188" s="306">
        <v>45385</v>
      </c>
      <c r="T188" s="314"/>
      <c r="U188" s="276"/>
      <c r="V188" s="224">
        <v>15</v>
      </c>
      <c r="W188" s="325">
        <v>15</v>
      </c>
      <c r="X188" s="326">
        <v>15</v>
      </c>
      <c r="Y188" s="292">
        <f t="shared" si="7"/>
        <v>15</v>
      </c>
      <c r="Z188" s="194" t="s">
        <v>85</v>
      </c>
      <c r="AA188" s="339">
        <f>IFERROR(BASE_DATOS[[#This Row],[NSK Original]]-BASE_DATOS[[#This Row],[NSK]]," ")</f>
        <v>1.5</v>
      </c>
      <c r="AB188" s="340">
        <f>'NSK-TRACTO'!$A$2</f>
        <v>6</v>
      </c>
      <c r="AC188" s="340">
        <f>IF(BASE_DATOS[[#This Row],[NSK]]&gt;=BASE_DATOS[[#This Row],[NSK Reen]],BASE_DATOS[[#This Row],[NSK Reen]],BASE_DATOS[[#This Row],[NSK]])</f>
        <v>6</v>
      </c>
      <c r="AD188" s="341">
        <f>IFERROR(100%-(BASE_DATOS[[#This Row],[NSK Reen]]/BASE_DATOS[[#This Row],[NSK Original]]),"")</f>
        <v>0.63636363636363635</v>
      </c>
      <c r="AE188" s="341">
        <f>IFERROR(100%-BASE_DATOS[[#This Row],[NSK]]/BASE_DATOS[[#This Row],[NSK Original]],"")</f>
        <v>9.0909090909090939E-2</v>
      </c>
      <c r="AF188" s="341">
        <f>IFERROR(BASE_DATOS[[#This Row],[% Max Des.]]-BASE_DATOS[[#This Row],[% Des]],"")</f>
        <v>0.54545454545454541</v>
      </c>
      <c r="AG188" s="284"/>
      <c r="AH188" s="335"/>
      <c r="AI188" s="359" t="str">
        <f>IF(OR(BASE_DATOS[[#This Row],[Hr.]]="",BASE_DATOS[[#This Row],[Hr. Actual]]=""),"",BASE_DATOS[[#This Row],[Hr. Actual]]-BASE_DATOS[[#This Row],[Hr.]]+BASE_DATOS[[#This Row],[Horas Acumuladas]])</f>
        <v/>
      </c>
      <c r="AJ188" s="360" t="str">
        <f>IFERROR(BASE_DATOS[[#This Row],[Precio US$]]/BASE_DATOS[[#This Row],[Horas Rodadas]],"")</f>
        <v/>
      </c>
      <c r="AK188" s="361" t="str">
        <f>IFERROR(BASE_DATOS[[#This Row],[Horas Rodadas]]/(BASE_DATOS[[#This Row],[NSK Original]]-BASE_DATOS[[#This Row],[NSK]]),"")</f>
        <v/>
      </c>
      <c r="AL188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88" s="362" t="str">
        <f>IFERROR(BASE_DATOS[[#This Row],[Precio US$]]/BASE_DATOS[[#This Row],[Horas Proy.]],"")</f>
        <v/>
      </c>
      <c r="AN188" s="195" t="str">
        <f>IF(OR(BASE_DATOS[[#This Row],[Km.]]="",BASE_DATOS[[#This Row],[Km. Actual]]=""),"",BASE_DATOS[[#This Row],[Km. Actual]]-BASE_DATOS[[#This Row],[Km.]]+BASE_DATOS[[#This Row],[Kilómetros Acumulados]])</f>
        <v/>
      </c>
      <c r="AO188" s="196" t="str">
        <f>IFERROR(BASE_DATOS[[#This Row],[Precio US$]]/BASE_DATOS[[#This Row],[Kilómetros Rodados]],"")</f>
        <v/>
      </c>
      <c r="AP188" s="195" t="str">
        <f>IFERROR(BASE_DATOS[[#This Row],[Kilómetros Rodados]]/(BASE_DATOS[[#This Row],[NSK Original]]-BASE_DATOS[[#This Row],[NSK]]),"")</f>
        <v/>
      </c>
      <c r="AQ188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88" s="196" t="str">
        <f>IFERROR(BASE_DATOS[[#This Row],[Precio US$]]/BASE_DATOS[[#This Row],[Kilómetros Proy.]],"")</f>
        <v/>
      </c>
      <c r="AS188" s="191" t="s">
        <v>62</v>
      </c>
      <c r="AT188" s="191"/>
      <c r="AU188" s="191"/>
      <c r="AV188" s="191"/>
      <c r="AW188" s="198"/>
      <c r="AX188" s="198"/>
      <c r="AY188" s="198" t="str">
        <f>CONCATENATE(BASE_DATOS[[#This Row],[Código_U]]&amp;BASE_DATOS[[#This Row],[Pos.]]&amp;BASE_DATOS[[#This Row],[Situación Actual]])</f>
        <v>SR-1341Rodando</v>
      </c>
    </row>
    <row r="189" spans="1:51" ht="12" x14ac:dyDescent="0.25">
      <c r="A189" s="227" t="s">
        <v>147</v>
      </c>
      <c r="B189" s="217" t="s">
        <v>148</v>
      </c>
      <c r="C189" s="228" t="s">
        <v>295</v>
      </c>
      <c r="D189" s="229" t="s">
        <v>87</v>
      </c>
      <c r="E189" s="248" t="s">
        <v>423</v>
      </c>
      <c r="F189" s="256" t="s">
        <v>97</v>
      </c>
      <c r="G189" s="256" t="s">
        <v>269</v>
      </c>
      <c r="H189" s="257" t="str">
        <f>IF(BASE_DATOS[[#This Row],[N-R]]="N",BASE_DATOS[[#This Row],[Diseño]],"Reencauche")</f>
        <v>AGC28</v>
      </c>
      <c r="I189" s="256" t="s">
        <v>270</v>
      </c>
      <c r="J189" s="243" t="s">
        <v>72</v>
      </c>
      <c r="K189" s="258">
        <v>16.5</v>
      </c>
      <c r="L189" s="256">
        <v>110</v>
      </c>
      <c r="M189" s="259"/>
      <c r="N189" s="260"/>
      <c r="O189" s="277"/>
      <c r="P189" s="278"/>
      <c r="Q189" s="279"/>
      <c r="R189" s="309" t="s">
        <v>99</v>
      </c>
      <c r="S189" s="310">
        <v>45385</v>
      </c>
      <c r="T189" s="313"/>
      <c r="U189" s="279"/>
      <c r="V189" s="227">
        <v>15</v>
      </c>
      <c r="W189" s="281">
        <v>15</v>
      </c>
      <c r="X189" s="282">
        <v>15</v>
      </c>
      <c r="Y189" s="293">
        <f t="shared" si="7"/>
        <v>15</v>
      </c>
      <c r="Z189" s="175" t="s">
        <v>85</v>
      </c>
      <c r="AA189" s="342">
        <f>IFERROR(BASE_DATOS[[#This Row],[NSK Original]]-BASE_DATOS[[#This Row],[NSK]]," ")</f>
        <v>1.5</v>
      </c>
      <c r="AB189" s="343">
        <f>'NSK-TRACTO'!$A$2</f>
        <v>6</v>
      </c>
      <c r="AC189" s="343">
        <f>IF(BASE_DATOS[[#This Row],[NSK]]&gt;=BASE_DATOS[[#This Row],[NSK Reen]],BASE_DATOS[[#This Row],[NSK Reen]],BASE_DATOS[[#This Row],[NSK]])</f>
        <v>6</v>
      </c>
      <c r="AD189" s="344">
        <f>IFERROR(100%-(BASE_DATOS[[#This Row],[NSK Reen]]/BASE_DATOS[[#This Row],[NSK Original]]),"")</f>
        <v>0.63636363636363635</v>
      </c>
      <c r="AE189" s="344">
        <f>IFERROR(100%-BASE_DATOS[[#This Row],[NSK]]/BASE_DATOS[[#This Row],[NSK Original]],"")</f>
        <v>9.0909090909090939E-2</v>
      </c>
      <c r="AF189" s="344">
        <f>IFERROR(BASE_DATOS[[#This Row],[% Max Des.]]-BASE_DATOS[[#This Row],[% Des]],"")</f>
        <v>0.54545454545454541</v>
      </c>
      <c r="AG189" s="287"/>
      <c r="AH189" s="273"/>
      <c r="AI189" s="363" t="str">
        <f>IF(OR(BASE_DATOS[[#This Row],[Hr.]]="",BASE_DATOS[[#This Row],[Hr. Actual]]=""),"",BASE_DATOS[[#This Row],[Hr. Actual]]-BASE_DATOS[[#This Row],[Hr.]]+BASE_DATOS[[#This Row],[Horas Acumuladas]])</f>
        <v/>
      </c>
      <c r="AJ189" s="364" t="str">
        <f>IFERROR(BASE_DATOS[[#This Row],[Precio US$]]/BASE_DATOS[[#This Row],[Horas Rodadas]],"")</f>
        <v/>
      </c>
      <c r="AK189" s="365" t="str">
        <f>IFERROR(BASE_DATOS[[#This Row],[Horas Rodadas]]/(BASE_DATOS[[#This Row],[NSK Original]]-BASE_DATOS[[#This Row],[NSK]]),"")</f>
        <v/>
      </c>
      <c r="AL18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89" s="366" t="str">
        <f>IFERROR(BASE_DATOS[[#This Row],[Precio US$]]/BASE_DATOS[[#This Row],[Horas Proy.]],"")</f>
        <v/>
      </c>
      <c r="AN189" s="176" t="str">
        <f>IF(OR(BASE_DATOS[[#This Row],[Km.]]="",BASE_DATOS[[#This Row],[Km. Actual]]=""),"",BASE_DATOS[[#This Row],[Km. Actual]]-BASE_DATOS[[#This Row],[Km.]]+BASE_DATOS[[#This Row],[Kilómetros Acumulados]])</f>
        <v/>
      </c>
      <c r="AO189" s="177" t="str">
        <f>IFERROR(BASE_DATOS[[#This Row],[Precio US$]]/BASE_DATOS[[#This Row],[Kilómetros Rodados]],"")</f>
        <v/>
      </c>
      <c r="AP189" s="176" t="str">
        <f>IFERROR(BASE_DATOS[[#This Row],[Kilómetros Rodados]]/(BASE_DATOS[[#This Row],[NSK Original]]-BASE_DATOS[[#This Row],[NSK]]),"")</f>
        <v/>
      </c>
      <c r="AQ18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89" s="177" t="str">
        <f>IFERROR(BASE_DATOS[[#This Row],[Precio US$]]/BASE_DATOS[[#This Row],[Kilómetros Proy.]],"")</f>
        <v/>
      </c>
      <c r="AS189" s="167" t="s">
        <v>62</v>
      </c>
      <c r="AT189" s="167"/>
      <c r="AU189" s="167"/>
      <c r="AV189" s="167"/>
      <c r="AW189" s="179"/>
      <c r="AX189" s="179"/>
      <c r="AY189" s="179" t="str">
        <f>CONCATENATE(BASE_DATOS[[#This Row],[Código_U]]&amp;BASE_DATOS[[#This Row],[Pos.]]&amp;BASE_DATOS[[#This Row],[Situación Actual]])</f>
        <v>SR-1342Rodando</v>
      </c>
    </row>
    <row r="190" spans="1:51" ht="12" x14ac:dyDescent="0.25">
      <c r="A190" s="227" t="s">
        <v>147</v>
      </c>
      <c r="B190" s="217" t="s">
        <v>148</v>
      </c>
      <c r="C190" s="228" t="s">
        <v>295</v>
      </c>
      <c r="D190" s="229" t="s">
        <v>87</v>
      </c>
      <c r="E190" s="248" t="s">
        <v>425</v>
      </c>
      <c r="F190" s="256" t="s">
        <v>97</v>
      </c>
      <c r="G190" s="256" t="s">
        <v>269</v>
      </c>
      <c r="H190" s="257" t="str">
        <f>IF(BASE_DATOS[[#This Row],[N-R]]="N",BASE_DATOS[[#This Row],[Diseño]],"Reencauche")</f>
        <v>AGC28</v>
      </c>
      <c r="I190" s="256" t="s">
        <v>270</v>
      </c>
      <c r="J190" s="243" t="s">
        <v>72</v>
      </c>
      <c r="K190" s="258">
        <v>16.5</v>
      </c>
      <c r="L190" s="256">
        <v>110</v>
      </c>
      <c r="M190" s="259"/>
      <c r="N190" s="260"/>
      <c r="O190" s="277"/>
      <c r="P190" s="278"/>
      <c r="Q190" s="279"/>
      <c r="R190" s="309" t="s">
        <v>100</v>
      </c>
      <c r="S190" s="310">
        <v>45385</v>
      </c>
      <c r="T190" s="313"/>
      <c r="U190" s="279"/>
      <c r="V190" s="227">
        <v>11</v>
      </c>
      <c r="W190" s="281">
        <v>11</v>
      </c>
      <c r="X190" s="282">
        <v>11</v>
      </c>
      <c r="Y190" s="293">
        <f t="shared" si="7"/>
        <v>11</v>
      </c>
      <c r="Z190" s="175" t="s">
        <v>85</v>
      </c>
      <c r="AA190" s="342">
        <f>IFERROR(BASE_DATOS[[#This Row],[NSK Original]]-BASE_DATOS[[#This Row],[NSK]]," ")</f>
        <v>5.5</v>
      </c>
      <c r="AB190" s="343">
        <f>'NSK-TRACTO'!$A$2</f>
        <v>6</v>
      </c>
      <c r="AC190" s="343">
        <f>IF(BASE_DATOS[[#This Row],[NSK]]&gt;=BASE_DATOS[[#This Row],[NSK Reen]],BASE_DATOS[[#This Row],[NSK Reen]],BASE_DATOS[[#This Row],[NSK]])</f>
        <v>6</v>
      </c>
      <c r="AD190" s="344">
        <f>IFERROR(100%-(BASE_DATOS[[#This Row],[NSK Reen]]/BASE_DATOS[[#This Row],[NSK Original]]),"")</f>
        <v>0.63636363636363635</v>
      </c>
      <c r="AE190" s="344">
        <f>IFERROR(100%-BASE_DATOS[[#This Row],[NSK]]/BASE_DATOS[[#This Row],[NSK Original]],"")</f>
        <v>0.33333333333333337</v>
      </c>
      <c r="AF190" s="344">
        <f>IFERROR(BASE_DATOS[[#This Row],[% Max Des.]]-BASE_DATOS[[#This Row],[% Des]],"")</f>
        <v>0.30303030303030298</v>
      </c>
      <c r="AG190" s="287"/>
      <c r="AH190" s="273"/>
      <c r="AI190" s="363" t="str">
        <f>IF(OR(BASE_DATOS[[#This Row],[Hr.]]="",BASE_DATOS[[#This Row],[Hr. Actual]]=""),"",BASE_DATOS[[#This Row],[Hr. Actual]]-BASE_DATOS[[#This Row],[Hr.]]+BASE_DATOS[[#This Row],[Horas Acumuladas]])</f>
        <v/>
      </c>
      <c r="AJ190" s="364" t="str">
        <f>IFERROR(BASE_DATOS[[#This Row],[Precio US$]]/BASE_DATOS[[#This Row],[Horas Rodadas]],"")</f>
        <v/>
      </c>
      <c r="AK190" s="365" t="str">
        <f>IFERROR(BASE_DATOS[[#This Row],[Horas Rodadas]]/(BASE_DATOS[[#This Row],[NSK Original]]-BASE_DATOS[[#This Row],[NSK]]),"")</f>
        <v/>
      </c>
      <c r="AL19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90" s="366" t="str">
        <f>IFERROR(BASE_DATOS[[#This Row],[Precio US$]]/BASE_DATOS[[#This Row],[Horas Proy.]],"")</f>
        <v/>
      </c>
      <c r="AN190" s="176" t="str">
        <f>IF(OR(BASE_DATOS[[#This Row],[Km.]]="",BASE_DATOS[[#This Row],[Km. Actual]]=""),"",BASE_DATOS[[#This Row],[Km. Actual]]-BASE_DATOS[[#This Row],[Km.]]+BASE_DATOS[[#This Row],[Kilómetros Acumulados]])</f>
        <v/>
      </c>
      <c r="AO190" s="177" t="str">
        <f>IFERROR(BASE_DATOS[[#This Row],[Precio US$]]/BASE_DATOS[[#This Row],[Kilómetros Rodados]],"")</f>
        <v/>
      </c>
      <c r="AP190" s="176" t="str">
        <f>IFERROR(BASE_DATOS[[#This Row],[Kilómetros Rodados]]/(BASE_DATOS[[#This Row],[NSK Original]]-BASE_DATOS[[#This Row],[NSK]]),"")</f>
        <v/>
      </c>
      <c r="AQ19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90" s="177" t="str">
        <f>IFERROR(BASE_DATOS[[#This Row],[Precio US$]]/BASE_DATOS[[#This Row],[Kilómetros Proy.]],"")</f>
        <v/>
      </c>
      <c r="AS190" s="167" t="s">
        <v>62</v>
      </c>
      <c r="AT190" s="167"/>
      <c r="AU190" s="167"/>
      <c r="AV190" s="167"/>
      <c r="AW190" s="179"/>
      <c r="AX190" s="179"/>
      <c r="AY190" s="179" t="str">
        <f>CONCATENATE(BASE_DATOS[[#This Row],[Código_U]]&amp;BASE_DATOS[[#This Row],[Pos.]]&amp;BASE_DATOS[[#This Row],[Situación Actual]])</f>
        <v>SR-1343Rodando</v>
      </c>
    </row>
    <row r="191" spans="1:51" ht="12" x14ac:dyDescent="0.25">
      <c r="A191" s="227" t="s">
        <v>147</v>
      </c>
      <c r="B191" s="217" t="s">
        <v>148</v>
      </c>
      <c r="C191" s="228" t="s">
        <v>295</v>
      </c>
      <c r="D191" s="229" t="s">
        <v>87</v>
      </c>
      <c r="E191" s="248" t="s">
        <v>424</v>
      </c>
      <c r="F191" s="256" t="s">
        <v>97</v>
      </c>
      <c r="G191" s="256" t="s">
        <v>269</v>
      </c>
      <c r="H191" s="257" t="str">
        <f>IF(BASE_DATOS[[#This Row],[N-R]]="N",BASE_DATOS[[#This Row],[Diseño]],"Reencauche")</f>
        <v>AGC28</v>
      </c>
      <c r="I191" s="256" t="s">
        <v>270</v>
      </c>
      <c r="J191" s="243" t="s">
        <v>72</v>
      </c>
      <c r="K191" s="258">
        <v>16.5</v>
      </c>
      <c r="L191" s="256">
        <v>110</v>
      </c>
      <c r="M191" s="259"/>
      <c r="N191" s="260"/>
      <c r="O191" s="277"/>
      <c r="P191" s="278"/>
      <c r="Q191" s="279"/>
      <c r="R191" s="309" t="s">
        <v>101</v>
      </c>
      <c r="S191" s="310">
        <v>45385</v>
      </c>
      <c r="T191" s="313"/>
      <c r="U191" s="279"/>
      <c r="V191" s="227">
        <v>10</v>
      </c>
      <c r="W191" s="281">
        <v>9</v>
      </c>
      <c r="X191" s="282">
        <v>9</v>
      </c>
      <c r="Y191" s="293">
        <f t="shared" si="7"/>
        <v>9</v>
      </c>
      <c r="Z191" s="175" t="s">
        <v>85</v>
      </c>
      <c r="AA191" s="342">
        <f>IFERROR(BASE_DATOS[[#This Row],[NSK Original]]-BASE_DATOS[[#This Row],[NSK]]," ")</f>
        <v>7.5</v>
      </c>
      <c r="AB191" s="343">
        <f>'NSK-TRACTO'!$A$2</f>
        <v>6</v>
      </c>
      <c r="AC191" s="343">
        <f>IF(BASE_DATOS[[#This Row],[NSK]]&gt;=BASE_DATOS[[#This Row],[NSK Reen]],BASE_DATOS[[#This Row],[NSK Reen]],BASE_DATOS[[#This Row],[NSK]])</f>
        <v>6</v>
      </c>
      <c r="AD191" s="344">
        <f>IFERROR(100%-(BASE_DATOS[[#This Row],[NSK Reen]]/BASE_DATOS[[#This Row],[NSK Original]]),"")</f>
        <v>0.63636363636363635</v>
      </c>
      <c r="AE191" s="344">
        <f>IFERROR(100%-BASE_DATOS[[#This Row],[NSK]]/BASE_DATOS[[#This Row],[NSK Original]],"")</f>
        <v>0.45454545454545459</v>
      </c>
      <c r="AF191" s="344">
        <f>IFERROR(BASE_DATOS[[#This Row],[% Max Des.]]-BASE_DATOS[[#This Row],[% Des]],"")</f>
        <v>0.18181818181818177</v>
      </c>
      <c r="AG191" s="287"/>
      <c r="AH191" s="273"/>
      <c r="AI191" s="363" t="str">
        <f>IF(OR(BASE_DATOS[[#This Row],[Hr.]]="",BASE_DATOS[[#This Row],[Hr. Actual]]=""),"",BASE_DATOS[[#This Row],[Hr. Actual]]-BASE_DATOS[[#This Row],[Hr.]]+BASE_DATOS[[#This Row],[Horas Acumuladas]])</f>
        <v/>
      </c>
      <c r="AJ191" s="364" t="str">
        <f>IFERROR(BASE_DATOS[[#This Row],[Precio US$]]/BASE_DATOS[[#This Row],[Horas Rodadas]],"")</f>
        <v/>
      </c>
      <c r="AK191" s="365" t="str">
        <f>IFERROR(BASE_DATOS[[#This Row],[Horas Rodadas]]/(BASE_DATOS[[#This Row],[NSK Original]]-BASE_DATOS[[#This Row],[NSK]]),"")</f>
        <v/>
      </c>
      <c r="AL19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91" s="366" t="str">
        <f>IFERROR(BASE_DATOS[[#This Row],[Precio US$]]/BASE_DATOS[[#This Row],[Horas Proy.]],"")</f>
        <v/>
      </c>
      <c r="AN191" s="176" t="str">
        <f>IF(OR(BASE_DATOS[[#This Row],[Km.]]="",BASE_DATOS[[#This Row],[Km. Actual]]=""),"",BASE_DATOS[[#This Row],[Km. Actual]]-BASE_DATOS[[#This Row],[Km.]]+BASE_DATOS[[#This Row],[Kilómetros Acumulados]])</f>
        <v/>
      </c>
      <c r="AO191" s="177" t="str">
        <f>IFERROR(BASE_DATOS[[#This Row],[Precio US$]]/BASE_DATOS[[#This Row],[Kilómetros Rodados]],"")</f>
        <v/>
      </c>
      <c r="AP191" s="176" t="str">
        <f>IFERROR(BASE_DATOS[[#This Row],[Kilómetros Rodados]]/(BASE_DATOS[[#This Row],[NSK Original]]-BASE_DATOS[[#This Row],[NSK]]),"")</f>
        <v/>
      </c>
      <c r="AQ19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91" s="177" t="str">
        <f>IFERROR(BASE_DATOS[[#This Row],[Precio US$]]/BASE_DATOS[[#This Row],[Kilómetros Proy.]],"")</f>
        <v/>
      </c>
      <c r="AS191" s="167" t="s">
        <v>62</v>
      </c>
      <c r="AT191" s="167"/>
      <c r="AU191" s="167"/>
      <c r="AV191" s="167"/>
      <c r="AW191" s="179"/>
      <c r="AX191" s="179"/>
      <c r="AY191" s="179" t="str">
        <f>CONCATENATE(BASE_DATOS[[#This Row],[Código_U]]&amp;BASE_DATOS[[#This Row],[Pos.]]&amp;BASE_DATOS[[#This Row],[Situación Actual]])</f>
        <v>SR-1344Rodando</v>
      </c>
    </row>
    <row r="192" spans="1:51" ht="12" x14ac:dyDescent="0.25">
      <c r="A192" s="227" t="s">
        <v>147</v>
      </c>
      <c r="B192" s="217" t="s">
        <v>148</v>
      </c>
      <c r="C192" s="228" t="s">
        <v>295</v>
      </c>
      <c r="D192" s="229" t="s">
        <v>87</v>
      </c>
      <c r="E192" s="248" t="s">
        <v>426</v>
      </c>
      <c r="F192" s="256" t="s">
        <v>97</v>
      </c>
      <c r="G192" s="256" t="s">
        <v>269</v>
      </c>
      <c r="H192" s="257" t="str">
        <f>IF(BASE_DATOS[[#This Row],[N-R]]="N",BASE_DATOS[[#This Row],[Diseño]],"Reencauche")</f>
        <v>AGC28</v>
      </c>
      <c r="I192" s="256" t="s">
        <v>270</v>
      </c>
      <c r="J192" s="243" t="s">
        <v>72</v>
      </c>
      <c r="K192" s="258">
        <v>16.5</v>
      </c>
      <c r="L192" s="256">
        <v>110</v>
      </c>
      <c r="M192" s="259"/>
      <c r="N192" s="260"/>
      <c r="O192" s="277"/>
      <c r="P192" s="278"/>
      <c r="Q192" s="279"/>
      <c r="R192" s="309" t="s">
        <v>102</v>
      </c>
      <c r="S192" s="310">
        <v>45385</v>
      </c>
      <c r="T192" s="313"/>
      <c r="U192" s="279"/>
      <c r="V192" s="227">
        <v>13</v>
      </c>
      <c r="W192" s="281">
        <v>13</v>
      </c>
      <c r="X192" s="282">
        <v>13</v>
      </c>
      <c r="Y192" s="293">
        <f t="shared" si="7"/>
        <v>13</v>
      </c>
      <c r="Z192" s="175" t="s">
        <v>85</v>
      </c>
      <c r="AA192" s="342">
        <f>IFERROR(BASE_DATOS[[#This Row],[NSK Original]]-BASE_DATOS[[#This Row],[NSK]]," ")</f>
        <v>3.5</v>
      </c>
      <c r="AB192" s="343">
        <f>'NSK-TRACTO'!$A$2</f>
        <v>6</v>
      </c>
      <c r="AC192" s="343">
        <f>IF(BASE_DATOS[[#This Row],[NSK]]&gt;=BASE_DATOS[[#This Row],[NSK Reen]],BASE_DATOS[[#This Row],[NSK Reen]],BASE_DATOS[[#This Row],[NSK]])</f>
        <v>6</v>
      </c>
      <c r="AD192" s="344">
        <f>IFERROR(100%-(BASE_DATOS[[#This Row],[NSK Reen]]/BASE_DATOS[[#This Row],[NSK Original]]),"")</f>
        <v>0.63636363636363635</v>
      </c>
      <c r="AE192" s="344">
        <f>IFERROR(100%-BASE_DATOS[[#This Row],[NSK]]/BASE_DATOS[[#This Row],[NSK Original]],"")</f>
        <v>0.21212121212121215</v>
      </c>
      <c r="AF192" s="344">
        <f>IFERROR(BASE_DATOS[[#This Row],[% Max Des.]]-BASE_DATOS[[#This Row],[% Des]],"")</f>
        <v>0.4242424242424242</v>
      </c>
      <c r="AG192" s="287"/>
      <c r="AH192" s="273"/>
      <c r="AI192" s="363" t="str">
        <f>IF(OR(BASE_DATOS[[#This Row],[Hr.]]="",BASE_DATOS[[#This Row],[Hr. Actual]]=""),"",BASE_DATOS[[#This Row],[Hr. Actual]]-BASE_DATOS[[#This Row],[Hr.]]+BASE_DATOS[[#This Row],[Horas Acumuladas]])</f>
        <v/>
      </c>
      <c r="AJ192" s="364" t="str">
        <f>IFERROR(BASE_DATOS[[#This Row],[Precio US$]]/BASE_DATOS[[#This Row],[Horas Rodadas]],"")</f>
        <v/>
      </c>
      <c r="AK192" s="365" t="str">
        <f>IFERROR(BASE_DATOS[[#This Row],[Horas Rodadas]]/(BASE_DATOS[[#This Row],[NSK Original]]-BASE_DATOS[[#This Row],[NSK]]),"")</f>
        <v/>
      </c>
      <c r="AL19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92" s="366" t="str">
        <f>IFERROR(BASE_DATOS[[#This Row],[Precio US$]]/BASE_DATOS[[#This Row],[Horas Proy.]],"")</f>
        <v/>
      </c>
      <c r="AN192" s="176" t="str">
        <f>IF(OR(BASE_DATOS[[#This Row],[Km.]]="",BASE_DATOS[[#This Row],[Km. Actual]]=""),"",BASE_DATOS[[#This Row],[Km. Actual]]-BASE_DATOS[[#This Row],[Km.]]+BASE_DATOS[[#This Row],[Kilómetros Acumulados]])</f>
        <v/>
      </c>
      <c r="AO192" s="177" t="str">
        <f>IFERROR(BASE_DATOS[[#This Row],[Precio US$]]/BASE_DATOS[[#This Row],[Kilómetros Rodados]],"")</f>
        <v/>
      </c>
      <c r="AP192" s="176" t="str">
        <f>IFERROR(BASE_DATOS[[#This Row],[Kilómetros Rodados]]/(BASE_DATOS[[#This Row],[NSK Original]]-BASE_DATOS[[#This Row],[NSK]]),"")</f>
        <v/>
      </c>
      <c r="AQ19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92" s="177" t="str">
        <f>IFERROR(BASE_DATOS[[#This Row],[Precio US$]]/BASE_DATOS[[#This Row],[Kilómetros Proy.]],"")</f>
        <v/>
      </c>
      <c r="AS192" s="167" t="s">
        <v>62</v>
      </c>
      <c r="AT192" s="167"/>
      <c r="AU192" s="167"/>
      <c r="AV192" s="167"/>
      <c r="AW192" s="179"/>
      <c r="AX192" s="179"/>
      <c r="AY192" s="179" t="str">
        <f>CONCATENATE(BASE_DATOS[[#This Row],[Código_U]]&amp;BASE_DATOS[[#This Row],[Pos.]]&amp;BASE_DATOS[[#This Row],[Situación Actual]])</f>
        <v>SR-1345Rodando</v>
      </c>
    </row>
    <row r="193" spans="1:51" ht="12" x14ac:dyDescent="0.25">
      <c r="A193" s="227" t="s">
        <v>147</v>
      </c>
      <c r="B193" s="217" t="s">
        <v>148</v>
      </c>
      <c r="C193" s="228" t="s">
        <v>295</v>
      </c>
      <c r="D193" s="229" t="s">
        <v>87</v>
      </c>
      <c r="E193" s="255"/>
      <c r="F193" s="256" t="s">
        <v>97</v>
      </c>
      <c r="G193" s="256" t="s">
        <v>269</v>
      </c>
      <c r="H193" s="257" t="str">
        <f>IF(BASE_DATOS[[#This Row],[N-R]]="N",BASE_DATOS[[#This Row],[Diseño]],"Reencauche")</f>
        <v>AGC28</v>
      </c>
      <c r="I193" s="256" t="s">
        <v>270</v>
      </c>
      <c r="J193" s="243" t="s">
        <v>72</v>
      </c>
      <c r="K193" s="258">
        <v>16.5</v>
      </c>
      <c r="L193" s="256">
        <v>110</v>
      </c>
      <c r="M193" s="259"/>
      <c r="N193" s="260"/>
      <c r="O193" s="277"/>
      <c r="P193" s="278"/>
      <c r="Q193" s="279"/>
      <c r="R193" s="309" t="s">
        <v>103</v>
      </c>
      <c r="S193" s="310">
        <v>45385</v>
      </c>
      <c r="T193" s="313"/>
      <c r="U193" s="279"/>
      <c r="V193" s="227">
        <v>13</v>
      </c>
      <c r="W193" s="281">
        <v>13</v>
      </c>
      <c r="X193" s="282">
        <v>13</v>
      </c>
      <c r="Y193" s="293">
        <f t="shared" si="7"/>
        <v>13</v>
      </c>
      <c r="Z193" s="175" t="s">
        <v>85</v>
      </c>
      <c r="AA193" s="342">
        <f>IFERROR(BASE_DATOS[[#This Row],[NSK Original]]-BASE_DATOS[[#This Row],[NSK]]," ")</f>
        <v>3.5</v>
      </c>
      <c r="AB193" s="343">
        <f>'NSK-TRACTO'!$A$2</f>
        <v>6</v>
      </c>
      <c r="AC193" s="343">
        <f>IF(BASE_DATOS[[#This Row],[NSK]]&gt;=BASE_DATOS[[#This Row],[NSK Reen]],BASE_DATOS[[#This Row],[NSK Reen]],BASE_DATOS[[#This Row],[NSK]])</f>
        <v>6</v>
      </c>
      <c r="AD193" s="344">
        <f>IFERROR(100%-(BASE_DATOS[[#This Row],[NSK Reen]]/BASE_DATOS[[#This Row],[NSK Original]]),"")</f>
        <v>0.63636363636363635</v>
      </c>
      <c r="AE193" s="344">
        <f>IFERROR(100%-BASE_DATOS[[#This Row],[NSK]]/BASE_DATOS[[#This Row],[NSK Original]],"")</f>
        <v>0.21212121212121215</v>
      </c>
      <c r="AF193" s="344">
        <f>IFERROR(BASE_DATOS[[#This Row],[% Max Des.]]-BASE_DATOS[[#This Row],[% Des]],"")</f>
        <v>0.4242424242424242</v>
      </c>
      <c r="AG193" s="287"/>
      <c r="AH193" s="273"/>
      <c r="AI193" s="363" t="str">
        <f>IF(OR(BASE_DATOS[[#This Row],[Hr.]]="",BASE_DATOS[[#This Row],[Hr. Actual]]=""),"",BASE_DATOS[[#This Row],[Hr. Actual]]-BASE_DATOS[[#This Row],[Hr.]]+BASE_DATOS[[#This Row],[Horas Acumuladas]])</f>
        <v/>
      </c>
      <c r="AJ193" s="364" t="str">
        <f>IFERROR(BASE_DATOS[[#This Row],[Precio US$]]/BASE_DATOS[[#This Row],[Horas Rodadas]],"")</f>
        <v/>
      </c>
      <c r="AK193" s="365" t="str">
        <f>IFERROR(BASE_DATOS[[#This Row],[Horas Rodadas]]/(BASE_DATOS[[#This Row],[NSK Original]]-BASE_DATOS[[#This Row],[NSK]]),"")</f>
        <v/>
      </c>
      <c r="AL19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93" s="366" t="str">
        <f>IFERROR(BASE_DATOS[[#This Row],[Precio US$]]/BASE_DATOS[[#This Row],[Horas Proy.]],"")</f>
        <v/>
      </c>
      <c r="AN193" s="176" t="str">
        <f>IF(OR(BASE_DATOS[[#This Row],[Km.]]="",BASE_DATOS[[#This Row],[Km. Actual]]=""),"",BASE_DATOS[[#This Row],[Km. Actual]]-BASE_DATOS[[#This Row],[Km.]]+BASE_DATOS[[#This Row],[Kilómetros Acumulados]])</f>
        <v/>
      </c>
      <c r="AO193" s="177" t="str">
        <f>IFERROR(BASE_DATOS[[#This Row],[Precio US$]]/BASE_DATOS[[#This Row],[Kilómetros Rodados]],"")</f>
        <v/>
      </c>
      <c r="AP193" s="176" t="str">
        <f>IFERROR(BASE_DATOS[[#This Row],[Kilómetros Rodados]]/(BASE_DATOS[[#This Row],[NSK Original]]-BASE_DATOS[[#This Row],[NSK]]),"")</f>
        <v/>
      </c>
      <c r="AQ19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93" s="177" t="str">
        <f>IFERROR(BASE_DATOS[[#This Row],[Precio US$]]/BASE_DATOS[[#This Row],[Kilómetros Proy.]],"")</f>
        <v/>
      </c>
      <c r="AS193" s="167" t="s">
        <v>62</v>
      </c>
      <c r="AT193" s="167"/>
      <c r="AU193" s="167"/>
      <c r="AV193" s="167"/>
      <c r="AW193" s="179"/>
      <c r="AX193" s="179"/>
      <c r="AY193" s="179" t="str">
        <f>CONCATENATE(BASE_DATOS[[#This Row],[Código_U]]&amp;BASE_DATOS[[#This Row],[Pos.]]&amp;BASE_DATOS[[#This Row],[Situación Actual]])</f>
        <v>SR-1346Rodando</v>
      </c>
    </row>
    <row r="194" spans="1:51" ht="12" x14ac:dyDescent="0.25">
      <c r="A194" s="227" t="s">
        <v>147</v>
      </c>
      <c r="B194" s="217" t="s">
        <v>148</v>
      </c>
      <c r="C194" s="228" t="s">
        <v>295</v>
      </c>
      <c r="D194" s="229" t="s">
        <v>384</v>
      </c>
      <c r="E194" s="255"/>
      <c r="F194" s="256" t="s">
        <v>71</v>
      </c>
      <c r="G194" s="256" t="s">
        <v>269</v>
      </c>
      <c r="H194" s="257" t="str">
        <f>IF(BASE_DATOS[[#This Row],[N-R]]="N",BASE_DATOS[[#This Row],[Diseño]],"Reencauche")</f>
        <v>OMNITRAC MST2</v>
      </c>
      <c r="I194" s="256" t="s">
        <v>281</v>
      </c>
      <c r="J194" s="243" t="s">
        <v>72</v>
      </c>
      <c r="K194" s="258">
        <v>15.6</v>
      </c>
      <c r="L194" s="256">
        <v>110</v>
      </c>
      <c r="M194" s="259"/>
      <c r="N194" s="260"/>
      <c r="O194" s="277"/>
      <c r="P194" s="278"/>
      <c r="Q194" s="279"/>
      <c r="R194" s="304" t="s">
        <v>509</v>
      </c>
      <c r="S194" s="310">
        <v>45385</v>
      </c>
      <c r="T194" s="313"/>
      <c r="U194" s="279"/>
      <c r="V194" s="227">
        <v>9</v>
      </c>
      <c r="W194" s="281">
        <v>9</v>
      </c>
      <c r="X194" s="282">
        <v>9</v>
      </c>
      <c r="Y194" s="293">
        <f t="shared" si="7"/>
        <v>9</v>
      </c>
      <c r="Z194" s="175" t="s">
        <v>85</v>
      </c>
      <c r="AA194" s="342">
        <f>IFERROR(BASE_DATOS[[#This Row],[NSK Original]]-BASE_DATOS[[#This Row],[NSK]]," ")</f>
        <v>6.6</v>
      </c>
      <c r="AB194" s="343">
        <f>'NSK-TRACTO'!$A$2</f>
        <v>6</v>
      </c>
      <c r="AC194" s="343">
        <f>IF(BASE_DATOS[[#This Row],[NSK]]&gt;=BASE_DATOS[[#This Row],[NSK Reen]],BASE_DATOS[[#This Row],[NSK Reen]],BASE_DATOS[[#This Row],[NSK]])</f>
        <v>6</v>
      </c>
      <c r="AD194" s="344">
        <f>IFERROR(100%-(BASE_DATOS[[#This Row],[NSK Reen]]/BASE_DATOS[[#This Row],[NSK Original]]),"")</f>
        <v>0.61538461538461542</v>
      </c>
      <c r="AE194" s="344">
        <f>IFERROR(100%-BASE_DATOS[[#This Row],[NSK]]/BASE_DATOS[[#This Row],[NSK Original]],"")</f>
        <v>0.42307692307692302</v>
      </c>
      <c r="AF194" s="344">
        <f>IFERROR(BASE_DATOS[[#This Row],[% Max Des.]]-BASE_DATOS[[#This Row],[% Des]],"")</f>
        <v>0.1923076923076924</v>
      </c>
      <c r="AG194" s="287"/>
      <c r="AH194" s="273"/>
      <c r="AI194" s="363" t="str">
        <f>IF(OR(BASE_DATOS[[#This Row],[Hr.]]="",BASE_DATOS[[#This Row],[Hr. Actual]]=""),"",BASE_DATOS[[#This Row],[Hr. Actual]]-BASE_DATOS[[#This Row],[Hr.]]+BASE_DATOS[[#This Row],[Horas Acumuladas]])</f>
        <v/>
      </c>
      <c r="AJ194" s="364" t="str">
        <f>IFERROR(BASE_DATOS[[#This Row],[Precio US$]]/BASE_DATOS[[#This Row],[Horas Rodadas]],"")</f>
        <v/>
      </c>
      <c r="AK194" s="365" t="str">
        <f>IFERROR(BASE_DATOS[[#This Row],[Horas Rodadas]]/(BASE_DATOS[[#This Row],[NSK Original]]-BASE_DATOS[[#This Row],[NSK]]),"")</f>
        <v/>
      </c>
      <c r="AL19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94" s="366" t="str">
        <f>IFERROR(BASE_DATOS[[#This Row],[Precio US$]]/BASE_DATOS[[#This Row],[Horas Proy.]],"")</f>
        <v/>
      </c>
      <c r="AN194" s="176" t="str">
        <f>IF(OR(BASE_DATOS[[#This Row],[Km.]]="",BASE_DATOS[[#This Row],[Km. Actual]]=""),"",BASE_DATOS[[#This Row],[Km. Actual]]-BASE_DATOS[[#This Row],[Km.]]+BASE_DATOS[[#This Row],[Kilómetros Acumulados]])</f>
        <v/>
      </c>
      <c r="AO194" s="177" t="str">
        <f>IFERROR(BASE_DATOS[[#This Row],[Precio US$]]/BASE_DATOS[[#This Row],[Kilómetros Rodados]],"")</f>
        <v/>
      </c>
      <c r="AP194" s="176" t="str">
        <f>IFERROR(BASE_DATOS[[#This Row],[Kilómetros Rodados]]/(BASE_DATOS[[#This Row],[NSK Original]]-BASE_DATOS[[#This Row],[NSK]]),"")</f>
        <v/>
      </c>
      <c r="AQ19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94" s="177" t="str">
        <f>IFERROR(BASE_DATOS[[#This Row],[Precio US$]]/BASE_DATOS[[#This Row],[Kilómetros Proy.]],"")</f>
        <v/>
      </c>
      <c r="AS194" s="167" t="s">
        <v>62</v>
      </c>
      <c r="AT194" s="167"/>
      <c r="AU194" s="167"/>
      <c r="AV194" s="167"/>
      <c r="AW194" s="179"/>
      <c r="AX194" s="179"/>
      <c r="AY194" s="179" t="str">
        <f>CONCATENATE(BASE_DATOS[[#This Row],[Código_U]]&amp;BASE_DATOS[[#This Row],[Pos.]]&amp;BASE_DATOS[[#This Row],[Situación Actual]])</f>
        <v>SR-134RERodando</v>
      </c>
    </row>
    <row r="195" spans="1:51" ht="12" x14ac:dyDescent="0.25">
      <c r="A195" s="227" t="s">
        <v>147</v>
      </c>
      <c r="B195" s="217" t="s">
        <v>148</v>
      </c>
      <c r="C195" s="228" t="s">
        <v>295</v>
      </c>
      <c r="D195" s="229" t="s">
        <v>108</v>
      </c>
      <c r="E195" s="255"/>
      <c r="F195" s="256" t="s">
        <v>71</v>
      </c>
      <c r="G195" s="256" t="s">
        <v>271</v>
      </c>
      <c r="H195" s="257" t="str">
        <f>IF(BASE_DATOS[[#This Row],[N-R]]="N",BASE_DATOS[[#This Row],[Diseño]],"Reencauche")</f>
        <v>KMAX S</v>
      </c>
      <c r="I195" s="256" t="s">
        <v>287</v>
      </c>
      <c r="J195" s="243" t="s">
        <v>72</v>
      </c>
      <c r="K195" s="258">
        <v>15.8</v>
      </c>
      <c r="L195" s="256">
        <v>100</v>
      </c>
      <c r="M195" s="259"/>
      <c r="N195" s="260"/>
      <c r="O195" s="277"/>
      <c r="P195" s="278"/>
      <c r="Q195" s="279"/>
      <c r="R195" s="304" t="s">
        <v>108</v>
      </c>
      <c r="S195" s="310">
        <v>45385</v>
      </c>
      <c r="T195" s="313"/>
      <c r="U195" s="279"/>
      <c r="V195" s="227">
        <v>11</v>
      </c>
      <c r="W195" s="281">
        <v>12</v>
      </c>
      <c r="X195" s="282">
        <v>11</v>
      </c>
      <c r="Y195" s="293">
        <f t="shared" si="7"/>
        <v>11</v>
      </c>
      <c r="Z195" s="175" t="s">
        <v>85</v>
      </c>
      <c r="AA195" s="342">
        <f>IFERROR(BASE_DATOS[[#This Row],[NSK Original]]-BASE_DATOS[[#This Row],[NSK]]," ")</f>
        <v>4.8000000000000007</v>
      </c>
      <c r="AB195" s="343">
        <f>'NSK-TRACTO'!$A$2</f>
        <v>6</v>
      </c>
      <c r="AC195" s="343">
        <f>IF(BASE_DATOS[[#This Row],[NSK]]&gt;=BASE_DATOS[[#This Row],[NSK Reen]],BASE_DATOS[[#This Row],[NSK Reen]],BASE_DATOS[[#This Row],[NSK]])</f>
        <v>6</v>
      </c>
      <c r="AD195" s="344">
        <f>IFERROR(100%-(BASE_DATOS[[#This Row],[NSK Reen]]/BASE_DATOS[[#This Row],[NSK Original]]),"")</f>
        <v>0.620253164556962</v>
      </c>
      <c r="AE195" s="344">
        <f>IFERROR(100%-BASE_DATOS[[#This Row],[NSK]]/BASE_DATOS[[#This Row],[NSK Original]],"")</f>
        <v>0.30379746835443044</v>
      </c>
      <c r="AF195" s="344">
        <f>IFERROR(BASE_DATOS[[#This Row],[% Max Des.]]-BASE_DATOS[[#This Row],[% Des]],"")</f>
        <v>0.31645569620253156</v>
      </c>
      <c r="AG195" s="287"/>
      <c r="AH195" s="273"/>
      <c r="AI195" s="363" t="str">
        <f>IF(OR(BASE_DATOS[[#This Row],[Hr.]]="",BASE_DATOS[[#This Row],[Hr. Actual]]=""),"",BASE_DATOS[[#This Row],[Hr. Actual]]-BASE_DATOS[[#This Row],[Hr.]]+BASE_DATOS[[#This Row],[Horas Acumuladas]])</f>
        <v/>
      </c>
      <c r="AJ195" s="364" t="str">
        <f>IFERROR(BASE_DATOS[[#This Row],[Precio US$]]/BASE_DATOS[[#This Row],[Horas Rodadas]],"")</f>
        <v/>
      </c>
      <c r="AK195" s="365" t="str">
        <f>IFERROR(BASE_DATOS[[#This Row],[Horas Rodadas]]/(BASE_DATOS[[#This Row],[NSK Original]]-BASE_DATOS[[#This Row],[NSK]]),"")</f>
        <v/>
      </c>
      <c r="AL19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95" s="366" t="str">
        <f>IFERROR(BASE_DATOS[[#This Row],[Precio US$]]/BASE_DATOS[[#This Row],[Horas Proy.]],"")</f>
        <v/>
      </c>
      <c r="AN195" s="176" t="str">
        <f>IF(OR(BASE_DATOS[[#This Row],[Km.]]="",BASE_DATOS[[#This Row],[Km. Actual]]=""),"",BASE_DATOS[[#This Row],[Km. Actual]]-BASE_DATOS[[#This Row],[Km.]]+BASE_DATOS[[#This Row],[Kilómetros Acumulados]])</f>
        <v/>
      </c>
      <c r="AO195" s="177" t="str">
        <f>IFERROR(BASE_DATOS[[#This Row],[Precio US$]]/BASE_DATOS[[#This Row],[Kilómetros Rodados]],"")</f>
        <v/>
      </c>
      <c r="AP195" s="176" t="str">
        <f>IFERROR(BASE_DATOS[[#This Row],[Kilómetros Rodados]]/(BASE_DATOS[[#This Row],[NSK Original]]-BASE_DATOS[[#This Row],[NSK]]),"")</f>
        <v/>
      </c>
      <c r="AQ19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95" s="177" t="str">
        <f>IFERROR(BASE_DATOS[[#This Row],[Precio US$]]/BASE_DATOS[[#This Row],[Kilómetros Proy.]],"")</f>
        <v/>
      </c>
      <c r="AS195" s="167" t="s">
        <v>62</v>
      </c>
      <c r="AT195" s="167"/>
      <c r="AU195" s="167"/>
      <c r="AV195" s="167"/>
      <c r="AW195" s="179"/>
      <c r="AX195" s="179"/>
      <c r="AY195" s="179" t="str">
        <f>CONCATENATE(BASE_DATOS[[#This Row],[Código_U]]&amp;BASE_DATOS[[#This Row],[Pos.]]&amp;BASE_DATOS[[#This Row],[Situación Actual]])</f>
        <v>SR-134RTRodando</v>
      </c>
    </row>
    <row r="196" spans="1:51" ht="12" x14ac:dyDescent="0.25">
      <c r="A196" s="224" t="s">
        <v>149</v>
      </c>
      <c r="B196" s="213" t="s">
        <v>150</v>
      </c>
      <c r="C196" s="225" t="s">
        <v>296</v>
      </c>
      <c r="D196" s="226" t="s">
        <v>86</v>
      </c>
      <c r="E196" s="249"/>
      <c r="F196" s="250" t="s">
        <v>278</v>
      </c>
      <c r="G196" s="250" t="s">
        <v>271</v>
      </c>
      <c r="H196" s="251" t="str">
        <f>IF(BASE_DATOS[[#This Row],[N-R]]="N",BASE_DATOS[[#This Row],[Diseño]],"Reencauche")</f>
        <v>HS3+</v>
      </c>
      <c r="I196" s="250" t="s">
        <v>279</v>
      </c>
      <c r="J196" s="235" t="s">
        <v>72</v>
      </c>
      <c r="K196" s="252">
        <v>16</v>
      </c>
      <c r="L196" s="233">
        <v>100</v>
      </c>
      <c r="M196" s="253"/>
      <c r="N196" s="254"/>
      <c r="O196" s="274"/>
      <c r="P196" s="275"/>
      <c r="Q196" s="276"/>
      <c r="R196" s="305" t="s">
        <v>98</v>
      </c>
      <c r="S196" s="306">
        <v>45384</v>
      </c>
      <c r="T196" s="314"/>
      <c r="U196" s="276"/>
      <c r="V196" s="224">
        <v>9</v>
      </c>
      <c r="W196" s="325">
        <v>9</v>
      </c>
      <c r="X196" s="326">
        <v>8</v>
      </c>
      <c r="Y196" s="292">
        <f t="shared" si="7"/>
        <v>8</v>
      </c>
      <c r="Z196" s="194" t="s">
        <v>85</v>
      </c>
      <c r="AA196" s="339">
        <f>IFERROR(BASE_DATOS[[#This Row],[NSK Original]]-BASE_DATOS[[#This Row],[NSK]]," ")</f>
        <v>8</v>
      </c>
      <c r="AB196" s="340">
        <f>'NSK-TRACTO'!$A$2</f>
        <v>6</v>
      </c>
      <c r="AC196" s="340">
        <f>IF(BASE_DATOS[[#This Row],[NSK]]&gt;=BASE_DATOS[[#This Row],[NSK Reen]],BASE_DATOS[[#This Row],[NSK Reen]],BASE_DATOS[[#This Row],[NSK]])</f>
        <v>6</v>
      </c>
      <c r="AD196" s="341">
        <f>IFERROR(100%-(BASE_DATOS[[#This Row],[NSK Reen]]/BASE_DATOS[[#This Row],[NSK Original]]),"")</f>
        <v>0.625</v>
      </c>
      <c r="AE196" s="341">
        <f>IFERROR(100%-BASE_DATOS[[#This Row],[NSK]]/BASE_DATOS[[#This Row],[NSK Original]],"")</f>
        <v>0.5</v>
      </c>
      <c r="AF196" s="341">
        <f>IFERROR(BASE_DATOS[[#This Row],[% Max Des.]]-BASE_DATOS[[#This Row],[% Des]],"")</f>
        <v>0.125</v>
      </c>
      <c r="AG196" s="284"/>
      <c r="AH196" s="335"/>
      <c r="AI196" s="359" t="str">
        <f>IF(OR(BASE_DATOS[[#This Row],[Hr.]]="",BASE_DATOS[[#This Row],[Hr. Actual]]=""),"",BASE_DATOS[[#This Row],[Hr. Actual]]-BASE_DATOS[[#This Row],[Hr.]]+BASE_DATOS[[#This Row],[Horas Acumuladas]])</f>
        <v/>
      </c>
      <c r="AJ196" s="360" t="str">
        <f>IFERROR(BASE_DATOS[[#This Row],[Precio US$]]/BASE_DATOS[[#This Row],[Horas Rodadas]],"")</f>
        <v/>
      </c>
      <c r="AK196" s="361" t="str">
        <f>IFERROR(BASE_DATOS[[#This Row],[Horas Rodadas]]/(BASE_DATOS[[#This Row],[NSK Original]]-BASE_DATOS[[#This Row],[NSK]]),"")</f>
        <v/>
      </c>
      <c r="AL196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96" s="362" t="str">
        <f>IFERROR(BASE_DATOS[[#This Row],[Precio US$]]/BASE_DATOS[[#This Row],[Horas Proy.]],"")</f>
        <v/>
      </c>
      <c r="AN196" s="195" t="str">
        <f>IF(OR(BASE_DATOS[[#This Row],[Km.]]="",BASE_DATOS[[#This Row],[Km. Actual]]=""),"",BASE_DATOS[[#This Row],[Km. Actual]]-BASE_DATOS[[#This Row],[Km.]]+BASE_DATOS[[#This Row],[Kilómetros Acumulados]])</f>
        <v/>
      </c>
      <c r="AO196" s="196" t="str">
        <f>IFERROR(BASE_DATOS[[#This Row],[Precio US$]]/BASE_DATOS[[#This Row],[Kilómetros Rodados]],"")</f>
        <v/>
      </c>
      <c r="AP196" s="195" t="str">
        <f>IFERROR(BASE_DATOS[[#This Row],[Kilómetros Rodados]]/(BASE_DATOS[[#This Row],[NSK Original]]-BASE_DATOS[[#This Row],[NSK]]),"")</f>
        <v/>
      </c>
      <c r="AQ196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96" s="196" t="str">
        <f>IFERROR(BASE_DATOS[[#This Row],[Precio US$]]/BASE_DATOS[[#This Row],[Kilómetros Proy.]],"")</f>
        <v/>
      </c>
      <c r="AS196" s="197" t="s">
        <v>62</v>
      </c>
      <c r="AT196" s="197"/>
      <c r="AU196" s="197" t="s">
        <v>515</v>
      </c>
      <c r="AV196" s="197"/>
      <c r="AW196" s="198"/>
      <c r="AX196" s="198" t="s">
        <v>371</v>
      </c>
      <c r="AY196" s="198" t="str">
        <f>CONCATENATE(BASE_DATOS[[#This Row],[Código_U]]&amp;BASE_DATOS[[#This Row],[Pos.]]&amp;BASE_DATOS[[#This Row],[Situación Actual]])</f>
        <v>TC-1361Rodando</v>
      </c>
    </row>
    <row r="197" spans="1:51" ht="12" x14ac:dyDescent="0.25">
      <c r="A197" s="227" t="s">
        <v>149</v>
      </c>
      <c r="B197" s="217" t="s">
        <v>150</v>
      </c>
      <c r="C197" s="228" t="s">
        <v>296</v>
      </c>
      <c r="D197" s="229" t="s">
        <v>86</v>
      </c>
      <c r="E197" s="255"/>
      <c r="F197" s="256" t="s">
        <v>278</v>
      </c>
      <c r="G197" s="256" t="s">
        <v>271</v>
      </c>
      <c r="H197" s="257" t="str">
        <f>IF(BASE_DATOS[[#This Row],[N-R]]="N",BASE_DATOS[[#This Row],[Diseño]],"Reencauche")</f>
        <v>HS3+</v>
      </c>
      <c r="I197" s="256" t="s">
        <v>279</v>
      </c>
      <c r="J197" s="243" t="s">
        <v>72</v>
      </c>
      <c r="K197" s="258">
        <v>16</v>
      </c>
      <c r="L197" s="241">
        <v>100</v>
      </c>
      <c r="M197" s="259"/>
      <c r="N197" s="260"/>
      <c r="O197" s="277"/>
      <c r="P197" s="278"/>
      <c r="Q197" s="279"/>
      <c r="R197" s="309" t="s">
        <v>99</v>
      </c>
      <c r="S197" s="310">
        <v>45384</v>
      </c>
      <c r="T197" s="313"/>
      <c r="U197" s="279"/>
      <c r="V197" s="227">
        <v>9</v>
      </c>
      <c r="W197" s="281">
        <v>9</v>
      </c>
      <c r="X197" s="282">
        <v>7</v>
      </c>
      <c r="Y197" s="293">
        <f t="shared" si="7"/>
        <v>7</v>
      </c>
      <c r="Z197" s="175" t="s">
        <v>85</v>
      </c>
      <c r="AA197" s="342">
        <f>IFERROR(BASE_DATOS[[#This Row],[NSK Original]]-BASE_DATOS[[#This Row],[NSK]]," ")</f>
        <v>9</v>
      </c>
      <c r="AB197" s="343">
        <f>'NSK-TRACTO'!$A$2</f>
        <v>6</v>
      </c>
      <c r="AC197" s="343">
        <f>IF(BASE_DATOS[[#This Row],[NSK]]&gt;=BASE_DATOS[[#This Row],[NSK Reen]],BASE_DATOS[[#This Row],[NSK Reen]],BASE_DATOS[[#This Row],[NSK]])</f>
        <v>6</v>
      </c>
      <c r="AD197" s="344">
        <f>IFERROR(100%-(BASE_DATOS[[#This Row],[NSK Reen]]/BASE_DATOS[[#This Row],[NSK Original]]),"")</f>
        <v>0.625</v>
      </c>
      <c r="AE197" s="344">
        <f>IFERROR(100%-BASE_DATOS[[#This Row],[NSK]]/BASE_DATOS[[#This Row],[NSK Original]],"")</f>
        <v>0.5625</v>
      </c>
      <c r="AF197" s="344">
        <f>IFERROR(BASE_DATOS[[#This Row],[% Max Des.]]-BASE_DATOS[[#This Row],[% Des]],"")</f>
        <v>6.25E-2</v>
      </c>
      <c r="AG197" s="287"/>
      <c r="AH197" s="273"/>
      <c r="AI197" s="363" t="str">
        <f>IF(OR(BASE_DATOS[[#This Row],[Hr.]]="",BASE_DATOS[[#This Row],[Hr. Actual]]=""),"",BASE_DATOS[[#This Row],[Hr. Actual]]-BASE_DATOS[[#This Row],[Hr.]]+BASE_DATOS[[#This Row],[Horas Acumuladas]])</f>
        <v/>
      </c>
      <c r="AJ197" s="364" t="str">
        <f>IFERROR(BASE_DATOS[[#This Row],[Precio US$]]/BASE_DATOS[[#This Row],[Horas Rodadas]],"")</f>
        <v/>
      </c>
      <c r="AK197" s="365" t="str">
        <f>IFERROR(BASE_DATOS[[#This Row],[Horas Rodadas]]/(BASE_DATOS[[#This Row],[NSK Original]]-BASE_DATOS[[#This Row],[NSK]]),"")</f>
        <v/>
      </c>
      <c r="AL19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97" s="366" t="str">
        <f>IFERROR(BASE_DATOS[[#This Row],[Precio US$]]/BASE_DATOS[[#This Row],[Horas Proy.]],"")</f>
        <v/>
      </c>
      <c r="AN197" s="176" t="str">
        <f>IF(OR(BASE_DATOS[[#This Row],[Km.]]="",BASE_DATOS[[#This Row],[Km. Actual]]=""),"",BASE_DATOS[[#This Row],[Km. Actual]]-BASE_DATOS[[#This Row],[Km.]]+BASE_DATOS[[#This Row],[Kilómetros Acumulados]])</f>
        <v/>
      </c>
      <c r="AO197" s="177" t="str">
        <f>IFERROR(BASE_DATOS[[#This Row],[Precio US$]]/BASE_DATOS[[#This Row],[Kilómetros Rodados]],"")</f>
        <v/>
      </c>
      <c r="AP197" s="176" t="str">
        <f>IFERROR(BASE_DATOS[[#This Row],[Kilómetros Rodados]]/(BASE_DATOS[[#This Row],[NSK Original]]-BASE_DATOS[[#This Row],[NSK]]),"")</f>
        <v/>
      </c>
      <c r="AQ19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97" s="177" t="str">
        <f>IFERROR(BASE_DATOS[[#This Row],[Precio US$]]/BASE_DATOS[[#This Row],[Kilómetros Proy.]],"")</f>
        <v/>
      </c>
      <c r="AS197" s="178" t="s">
        <v>62</v>
      </c>
      <c r="AT197" s="178"/>
      <c r="AU197" s="178" t="s">
        <v>515</v>
      </c>
      <c r="AV197" s="178"/>
      <c r="AW197" s="179"/>
      <c r="AX197" s="179" t="s">
        <v>371</v>
      </c>
      <c r="AY197" s="179" t="str">
        <f>CONCATENATE(BASE_DATOS[[#This Row],[Código_U]]&amp;BASE_DATOS[[#This Row],[Pos.]]&amp;BASE_DATOS[[#This Row],[Situación Actual]])</f>
        <v>TC-1362Rodando</v>
      </c>
    </row>
    <row r="198" spans="1:51" ht="12" x14ac:dyDescent="0.25">
      <c r="A198" s="227" t="s">
        <v>149</v>
      </c>
      <c r="B198" s="217" t="s">
        <v>150</v>
      </c>
      <c r="C198" s="228" t="s">
        <v>296</v>
      </c>
      <c r="D198" s="229" t="s">
        <v>61</v>
      </c>
      <c r="E198" s="255"/>
      <c r="F198" s="256" t="s">
        <v>273</v>
      </c>
      <c r="G198" s="256" t="s">
        <v>271</v>
      </c>
      <c r="H198" s="257" t="str">
        <f>IF(BASE_DATOS[[#This Row],[N-R]]="N",BASE_DATOS[[#This Row],[Diseño]],"Reencauche")</f>
        <v>Reencauche</v>
      </c>
      <c r="I198" s="256" t="s">
        <v>282</v>
      </c>
      <c r="J198" s="243" t="s">
        <v>82</v>
      </c>
      <c r="K198" s="258">
        <v>22</v>
      </c>
      <c r="L198" s="241">
        <v>110</v>
      </c>
      <c r="M198" s="259"/>
      <c r="N198" s="260"/>
      <c r="O198" s="277"/>
      <c r="P198" s="278"/>
      <c r="Q198" s="279"/>
      <c r="R198" s="309" t="s">
        <v>100</v>
      </c>
      <c r="S198" s="310">
        <v>45384</v>
      </c>
      <c r="T198" s="313"/>
      <c r="U198" s="279"/>
      <c r="V198" s="227">
        <v>8</v>
      </c>
      <c r="W198" s="281">
        <v>8</v>
      </c>
      <c r="X198" s="282">
        <v>8</v>
      </c>
      <c r="Y198" s="293">
        <f t="shared" si="7"/>
        <v>8</v>
      </c>
      <c r="Z198" s="175" t="s">
        <v>85</v>
      </c>
      <c r="AA198" s="342">
        <f>IFERROR(BASE_DATOS[[#This Row],[NSK Original]]-BASE_DATOS[[#This Row],[NSK]]," ")</f>
        <v>14</v>
      </c>
      <c r="AB198" s="343">
        <f>'NSK-TRACTO'!$A$2</f>
        <v>6</v>
      </c>
      <c r="AC198" s="343">
        <f>IF(BASE_DATOS[[#This Row],[NSK]]&gt;=BASE_DATOS[[#This Row],[NSK Reen]],BASE_DATOS[[#This Row],[NSK Reen]],BASE_DATOS[[#This Row],[NSK]])</f>
        <v>6</v>
      </c>
      <c r="AD198" s="344">
        <f>IFERROR(100%-(BASE_DATOS[[#This Row],[NSK Reen]]/BASE_DATOS[[#This Row],[NSK Original]]),"")</f>
        <v>0.72727272727272729</v>
      </c>
      <c r="AE198" s="344">
        <f>IFERROR(100%-BASE_DATOS[[#This Row],[NSK]]/BASE_DATOS[[#This Row],[NSK Original]],"")</f>
        <v>0.63636363636363635</v>
      </c>
      <c r="AF198" s="344">
        <f>IFERROR(BASE_DATOS[[#This Row],[% Max Des.]]-BASE_DATOS[[#This Row],[% Des]],"")</f>
        <v>9.0909090909090939E-2</v>
      </c>
      <c r="AG198" s="287"/>
      <c r="AH198" s="273"/>
      <c r="AI198" s="363" t="str">
        <f>IF(OR(BASE_DATOS[[#This Row],[Hr.]]="",BASE_DATOS[[#This Row],[Hr. Actual]]=""),"",BASE_DATOS[[#This Row],[Hr. Actual]]-BASE_DATOS[[#This Row],[Hr.]]+BASE_DATOS[[#This Row],[Horas Acumuladas]])</f>
        <v/>
      </c>
      <c r="AJ198" s="364" t="str">
        <f>IFERROR(BASE_DATOS[[#This Row],[Precio US$]]/BASE_DATOS[[#This Row],[Horas Rodadas]],"")</f>
        <v/>
      </c>
      <c r="AK198" s="365" t="str">
        <f>IFERROR(BASE_DATOS[[#This Row],[Horas Rodadas]]/(BASE_DATOS[[#This Row],[NSK Original]]-BASE_DATOS[[#This Row],[NSK]]),"")</f>
        <v/>
      </c>
      <c r="AL19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98" s="366" t="str">
        <f>IFERROR(BASE_DATOS[[#This Row],[Precio US$]]/BASE_DATOS[[#This Row],[Horas Proy.]],"")</f>
        <v/>
      </c>
      <c r="AN198" s="176" t="str">
        <f>IF(OR(BASE_DATOS[[#This Row],[Km.]]="",BASE_DATOS[[#This Row],[Km. Actual]]=""),"",BASE_DATOS[[#This Row],[Km. Actual]]-BASE_DATOS[[#This Row],[Km.]]+BASE_DATOS[[#This Row],[Kilómetros Acumulados]])</f>
        <v/>
      </c>
      <c r="AO198" s="177" t="str">
        <f>IFERROR(BASE_DATOS[[#This Row],[Precio US$]]/BASE_DATOS[[#This Row],[Kilómetros Rodados]],"")</f>
        <v/>
      </c>
      <c r="AP198" s="176" t="str">
        <f>IFERROR(BASE_DATOS[[#This Row],[Kilómetros Rodados]]/(BASE_DATOS[[#This Row],[NSK Original]]-BASE_DATOS[[#This Row],[NSK]]),"")</f>
        <v/>
      </c>
      <c r="AQ19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98" s="177" t="str">
        <f>IFERROR(BASE_DATOS[[#This Row],[Precio US$]]/BASE_DATOS[[#This Row],[Kilómetros Proy.]],"")</f>
        <v/>
      </c>
      <c r="AS198" s="178" t="s">
        <v>62</v>
      </c>
      <c r="AT198" s="178"/>
      <c r="AU198" s="178"/>
      <c r="AV198" s="178"/>
      <c r="AW198" s="179"/>
      <c r="AX198" s="179"/>
      <c r="AY198" s="179" t="str">
        <f>CONCATENATE(BASE_DATOS[[#This Row],[Código_U]]&amp;BASE_DATOS[[#This Row],[Pos.]]&amp;BASE_DATOS[[#This Row],[Situación Actual]])</f>
        <v>TC-1363Rodando</v>
      </c>
    </row>
    <row r="199" spans="1:51" ht="12" x14ac:dyDescent="0.25">
      <c r="A199" s="227" t="s">
        <v>149</v>
      </c>
      <c r="B199" s="217" t="s">
        <v>150</v>
      </c>
      <c r="C199" s="228" t="s">
        <v>296</v>
      </c>
      <c r="D199" s="229" t="s">
        <v>61</v>
      </c>
      <c r="E199" s="255"/>
      <c r="F199" s="256" t="s">
        <v>273</v>
      </c>
      <c r="G199" s="256" t="s">
        <v>271</v>
      </c>
      <c r="H199" s="257" t="str">
        <f>IF(BASE_DATOS[[#This Row],[N-R]]="N",BASE_DATOS[[#This Row],[Diseño]],"Reencauche")</f>
        <v>Reencauche</v>
      </c>
      <c r="I199" s="256" t="s">
        <v>282</v>
      </c>
      <c r="J199" s="243" t="s">
        <v>82</v>
      </c>
      <c r="K199" s="258">
        <v>22</v>
      </c>
      <c r="L199" s="241">
        <v>110</v>
      </c>
      <c r="M199" s="259"/>
      <c r="N199" s="260"/>
      <c r="O199" s="277"/>
      <c r="P199" s="278"/>
      <c r="Q199" s="279"/>
      <c r="R199" s="309" t="s">
        <v>101</v>
      </c>
      <c r="S199" s="310">
        <v>45384</v>
      </c>
      <c r="T199" s="313"/>
      <c r="U199" s="279"/>
      <c r="V199" s="227">
        <v>8</v>
      </c>
      <c r="W199" s="281">
        <v>7</v>
      </c>
      <c r="X199" s="282">
        <v>8</v>
      </c>
      <c r="Y199" s="293">
        <f t="shared" ref="Y199:Y230" si="8">IFERROR(MIN(V199:X199),"")</f>
        <v>7</v>
      </c>
      <c r="Z199" s="175" t="s">
        <v>85</v>
      </c>
      <c r="AA199" s="342">
        <f>IFERROR(BASE_DATOS[[#This Row],[NSK Original]]-BASE_DATOS[[#This Row],[NSK]]," ")</f>
        <v>15</v>
      </c>
      <c r="AB199" s="343">
        <f>'NSK-TRACTO'!$A$2</f>
        <v>6</v>
      </c>
      <c r="AC199" s="343">
        <f>IF(BASE_DATOS[[#This Row],[NSK]]&gt;=BASE_DATOS[[#This Row],[NSK Reen]],BASE_DATOS[[#This Row],[NSK Reen]],BASE_DATOS[[#This Row],[NSK]])</f>
        <v>6</v>
      </c>
      <c r="AD199" s="344">
        <f>IFERROR(100%-(BASE_DATOS[[#This Row],[NSK Reen]]/BASE_DATOS[[#This Row],[NSK Original]]),"")</f>
        <v>0.72727272727272729</v>
      </c>
      <c r="AE199" s="344">
        <f>IFERROR(100%-BASE_DATOS[[#This Row],[NSK]]/BASE_DATOS[[#This Row],[NSK Original]],"")</f>
        <v>0.68181818181818188</v>
      </c>
      <c r="AF199" s="344">
        <f>IFERROR(BASE_DATOS[[#This Row],[% Max Des.]]-BASE_DATOS[[#This Row],[% Des]],"")</f>
        <v>4.5454545454545414E-2</v>
      </c>
      <c r="AG199" s="287"/>
      <c r="AH199" s="273"/>
      <c r="AI199" s="363" t="str">
        <f>IF(OR(BASE_DATOS[[#This Row],[Hr.]]="",BASE_DATOS[[#This Row],[Hr. Actual]]=""),"",BASE_DATOS[[#This Row],[Hr. Actual]]-BASE_DATOS[[#This Row],[Hr.]]+BASE_DATOS[[#This Row],[Horas Acumuladas]])</f>
        <v/>
      </c>
      <c r="AJ199" s="364" t="str">
        <f>IFERROR(BASE_DATOS[[#This Row],[Precio US$]]/BASE_DATOS[[#This Row],[Horas Rodadas]],"")</f>
        <v/>
      </c>
      <c r="AK199" s="365" t="str">
        <f>IFERROR(BASE_DATOS[[#This Row],[Horas Rodadas]]/(BASE_DATOS[[#This Row],[NSK Original]]-BASE_DATOS[[#This Row],[NSK]]),"")</f>
        <v/>
      </c>
      <c r="AL19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199" s="366" t="str">
        <f>IFERROR(BASE_DATOS[[#This Row],[Precio US$]]/BASE_DATOS[[#This Row],[Horas Proy.]],"")</f>
        <v/>
      </c>
      <c r="AN199" s="176" t="str">
        <f>IF(OR(BASE_DATOS[[#This Row],[Km.]]="",BASE_DATOS[[#This Row],[Km. Actual]]=""),"",BASE_DATOS[[#This Row],[Km. Actual]]-BASE_DATOS[[#This Row],[Km.]]+BASE_DATOS[[#This Row],[Kilómetros Acumulados]])</f>
        <v/>
      </c>
      <c r="AO199" s="177" t="str">
        <f>IFERROR(BASE_DATOS[[#This Row],[Precio US$]]/BASE_DATOS[[#This Row],[Kilómetros Rodados]],"")</f>
        <v/>
      </c>
      <c r="AP199" s="176" t="str">
        <f>IFERROR(BASE_DATOS[[#This Row],[Kilómetros Rodados]]/(BASE_DATOS[[#This Row],[NSK Original]]-BASE_DATOS[[#This Row],[NSK]]),"")</f>
        <v/>
      </c>
      <c r="AQ19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199" s="177" t="str">
        <f>IFERROR(BASE_DATOS[[#This Row],[Precio US$]]/BASE_DATOS[[#This Row],[Kilómetros Proy.]],"")</f>
        <v/>
      </c>
      <c r="AS199" s="178" t="s">
        <v>62</v>
      </c>
      <c r="AT199" s="178"/>
      <c r="AU199" s="178"/>
      <c r="AV199" s="178"/>
      <c r="AW199" s="179"/>
      <c r="AX199" s="179"/>
      <c r="AY199" s="179" t="str">
        <f>CONCATENATE(BASE_DATOS[[#This Row],[Código_U]]&amp;BASE_DATOS[[#This Row],[Pos.]]&amp;BASE_DATOS[[#This Row],[Situación Actual]])</f>
        <v>TC-1364Rodando</v>
      </c>
    </row>
    <row r="200" spans="1:51" ht="12" x14ac:dyDescent="0.25">
      <c r="A200" s="227" t="s">
        <v>149</v>
      </c>
      <c r="B200" s="217" t="s">
        <v>150</v>
      </c>
      <c r="C200" s="228" t="s">
        <v>296</v>
      </c>
      <c r="D200" s="229" t="s">
        <v>61</v>
      </c>
      <c r="E200" s="255"/>
      <c r="F200" s="256" t="s">
        <v>273</v>
      </c>
      <c r="G200" s="256" t="s">
        <v>271</v>
      </c>
      <c r="H200" s="257" t="str">
        <f>IF(BASE_DATOS[[#This Row],[N-R]]="N",BASE_DATOS[[#This Row],[Diseño]],"Reencauche")</f>
        <v>Reencauche</v>
      </c>
      <c r="I200" s="256" t="s">
        <v>282</v>
      </c>
      <c r="J200" s="243" t="s">
        <v>82</v>
      </c>
      <c r="K200" s="258">
        <v>22</v>
      </c>
      <c r="L200" s="241">
        <v>110</v>
      </c>
      <c r="M200" s="259"/>
      <c r="N200" s="260"/>
      <c r="O200" s="277"/>
      <c r="P200" s="278"/>
      <c r="Q200" s="279"/>
      <c r="R200" s="309" t="s">
        <v>102</v>
      </c>
      <c r="S200" s="310">
        <v>45384</v>
      </c>
      <c r="T200" s="313"/>
      <c r="U200" s="279"/>
      <c r="V200" s="227">
        <v>9</v>
      </c>
      <c r="W200" s="281">
        <v>9</v>
      </c>
      <c r="X200" s="282">
        <v>9</v>
      </c>
      <c r="Y200" s="293">
        <f t="shared" si="8"/>
        <v>9</v>
      </c>
      <c r="Z200" s="175" t="s">
        <v>85</v>
      </c>
      <c r="AA200" s="342">
        <f>IFERROR(BASE_DATOS[[#This Row],[NSK Original]]-BASE_DATOS[[#This Row],[NSK]]," ")</f>
        <v>13</v>
      </c>
      <c r="AB200" s="343">
        <f>'NSK-TRACTO'!$A$2</f>
        <v>6</v>
      </c>
      <c r="AC200" s="343">
        <f>IF(BASE_DATOS[[#This Row],[NSK]]&gt;=BASE_DATOS[[#This Row],[NSK Reen]],BASE_DATOS[[#This Row],[NSK Reen]],BASE_DATOS[[#This Row],[NSK]])</f>
        <v>6</v>
      </c>
      <c r="AD200" s="344">
        <f>IFERROR(100%-(BASE_DATOS[[#This Row],[NSK Reen]]/BASE_DATOS[[#This Row],[NSK Original]]),"")</f>
        <v>0.72727272727272729</v>
      </c>
      <c r="AE200" s="344">
        <f>IFERROR(100%-BASE_DATOS[[#This Row],[NSK]]/BASE_DATOS[[#This Row],[NSK Original]],"")</f>
        <v>0.59090909090909083</v>
      </c>
      <c r="AF200" s="344">
        <f>IFERROR(BASE_DATOS[[#This Row],[% Max Des.]]-BASE_DATOS[[#This Row],[% Des]],"")</f>
        <v>0.13636363636363646</v>
      </c>
      <c r="AG200" s="287"/>
      <c r="AH200" s="273"/>
      <c r="AI200" s="363" t="str">
        <f>IF(OR(BASE_DATOS[[#This Row],[Hr.]]="",BASE_DATOS[[#This Row],[Hr. Actual]]=""),"",BASE_DATOS[[#This Row],[Hr. Actual]]-BASE_DATOS[[#This Row],[Hr.]]+BASE_DATOS[[#This Row],[Horas Acumuladas]])</f>
        <v/>
      </c>
      <c r="AJ200" s="364" t="str">
        <f>IFERROR(BASE_DATOS[[#This Row],[Precio US$]]/BASE_DATOS[[#This Row],[Horas Rodadas]],"")</f>
        <v/>
      </c>
      <c r="AK200" s="365" t="str">
        <f>IFERROR(BASE_DATOS[[#This Row],[Horas Rodadas]]/(BASE_DATOS[[#This Row],[NSK Original]]-BASE_DATOS[[#This Row],[NSK]]),"")</f>
        <v/>
      </c>
      <c r="AL20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00" s="366" t="str">
        <f>IFERROR(BASE_DATOS[[#This Row],[Precio US$]]/BASE_DATOS[[#This Row],[Horas Proy.]],"")</f>
        <v/>
      </c>
      <c r="AN200" s="176" t="str">
        <f>IF(OR(BASE_DATOS[[#This Row],[Km.]]="",BASE_DATOS[[#This Row],[Km. Actual]]=""),"",BASE_DATOS[[#This Row],[Km. Actual]]-BASE_DATOS[[#This Row],[Km.]]+BASE_DATOS[[#This Row],[Kilómetros Acumulados]])</f>
        <v/>
      </c>
      <c r="AO200" s="177" t="str">
        <f>IFERROR(BASE_DATOS[[#This Row],[Precio US$]]/BASE_DATOS[[#This Row],[Kilómetros Rodados]],"")</f>
        <v/>
      </c>
      <c r="AP200" s="176" t="str">
        <f>IFERROR(BASE_DATOS[[#This Row],[Kilómetros Rodados]]/(BASE_DATOS[[#This Row],[NSK Original]]-BASE_DATOS[[#This Row],[NSK]]),"")</f>
        <v/>
      </c>
      <c r="AQ20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00" s="177" t="str">
        <f>IFERROR(BASE_DATOS[[#This Row],[Precio US$]]/BASE_DATOS[[#This Row],[Kilómetros Proy.]],"")</f>
        <v/>
      </c>
      <c r="AS200" s="178" t="s">
        <v>62</v>
      </c>
      <c r="AT200" s="178"/>
      <c r="AU200" s="178"/>
      <c r="AV200" s="178"/>
      <c r="AW200" s="179"/>
      <c r="AX200" s="179"/>
      <c r="AY200" s="179" t="str">
        <f>CONCATENATE(BASE_DATOS[[#This Row],[Código_U]]&amp;BASE_DATOS[[#This Row],[Pos.]]&amp;BASE_DATOS[[#This Row],[Situación Actual]])</f>
        <v>TC-1365Rodando</v>
      </c>
    </row>
    <row r="201" spans="1:51" ht="12" x14ac:dyDescent="0.25">
      <c r="A201" s="227" t="s">
        <v>149</v>
      </c>
      <c r="B201" s="217" t="s">
        <v>150</v>
      </c>
      <c r="C201" s="228" t="s">
        <v>296</v>
      </c>
      <c r="D201" s="229" t="s">
        <v>61</v>
      </c>
      <c r="E201" s="255"/>
      <c r="F201" s="256" t="s">
        <v>273</v>
      </c>
      <c r="G201" s="256" t="s">
        <v>271</v>
      </c>
      <c r="H201" s="257" t="str">
        <f>IF(BASE_DATOS[[#This Row],[N-R]]="N",BASE_DATOS[[#This Row],[Diseño]],"Reencauche")</f>
        <v>Reencauche</v>
      </c>
      <c r="I201" s="256" t="s">
        <v>282</v>
      </c>
      <c r="J201" s="243" t="s">
        <v>82</v>
      </c>
      <c r="K201" s="258">
        <v>22</v>
      </c>
      <c r="L201" s="241">
        <v>110</v>
      </c>
      <c r="M201" s="259"/>
      <c r="N201" s="260"/>
      <c r="O201" s="277"/>
      <c r="P201" s="278"/>
      <c r="Q201" s="279"/>
      <c r="R201" s="309" t="s">
        <v>103</v>
      </c>
      <c r="S201" s="310">
        <v>45384</v>
      </c>
      <c r="T201" s="313"/>
      <c r="U201" s="279"/>
      <c r="V201" s="227">
        <v>8</v>
      </c>
      <c r="W201" s="281">
        <v>8</v>
      </c>
      <c r="X201" s="282">
        <v>8</v>
      </c>
      <c r="Y201" s="293">
        <f t="shared" si="8"/>
        <v>8</v>
      </c>
      <c r="Z201" s="175" t="s">
        <v>85</v>
      </c>
      <c r="AA201" s="342">
        <f>IFERROR(BASE_DATOS[[#This Row],[NSK Original]]-BASE_DATOS[[#This Row],[NSK]]," ")</f>
        <v>14</v>
      </c>
      <c r="AB201" s="343">
        <f>'NSK-TRACTO'!$A$2</f>
        <v>6</v>
      </c>
      <c r="AC201" s="343">
        <f>IF(BASE_DATOS[[#This Row],[NSK]]&gt;=BASE_DATOS[[#This Row],[NSK Reen]],BASE_DATOS[[#This Row],[NSK Reen]],BASE_DATOS[[#This Row],[NSK]])</f>
        <v>6</v>
      </c>
      <c r="AD201" s="344">
        <f>IFERROR(100%-(BASE_DATOS[[#This Row],[NSK Reen]]/BASE_DATOS[[#This Row],[NSK Original]]),"")</f>
        <v>0.72727272727272729</v>
      </c>
      <c r="AE201" s="344">
        <f>IFERROR(100%-BASE_DATOS[[#This Row],[NSK]]/BASE_DATOS[[#This Row],[NSK Original]],"")</f>
        <v>0.63636363636363635</v>
      </c>
      <c r="AF201" s="344">
        <f>IFERROR(BASE_DATOS[[#This Row],[% Max Des.]]-BASE_DATOS[[#This Row],[% Des]],"")</f>
        <v>9.0909090909090939E-2</v>
      </c>
      <c r="AG201" s="287"/>
      <c r="AH201" s="273"/>
      <c r="AI201" s="363" t="str">
        <f>IF(OR(BASE_DATOS[[#This Row],[Hr.]]="",BASE_DATOS[[#This Row],[Hr. Actual]]=""),"",BASE_DATOS[[#This Row],[Hr. Actual]]-BASE_DATOS[[#This Row],[Hr.]]+BASE_DATOS[[#This Row],[Horas Acumuladas]])</f>
        <v/>
      </c>
      <c r="AJ201" s="364" t="str">
        <f>IFERROR(BASE_DATOS[[#This Row],[Precio US$]]/BASE_DATOS[[#This Row],[Horas Rodadas]],"")</f>
        <v/>
      </c>
      <c r="AK201" s="365" t="str">
        <f>IFERROR(BASE_DATOS[[#This Row],[Horas Rodadas]]/(BASE_DATOS[[#This Row],[NSK Original]]-BASE_DATOS[[#This Row],[NSK]]),"")</f>
        <v/>
      </c>
      <c r="AL20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01" s="366" t="str">
        <f>IFERROR(BASE_DATOS[[#This Row],[Precio US$]]/BASE_DATOS[[#This Row],[Horas Proy.]],"")</f>
        <v/>
      </c>
      <c r="AN201" s="176" t="str">
        <f>IF(OR(BASE_DATOS[[#This Row],[Km.]]="",BASE_DATOS[[#This Row],[Km. Actual]]=""),"",BASE_DATOS[[#This Row],[Km. Actual]]-BASE_DATOS[[#This Row],[Km.]]+BASE_DATOS[[#This Row],[Kilómetros Acumulados]])</f>
        <v/>
      </c>
      <c r="AO201" s="177" t="str">
        <f>IFERROR(BASE_DATOS[[#This Row],[Precio US$]]/BASE_DATOS[[#This Row],[Kilómetros Rodados]],"")</f>
        <v/>
      </c>
      <c r="AP201" s="176" t="str">
        <f>IFERROR(BASE_DATOS[[#This Row],[Kilómetros Rodados]]/(BASE_DATOS[[#This Row],[NSK Original]]-BASE_DATOS[[#This Row],[NSK]]),"")</f>
        <v/>
      </c>
      <c r="AQ20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01" s="177" t="str">
        <f>IFERROR(BASE_DATOS[[#This Row],[Precio US$]]/BASE_DATOS[[#This Row],[Kilómetros Proy.]],"")</f>
        <v/>
      </c>
      <c r="AS201" s="178" t="s">
        <v>62</v>
      </c>
      <c r="AT201" s="178"/>
      <c r="AU201" s="178"/>
      <c r="AV201" s="178"/>
      <c r="AW201" s="179"/>
      <c r="AX201" s="179"/>
      <c r="AY201" s="179" t="str">
        <f>CONCATENATE(BASE_DATOS[[#This Row],[Código_U]]&amp;BASE_DATOS[[#This Row],[Pos.]]&amp;BASE_DATOS[[#This Row],[Situación Actual]])</f>
        <v>TC-1366Rodando</v>
      </c>
    </row>
    <row r="202" spans="1:51" ht="12" x14ac:dyDescent="0.25">
      <c r="A202" s="227" t="s">
        <v>149</v>
      </c>
      <c r="B202" s="217" t="s">
        <v>150</v>
      </c>
      <c r="C202" s="228" t="s">
        <v>296</v>
      </c>
      <c r="D202" s="229" t="s">
        <v>61</v>
      </c>
      <c r="E202" s="255"/>
      <c r="F202" s="256" t="s">
        <v>273</v>
      </c>
      <c r="G202" s="256" t="s">
        <v>271</v>
      </c>
      <c r="H202" s="257" t="str">
        <f>IF(BASE_DATOS[[#This Row],[N-R]]="N",BASE_DATOS[[#This Row],[Diseño]],"Reencauche")</f>
        <v>Reencauche</v>
      </c>
      <c r="I202" s="256" t="s">
        <v>282</v>
      </c>
      <c r="J202" s="243" t="s">
        <v>82</v>
      </c>
      <c r="K202" s="258">
        <v>22</v>
      </c>
      <c r="L202" s="241">
        <v>110</v>
      </c>
      <c r="M202" s="259"/>
      <c r="N202" s="260"/>
      <c r="O202" s="277"/>
      <c r="P202" s="278"/>
      <c r="Q202" s="279"/>
      <c r="R202" s="309" t="s">
        <v>104</v>
      </c>
      <c r="S202" s="310">
        <v>45384</v>
      </c>
      <c r="T202" s="313"/>
      <c r="U202" s="279"/>
      <c r="V202" s="227">
        <v>14</v>
      </c>
      <c r="W202" s="281">
        <v>13</v>
      </c>
      <c r="X202" s="282">
        <v>14</v>
      </c>
      <c r="Y202" s="293">
        <f t="shared" si="8"/>
        <v>13</v>
      </c>
      <c r="Z202" s="175" t="s">
        <v>85</v>
      </c>
      <c r="AA202" s="342">
        <f>IFERROR(BASE_DATOS[[#This Row],[NSK Original]]-BASE_DATOS[[#This Row],[NSK]]," ")</f>
        <v>9</v>
      </c>
      <c r="AB202" s="343">
        <f>'NSK-TRACTO'!$A$2</f>
        <v>6</v>
      </c>
      <c r="AC202" s="343">
        <f>IF(BASE_DATOS[[#This Row],[NSK]]&gt;=BASE_DATOS[[#This Row],[NSK Reen]],BASE_DATOS[[#This Row],[NSK Reen]],BASE_DATOS[[#This Row],[NSK]])</f>
        <v>6</v>
      </c>
      <c r="AD202" s="344">
        <f>IFERROR(100%-(BASE_DATOS[[#This Row],[NSK Reen]]/BASE_DATOS[[#This Row],[NSK Original]]),"")</f>
        <v>0.72727272727272729</v>
      </c>
      <c r="AE202" s="344">
        <f>IFERROR(100%-BASE_DATOS[[#This Row],[NSK]]/BASE_DATOS[[#This Row],[NSK Original]],"")</f>
        <v>0.40909090909090906</v>
      </c>
      <c r="AF202" s="344">
        <f>IFERROR(BASE_DATOS[[#This Row],[% Max Des.]]-BASE_DATOS[[#This Row],[% Des]],"")</f>
        <v>0.31818181818181823</v>
      </c>
      <c r="AG202" s="287"/>
      <c r="AH202" s="273"/>
      <c r="AI202" s="363" t="str">
        <f>IF(OR(BASE_DATOS[[#This Row],[Hr.]]="",BASE_DATOS[[#This Row],[Hr. Actual]]=""),"",BASE_DATOS[[#This Row],[Hr. Actual]]-BASE_DATOS[[#This Row],[Hr.]]+BASE_DATOS[[#This Row],[Horas Acumuladas]])</f>
        <v/>
      </c>
      <c r="AJ202" s="364" t="str">
        <f>IFERROR(BASE_DATOS[[#This Row],[Precio US$]]/BASE_DATOS[[#This Row],[Horas Rodadas]],"")</f>
        <v/>
      </c>
      <c r="AK202" s="365" t="str">
        <f>IFERROR(BASE_DATOS[[#This Row],[Horas Rodadas]]/(BASE_DATOS[[#This Row],[NSK Original]]-BASE_DATOS[[#This Row],[NSK]]),"")</f>
        <v/>
      </c>
      <c r="AL20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02" s="366" t="str">
        <f>IFERROR(BASE_DATOS[[#This Row],[Precio US$]]/BASE_DATOS[[#This Row],[Horas Proy.]],"")</f>
        <v/>
      </c>
      <c r="AN202" s="176" t="str">
        <f>IF(OR(BASE_DATOS[[#This Row],[Km.]]="",BASE_DATOS[[#This Row],[Km. Actual]]=""),"",BASE_DATOS[[#This Row],[Km. Actual]]-BASE_DATOS[[#This Row],[Km.]]+BASE_DATOS[[#This Row],[Kilómetros Acumulados]])</f>
        <v/>
      </c>
      <c r="AO202" s="177" t="str">
        <f>IFERROR(BASE_DATOS[[#This Row],[Precio US$]]/BASE_DATOS[[#This Row],[Kilómetros Rodados]],"")</f>
        <v/>
      </c>
      <c r="AP202" s="176" t="str">
        <f>IFERROR(BASE_DATOS[[#This Row],[Kilómetros Rodados]]/(BASE_DATOS[[#This Row],[NSK Original]]-BASE_DATOS[[#This Row],[NSK]]),"")</f>
        <v/>
      </c>
      <c r="AQ20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02" s="177" t="str">
        <f>IFERROR(BASE_DATOS[[#This Row],[Precio US$]]/BASE_DATOS[[#This Row],[Kilómetros Proy.]],"")</f>
        <v/>
      </c>
      <c r="AS202" s="178" t="s">
        <v>62</v>
      </c>
      <c r="AT202" s="178"/>
      <c r="AU202" s="178"/>
      <c r="AV202" s="178"/>
      <c r="AW202" s="179"/>
      <c r="AX202" s="179"/>
      <c r="AY202" s="179" t="str">
        <f>CONCATENATE(BASE_DATOS[[#This Row],[Código_U]]&amp;BASE_DATOS[[#This Row],[Pos.]]&amp;BASE_DATOS[[#This Row],[Situación Actual]])</f>
        <v>TC-1367Rodando</v>
      </c>
    </row>
    <row r="203" spans="1:51" ht="12" x14ac:dyDescent="0.25">
      <c r="A203" s="227" t="s">
        <v>149</v>
      </c>
      <c r="B203" s="217" t="s">
        <v>150</v>
      </c>
      <c r="C203" s="228" t="s">
        <v>296</v>
      </c>
      <c r="D203" s="229" t="s">
        <v>61</v>
      </c>
      <c r="E203" s="255"/>
      <c r="F203" s="256" t="s">
        <v>273</v>
      </c>
      <c r="G203" s="256" t="s">
        <v>271</v>
      </c>
      <c r="H203" s="257" t="str">
        <f>IF(BASE_DATOS[[#This Row],[N-R]]="N",BASE_DATOS[[#This Row],[Diseño]],"Reencauche")</f>
        <v>Reencauche</v>
      </c>
      <c r="I203" s="256" t="s">
        <v>282</v>
      </c>
      <c r="J203" s="243" t="s">
        <v>82</v>
      </c>
      <c r="K203" s="258">
        <v>22</v>
      </c>
      <c r="L203" s="241">
        <v>110</v>
      </c>
      <c r="M203" s="259"/>
      <c r="N203" s="260"/>
      <c r="O203" s="277"/>
      <c r="P203" s="278"/>
      <c r="Q203" s="279"/>
      <c r="R203" s="309" t="s">
        <v>105</v>
      </c>
      <c r="S203" s="310">
        <v>45384</v>
      </c>
      <c r="T203" s="313"/>
      <c r="U203" s="279"/>
      <c r="V203" s="227">
        <v>14</v>
      </c>
      <c r="W203" s="281">
        <v>13</v>
      </c>
      <c r="X203" s="282">
        <v>14</v>
      </c>
      <c r="Y203" s="293">
        <f t="shared" si="8"/>
        <v>13</v>
      </c>
      <c r="Z203" s="175" t="s">
        <v>85</v>
      </c>
      <c r="AA203" s="342">
        <f>IFERROR(BASE_DATOS[[#This Row],[NSK Original]]-BASE_DATOS[[#This Row],[NSK]]," ")</f>
        <v>9</v>
      </c>
      <c r="AB203" s="343">
        <f>'NSK-TRACTO'!$A$2</f>
        <v>6</v>
      </c>
      <c r="AC203" s="343">
        <f>IF(BASE_DATOS[[#This Row],[NSK]]&gt;=BASE_DATOS[[#This Row],[NSK Reen]],BASE_DATOS[[#This Row],[NSK Reen]],BASE_DATOS[[#This Row],[NSK]])</f>
        <v>6</v>
      </c>
      <c r="AD203" s="344">
        <f>IFERROR(100%-(BASE_DATOS[[#This Row],[NSK Reen]]/BASE_DATOS[[#This Row],[NSK Original]]),"")</f>
        <v>0.72727272727272729</v>
      </c>
      <c r="AE203" s="344">
        <f>IFERROR(100%-BASE_DATOS[[#This Row],[NSK]]/BASE_DATOS[[#This Row],[NSK Original]],"")</f>
        <v>0.40909090909090906</v>
      </c>
      <c r="AF203" s="344">
        <f>IFERROR(BASE_DATOS[[#This Row],[% Max Des.]]-BASE_DATOS[[#This Row],[% Des]],"")</f>
        <v>0.31818181818181823</v>
      </c>
      <c r="AG203" s="287"/>
      <c r="AH203" s="273"/>
      <c r="AI203" s="363" t="str">
        <f>IF(OR(BASE_DATOS[[#This Row],[Hr.]]="",BASE_DATOS[[#This Row],[Hr. Actual]]=""),"",BASE_DATOS[[#This Row],[Hr. Actual]]-BASE_DATOS[[#This Row],[Hr.]]+BASE_DATOS[[#This Row],[Horas Acumuladas]])</f>
        <v/>
      </c>
      <c r="AJ203" s="364" t="str">
        <f>IFERROR(BASE_DATOS[[#This Row],[Precio US$]]/BASE_DATOS[[#This Row],[Horas Rodadas]],"")</f>
        <v/>
      </c>
      <c r="AK203" s="365" t="str">
        <f>IFERROR(BASE_DATOS[[#This Row],[Horas Rodadas]]/(BASE_DATOS[[#This Row],[NSK Original]]-BASE_DATOS[[#This Row],[NSK]]),"")</f>
        <v/>
      </c>
      <c r="AL20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03" s="366" t="str">
        <f>IFERROR(BASE_DATOS[[#This Row],[Precio US$]]/BASE_DATOS[[#This Row],[Horas Proy.]],"")</f>
        <v/>
      </c>
      <c r="AN203" s="176" t="str">
        <f>IF(OR(BASE_DATOS[[#This Row],[Km.]]="",BASE_DATOS[[#This Row],[Km. Actual]]=""),"",BASE_DATOS[[#This Row],[Km. Actual]]-BASE_DATOS[[#This Row],[Km.]]+BASE_DATOS[[#This Row],[Kilómetros Acumulados]])</f>
        <v/>
      </c>
      <c r="AO203" s="177" t="str">
        <f>IFERROR(BASE_DATOS[[#This Row],[Precio US$]]/BASE_DATOS[[#This Row],[Kilómetros Rodados]],"")</f>
        <v/>
      </c>
      <c r="AP203" s="176" t="str">
        <f>IFERROR(BASE_DATOS[[#This Row],[Kilómetros Rodados]]/(BASE_DATOS[[#This Row],[NSK Original]]-BASE_DATOS[[#This Row],[NSK]]),"")</f>
        <v/>
      </c>
      <c r="AQ20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03" s="177" t="str">
        <f>IFERROR(BASE_DATOS[[#This Row],[Precio US$]]/BASE_DATOS[[#This Row],[Kilómetros Proy.]],"")</f>
        <v/>
      </c>
      <c r="AS203" s="178" t="s">
        <v>62</v>
      </c>
      <c r="AT203" s="178"/>
      <c r="AU203" s="178"/>
      <c r="AV203" s="178"/>
      <c r="AW203" s="179"/>
      <c r="AX203" s="179"/>
      <c r="AY203" s="179" t="str">
        <f>CONCATENATE(BASE_DATOS[[#This Row],[Código_U]]&amp;BASE_DATOS[[#This Row],[Pos.]]&amp;BASE_DATOS[[#This Row],[Situación Actual]])</f>
        <v>TC-1368Rodando</v>
      </c>
    </row>
    <row r="204" spans="1:51" ht="12" x14ac:dyDescent="0.25">
      <c r="A204" s="227" t="s">
        <v>149</v>
      </c>
      <c r="B204" s="217" t="s">
        <v>150</v>
      </c>
      <c r="C204" s="228" t="s">
        <v>296</v>
      </c>
      <c r="D204" s="229" t="s">
        <v>61</v>
      </c>
      <c r="E204" s="255"/>
      <c r="F204" s="256" t="s">
        <v>273</v>
      </c>
      <c r="G204" s="256" t="s">
        <v>271</v>
      </c>
      <c r="H204" s="257" t="str">
        <f>IF(BASE_DATOS[[#This Row],[N-R]]="N",BASE_DATOS[[#This Row],[Diseño]],"Reencauche")</f>
        <v>Reencauche</v>
      </c>
      <c r="I204" s="256" t="s">
        <v>282</v>
      </c>
      <c r="J204" s="243" t="s">
        <v>82</v>
      </c>
      <c r="K204" s="258">
        <v>22</v>
      </c>
      <c r="L204" s="241">
        <v>110</v>
      </c>
      <c r="M204" s="259"/>
      <c r="N204" s="260"/>
      <c r="O204" s="277"/>
      <c r="P204" s="278"/>
      <c r="Q204" s="279"/>
      <c r="R204" s="309" t="s">
        <v>106</v>
      </c>
      <c r="S204" s="310">
        <v>45384</v>
      </c>
      <c r="T204" s="313"/>
      <c r="U204" s="279"/>
      <c r="V204" s="227">
        <v>13</v>
      </c>
      <c r="W204" s="281">
        <v>13</v>
      </c>
      <c r="X204" s="282">
        <v>13</v>
      </c>
      <c r="Y204" s="293">
        <f t="shared" si="8"/>
        <v>13</v>
      </c>
      <c r="Z204" s="175" t="s">
        <v>85</v>
      </c>
      <c r="AA204" s="342">
        <f>IFERROR(BASE_DATOS[[#This Row],[NSK Original]]-BASE_DATOS[[#This Row],[NSK]]," ")</f>
        <v>9</v>
      </c>
      <c r="AB204" s="343">
        <f>'NSK-TRACTO'!$A$2</f>
        <v>6</v>
      </c>
      <c r="AC204" s="343">
        <f>IF(BASE_DATOS[[#This Row],[NSK]]&gt;=BASE_DATOS[[#This Row],[NSK Reen]],BASE_DATOS[[#This Row],[NSK Reen]],BASE_DATOS[[#This Row],[NSK]])</f>
        <v>6</v>
      </c>
      <c r="AD204" s="344">
        <f>IFERROR(100%-(BASE_DATOS[[#This Row],[NSK Reen]]/BASE_DATOS[[#This Row],[NSK Original]]),"")</f>
        <v>0.72727272727272729</v>
      </c>
      <c r="AE204" s="344">
        <f>IFERROR(100%-BASE_DATOS[[#This Row],[NSK]]/BASE_DATOS[[#This Row],[NSK Original]],"")</f>
        <v>0.40909090909090906</v>
      </c>
      <c r="AF204" s="344">
        <f>IFERROR(BASE_DATOS[[#This Row],[% Max Des.]]-BASE_DATOS[[#This Row],[% Des]],"")</f>
        <v>0.31818181818181823</v>
      </c>
      <c r="AG204" s="287"/>
      <c r="AH204" s="273"/>
      <c r="AI204" s="363" t="str">
        <f>IF(OR(BASE_DATOS[[#This Row],[Hr.]]="",BASE_DATOS[[#This Row],[Hr. Actual]]=""),"",BASE_DATOS[[#This Row],[Hr. Actual]]-BASE_DATOS[[#This Row],[Hr.]]+BASE_DATOS[[#This Row],[Horas Acumuladas]])</f>
        <v/>
      </c>
      <c r="AJ204" s="364" t="str">
        <f>IFERROR(BASE_DATOS[[#This Row],[Precio US$]]/BASE_DATOS[[#This Row],[Horas Rodadas]],"")</f>
        <v/>
      </c>
      <c r="AK204" s="365" t="str">
        <f>IFERROR(BASE_DATOS[[#This Row],[Horas Rodadas]]/(BASE_DATOS[[#This Row],[NSK Original]]-BASE_DATOS[[#This Row],[NSK]]),"")</f>
        <v/>
      </c>
      <c r="AL20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04" s="366" t="str">
        <f>IFERROR(BASE_DATOS[[#This Row],[Precio US$]]/BASE_DATOS[[#This Row],[Horas Proy.]],"")</f>
        <v/>
      </c>
      <c r="AN204" s="176" t="str">
        <f>IF(OR(BASE_DATOS[[#This Row],[Km.]]="",BASE_DATOS[[#This Row],[Km. Actual]]=""),"",BASE_DATOS[[#This Row],[Km. Actual]]-BASE_DATOS[[#This Row],[Km.]]+BASE_DATOS[[#This Row],[Kilómetros Acumulados]])</f>
        <v/>
      </c>
      <c r="AO204" s="177" t="str">
        <f>IFERROR(BASE_DATOS[[#This Row],[Precio US$]]/BASE_DATOS[[#This Row],[Kilómetros Rodados]],"")</f>
        <v/>
      </c>
      <c r="AP204" s="176" t="str">
        <f>IFERROR(BASE_DATOS[[#This Row],[Kilómetros Rodados]]/(BASE_DATOS[[#This Row],[NSK Original]]-BASE_DATOS[[#This Row],[NSK]]),"")</f>
        <v/>
      </c>
      <c r="AQ20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04" s="177" t="str">
        <f>IFERROR(BASE_DATOS[[#This Row],[Precio US$]]/BASE_DATOS[[#This Row],[Kilómetros Proy.]],"")</f>
        <v/>
      </c>
      <c r="AS204" s="178" t="s">
        <v>62</v>
      </c>
      <c r="AT204" s="178"/>
      <c r="AU204" s="178"/>
      <c r="AV204" s="178"/>
      <c r="AW204" s="179"/>
      <c r="AX204" s="179"/>
      <c r="AY204" s="179" t="str">
        <f>CONCATENATE(BASE_DATOS[[#This Row],[Código_U]]&amp;BASE_DATOS[[#This Row],[Pos.]]&amp;BASE_DATOS[[#This Row],[Situación Actual]])</f>
        <v>TC-1369Rodando</v>
      </c>
    </row>
    <row r="205" spans="1:51" ht="12" x14ac:dyDescent="0.25">
      <c r="A205" s="227" t="s">
        <v>149</v>
      </c>
      <c r="B205" s="217" t="s">
        <v>150</v>
      </c>
      <c r="C205" s="228" t="s">
        <v>296</v>
      </c>
      <c r="D205" s="229" t="s">
        <v>61</v>
      </c>
      <c r="E205" s="255"/>
      <c r="F205" s="256" t="s">
        <v>273</v>
      </c>
      <c r="G205" s="256" t="s">
        <v>271</v>
      </c>
      <c r="H205" s="257" t="str">
        <f>IF(BASE_DATOS[[#This Row],[N-R]]="N",BASE_DATOS[[#This Row],[Diseño]],"Reencauche")</f>
        <v>Reencauche</v>
      </c>
      <c r="I205" s="256" t="s">
        <v>282</v>
      </c>
      <c r="J205" s="243" t="s">
        <v>82</v>
      </c>
      <c r="K205" s="258">
        <v>22</v>
      </c>
      <c r="L205" s="241">
        <v>110</v>
      </c>
      <c r="M205" s="259"/>
      <c r="N205" s="260"/>
      <c r="O205" s="277"/>
      <c r="P205" s="278"/>
      <c r="Q205" s="279"/>
      <c r="R205" s="309" t="s">
        <v>107</v>
      </c>
      <c r="S205" s="310">
        <v>45384</v>
      </c>
      <c r="T205" s="313"/>
      <c r="U205" s="279"/>
      <c r="V205" s="227">
        <v>13</v>
      </c>
      <c r="W205" s="281">
        <v>13</v>
      </c>
      <c r="X205" s="282">
        <v>13</v>
      </c>
      <c r="Y205" s="293">
        <f t="shared" si="8"/>
        <v>13</v>
      </c>
      <c r="Z205" s="175" t="s">
        <v>85</v>
      </c>
      <c r="AA205" s="342">
        <f>IFERROR(BASE_DATOS[[#This Row],[NSK Original]]-BASE_DATOS[[#This Row],[NSK]]," ")</f>
        <v>9</v>
      </c>
      <c r="AB205" s="343">
        <f>'NSK-TRACTO'!$A$2</f>
        <v>6</v>
      </c>
      <c r="AC205" s="343">
        <f>IF(BASE_DATOS[[#This Row],[NSK]]&gt;=BASE_DATOS[[#This Row],[NSK Reen]],BASE_DATOS[[#This Row],[NSK Reen]],BASE_DATOS[[#This Row],[NSK]])</f>
        <v>6</v>
      </c>
      <c r="AD205" s="344">
        <f>IFERROR(100%-(BASE_DATOS[[#This Row],[NSK Reen]]/BASE_DATOS[[#This Row],[NSK Original]]),"")</f>
        <v>0.72727272727272729</v>
      </c>
      <c r="AE205" s="344">
        <f>IFERROR(100%-BASE_DATOS[[#This Row],[NSK]]/BASE_DATOS[[#This Row],[NSK Original]],"")</f>
        <v>0.40909090909090906</v>
      </c>
      <c r="AF205" s="344">
        <f>IFERROR(BASE_DATOS[[#This Row],[% Max Des.]]-BASE_DATOS[[#This Row],[% Des]],"")</f>
        <v>0.31818181818181823</v>
      </c>
      <c r="AG205" s="287"/>
      <c r="AH205" s="273"/>
      <c r="AI205" s="363" t="str">
        <f>IF(OR(BASE_DATOS[[#This Row],[Hr.]]="",BASE_DATOS[[#This Row],[Hr. Actual]]=""),"",BASE_DATOS[[#This Row],[Hr. Actual]]-BASE_DATOS[[#This Row],[Hr.]]+BASE_DATOS[[#This Row],[Horas Acumuladas]])</f>
        <v/>
      </c>
      <c r="AJ205" s="364" t="str">
        <f>IFERROR(BASE_DATOS[[#This Row],[Precio US$]]/BASE_DATOS[[#This Row],[Horas Rodadas]],"")</f>
        <v/>
      </c>
      <c r="AK205" s="365" t="str">
        <f>IFERROR(BASE_DATOS[[#This Row],[Horas Rodadas]]/(BASE_DATOS[[#This Row],[NSK Original]]-BASE_DATOS[[#This Row],[NSK]]),"")</f>
        <v/>
      </c>
      <c r="AL20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05" s="366" t="str">
        <f>IFERROR(BASE_DATOS[[#This Row],[Precio US$]]/BASE_DATOS[[#This Row],[Horas Proy.]],"")</f>
        <v/>
      </c>
      <c r="AN205" s="176" t="str">
        <f>IF(OR(BASE_DATOS[[#This Row],[Km.]]="",BASE_DATOS[[#This Row],[Km. Actual]]=""),"",BASE_DATOS[[#This Row],[Km. Actual]]-BASE_DATOS[[#This Row],[Km.]]+BASE_DATOS[[#This Row],[Kilómetros Acumulados]])</f>
        <v/>
      </c>
      <c r="AO205" s="177" t="str">
        <f>IFERROR(BASE_DATOS[[#This Row],[Precio US$]]/BASE_DATOS[[#This Row],[Kilómetros Rodados]],"")</f>
        <v/>
      </c>
      <c r="AP205" s="176" t="str">
        <f>IFERROR(BASE_DATOS[[#This Row],[Kilómetros Rodados]]/(BASE_DATOS[[#This Row],[NSK Original]]-BASE_DATOS[[#This Row],[NSK]]),"")</f>
        <v/>
      </c>
      <c r="AQ20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05" s="177" t="str">
        <f>IFERROR(BASE_DATOS[[#This Row],[Precio US$]]/BASE_DATOS[[#This Row],[Kilómetros Proy.]],"")</f>
        <v/>
      </c>
      <c r="AS205" s="178" t="s">
        <v>62</v>
      </c>
      <c r="AT205" s="178"/>
      <c r="AU205" s="178"/>
      <c r="AV205" s="178"/>
      <c r="AW205" s="179"/>
      <c r="AX205" s="179"/>
      <c r="AY205" s="179" t="str">
        <f>CONCATENATE(BASE_DATOS[[#This Row],[Código_U]]&amp;BASE_DATOS[[#This Row],[Pos.]]&amp;BASE_DATOS[[#This Row],[Situación Actual]])</f>
        <v>TC-13610Rodando</v>
      </c>
    </row>
    <row r="206" spans="1:51" ht="12" x14ac:dyDescent="0.25">
      <c r="A206" s="224" t="s">
        <v>151</v>
      </c>
      <c r="B206" s="213" t="s">
        <v>152</v>
      </c>
      <c r="C206" s="225" t="s">
        <v>295</v>
      </c>
      <c r="D206" s="226" t="s">
        <v>87</v>
      </c>
      <c r="E206" s="249"/>
      <c r="F206" s="250" t="s">
        <v>413</v>
      </c>
      <c r="G206" s="250" t="s">
        <v>274</v>
      </c>
      <c r="H206" s="251" t="str">
        <f>IF(BASE_DATOS[[#This Row],[N-R]]="N",BASE_DATOS[[#This Row],[Diseño]],"Reencauche")</f>
        <v>RT306</v>
      </c>
      <c r="I206" s="250" t="s">
        <v>329</v>
      </c>
      <c r="J206" s="235" t="s">
        <v>72</v>
      </c>
      <c r="K206" s="252">
        <v>0</v>
      </c>
      <c r="L206" s="250">
        <v>110</v>
      </c>
      <c r="M206" s="253"/>
      <c r="N206" s="254"/>
      <c r="O206" s="274"/>
      <c r="P206" s="275"/>
      <c r="Q206" s="276"/>
      <c r="R206" s="305" t="s">
        <v>98</v>
      </c>
      <c r="S206" s="306">
        <v>45385</v>
      </c>
      <c r="T206" s="314"/>
      <c r="U206" s="276"/>
      <c r="V206" s="224">
        <v>8</v>
      </c>
      <c r="W206" s="325">
        <v>10</v>
      </c>
      <c r="X206" s="326">
        <v>8</v>
      </c>
      <c r="Y206" s="292">
        <f t="shared" si="8"/>
        <v>8</v>
      </c>
      <c r="Z206" s="194" t="s">
        <v>85</v>
      </c>
      <c r="AA206" s="339">
        <f>IFERROR(BASE_DATOS[[#This Row],[NSK Original]]-BASE_DATOS[[#This Row],[NSK]]," ")</f>
        <v>-8</v>
      </c>
      <c r="AB206" s="340">
        <f>'NSK-TRACTO'!$A$2</f>
        <v>6</v>
      </c>
      <c r="AC206" s="340">
        <f>IF(BASE_DATOS[[#This Row],[NSK]]&gt;=BASE_DATOS[[#This Row],[NSK Reen]],BASE_DATOS[[#This Row],[NSK Reen]],BASE_DATOS[[#This Row],[NSK]])</f>
        <v>6</v>
      </c>
      <c r="AD206" s="341" t="str">
        <f>IFERROR(100%-(BASE_DATOS[[#This Row],[NSK Reen]]/BASE_DATOS[[#This Row],[NSK Original]]),"")</f>
        <v/>
      </c>
      <c r="AE206" s="341" t="str">
        <f>IFERROR(100%-BASE_DATOS[[#This Row],[NSK]]/BASE_DATOS[[#This Row],[NSK Original]],"")</f>
        <v/>
      </c>
      <c r="AF206" s="341" t="str">
        <f>IFERROR(BASE_DATOS[[#This Row],[% Max Des.]]-BASE_DATOS[[#This Row],[% Des]],"")</f>
        <v/>
      </c>
      <c r="AG206" s="284"/>
      <c r="AH206" s="335"/>
      <c r="AI206" s="359" t="str">
        <f>IF(OR(BASE_DATOS[[#This Row],[Hr.]]="",BASE_DATOS[[#This Row],[Hr. Actual]]=""),"",BASE_DATOS[[#This Row],[Hr. Actual]]-BASE_DATOS[[#This Row],[Hr.]]+BASE_DATOS[[#This Row],[Horas Acumuladas]])</f>
        <v/>
      </c>
      <c r="AJ206" s="360" t="str">
        <f>IFERROR(BASE_DATOS[[#This Row],[Precio US$]]/BASE_DATOS[[#This Row],[Horas Rodadas]],"")</f>
        <v/>
      </c>
      <c r="AK206" s="361" t="str">
        <f>IFERROR(BASE_DATOS[[#This Row],[Horas Rodadas]]/(BASE_DATOS[[#This Row],[NSK Original]]-BASE_DATOS[[#This Row],[NSK]]),"")</f>
        <v/>
      </c>
      <c r="AL206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06" s="362" t="str">
        <f>IFERROR(BASE_DATOS[[#This Row],[Precio US$]]/BASE_DATOS[[#This Row],[Horas Proy.]],"")</f>
        <v/>
      </c>
      <c r="AN206" s="195" t="str">
        <f>IF(OR(BASE_DATOS[[#This Row],[Km.]]="",BASE_DATOS[[#This Row],[Km. Actual]]=""),"",BASE_DATOS[[#This Row],[Km. Actual]]-BASE_DATOS[[#This Row],[Km.]]+BASE_DATOS[[#This Row],[Kilómetros Acumulados]])</f>
        <v/>
      </c>
      <c r="AO206" s="196" t="str">
        <f>IFERROR(BASE_DATOS[[#This Row],[Precio US$]]/BASE_DATOS[[#This Row],[Kilómetros Rodados]],"")</f>
        <v/>
      </c>
      <c r="AP206" s="195" t="str">
        <f>IFERROR(BASE_DATOS[[#This Row],[Kilómetros Rodados]]/(BASE_DATOS[[#This Row],[NSK Original]]-BASE_DATOS[[#This Row],[NSK]]),"")</f>
        <v/>
      </c>
      <c r="AQ206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06" s="196" t="str">
        <f>IFERROR(BASE_DATOS[[#This Row],[Precio US$]]/BASE_DATOS[[#This Row],[Kilómetros Proy.]],"")</f>
        <v/>
      </c>
      <c r="AS206" s="191" t="s">
        <v>62</v>
      </c>
      <c r="AT206" s="191"/>
      <c r="AU206" s="191"/>
      <c r="AV206" s="191"/>
      <c r="AW206" s="198"/>
      <c r="AX206" s="198"/>
      <c r="AY206" s="198" t="str">
        <f>CONCATENATE(BASE_DATOS[[#This Row],[Código_U]]&amp;BASE_DATOS[[#This Row],[Pos.]]&amp;BASE_DATOS[[#This Row],[Situación Actual]])</f>
        <v>SR-1361Rodando</v>
      </c>
    </row>
    <row r="207" spans="1:51" ht="12" x14ac:dyDescent="0.25">
      <c r="A207" s="227" t="s">
        <v>151</v>
      </c>
      <c r="B207" s="217" t="s">
        <v>152</v>
      </c>
      <c r="C207" s="228" t="s">
        <v>295</v>
      </c>
      <c r="D207" s="229" t="s">
        <v>87</v>
      </c>
      <c r="E207" s="255"/>
      <c r="F207" s="256" t="s">
        <v>71</v>
      </c>
      <c r="G207" s="256" t="s">
        <v>269</v>
      </c>
      <c r="H207" s="257" t="str">
        <f>IF(BASE_DATOS[[#This Row],[N-R]]="N",BASE_DATOS[[#This Row],[Diseño]],"Reencauche")</f>
        <v>Reencauche</v>
      </c>
      <c r="I207" s="256" t="s">
        <v>275</v>
      </c>
      <c r="J207" s="243" t="s">
        <v>82</v>
      </c>
      <c r="K207" s="258">
        <v>19</v>
      </c>
      <c r="L207" s="256">
        <v>110</v>
      </c>
      <c r="M207" s="259"/>
      <c r="N207" s="260"/>
      <c r="O207" s="277"/>
      <c r="P207" s="278"/>
      <c r="Q207" s="279"/>
      <c r="R207" s="309" t="s">
        <v>99</v>
      </c>
      <c r="S207" s="310">
        <v>45385</v>
      </c>
      <c r="T207" s="313"/>
      <c r="U207" s="279"/>
      <c r="V207" s="227">
        <v>9</v>
      </c>
      <c r="W207" s="281">
        <v>9</v>
      </c>
      <c r="X207" s="282">
        <v>9</v>
      </c>
      <c r="Y207" s="293">
        <f t="shared" si="8"/>
        <v>9</v>
      </c>
      <c r="Z207" s="175" t="s">
        <v>85</v>
      </c>
      <c r="AA207" s="342">
        <f>IFERROR(BASE_DATOS[[#This Row],[NSK Original]]-BASE_DATOS[[#This Row],[NSK]]," ")</f>
        <v>10</v>
      </c>
      <c r="AB207" s="343">
        <f>'NSK-TRACTO'!$A$2</f>
        <v>6</v>
      </c>
      <c r="AC207" s="343">
        <f>IF(BASE_DATOS[[#This Row],[NSK]]&gt;=BASE_DATOS[[#This Row],[NSK Reen]],BASE_DATOS[[#This Row],[NSK Reen]],BASE_DATOS[[#This Row],[NSK]])</f>
        <v>6</v>
      </c>
      <c r="AD207" s="344">
        <f>IFERROR(100%-(BASE_DATOS[[#This Row],[NSK Reen]]/BASE_DATOS[[#This Row],[NSK Original]]),"")</f>
        <v>0.68421052631578949</v>
      </c>
      <c r="AE207" s="344">
        <f>IFERROR(100%-BASE_DATOS[[#This Row],[NSK]]/BASE_DATOS[[#This Row],[NSK Original]],"")</f>
        <v>0.52631578947368429</v>
      </c>
      <c r="AF207" s="344">
        <f>IFERROR(BASE_DATOS[[#This Row],[% Max Des.]]-BASE_DATOS[[#This Row],[% Des]],"")</f>
        <v>0.1578947368421052</v>
      </c>
      <c r="AG207" s="287"/>
      <c r="AH207" s="273"/>
      <c r="AI207" s="363" t="str">
        <f>IF(OR(BASE_DATOS[[#This Row],[Hr.]]="",BASE_DATOS[[#This Row],[Hr. Actual]]=""),"",BASE_DATOS[[#This Row],[Hr. Actual]]-BASE_DATOS[[#This Row],[Hr.]]+BASE_DATOS[[#This Row],[Horas Acumuladas]])</f>
        <v/>
      </c>
      <c r="AJ207" s="364" t="str">
        <f>IFERROR(BASE_DATOS[[#This Row],[Precio US$]]/BASE_DATOS[[#This Row],[Horas Rodadas]],"")</f>
        <v/>
      </c>
      <c r="AK207" s="365" t="str">
        <f>IFERROR(BASE_DATOS[[#This Row],[Horas Rodadas]]/(BASE_DATOS[[#This Row],[NSK Original]]-BASE_DATOS[[#This Row],[NSK]]),"")</f>
        <v/>
      </c>
      <c r="AL20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07" s="366" t="str">
        <f>IFERROR(BASE_DATOS[[#This Row],[Precio US$]]/BASE_DATOS[[#This Row],[Horas Proy.]],"")</f>
        <v/>
      </c>
      <c r="AN207" s="176" t="str">
        <f>IF(OR(BASE_DATOS[[#This Row],[Km.]]="",BASE_DATOS[[#This Row],[Km. Actual]]=""),"",BASE_DATOS[[#This Row],[Km. Actual]]-BASE_DATOS[[#This Row],[Km.]]+BASE_DATOS[[#This Row],[Kilómetros Acumulados]])</f>
        <v/>
      </c>
      <c r="AO207" s="177" t="str">
        <f>IFERROR(BASE_DATOS[[#This Row],[Precio US$]]/BASE_DATOS[[#This Row],[Kilómetros Rodados]],"")</f>
        <v/>
      </c>
      <c r="AP207" s="176" t="str">
        <f>IFERROR(BASE_DATOS[[#This Row],[Kilómetros Rodados]]/(BASE_DATOS[[#This Row],[NSK Original]]-BASE_DATOS[[#This Row],[NSK]]),"")</f>
        <v/>
      </c>
      <c r="AQ20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07" s="177" t="str">
        <f>IFERROR(BASE_DATOS[[#This Row],[Precio US$]]/BASE_DATOS[[#This Row],[Kilómetros Proy.]],"")</f>
        <v/>
      </c>
      <c r="AS207" s="167" t="s">
        <v>62</v>
      </c>
      <c r="AT207" s="167"/>
      <c r="AU207" s="167"/>
      <c r="AV207" s="167"/>
      <c r="AW207" s="179"/>
      <c r="AX207" s="179"/>
      <c r="AY207" s="179" t="str">
        <f>CONCATENATE(BASE_DATOS[[#This Row],[Código_U]]&amp;BASE_DATOS[[#This Row],[Pos.]]&amp;BASE_DATOS[[#This Row],[Situación Actual]])</f>
        <v>SR-1362Rodando</v>
      </c>
    </row>
    <row r="208" spans="1:51" ht="12" x14ac:dyDescent="0.25">
      <c r="A208" s="227" t="s">
        <v>151</v>
      </c>
      <c r="B208" s="217" t="s">
        <v>152</v>
      </c>
      <c r="C208" s="228" t="s">
        <v>295</v>
      </c>
      <c r="D208" s="229" t="s">
        <v>87</v>
      </c>
      <c r="E208" s="255"/>
      <c r="F208" s="256" t="s">
        <v>97</v>
      </c>
      <c r="G208" s="256" t="s">
        <v>269</v>
      </c>
      <c r="H208" s="257" t="str">
        <f>IF(BASE_DATOS[[#This Row],[N-R]]="N",BASE_DATOS[[#This Row],[Diseño]],"Reencauche")</f>
        <v>AGC28</v>
      </c>
      <c r="I208" s="256" t="s">
        <v>270</v>
      </c>
      <c r="J208" s="243" t="s">
        <v>72</v>
      </c>
      <c r="K208" s="258">
        <v>16.5</v>
      </c>
      <c r="L208" s="256">
        <v>110</v>
      </c>
      <c r="M208" s="259"/>
      <c r="N208" s="260"/>
      <c r="O208" s="277"/>
      <c r="P208" s="278"/>
      <c r="Q208" s="279"/>
      <c r="R208" s="309" t="s">
        <v>100</v>
      </c>
      <c r="S208" s="310">
        <v>45385</v>
      </c>
      <c r="T208" s="313"/>
      <c r="U208" s="279"/>
      <c r="V208" s="227">
        <v>15</v>
      </c>
      <c r="W208" s="281">
        <v>15</v>
      </c>
      <c r="X208" s="282">
        <v>15</v>
      </c>
      <c r="Y208" s="293">
        <f t="shared" si="8"/>
        <v>15</v>
      </c>
      <c r="Z208" s="175" t="s">
        <v>85</v>
      </c>
      <c r="AA208" s="342">
        <f>IFERROR(BASE_DATOS[[#This Row],[NSK Original]]-BASE_DATOS[[#This Row],[NSK]]," ")</f>
        <v>1.5</v>
      </c>
      <c r="AB208" s="343">
        <f>'NSK-TRACTO'!$A$2</f>
        <v>6</v>
      </c>
      <c r="AC208" s="343">
        <f>IF(BASE_DATOS[[#This Row],[NSK]]&gt;=BASE_DATOS[[#This Row],[NSK Reen]],BASE_DATOS[[#This Row],[NSK Reen]],BASE_DATOS[[#This Row],[NSK]])</f>
        <v>6</v>
      </c>
      <c r="AD208" s="344">
        <f>IFERROR(100%-(BASE_DATOS[[#This Row],[NSK Reen]]/BASE_DATOS[[#This Row],[NSK Original]]),"")</f>
        <v>0.63636363636363635</v>
      </c>
      <c r="AE208" s="344">
        <f>IFERROR(100%-BASE_DATOS[[#This Row],[NSK]]/BASE_DATOS[[#This Row],[NSK Original]],"")</f>
        <v>9.0909090909090939E-2</v>
      </c>
      <c r="AF208" s="344">
        <f>IFERROR(BASE_DATOS[[#This Row],[% Max Des.]]-BASE_DATOS[[#This Row],[% Des]],"")</f>
        <v>0.54545454545454541</v>
      </c>
      <c r="AG208" s="287"/>
      <c r="AH208" s="273"/>
      <c r="AI208" s="363" t="str">
        <f>IF(OR(BASE_DATOS[[#This Row],[Hr.]]="",BASE_DATOS[[#This Row],[Hr. Actual]]=""),"",BASE_DATOS[[#This Row],[Hr. Actual]]-BASE_DATOS[[#This Row],[Hr.]]+BASE_DATOS[[#This Row],[Horas Acumuladas]])</f>
        <v/>
      </c>
      <c r="AJ208" s="364" t="str">
        <f>IFERROR(BASE_DATOS[[#This Row],[Precio US$]]/BASE_DATOS[[#This Row],[Horas Rodadas]],"")</f>
        <v/>
      </c>
      <c r="AK208" s="365" t="str">
        <f>IFERROR(BASE_DATOS[[#This Row],[Horas Rodadas]]/(BASE_DATOS[[#This Row],[NSK Original]]-BASE_DATOS[[#This Row],[NSK]]),"")</f>
        <v/>
      </c>
      <c r="AL20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08" s="366" t="str">
        <f>IFERROR(BASE_DATOS[[#This Row],[Precio US$]]/BASE_DATOS[[#This Row],[Horas Proy.]],"")</f>
        <v/>
      </c>
      <c r="AN208" s="176" t="str">
        <f>IF(OR(BASE_DATOS[[#This Row],[Km.]]="",BASE_DATOS[[#This Row],[Km. Actual]]=""),"",BASE_DATOS[[#This Row],[Km. Actual]]-BASE_DATOS[[#This Row],[Km.]]+BASE_DATOS[[#This Row],[Kilómetros Acumulados]])</f>
        <v/>
      </c>
      <c r="AO208" s="177" t="str">
        <f>IFERROR(BASE_DATOS[[#This Row],[Precio US$]]/BASE_DATOS[[#This Row],[Kilómetros Rodados]],"")</f>
        <v/>
      </c>
      <c r="AP208" s="176" t="str">
        <f>IFERROR(BASE_DATOS[[#This Row],[Kilómetros Rodados]]/(BASE_DATOS[[#This Row],[NSK Original]]-BASE_DATOS[[#This Row],[NSK]]),"")</f>
        <v/>
      </c>
      <c r="AQ20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08" s="177" t="str">
        <f>IFERROR(BASE_DATOS[[#This Row],[Precio US$]]/BASE_DATOS[[#This Row],[Kilómetros Proy.]],"")</f>
        <v/>
      </c>
      <c r="AS208" s="167" t="s">
        <v>62</v>
      </c>
      <c r="AT208" s="167"/>
      <c r="AU208" s="167"/>
      <c r="AV208" s="167"/>
      <c r="AW208" s="179"/>
      <c r="AX208" s="179"/>
      <c r="AY208" s="179" t="str">
        <f>CONCATENATE(BASE_DATOS[[#This Row],[Código_U]]&amp;BASE_DATOS[[#This Row],[Pos.]]&amp;BASE_DATOS[[#This Row],[Situación Actual]])</f>
        <v>SR-1363Rodando</v>
      </c>
    </row>
    <row r="209" spans="1:51" ht="12" x14ac:dyDescent="0.25">
      <c r="A209" s="227" t="s">
        <v>151</v>
      </c>
      <c r="B209" s="217" t="s">
        <v>152</v>
      </c>
      <c r="C209" s="228" t="s">
        <v>295</v>
      </c>
      <c r="D209" s="229" t="s">
        <v>87</v>
      </c>
      <c r="E209" s="255"/>
      <c r="F209" s="256" t="s">
        <v>97</v>
      </c>
      <c r="G209" s="256" t="s">
        <v>269</v>
      </c>
      <c r="H209" s="257" t="str">
        <f>IF(BASE_DATOS[[#This Row],[N-R]]="N",BASE_DATOS[[#This Row],[Diseño]],"Reencauche")</f>
        <v>AGC28</v>
      </c>
      <c r="I209" s="256" t="s">
        <v>270</v>
      </c>
      <c r="J209" s="243" t="s">
        <v>72</v>
      </c>
      <c r="K209" s="258">
        <v>16.5</v>
      </c>
      <c r="L209" s="256">
        <v>110</v>
      </c>
      <c r="M209" s="259"/>
      <c r="N209" s="260"/>
      <c r="O209" s="277"/>
      <c r="P209" s="278"/>
      <c r="Q209" s="279"/>
      <c r="R209" s="309" t="s">
        <v>101</v>
      </c>
      <c r="S209" s="310">
        <v>45385</v>
      </c>
      <c r="T209" s="313"/>
      <c r="U209" s="279"/>
      <c r="V209" s="227">
        <v>15</v>
      </c>
      <c r="W209" s="281">
        <v>15</v>
      </c>
      <c r="X209" s="282">
        <v>15</v>
      </c>
      <c r="Y209" s="293">
        <f t="shared" si="8"/>
        <v>15</v>
      </c>
      <c r="Z209" s="175" t="s">
        <v>85</v>
      </c>
      <c r="AA209" s="342">
        <f>IFERROR(BASE_DATOS[[#This Row],[NSK Original]]-BASE_DATOS[[#This Row],[NSK]]," ")</f>
        <v>1.5</v>
      </c>
      <c r="AB209" s="343">
        <f>'NSK-TRACTO'!$A$2</f>
        <v>6</v>
      </c>
      <c r="AC209" s="343">
        <f>IF(BASE_DATOS[[#This Row],[NSK]]&gt;=BASE_DATOS[[#This Row],[NSK Reen]],BASE_DATOS[[#This Row],[NSK Reen]],BASE_DATOS[[#This Row],[NSK]])</f>
        <v>6</v>
      </c>
      <c r="AD209" s="344">
        <f>IFERROR(100%-(BASE_DATOS[[#This Row],[NSK Reen]]/BASE_DATOS[[#This Row],[NSK Original]]),"")</f>
        <v>0.63636363636363635</v>
      </c>
      <c r="AE209" s="344">
        <f>IFERROR(100%-BASE_DATOS[[#This Row],[NSK]]/BASE_DATOS[[#This Row],[NSK Original]],"")</f>
        <v>9.0909090909090939E-2</v>
      </c>
      <c r="AF209" s="344">
        <f>IFERROR(BASE_DATOS[[#This Row],[% Max Des.]]-BASE_DATOS[[#This Row],[% Des]],"")</f>
        <v>0.54545454545454541</v>
      </c>
      <c r="AG209" s="287"/>
      <c r="AH209" s="273"/>
      <c r="AI209" s="363" t="str">
        <f>IF(OR(BASE_DATOS[[#This Row],[Hr.]]="",BASE_DATOS[[#This Row],[Hr. Actual]]=""),"",BASE_DATOS[[#This Row],[Hr. Actual]]-BASE_DATOS[[#This Row],[Hr.]]+BASE_DATOS[[#This Row],[Horas Acumuladas]])</f>
        <v/>
      </c>
      <c r="AJ209" s="364" t="str">
        <f>IFERROR(BASE_DATOS[[#This Row],[Precio US$]]/BASE_DATOS[[#This Row],[Horas Rodadas]],"")</f>
        <v/>
      </c>
      <c r="AK209" s="365" t="str">
        <f>IFERROR(BASE_DATOS[[#This Row],[Horas Rodadas]]/(BASE_DATOS[[#This Row],[NSK Original]]-BASE_DATOS[[#This Row],[NSK]]),"")</f>
        <v/>
      </c>
      <c r="AL20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09" s="366" t="str">
        <f>IFERROR(BASE_DATOS[[#This Row],[Precio US$]]/BASE_DATOS[[#This Row],[Horas Proy.]],"")</f>
        <v/>
      </c>
      <c r="AN209" s="176" t="str">
        <f>IF(OR(BASE_DATOS[[#This Row],[Km.]]="",BASE_DATOS[[#This Row],[Km. Actual]]=""),"",BASE_DATOS[[#This Row],[Km. Actual]]-BASE_DATOS[[#This Row],[Km.]]+BASE_DATOS[[#This Row],[Kilómetros Acumulados]])</f>
        <v/>
      </c>
      <c r="AO209" s="177" t="str">
        <f>IFERROR(BASE_DATOS[[#This Row],[Precio US$]]/BASE_DATOS[[#This Row],[Kilómetros Rodados]],"")</f>
        <v/>
      </c>
      <c r="AP209" s="176" t="str">
        <f>IFERROR(BASE_DATOS[[#This Row],[Kilómetros Rodados]]/(BASE_DATOS[[#This Row],[NSK Original]]-BASE_DATOS[[#This Row],[NSK]]),"")</f>
        <v/>
      </c>
      <c r="AQ20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09" s="177" t="str">
        <f>IFERROR(BASE_DATOS[[#This Row],[Precio US$]]/BASE_DATOS[[#This Row],[Kilómetros Proy.]],"")</f>
        <v/>
      </c>
      <c r="AS209" s="167" t="s">
        <v>62</v>
      </c>
      <c r="AT209" s="167"/>
      <c r="AU209" s="167"/>
      <c r="AV209" s="167"/>
      <c r="AW209" s="179"/>
      <c r="AX209" s="179"/>
      <c r="AY209" s="179" t="str">
        <f>CONCATENATE(BASE_DATOS[[#This Row],[Código_U]]&amp;BASE_DATOS[[#This Row],[Pos.]]&amp;BASE_DATOS[[#This Row],[Situación Actual]])</f>
        <v>SR-1364Rodando</v>
      </c>
    </row>
    <row r="210" spans="1:51" ht="12" x14ac:dyDescent="0.25">
      <c r="A210" s="227" t="s">
        <v>151</v>
      </c>
      <c r="B210" s="217" t="s">
        <v>152</v>
      </c>
      <c r="C210" s="228" t="s">
        <v>295</v>
      </c>
      <c r="D210" s="229" t="s">
        <v>87</v>
      </c>
      <c r="E210" s="255"/>
      <c r="F210" s="256" t="s">
        <v>97</v>
      </c>
      <c r="G210" s="256" t="s">
        <v>269</v>
      </c>
      <c r="H210" s="257" t="str">
        <f>IF(BASE_DATOS[[#This Row],[N-R]]="N",BASE_DATOS[[#This Row],[Diseño]],"Reencauche")</f>
        <v>AGC28</v>
      </c>
      <c r="I210" s="256" t="s">
        <v>270</v>
      </c>
      <c r="J210" s="243" t="s">
        <v>72</v>
      </c>
      <c r="K210" s="258">
        <v>16.5</v>
      </c>
      <c r="L210" s="256">
        <v>110</v>
      </c>
      <c r="M210" s="259"/>
      <c r="N210" s="260"/>
      <c r="O210" s="277"/>
      <c r="P210" s="278"/>
      <c r="Q210" s="279"/>
      <c r="R210" s="309" t="s">
        <v>102</v>
      </c>
      <c r="S210" s="310">
        <v>45385</v>
      </c>
      <c r="T210" s="313"/>
      <c r="U210" s="279"/>
      <c r="V210" s="227">
        <v>14</v>
      </c>
      <c r="W210" s="281">
        <v>14</v>
      </c>
      <c r="X210" s="282">
        <v>14</v>
      </c>
      <c r="Y210" s="293">
        <f t="shared" si="8"/>
        <v>14</v>
      </c>
      <c r="Z210" s="175" t="s">
        <v>85</v>
      </c>
      <c r="AA210" s="342">
        <f>IFERROR(BASE_DATOS[[#This Row],[NSK Original]]-BASE_DATOS[[#This Row],[NSK]]," ")</f>
        <v>2.5</v>
      </c>
      <c r="AB210" s="343">
        <f>'NSK-TRACTO'!$A$2</f>
        <v>6</v>
      </c>
      <c r="AC210" s="343">
        <f>IF(BASE_DATOS[[#This Row],[NSK]]&gt;=BASE_DATOS[[#This Row],[NSK Reen]],BASE_DATOS[[#This Row],[NSK Reen]],BASE_DATOS[[#This Row],[NSK]])</f>
        <v>6</v>
      </c>
      <c r="AD210" s="344">
        <f>IFERROR(100%-(BASE_DATOS[[#This Row],[NSK Reen]]/BASE_DATOS[[#This Row],[NSK Original]]),"")</f>
        <v>0.63636363636363635</v>
      </c>
      <c r="AE210" s="344">
        <f>IFERROR(100%-BASE_DATOS[[#This Row],[NSK]]/BASE_DATOS[[#This Row],[NSK Original]],"")</f>
        <v>0.15151515151515149</v>
      </c>
      <c r="AF210" s="344">
        <f>IFERROR(BASE_DATOS[[#This Row],[% Max Des.]]-BASE_DATOS[[#This Row],[% Des]],"")</f>
        <v>0.48484848484848486</v>
      </c>
      <c r="AG210" s="287"/>
      <c r="AH210" s="273"/>
      <c r="AI210" s="363" t="str">
        <f>IF(OR(BASE_DATOS[[#This Row],[Hr.]]="",BASE_DATOS[[#This Row],[Hr. Actual]]=""),"",BASE_DATOS[[#This Row],[Hr. Actual]]-BASE_DATOS[[#This Row],[Hr.]]+BASE_DATOS[[#This Row],[Horas Acumuladas]])</f>
        <v/>
      </c>
      <c r="AJ210" s="364" t="str">
        <f>IFERROR(BASE_DATOS[[#This Row],[Precio US$]]/BASE_DATOS[[#This Row],[Horas Rodadas]],"")</f>
        <v/>
      </c>
      <c r="AK210" s="365" t="str">
        <f>IFERROR(BASE_DATOS[[#This Row],[Horas Rodadas]]/(BASE_DATOS[[#This Row],[NSK Original]]-BASE_DATOS[[#This Row],[NSK]]),"")</f>
        <v/>
      </c>
      <c r="AL21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10" s="366" t="str">
        <f>IFERROR(BASE_DATOS[[#This Row],[Precio US$]]/BASE_DATOS[[#This Row],[Horas Proy.]],"")</f>
        <v/>
      </c>
      <c r="AN210" s="176" t="str">
        <f>IF(OR(BASE_DATOS[[#This Row],[Km.]]="",BASE_DATOS[[#This Row],[Km. Actual]]=""),"",BASE_DATOS[[#This Row],[Km. Actual]]-BASE_DATOS[[#This Row],[Km.]]+BASE_DATOS[[#This Row],[Kilómetros Acumulados]])</f>
        <v/>
      </c>
      <c r="AO210" s="177" t="str">
        <f>IFERROR(BASE_DATOS[[#This Row],[Precio US$]]/BASE_DATOS[[#This Row],[Kilómetros Rodados]],"")</f>
        <v/>
      </c>
      <c r="AP210" s="176" t="str">
        <f>IFERROR(BASE_DATOS[[#This Row],[Kilómetros Rodados]]/(BASE_DATOS[[#This Row],[NSK Original]]-BASE_DATOS[[#This Row],[NSK]]),"")</f>
        <v/>
      </c>
      <c r="AQ21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10" s="177" t="str">
        <f>IFERROR(BASE_DATOS[[#This Row],[Precio US$]]/BASE_DATOS[[#This Row],[Kilómetros Proy.]],"")</f>
        <v/>
      </c>
      <c r="AS210" s="167" t="s">
        <v>62</v>
      </c>
      <c r="AT210" s="167"/>
      <c r="AU210" s="167"/>
      <c r="AV210" s="167"/>
      <c r="AW210" s="179"/>
      <c r="AX210" s="179"/>
      <c r="AY210" s="179" t="str">
        <f>CONCATENATE(BASE_DATOS[[#This Row],[Código_U]]&amp;BASE_DATOS[[#This Row],[Pos.]]&amp;BASE_DATOS[[#This Row],[Situación Actual]])</f>
        <v>SR-1365Rodando</v>
      </c>
    </row>
    <row r="211" spans="1:51" ht="12" x14ac:dyDescent="0.25">
      <c r="A211" s="227" t="s">
        <v>151</v>
      </c>
      <c r="B211" s="217" t="s">
        <v>152</v>
      </c>
      <c r="C211" s="228" t="s">
        <v>295</v>
      </c>
      <c r="D211" s="229" t="s">
        <v>87</v>
      </c>
      <c r="E211" s="255"/>
      <c r="F211" s="256" t="s">
        <v>97</v>
      </c>
      <c r="G211" s="256" t="s">
        <v>269</v>
      </c>
      <c r="H211" s="257" t="str">
        <f>IF(BASE_DATOS[[#This Row],[N-R]]="N",BASE_DATOS[[#This Row],[Diseño]],"Reencauche")</f>
        <v>AGC28</v>
      </c>
      <c r="I211" s="256" t="s">
        <v>270</v>
      </c>
      <c r="J211" s="243" t="s">
        <v>72</v>
      </c>
      <c r="K211" s="258">
        <v>16.5</v>
      </c>
      <c r="L211" s="256">
        <v>110</v>
      </c>
      <c r="M211" s="259"/>
      <c r="N211" s="260"/>
      <c r="O211" s="277"/>
      <c r="P211" s="278"/>
      <c r="Q211" s="279"/>
      <c r="R211" s="309" t="s">
        <v>103</v>
      </c>
      <c r="S211" s="310">
        <v>45385</v>
      </c>
      <c r="T211" s="313"/>
      <c r="U211" s="279"/>
      <c r="V211" s="227">
        <v>14</v>
      </c>
      <c r="W211" s="281">
        <v>14</v>
      </c>
      <c r="X211" s="282">
        <v>14</v>
      </c>
      <c r="Y211" s="293">
        <f t="shared" si="8"/>
        <v>14</v>
      </c>
      <c r="Z211" s="175" t="s">
        <v>85</v>
      </c>
      <c r="AA211" s="342">
        <f>IFERROR(BASE_DATOS[[#This Row],[NSK Original]]-BASE_DATOS[[#This Row],[NSK]]," ")</f>
        <v>2.5</v>
      </c>
      <c r="AB211" s="343">
        <f>'NSK-TRACTO'!$A$2</f>
        <v>6</v>
      </c>
      <c r="AC211" s="343">
        <f>IF(BASE_DATOS[[#This Row],[NSK]]&gt;=BASE_DATOS[[#This Row],[NSK Reen]],BASE_DATOS[[#This Row],[NSK Reen]],BASE_DATOS[[#This Row],[NSK]])</f>
        <v>6</v>
      </c>
      <c r="AD211" s="344">
        <f>IFERROR(100%-(BASE_DATOS[[#This Row],[NSK Reen]]/BASE_DATOS[[#This Row],[NSK Original]]),"")</f>
        <v>0.63636363636363635</v>
      </c>
      <c r="AE211" s="344">
        <f>IFERROR(100%-BASE_DATOS[[#This Row],[NSK]]/BASE_DATOS[[#This Row],[NSK Original]],"")</f>
        <v>0.15151515151515149</v>
      </c>
      <c r="AF211" s="344">
        <f>IFERROR(BASE_DATOS[[#This Row],[% Max Des.]]-BASE_DATOS[[#This Row],[% Des]],"")</f>
        <v>0.48484848484848486</v>
      </c>
      <c r="AG211" s="287"/>
      <c r="AH211" s="273"/>
      <c r="AI211" s="363" t="str">
        <f>IF(OR(BASE_DATOS[[#This Row],[Hr.]]="",BASE_DATOS[[#This Row],[Hr. Actual]]=""),"",BASE_DATOS[[#This Row],[Hr. Actual]]-BASE_DATOS[[#This Row],[Hr.]]+BASE_DATOS[[#This Row],[Horas Acumuladas]])</f>
        <v/>
      </c>
      <c r="AJ211" s="364" t="str">
        <f>IFERROR(BASE_DATOS[[#This Row],[Precio US$]]/BASE_DATOS[[#This Row],[Horas Rodadas]],"")</f>
        <v/>
      </c>
      <c r="AK211" s="365" t="str">
        <f>IFERROR(BASE_DATOS[[#This Row],[Horas Rodadas]]/(BASE_DATOS[[#This Row],[NSK Original]]-BASE_DATOS[[#This Row],[NSK]]),"")</f>
        <v/>
      </c>
      <c r="AL21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11" s="366" t="str">
        <f>IFERROR(BASE_DATOS[[#This Row],[Precio US$]]/BASE_DATOS[[#This Row],[Horas Proy.]],"")</f>
        <v/>
      </c>
      <c r="AN211" s="176" t="str">
        <f>IF(OR(BASE_DATOS[[#This Row],[Km.]]="",BASE_DATOS[[#This Row],[Km. Actual]]=""),"",BASE_DATOS[[#This Row],[Km. Actual]]-BASE_DATOS[[#This Row],[Km.]]+BASE_DATOS[[#This Row],[Kilómetros Acumulados]])</f>
        <v/>
      </c>
      <c r="AO211" s="177" t="str">
        <f>IFERROR(BASE_DATOS[[#This Row],[Precio US$]]/BASE_DATOS[[#This Row],[Kilómetros Rodados]],"")</f>
        <v/>
      </c>
      <c r="AP211" s="176" t="str">
        <f>IFERROR(BASE_DATOS[[#This Row],[Kilómetros Rodados]]/(BASE_DATOS[[#This Row],[NSK Original]]-BASE_DATOS[[#This Row],[NSK]]),"")</f>
        <v/>
      </c>
      <c r="AQ21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11" s="177" t="str">
        <f>IFERROR(BASE_DATOS[[#This Row],[Precio US$]]/BASE_DATOS[[#This Row],[Kilómetros Proy.]],"")</f>
        <v/>
      </c>
      <c r="AS211" s="167" t="s">
        <v>62</v>
      </c>
      <c r="AT211" s="167"/>
      <c r="AU211" s="167"/>
      <c r="AV211" s="167"/>
      <c r="AW211" s="179"/>
      <c r="AX211" s="179"/>
      <c r="AY211" s="179" t="str">
        <f>CONCATENATE(BASE_DATOS[[#This Row],[Código_U]]&amp;BASE_DATOS[[#This Row],[Pos.]]&amp;BASE_DATOS[[#This Row],[Situación Actual]])</f>
        <v>SR-1366Rodando</v>
      </c>
    </row>
    <row r="212" spans="1:51" ht="12" x14ac:dyDescent="0.25">
      <c r="A212" s="227" t="s">
        <v>151</v>
      </c>
      <c r="B212" s="217" t="s">
        <v>152</v>
      </c>
      <c r="C212" s="228" t="s">
        <v>295</v>
      </c>
      <c r="D212" s="229" t="s">
        <v>384</v>
      </c>
      <c r="E212" s="255"/>
      <c r="F212" s="256" t="s">
        <v>97</v>
      </c>
      <c r="G212" s="256" t="s">
        <v>269</v>
      </c>
      <c r="H212" s="257" t="str">
        <f>IF(BASE_DATOS[[#This Row],[N-R]]="N",BASE_DATOS[[#This Row],[Diseño]],"Reencauche")</f>
        <v>AGC28</v>
      </c>
      <c r="I212" s="256" t="s">
        <v>270</v>
      </c>
      <c r="J212" s="243" t="s">
        <v>72</v>
      </c>
      <c r="K212" s="258">
        <v>16.5</v>
      </c>
      <c r="L212" s="256">
        <v>110</v>
      </c>
      <c r="M212" s="259"/>
      <c r="N212" s="260"/>
      <c r="O212" s="277"/>
      <c r="P212" s="278"/>
      <c r="Q212" s="279"/>
      <c r="R212" s="309" t="s">
        <v>509</v>
      </c>
      <c r="S212" s="310">
        <v>45385</v>
      </c>
      <c r="T212" s="313"/>
      <c r="U212" s="279"/>
      <c r="V212" s="227">
        <v>10</v>
      </c>
      <c r="W212" s="281">
        <v>9</v>
      </c>
      <c r="X212" s="282">
        <v>10</v>
      </c>
      <c r="Y212" s="293">
        <f t="shared" si="8"/>
        <v>9</v>
      </c>
      <c r="Z212" s="175" t="s">
        <v>85</v>
      </c>
      <c r="AA212" s="342">
        <f>IFERROR(BASE_DATOS[[#This Row],[NSK Original]]-BASE_DATOS[[#This Row],[NSK]]," ")</f>
        <v>7.5</v>
      </c>
      <c r="AB212" s="343">
        <f>'NSK-TRACTO'!$A$2</f>
        <v>6</v>
      </c>
      <c r="AC212" s="343">
        <f>IF(BASE_DATOS[[#This Row],[NSK]]&gt;=BASE_DATOS[[#This Row],[NSK Reen]],BASE_DATOS[[#This Row],[NSK Reen]],BASE_DATOS[[#This Row],[NSK]])</f>
        <v>6</v>
      </c>
      <c r="AD212" s="344">
        <f>IFERROR(100%-(BASE_DATOS[[#This Row],[NSK Reen]]/BASE_DATOS[[#This Row],[NSK Original]]),"")</f>
        <v>0.63636363636363635</v>
      </c>
      <c r="AE212" s="344">
        <f>IFERROR(100%-BASE_DATOS[[#This Row],[NSK]]/BASE_DATOS[[#This Row],[NSK Original]],"")</f>
        <v>0.45454545454545459</v>
      </c>
      <c r="AF212" s="344">
        <f>IFERROR(BASE_DATOS[[#This Row],[% Max Des.]]-BASE_DATOS[[#This Row],[% Des]],"")</f>
        <v>0.18181818181818177</v>
      </c>
      <c r="AG212" s="287"/>
      <c r="AH212" s="273"/>
      <c r="AI212" s="363" t="str">
        <f>IF(OR(BASE_DATOS[[#This Row],[Hr.]]="",BASE_DATOS[[#This Row],[Hr. Actual]]=""),"",BASE_DATOS[[#This Row],[Hr. Actual]]-BASE_DATOS[[#This Row],[Hr.]]+BASE_DATOS[[#This Row],[Horas Acumuladas]])</f>
        <v/>
      </c>
      <c r="AJ212" s="364" t="str">
        <f>IFERROR(BASE_DATOS[[#This Row],[Precio US$]]/BASE_DATOS[[#This Row],[Horas Rodadas]],"")</f>
        <v/>
      </c>
      <c r="AK212" s="365" t="str">
        <f>IFERROR(BASE_DATOS[[#This Row],[Horas Rodadas]]/(BASE_DATOS[[#This Row],[NSK Original]]-BASE_DATOS[[#This Row],[NSK]]),"")</f>
        <v/>
      </c>
      <c r="AL21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12" s="366" t="str">
        <f>IFERROR(BASE_DATOS[[#This Row],[Precio US$]]/BASE_DATOS[[#This Row],[Horas Proy.]],"")</f>
        <v/>
      </c>
      <c r="AN212" s="176" t="str">
        <f>IF(OR(BASE_DATOS[[#This Row],[Km.]]="",BASE_DATOS[[#This Row],[Km. Actual]]=""),"",BASE_DATOS[[#This Row],[Km. Actual]]-BASE_DATOS[[#This Row],[Km.]]+BASE_DATOS[[#This Row],[Kilómetros Acumulados]])</f>
        <v/>
      </c>
      <c r="AO212" s="177" t="str">
        <f>IFERROR(BASE_DATOS[[#This Row],[Precio US$]]/BASE_DATOS[[#This Row],[Kilómetros Rodados]],"")</f>
        <v/>
      </c>
      <c r="AP212" s="176" t="str">
        <f>IFERROR(BASE_DATOS[[#This Row],[Kilómetros Rodados]]/(BASE_DATOS[[#This Row],[NSK Original]]-BASE_DATOS[[#This Row],[NSK]]),"")</f>
        <v/>
      </c>
      <c r="AQ21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12" s="177" t="str">
        <f>IFERROR(BASE_DATOS[[#This Row],[Precio US$]]/BASE_DATOS[[#This Row],[Kilómetros Proy.]],"")</f>
        <v/>
      </c>
      <c r="AS212" s="167" t="s">
        <v>62</v>
      </c>
      <c r="AT212" s="167"/>
      <c r="AU212" s="167"/>
      <c r="AV212" s="167"/>
      <c r="AW212" s="179"/>
      <c r="AX212" s="179"/>
      <c r="AY212" s="179" t="str">
        <f>CONCATENATE(BASE_DATOS[[#This Row],[Código_U]]&amp;BASE_DATOS[[#This Row],[Pos.]]&amp;BASE_DATOS[[#This Row],[Situación Actual]])</f>
        <v>SR-136RERodando</v>
      </c>
    </row>
    <row r="213" spans="1:51" ht="12" x14ac:dyDescent="0.25">
      <c r="A213" s="227" t="s">
        <v>151</v>
      </c>
      <c r="B213" s="217" t="s">
        <v>152</v>
      </c>
      <c r="C213" s="228" t="s">
        <v>295</v>
      </c>
      <c r="D213" s="229" t="s">
        <v>108</v>
      </c>
      <c r="E213" s="255"/>
      <c r="F213" s="256" t="s">
        <v>273</v>
      </c>
      <c r="G213" s="256" t="s">
        <v>271</v>
      </c>
      <c r="H213" s="257" t="str">
        <f>IF(BASE_DATOS[[#This Row],[N-R]]="N",BASE_DATOS[[#This Row],[Diseño]],"Reencauche")</f>
        <v>XMULTI+Z</v>
      </c>
      <c r="I213" s="256" t="s">
        <v>297</v>
      </c>
      <c r="J213" s="243" t="s">
        <v>72</v>
      </c>
      <c r="K213" s="258">
        <v>16</v>
      </c>
      <c r="L213" s="256">
        <v>100</v>
      </c>
      <c r="M213" s="259"/>
      <c r="N213" s="260"/>
      <c r="O213" s="277"/>
      <c r="P213" s="278"/>
      <c r="Q213" s="279"/>
      <c r="R213" s="309" t="s">
        <v>108</v>
      </c>
      <c r="S213" s="310">
        <v>45385</v>
      </c>
      <c r="T213" s="313"/>
      <c r="U213" s="279"/>
      <c r="V213" s="227">
        <v>7</v>
      </c>
      <c r="W213" s="281">
        <v>7</v>
      </c>
      <c r="X213" s="282">
        <v>6</v>
      </c>
      <c r="Y213" s="293">
        <f t="shared" si="8"/>
        <v>6</v>
      </c>
      <c r="Z213" s="175" t="s">
        <v>85</v>
      </c>
      <c r="AA213" s="342">
        <f>IFERROR(BASE_DATOS[[#This Row],[NSK Original]]-BASE_DATOS[[#This Row],[NSK]]," ")</f>
        <v>10</v>
      </c>
      <c r="AB213" s="343">
        <f>'NSK-TRACTO'!$A$2</f>
        <v>6</v>
      </c>
      <c r="AC213" s="343">
        <f>IF(BASE_DATOS[[#This Row],[NSK]]&gt;=BASE_DATOS[[#This Row],[NSK Reen]],BASE_DATOS[[#This Row],[NSK Reen]],BASE_DATOS[[#This Row],[NSK]])</f>
        <v>6</v>
      </c>
      <c r="AD213" s="344">
        <f>IFERROR(100%-(BASE_DATOS[[#This Row],[NSK Reen]]/BASE_DATOS[[#This Row],[NSK Original]]),"")</f>
        <v>0.625</v>
      </c>
      <c r="AE213" s="344">
        <f>IFERROR(100%-BASE_DATOS[[#This Row],[NSK]]/BASE_DATOS[[#This Row],[NSK Original]],"")</f>
        <v>0.625</v>
      </c>
      <c r="AF213" s="344">
        <f>IFERROR(BASE_DATOS[[#This Row],[% Max Des.]]-BASE_DATOS[[#This Row],[% Des]],"")</f>
        <v>0</v>
      </c>
      <c r="AG213" s="287"/>
      <c r="AH213" s="273"/>
      <c r="AI213" s="363" t="str">
        <f>IF(OR(BASE_DATOS[[#This Row],[Hr.]]="",BASE_DATOS[[#This Row],[Hr. Actual]]=""),"",BASE_DATOS[[#This Row],[Hr. Actual]]-BASE_DATOS[[#This Row],[Hr.]]+BASE_DATOS[[#This Row],[Horas Acumuladas]])</f>
        <v/>
      </c>
      <c r="AJ213" s="364" t="str">
        <f>IFERROR(BASE_DATOS[[#This Row],[Precio US$]]/BASE_DATOS[[#This Row],[Horas Rodadas]],"")</f>
        <v/>
      </c>
      <c r="AK213" s="365" t="str">
        <f>IFERROR(BASE_DATOS[[#This Row],[Horas Rodadas]]/(BASE_DATOS[[#This Row],[NSK Original]]-BASE_DATOS[[#This Row],[NSK]]),"")</f>
        <v/>
      </c>
      <c r="AL21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13" s="366" t="str">
        <f>IFERROR(BASE_DATOS[[#This Row],[Precio US$]]/BASE_DATOS[[#This Row],[Horas Proy.]],"")</f>
        <v/>
      </c>
      <c r="AN213" s="176" t="str">
        <f>IF(OR(BASE_DATOS[[#This Row],[Km.]]="",BASE_DATOS[[#This Row],[Km. Actual]]=""),"",BASE_DATOS[[#This Row],[Km. Actual]]-BASE_DATOS[[#This Row],[Km.]]+BASE_DATOS[[#This Row],[Kilómetros Acumulados]])</f>
        <v/>
      </c>
      <c r="AO213" s="177" t="str">
        <f>IFERROR(BASE_DATOS[[#This Row],[Precio US$]]/BASE_DATOS[[#This Row],[Kilómetros Rodados]],"")</f>
        <v/>
      </c>
      <c r="AP213" s="176" t="str">
        <f>IFERROR(BASE_DATOS[[#This Row],[Kilómetros Rodados]]/(BASE_DATOS[[#This Row],[NSK Original]]-BASE_DATOS[[#This Row],[NSK]]),"")</f>
        <v/>
      </c>
      <c r="AQ21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13" s="177" t="str">
        <f>IFERROR(BASE_DATOS[[#This Row],[Precio US$]]/BASE_DATOS[[#This Row],[Kilómetros Proy.]],"")</f>
        <v/>
      </c>
      <c r="AS213" s="167" t="s">
        <v>62</v>
      </c>
      <c r="AT213" s="167"/>
      <c r="AU213" s="167"/>
      <c r="AV213" s="167"/>
      <c r="AW213" s="179"/>
      <c r="AX213" s="179"/>
      <c r="AY213" s="179" t="str">
        <f>CONCATENATE(BASE_DATOS[[#This Row],[Código_U]]&amp;BASE_DATOS[[#This Row],[Pos.]]&amp;BASE_DATOS[[#This Row],[Situación Actual]])</f>
        <v>SR-136RTRodando</v>
      </c>
    </row>
    <row r="214" spans="1:51" ht="12" x14ac:dyDescent="0.25">
      <c r="A214" s="224" t="s">
        <v>153</v>
      </c>
      <c r="B214" s="213" t="s">
        <v>154</v>
      </c>
      <c r="C214" s="225" t="s">
        <v>296</v>
      </c>
      <c r="D214" s="226" t="s">
        <v>86</v>
      </c>
      <c r="E214" s="249"/>
      <c r="F214" s="250" t="s">
        <v>278</v>
      </c>
      <c r="G214" s="250" t="s">
        <v>271</v>
      </c>
      <c r="H214" s="251" t="str">
        <f>IF(BASE_DATOS[[#This Row],[N-R]]="N",BASE_DATOS[[#This Row],[Diseño]],"Reencauche")</f>
        <v>HS3+</v>
      </c>
      <c r="I214" s="250" t="s">
        <v>279</v>
      </c>
      <c r="J214" s="235" t="s">
        <v>72</v>
      </c>
      <c r="K214" s="252">
        <v>16</v>
      </c>
      <c r="L214" s="233">
        <v>100</v>
      </c>
      <c r="M214" s="253"/>
      <c r="N214" s="254"/>
      <c r="O214" s="274"/>
      <c r="P214" s="275"/>
      <c r="Q214" s="276"/>
      <c r="R214" s="305" t="s">
        <v>98</v>
      </c>
      <c r="S214" s="306">
        <v>45385</v>
      </c>
      <c r="T214" s="307"/>
      <c r="U214" s="308"/>
      <c r="V214" s="224">
        <v>8</v>
      </c>
      <c r="W214" s="325">
        <v>9</v>
      </c>
      <c r="X214" s="326">
        <v>8</v>
      </c>
      <c r="Y214" s="292">
        <f t="shared" si="8"/>
        <v>8</v>
      </c>
      <c r="Z214" s="194" t="s">
        <v>85</v>
      </c>
      <c r="AA214" s="339">
        <f>IFERROR(BASE_DATOS[[#This Row],[NSK Original]]-BASE_DATOS[[#This Row],[NSK]]," ")</f>
        <v>8</v>
      </c>
      <c r="AB214" s="340">
        <f>'NSK-TRACTO'!$A$2</f>
        <v>6</v>
      </c>
      <c r="AC214" s="340">
        <f>IF(BASE_DATOS[[#This Row],[NSK]]&gt;=BASE_DATOS[[#This Row],[NSK Reen]],BASE_DATOS[[#This Row],[NSK Reen]],BASE_DATOS[[#This Row],[NSK]])</f>
        <v>6</v>
      </c>
      <c r="AD214" s="341">
        <f>IFERROR(100%-(BASE_DATOS[[#This Row],[NSK Reen]]/BASE_DATOS[[#This Row],[NSK Original]]),"")</f>
        <v>0.625</v>
      </c>
      <c r="AE214" s="341">
        <f>IFERROR(100%-BASE_DATOS[[#This Row],[NSK]]/BASE_DATOS[[#This Row],[NSK Original]],"")</f>
        <v>0.5</v>
      </c>
      <c r="AF214" s="341">
        <f>IFERROR(BASE_DATOS[[#This Row],[% Max Des.]]-BASE_DATOS[[#This Row],[% Des]],"")</f>
        <v>0.125</v>
      </c>
      <c r="AG214" s="284"/>
      <c r="AH214" s="335"/>
      <c r="AI214" s="359" t="str">
        <f>IF(OR(BASE_DATOS[[#This Row],[Hr.]]="",BASE_DATOS[[#This Row],[Hr. Actual]]=""),"",BASE_DATOS[[#This Row],[Hr. Actual]]-BASE_DATOS[[#This Row],[Hr.]]+BASE_DATOS[[#This Row],[Horas Acumuladas]])</f>
        <v/>
      </c>
      <c r="AJ214" s="360" t="str">
        <f>IFERROR(BASE_DATOS[[#This Row],[Precio US$]]/BASE_DATOS[[#This Row],[Horas Rodadas]],"")</f>
        <v/>
      </c>
      <c r="AK214" s="361" t="str">
        <f>IFERROR(BASE_DATOS[[#This Row],[Horas Rodadas]]/(BASE_DATOS[[#This Row],[NSK Original]]-BASE_DATOS[[#This Row],[NSK]]),"")</f>
        <v/>
      </c>
      <c r="AL214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14" s="362" t="str">
        <f>IFERROR(BASE_DATOS[[#This Row],[Precio US$]]/BASE_DATOS[[#This Row],[Horas Proy.]],"")</f>
        <v/>
      </c>
      <c r="AN214" s="195" t="str">
        <f>IF(OR(BASE_DATOS[[#This Row],[Km.]]="",BASE_DATOS[[#This Row],[Km. Actual]]=""),"",BASE_DATOS[[#This Row],[Km. Actual]]-BASE_DATOS[[#This Row],[Km.]]+BASE_DATOS[[#This Row],[Kilómetros Acumulados]])</f>
        <v/>
      </c>
      <c r="AO214" s="196" t="str">
        <f>IFERROR(BASE_DATOS[[#This Row],[Precio US$]]/BASE_DATOS[[#This Row],[Kilómetros Rodados]],"")</f>
        <v/>
      </c>
      <c r="AP214" s="195" t="str">
        <f>IFERROR(BASE_DATOS[[#This Row],[Kilómetros Rodados]]/(BASE_DATOS[[#This Row],[NSK Original]]-BASE_DATOS[[#This Row],[NSK]]),"")</f>
        <v/>
      </c>
      <c r="AQ214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14" s="196" t="str">
        <f>IFERROR(BASE_DATOS[[#This Row],[Precio US$]]/BASE_DATOS[[#This Row],[Kilómetros Proy.]],"")</f>
        <v/>
      </c>
      <c r="AS214" s="191" t="s">
        <v>62</v>
      </c>
      <c r="AT214" s="191"/>
      <c r="AU214" s="191" t="s">
        <v>515</v>
      </c>
      <c r="AV214" s="191"/>
      <c r="AW214" s="198"/>
      <c r="AX214" s="198" t="s">
        <v>371</v>
      </c>
      <c r="AY214" s="198" t="str">
        <f>CONCATENATE(BASE_DATOS[[#This Row],[Código_U]]&amp;BASE_DATOS[[#This Row],[Pos.]]&amp;BASE_DATOS[[#This Row],[Situación Actual]])</f>
        <v>TC-1381Rodando</v>
      </c>
    </row>
    <row r="215" spans="1:51" ht="12" x14ac:dyDescent="0.25">
      <c r="A215" s="227" t="s">
        <v>153</v>
      </c>
      <c r="B215" s="217" t="s">
        <v>154</v>
      </c>
      <c r="C215" s="228" t="s">
        <v>296</v>
      </c>
      <c r="D215" s="229" t="s">
        <v>86</v>
      </c>
      <c r="E215" s="255"/>
      <c r="F215" s="256" t="s">
        <v>278</v>
      </c>
      <c r="G215" s="256" t="s">
        <v>271</v>
      </c>
      <c r="H215" s="257" t="str">
        <f>IF(BASE_DATOS[[#This Row],[N-R]]="N",BASE_DATOS[[#This Row],[Diseño]],"Reencauche")</f>
        <v>HS3+</v>
      </c>
      <c r="I215" s="256" t="s">
        <v>279</v>
      </c>
      <c r="J215" s="243" t="s">
        <v>72</v>
      </c>
      <c r="K215" s="258">
        <v>16</v>
      </c>
      <c r="L215" s="241">
        <v>100</v>
      </c>
      <c r="M215" s="259"/>
      <c r="N215" s="260"/>
      <c r="O215" s="277"/>
      <c r="P215" s="278"/>
      <c r="Q215" s="279"/>
      <c r="R215" s="309" t="s">
        <v>99</v>
      </c>
      <c r="S215" s="310">
        <v>45385</v>
      </c>
      <c r="T215" s="311"/>
      <c r="U215" s="312"/>
      <c r="V215" s="227">
        <v>8</v>
      </c>
      <c r="W215" s="281">
        <v>8</v>
      </c>
      <c r="X215" s="282">
        <v>5</v>
      </c>
      <c r="Y215" s="293">
        <f t="shared" si="8"/>
        <v>5</v>
      </c>
      <c r="Z215" s="175" t="s">
        <v>85</v>
      </c>
      <c r="AA215" s="342">
        <f>IFERROR(BASE_DATOS[[#This Row],[NSK Original]]-BASE_DATOS[[#This Row],[NSK]]," ")</f>
        <v>11</v>
      </c>
      <c r="AB215" s="343">
        <f>'NSK-TRACTO'!$A$2</f>
        <v>6</v>
      </c>
      <c r="AC215" s="343">
        <f>IF(BASE_DATOS[[#This Row],[NSK]]&gt;=BASE_DATOS[[#This Row],[NSK Reen]],BASE_DATOS[[#This Row],[NSK Reen]],BASE_DATOS[[#This Row],[NSK]])</f>
        <v>5</v>
      </c>
      <c r="AD215" s="344">
        <f>IFERROR(100%-(BASE_DATOS[[#This Row],[NSK Reen]]/BASE_DATOS[[#This Row],[NSK Original]]),"")</f>
        <v>0.625</v>
      </c>
      <c r="AE215" s="344">
        <f>IFERROR(100%-BASE_DATOS[[#This Row],[NSK]]/BASE_DATOS[[#This Row],[NSK Original]],"")</f>
        <v>0.6875</v>
      </c>
      <c r="AF215" s="344">
        <f>IFERROR(BASE_DATOS[[#This Row],[% Max Des.]]-BASE_DATOS[[#This Row],[% Des]],"")</f>
        <v>-6.25E-2</v>
      </c>
      <c r="AG215" s="287"/>
      <c r="AH215" s="273"/>
      <c r="AI215" s="363" t="str">
        <f>IF(OR(BASE_DATOS[[#This Row],[Hr.]]="",BASE_DATOS[[#This Row],[Hr. Actual]]=""),"",BASE_DATOS[[#This Row],[Hr. Actual]]-BASE_DATOS[[#This Row],[Hr.]]+BASE_DATOS[[#This Row],[Horas Acumuladas]])</f>
        <v/>
      </c>
      <c r="AJ215" s="364" t="str">
        <f>IFERROR(BASE_DATOS[[#This Row],[Precio US$]]/BASE_DATOS[[#This Row],[Horas Rodadas]],"")</f>
        <v/>
      </c>
      <c r="AK215" s="365" t="str">
        <f>IFERROR(BASE_DATOS[[#This Row],[Horas Rodadas]]/(BASE_DATOS[[#This Row],[NSK Original]]-BASE_DATOS[[#This Row],[NSK]]),"")</f>
        <v/>
      </c>
      <c r="AL21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15" s="366" t="str">
        <f>IFERROR(BASE_DATOS[[#This Row],[Precio US$]]/BASE_DATOS[[#This Row],[Horas Proy.]],"")</f>
        <v/>
      </c>
      <c r="AN215" s="176" t="str">
        <f>IF(OR(BASE_DATOS[[#This Row],[Km.]]="",BASE_DATOS[[#This Row],[Km. Actual]]=""),"",BASE_DATOS[[#This Row],[Km. Actual]]-BASE_DATOS[[#This Row],[Km.]]+BASE_DATOS[[#This Row],[Kilómetros Acumulados]])</f>
        <v/>
      </c>
      <c r="AO215" s="177" t="str">
        <f>IFERROR(BASE_DATOS[[#This Row],[Precio US$]]/BASE_DATOS[[#This Row],[Kilómetros Rodados]],"")</f>
        <v/>
      </c>
      <c r="AP215" s="176" t="str">
        <f>IFERROR(BASE_DATOS[[#This Row],[Kilómetros Rodados]]/(BASE_DATOS[[#This Row],[NSK Original]]-BASE_DATOS[[#This Row],[NSK]]),"")</f>
        <v/>
      </c>
      <c r="AQ21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15" s="177" t="str">
        <f>IFERROR(BASE_DATOS[[#This Row],[Precio US$]]/BASE_DATOS[[#This Row],[Kilómetros Proy.]],"")</f>
        <v/>
      </c>
      <c r="AS215" s="167" t="s">
        <v>62</v>
      </c>
      <c r="AT215" s="167"/>
      <c r="AU215" s="167" t="s">
        <v>515</v>
      </c>
      <c r="AV215" s="167"/>
      <c r="AW215" s="179"/>
      <c r="AX215" s="179" t="s">
        <v>371</v>
      </c>
      <c r="AY215" s="179" t="str">
        <f>CONCATENATE(BASE_DATOS[[#This Row],[Código_U]]&amp;BASE_DATOS[[#This Row],[Pos.]]&amp;BASE_DATOS[[#This Row],[Situación Actual]])</f>
        <v>TC-1382Rodando</v>
      </c>
    </row>
    <row r="216" spans="1:51" ht="12" x14ac:dyDescent="0.25">
      <c r="A216" s="227" t="s">
        <v>153</v>
      </c>
      <c r="B216" s="217" t="s">
        <v>154</v>
      </c>
      <c r="C216" s="228" t="s">
        <v>296</v>
      </c>
      <c r="D216" s="229" t="s">
        <v>61</v>
      </c>
      <c r="E216" s="255"/>
      <c r="F216" s="256" t="s">
        <v>278</v>
      </c>
      <c r="G216" s="256" t="s">
        <v>271</v>
      </c>
      <c r="H216" s="257" t="str">
        <f>IF(BASE_DATOS[[#This Row],[N-R]]="N",BASE_DATOS[[#This Row],[Diseño]],"Reencauche")</f>
        <v>Reencauche</v>
      </c>
      <c r="I216" s="256" t="s">
        <v>282</v>
      </c>
      <c r="J216" s="243" t="s">
        <v>82</v>
      </c>
      <c r="K216" s="258">
        <v>22</v>
      </c>
      <c r="L216" s="241">
        <v>110</v>
      </c>
      <c r="M216" s="259"/>
      <c r="N216" s="260"/>
      <c r="O216" s="277"/>
      <c r="P216" s="278"/>
      <c r="Q216" s="279"/>
      <c r="R216" s="309" t="s">
        <v>100</v>
      </c>
      <c r="S216" s="310">
        <v>45385</v>
      </c>
      <c r="T216" s="311"/>
      <c r="U216" s="312"/>
      <c r="V216" s="227">
        <v>19</v>
      </c>
      <c r="W216" s="281"/>
      <c r="X216" s="282">
        <v>19</v>
      </c>
      <c r="Y216" s="293">
        <f t="shared" si="8"/>
        <v>19</v>
      </c>
      <c r="Z216" s="175" t="s">
        <v>85</v>
      </c>
      <c r="AA216" s="342">
        <f>IFERROR(BASE_DATOS[[#This Row],[NSK Original]]-BASE_DATOS[[#This Row],[NSK]]," ")</f>
        <v>3</v>
      </c>
      <c r="AB216" s="343">
        <f>'NSK-TRACTO'!$A$2</f>
        <v>6</v>
      </c>
      <c r="AC216" s="343">
        <f>IF(BASE_DATOS[[#This Row],[NSK]]&gt;=BASE_DATOS[[#This Row],[NSK Reen]],BASE_DATOS[[#This Row],[NSK Reen]],BASE_DATOS[[#This Row],[NSK]])</f>
        <v>6</v>
      </c>
      <c r="AD216" s="344">
        <f>IFERROR(100%-(BASE_DATOS[[#This Row],[NSK Reen]]/BASE_DATOS[[#This Row],[NSK Original]]),"")</f>
        <v>0.72727272727272729</v>
      </c>
      <c r="AE216" s="344">
        <f>IFERROR(100%-BASE_DATOS[[#This Row],[NSK]]/BASE_DATOS[[#This Row],[NSK Original]],"")</f>
        <v>0.13636363636363635</v>
      </c>
      <c r="AF216" s="344">
        <f>IFERROR(BASE_DATOS[[#This Row],[% Max Des.]]-BASE_DATOS[[#This Row],[% Des]],"")</f>
        <v>0.59090909090909094</v>
      </c>
      <c r="AG216" s="287"/>
      <c r="AH216" s="273"/>
      <c r="AI216" s="363" t="str">
        <f>IF(OR(BASE_DATOS[[#This Row],[Hr.]]="",BASE_DATOS[[#This Row],[Hr. Actual]]=""),"",BASE_DATOS[[#This Row],[Hr. Actual]]-BASE_DATOS[[#This Row],[Hr.]]+BASE_DATOS[[#This Row],[Horas Acumuladas]])</f>
        <v/>
      </c>
      <c r="AJ216" s="364" t="str">
        <f>IFERROR(BASE_DATOS[[#This Row],[Precio US$]]/BASE_DATOS[[#This Row],[Horas Rodadas]],"")</f>
        <v/>
      </c>
      <c r="AK216" s="365" t="str">
        <f>IFERROR(BASE_DATOS[[#This Row],[Horas Rodadas]]/(BASE_DATOS[[#This Row],[NSK Original]]-BASE_DATOS[[#This Row],[NSK]]),"")</f>
        <v/>
      </c>
      <c r="AL21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16" s="366" t="str">
        <f>IFERROR(BASE_DATOS[[#This Row],[Precio US$]]/BASE_DATOS[[#This Row],[Horas Proy.]],"")</f>
        <v/>
      </c>
      <c r="AN216" s="176" t="str">
        <f>IF(OR(BASE_DATOS[[#This Row],[Km.]]="",BASE_DATOS[[#This Row],[Km. Actual]]=""),"",BASE_DATOS[[#This Row],[Km. Actual]]-BASE_DATOS[[#This Row],[Km.]]+BASE_DATOS[[#This Row],[Kilómetros Acumulados]])</f>
        <v/>
      </c>
      <c r="AO216" s="177" t="str">
        <f>IFERROR(BASE_DATOS[[#This Row],[Precio US$]]/BASE_DATOS[[#This Row],[Kilómetros Rodados]],"")</f>
        <v/>
      </c>
      <c r="AP216" s="176" t="str">
        <f>IFERROR(BASE_DATOS[[#This Row],[Kilómetros Rodados]]/(BASE_DATOS[[#This Row],[NSK Original]]-BASE_DATOS[[#This Row],[NSK]]),"")</f>
        <v/>
      </c>
      <c r="AQ21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16" s="177" t="str">
        <f>IFERROR(BASE_DATOS[[#This Row],[Precio US$]]/BASE_DATOS[[#This Row],[Kilómetros Proy.]],"")</f>
        <v/>
      </c>
      <c r="AS216" s="167" t="s">
        <v>62</v>
      </c>
      <c r="AT216" s="167"/>
      <c r="AU216" s="167"/>
      <c r="AV216" s="167"/>
      <c r="AW216" s="179"/>
      <c r="AX216" s="179"/>
      <c r="AY216" s="179" t="str">
        <f>CONCATENATE(BASE_DATOS[[#This Row],[Código_U]]&amp;BASE_DATOS[[#This Row],[Pos.]]&amp;BASE_DATOS[[#This Row],[Situación Actual]])</f>
        <v>TC-1383Rodando</v>
      </c>
    </row>
    <row r="217" spans="1:51" ht="12" x14ac:dyDescent="0.25">
      <c r="A217" s="227" t="s">
        <v>153</v>
      </c>
      <c r="B217" s="217" t="s">
        <v>154</v>
      </c>
      <c r="C217" s="228" t="s">
        <v>296</v>
      </c>
      <c r="D217" s="229" t="s">
        <v>61</v>
      </c>
      <c r="E217" s="255"/>
      <c r="F217" s="256" t="s">
        <v>278</v>
      </c>
      <c r="G217" s="256" t="s">
        <v>271</v>
      </c>
      <c r="H217" s="257" t="str">
        <f>IF(BASE_DATOS[[#This Row],[N-R]]="N",BASE_DATOS[[#This Row],[Diseño]],"Reencauche")</f>
        <v>Reencauche</v>
      </c>
      <c r="I217" s="256" t="s">
        <v>282</v>
      </c>
      <c r="J217" s="243" t="s">
        <v>82</v>
      </c>
      <c r="K217" s="258">
        <v>22</v>
      </c>
      <c r="L217" s="241">
        <v>110</v>
      </c>
      <c r="M217" s="259"/>
      <c r="N217" s="260"/>
      <c r="O217" s="277"/>
      <c r="P217" s="278"/>
      <c r="Q217" s="279"/>
      <c r="R217" s="309" t="s">
        <v>101</v>
      </c>
      <c r="S217" s="310">
        <v>45385</v>
      </c>
      <c r="T217" s="311"/>
      <c r="U217" s="312"/>
      <c r="V217" s="227">
        <v>19</v>
      </c>
      <c r="W217" s="281"/>
      <c r="X217" s="282">
        <v>19</v>
      </c>
      <c r="Y217" s="293">
        <f t="shared" si="8"/>
        <v>19</v>
      </c>
      <c r="Z217" s="175" t="s">
        <v>85</v>
      </c>
      <c r="AA217" s="342">
        <f>IFERROR(BASE_DATOS[[#This Row],[NSK Original]]-BASE_DATOS[[#This Row],[NSK]]," ")</f>
        <v>3</v>
      </c>
      <c r="AB217" s="343">
        <f>'NSK-TRACTO'!$A$2</f>
        <v>6</v>
      </c>
      <c r="AC217" s="343">
        <f>IF(BASE_DATOS[[#This Row],[NSK]]&gt;=BASE_DATOS[[#This Row],[NSK Reen]],BASE_DATOS[[#This Row],[NSK Reen]],BASE_DATOS[[#This Row],[NSK]])</f>
        <v>6</v>
      </c>
      <c r="AD217" s="344">
        <f>IFERROR(100%-(BASE_DATOS[[#This Row],[NSK Reen]]/BASE_DATOS[[#This Row],[NSK Original]]),"")</f>
        <v>0.72727272727272729</v>
      </c>
      <c r="AE217" s="344">
        <f>IFERROR(100%-BASE_DATOS[[#This Row],[NSK]]/BASE_DATOS[[#This Row],[NSK Original]],"")</f>
        <v>0.13636363636363635</v>
      </c>
      <c r="AF217" s="344">
        <f>IFERROR(BASE_DATOS[[#This Row],[% Max Des.]]-BASE_DATOS[[#This Row],[% Des]],"")</f>
        <v>0.59090909090909094</v>
      </c>
      <c r="AG217" s="287"/>
      <c r="AH217" s="273"/>
      <c r="AI217" s="363" t="str">
        <f>IF(OR(BASE_DATOS[[#This Row],[Hr.]]="",BASE_DATOS[[#This Row],[Hr. Actual]]=""),"",BASE_DATOS[[#This Row],[Hr. Actual]]-BASE_DATOS[[#This Row],[Hr.]]+BASE_DATOS[[#This Row],[Horas Acumuladas]])</f>
        <v/>
      </c>
      <c r="AJ217" s="364" t="str">
        <f>IFERROR(BASE_DATOS[[#This Row],[Precio US$]]/BASE_DATOS[[#This Row],[Horas Rodadas]],"")</f>
        <v/>
      </c>
      <c r="AK217" s="365" t="str">
        <f>IFERROR(BASE_DATOS[[#This Row],[Horas Rodadas]]/(BASE_DATOS[[#This Row],[NSK Original]]-BASE_DATOS[[#This Row],[NSK]]),"")</f>
        <v/>
      </c>
      <c r="AL21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17" s="366" t="str">
        <f>IFERROR(BASE_DATOS[[#This Row],[Precio US$]]/BASE_DATOS[[#This Row],[Horas Proy.]],"")</f>
        <v/>
      </c>
      <c r="AN217" s="176" t="str">
        <f>IF(OR(BASE_DATOS[[#This Row],[Km.]]="",BASE_DATOS[[#This Row],[Km. Actual]]=""),"",BASE_DATOS[[#This Row],[Km. Actual]]-BASE_DATOS[[#This Row],[Km.]]+BASE_DATOS[[#This Row],[Kilómetros Acumulados]])</f>
        <v/>
      </c>
      <c r="AO217" s="177" t="str">
        <f>IFERROR(BASE_DATOS[[#This Row],[Precio US$]]/BASE_DATOS[[#This Row],[Kilómetros Rodados]],"")</f>
        <v/>
      </c>
      <c r="AP217" s="176" t="str">
        <f>IFERROR(BASE_DATOS[[#This Row],[Kilómetros Rodados]]/(BASE_DATOS[[#This Row],[NSK Original]]-BASE_DATOS[[#This Row],[NSK]]),"")</f>
        <v/>
      </c>
      <c r="AQ21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17" s="177" t="str">
        <f>IFERROR(BASE_DATOS[[#This Row],[Precio US$]]/BASE_DATOS[[#This Row],[Kilómetros Proy.]],"")</f>
        <v/>
      </c>
      <c r="AS217" s="167" t="s">
        <v>62</v>
      </c>
      <c r="AT217" s="167"/>
      <c r="AU217" s="167"/>
      <c r="AV217" s="167"/>
      <c r="AW217" s="179"/>
      <c r="AX217" s="179"/>
      <c r="AY217" s="179" t="str">
        <f>CONCATENATE(BASE_DATOS[[#This Row],[Código_U]]&amp;BASE_DATOS[[#This Row],[Pos.]]&amp;BASE_DATOS[[#This Row],[Situación Actual]])</f>
        <v>TC-1384Rodando</v>
      </c>
    </row>
    <row r="218" spans="1:51" ht="12" x14ac:dyDescent="0.25">
      <c r="A218" s="227" t="s">
        <v>153</v>
      </c>
      <c r="B218" s="217" t="s">
        <v>154</v>
      </c>
      <c r="C218" s="228" t="s">
        <v>296</v>
      </c>
      <c r="D218" s="229" t="s">
        <v>61</v>
      </c>
      <c r="E218" s="255"/>
      <c r="F218" s="256" t="s">
        <v>278</v>
      </c>
      <c r="G218" s="256" t="s">
        <v>271</v>
      </c>
      <c r="H218" s="257" t="str">
        <f>IF(BASE_DATOS[[#This Row],[N-R]]="N",BASE_DATOS[[#This Row],[Diseño]],"Reencauche")</f>
        <v>Reencauche</v>
      </c>
      <c r="I218" s="256" t="s">
        <v>282</v>
      </c>
      <c r="J218" s="243" t="s">
        <v>82</v>
      </c>
      <c r="K218" s="258">
        <v>22</v>
      </c>
      <c r="L218" s="241">
        <v>110</v>
      </c>
      <c r="M218" s="259"/>
      <c r="N218" s="260"/>
      <c r="O218" s="277"/>
      <c r="P218" s="278"/>
      <c r="Q218" s="279"/>
      <c r="R218" s="309" t="s">
        <v>102</v>
      </c>
      <c r="S218" s="310">
        <v>45385</v>
      </c>
      <c r="T218" s="311"/>
      <c r="U218" s="312"/>
      <c r="V218" s="227">
        <v>19</v>
      </c>
      <c r="W218" s="281"/>
      <c r="X218" s="282">
        <v>19</v>
      </c>
      <c r="Y218" s="293">
        <f t="shared" si="8"/>
        <v>19</v>
      </c>
      <c r="Z218" s="175" t="s">
        <v>85</v>
      </c>
      <c r="AA218" s="342">
        <f>IFERROR(BASE_DATOS[[#This Row],[NSK Original]]-BASE_DATOS[[#This Row],[NSK]]," ")</f>
        <v>3</v>
      </c>
      <c r="AB218" s="343">
        <f>'NSK-TRACTO'!$A$2</f>
        <v>6</v>
      </c>
      <c r="AC218" s="343">
        <f>IF(BASE_DATOS[[#This Row],[NSK]]&gt;=BASE_DATOS[[#This Row],[NSK Reen]],BASE_DATOS[[#This Row],[NSK Reen]],BASE_DATOS[[#This Row],[NSK]])</f>
        <v>6</v>
      </c>
      <c r="AD218" s="344">
        <f>IFERROR(100%-(BASE_DATOS[[#This Row],[NSK Reen]]/BASE_DATOS[[#This Row],[NSK Original]]),"")</f>
        <v>0.72727272727272729</v>
      </c>
      <c r="AE218" s="344">
        <f>IFERROR(100%-BASE_DATOS[[#This Row],[NSK]]/BASE_DATOS[[#This Row],[NSK Original]],"")</f>
        <v>0.13636363636363635</v>
      </c>
      <c r="AF218" s="344">
        <f>IFERROR(BASE_DATOS[[#This Row],[% Max Des.]]-BASE_DATOS[[#This Row],[% Des]],"")</f>
        <v>0.59090909090909094</v>
      </c>
      <c r="AG218" s="287"/>
      <c r="AH218" s="273"/>
      <c r="AI218" s="363" t="str">
        <f>IF(OR(BASE_DATOS[[#This Row],[Hr.]]="",BASE_DATOS[[#This Row],[Hr. Actual]]=""),"",BASE_DATOS[[#This Row],[Hr. Actual]]-BASE_DATOS[[#This Row],[Hr.]]+BASE_DATOS[[#This Row],[Horas Acumuladas]])</f>
        <v/>
      </c>
      <c r="AJ218" s="364" t="str">
        <f>IFERROR(BASE_DATOS[[#This Row],[Precio US$]]/BASE_DATOS[[#This Row],[Horas Rodadas]],"")</f>
        <v/>
      </c>
      <c r="AK218" s="365" t="str">
        <f>IFERROR(BASE_DATOS[[#This Row],[Horas Rodadas]]/(BASE_DATOS[[#This Row],[NSK Original]]-BASE_DATOS[[#This Row],[NSK]]),"")</f>
        <v/>
      </c>
      <c r="AL21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18" s="366" t="str">
        <f>IFERROR(BASE_DATOS[[#This Row],[Precio US$]]/BASE_DATOS[[#This Row],[Horas Proy.]],"")</f>
        <v/>
      </c>
      <c r="AN218" s="176" t="str">
        <f>IF(OR(BASE_DATOS[[#This Row],[Km.]]="",BASE_DATOS[[#This Row],[Km. Actual]]=""),"",BASE_DATOS[[#This Row],[Km. Actual]]-BASE_DATOS[[#This Row],[Km.]]+BASE_DATOS[[#This Row],[Kilómetros Acumulados]])</f>
        <v/>
      </c>
      <c r="AO218" s="177" t="str">
        <f>IFERROR(BASE_DATOS[[#This Row],[Precio US$]]/BASE_DATOS[[#This Row],[Kilómetros Rodados]],"")</f>
        <v/>
      </c>
      <c r="AP218" s="176" t="str">
        <f>IFERROR(BASE_DATOS[[#This Row],[Kilómetros Rodados]]/(BASE_DATOS[[#This Row],[NSK Original]]-BASE_DATOS[[#This Row],[NSK]]),"")</f>
        <v/>
      </c>
      <c r="AQ21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18" s="177" t="str">
        <f>IFERROR(BASE_DATOS[[#This Row],[Precio US$]]/BASE_DATOS[[#This Row],[Kilómetros Proy.]],"")</f>
        <v/>
      </c>
      <c r="AS218" s="167" t="s">
        <v>62</v>
      </c>
      <c r="AT218" s="167"/>
      <c r="AU218" s="167"/>
      <c r="AV218" s="167"/>
      <c r="AW218" s="179"/>
      <c r="AX218" s="179"/>
      <c r="AY218" s="179" t="str">
        <f>CONCATENATE(BASE_DATOS[[#This Row],[Código_U]]&amp;BASE_DATOS[[#This Row],[Pos.]]&amp;BASE_DATOS[[#This Row],[Situación Actual]])</f>
        <v>TC-1385Rodando</v>
      </c>
    </row>
    <row r="219" spans="1:51" ht="12" x14ac:dyDescent="0.25">
      <c r="A219" s="227" t="s">
        <v>153</v>
      </c>
      <c r="B219" s="217" t="s">
        <v>154</v>
      </c>
      <c r="C219" s="228" t="s">
        <v>296</v>
      </c>
      <c r="D219" s="229" t="s">
        <v>61</v>
      </c>
      <c r="E219" s="255"/>
      <c r="F219" s="256" t="s">
        <v>278</v>
      </c>
      <c r="G219" s="256" t="s">
        <v>271</v>
      </c>
      <c r="H219" s="257" t="str">
        <f>IF(BASE_DATOS[[#This Row],[N-R]]="N",BASE_DATOS[[#This Row],[Diseño]],"Reencauche")</f>
        <v>Reencauche</v>
      </c>
      <c r="I219" s="256" t="s">
        <v>282</v>
      </c>
      <c r="J219" s="243" t="s">
        <v>82</v>
      </c>
      <c r="K219" s="258">
        <v>22</v>
      </c>
      <c r="L219" s="241">
        <v>110</v>
      </c>
      <c r="M219" s="259"/>
      <c r="N219" s="260"/>
      <c r="O219" s="277"/>
      <c r="P219" s="278"/>
      <c r="Q219" s="279"/>
      <c r="R219" s="309" t="s">
        <v>103</v>
      </c>
      <c r="S219" s="310">
        <v>45385</v>
      </c>
      <c r="T219" s="311"/>
      <c r="U219" s="312"/>
      <c r="V219" s="227">
        <v>19</v>
      </c>
      <c r="W219" s="281"/>
      <c r="X219" s="282">
        <v>19</v>
      </c>
      <c r="Y219" s="293">
        <f t="shared" si="8"/>
        <v>19</v>
      </c>
      <c r="Z219" s="175" t="s">
        <v>85</v>
      </c>
      <c r="AA219" s="342">
        <f>IFERROR(BASE_DATOS[[#This Row],[NSK Original]]-BASE_DATOS[[#This Row],[NSK]]," ")</f>
        <v>3</v>
      </c>
      <c r="AB219" s="343">
        <f>'NSK-TRACTO'!$A$2</f>
        <v>6</v>
      </c>
      <c r="AC219" s="343">
        <f>IF(BASE_DATOS[[#This Row],[NSK]]&gt;=BASE_DATOS[[#This Row],[NSK Reen]],BASE_DATOS[[#This Row],[NSK Reen]],BASE_DATOS[[#This Row],[NSK]])</f>
        <v>6</v>
      </c>
      <c r="AD219" s="344">
        <f>IFERROR(100%-(BASE_DATOS[[#This Row],[NSK Reen]]/BASE_DATOS[[#This Row],[NSK Original]]),"")</f>
        <v>0.72727272727272729</v>
      </c>
      <c r="AE219" s="344">
        <f>IFERROR(100%-BASE_DATOS[[#This Row],[NSK]]/BASE_DATOS[[#This Row],[NSK Original]],"")</f>
        <v>0.13636363636363635</v>
      </c>
      <c r="AF219" s="344">
        <f>IFERROR(BASE_DATOS[[#This Row],[% Max Des.]]-BASE_DATOS[[#This Row],[% Des]],"")</f>
        <v>0.59090909090909094</v>
      </c>
      <c r="AG219" s="287"/>
      <c r="AH219" s="273"/>
      <c r="AI219" s="363" t="str">
        <f>IF(OR(BASE_DATOS[[#This Row],[Hr.]]="",BASE_DATOS[[#This Row],[Hr. Actual]]=""),"",BASE_DATOS[[#This Row],[Hr. Actual]]-BASE_DATOS[[#This Row],[Hr.]]+BASE_DATOS[[#This Row],[Horas Acumuladas]])</f>
        <v/>
      </c>
      <c r="AJ219" s="364" t="str">
        <f>IFERROR(BASE_DATOS[[#This Row],[Precio US$]]/BASE_DATOS[[#This Row],[Horas Rodadas]],"")</f>
        <v/>
      </c>
      <c r="AK219" s="365" t="str">
        <f>IFERROR(BASE_DATOS[[#This Row],[Horas Rodadas]]/(BASE_DATOS[[#This Row],[NSK Original]]-BASE_DATOS[[#This Row],[NSK]]),"")</f>
        <v/>
      </c>
      <c r="AL21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19" s="366" t="str">
        <f>IFERROR(BASE_DATOS[[#This Row],[Precio US$]]/BASE_DATOS[[#This Row],[Horas Proy.]],"")</f>
        <v/>
      </c>
      <c r="AN219" s="176" t="str">
        <f>IF(OR(BASE_DATOS[[#This Row],[Km.]]="",BASE_DATOS[[#This Row],[Km. Actual]]=""),"",BASE_DATOS[[#This Row],[Km. Actual]]-BASE_DATOS[[#This Row],[Km.]]+BASE_DATOS[[#This Row],[Kilómetros Acumulados]])</f>
        <v/>
      </c>
      <c r="AO219" s="177" t="str">
        <f>IFERROR(BASE_DATOS[[#This Row],[Precio US$]]/BASE_DATOS[[#This Row],[Kilómetros Rodados]],"")</f>
        <v/>
      </c>
      <c r="AP219" s="176" t="str">
        <f>IFERROR(BASE_DATOS[[#This Row],[Kilómetros Rodados]]/(BASE_DATOS[[#This Row],[NSK Original]]-BASE_DATOS[[#This Row],[NSK]]),"")</f>
        <v/>
      </c>
      <c r="AQ21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19" s="177" t="str">
        <f>IFERROR(BASE_DATOS[[#This Row],[Precio US$]]/BASE_DATOS[[#This Row],[Kilómetros Proy.]],"")</f>
        <v/>
      </c>
      <c r="AS219" s="167" t="s">
        <v>62</v>
      </c>
      <c r="AT219" s="167"/>
      <c r="AU219" s="167"/>
      <c r="AV219" s="167"/>
      <c r="AW219" s="179"/>
      <c r="AX219" s="179"/>
      <c r="AY219" s="179" t="str">
        <f>CONCATENATE(BASE_DATOS[[#This Row],[Código_U]]&amp;BASE_DATOS[[#This Row],[Pos.]]&amp;BASE_DATOS[[#This Row],[Situación Actual]])</f>
        <v>TC-1386Rodando</v>
      </c>
    </row>
    <row r="220" spans="1:51" ht="12" x14ac:dyDescent="0.25">
      <c r="A220" s="227" t="s">
        <v>153</v>
      </c>
      <c r="B220" s="217" t="s">
        <v>154</v>
      </c>
      <c r="C220" s="228" t="s">
        <v>296</v>
      </c>
      <c r="D220" s="229" t="s">
        <v>61</v>
      </c>
      <c r="E220" s="255"/>
      <c r="F220" s="256" t="s">
        <v>278</v>
      </c>
      <c r="G220" s="256" t="s">
        <v>271</v>
      </c>
      <c r="H220" s="257" t="str">
        <f>IF(BASE_DATOS[[#This Row],[N-R]]="N",BASE_DATOS[[#This Row],[Diseño]],"Reencauche")</f>
        <v>HD3</v>
      </c>
      <c r="I220" s="256" t="s">
        <v>286</v>
      </c>
      <c r="J220" s="243" t="s">
        <v>72</v>
      </c>
      <c r="K220" s="258">
        <v>0</v>
      </c>
      <c r="L220" s="241">
        <v>110</v>
      </c>
      <c r="M220" s="259"/>
      <c r="N220" s="260"/>
      <c r="O220" s="277"/>
      <c r="P220" s="278"/>
      <c r="Q220" s="279"/>
      <c r="R220" s="309" t="s">
        <v>104</v>
      </c>
      <c r="S220" s="310">
        <v>45385</v>
      </c>
      <c r="T220" s="311"/>
      <c r="U220" s="312"/>
      <c r="V220" s="227">
        <v>5</v>
      </c>
      <c r="W220" s="281"/>
      <c r="X220" s="282">
        <v>6</v>
      </c>
      <c r="Y220" s="293">
        <f t="shared" si="8"/>
        <v>5</v>
      </c>
      <c r="Z220" s="175" t="s">
        <v>85</v>
      </c>
      <c r="AA220" s="342">
        <f>IFERROR(BASE_DATOS[[#This Row],[NSK Original]]-BASE_DATOS[[#This Row],[NSK]]," ")</f>
        <v>-5</v>
      </c>
      <c r="AB220" s="343">
        <f>'NSK-TRACTO'!$A$2</f>
        <v>6</v>
      </c>
      <c r="AC220" s="343">
        <f>IF(BASE_DATOS[[#This Row],[NSK]]&gt;=BASE_DATOS[[#This Row],[NSK Reen]],BASE_DATOS[[#This Row],[NSK Reen]],BASE_DATOS[[#This Row],[NSK]])</f>
        <v>5</v>
      </c>
      <c r="AD220" s="344" t="str">
        <f>IFERROR(100%-(BASE_DATOS[[#This Row],[NSK Reen]]/BASE_DATOS[[#This Row],[NSK Original]]),"")</f>
        <v/>
      </c>
      <c r="AE220" s="344" t="str">
        <f>IFERROR(100%-BASE_DATOS[[#This Row],[NSK]]/BASE_DATOS[[#This Row],[NSK Original]],"")</f>
        <v/>
      </c>
      <c r="AF220" s="344" t="str">
        <f>IFERROR(BASE_DATOS[[#This Row],[% Max Des.]]-BASE_DATOS[[#This Row],[% Des]],"")</f>
        <v/>
      </c>
      <c r="AG220" s="287"/>
      <c r="AH220" s="273"/>
      <c r="AI220" s="363" t="str">
        <f>IF(OR(BASE_DATOS[[#This Row],[Hr.]]="",BASE_DATOS[[#This Row],[Hr. Actual]]=""),"",BASE_DATOS[[#This Row],[Hr. Actual]]-BASE_DATOS[[#This Row],[Hr.]]+BASE_DATOS[[#This Row],[Horas Acumuladas]])</f>
        <v/>
      </c>
      <c r="AJ220" s="364" t="str">
        <f>IFERROR(BASE_DATOS[[#This Row],[Precio US$]]/BASE_DATOS[[#This Row],[Horas Rodadas]],"")</f>
        <v/>
      </c>
      <c r="AK220" s="365" t="str">
        <f>IFERROR(BASE_DATOS[[#This Row],[Horas Rodadas]]/(BASE_DATOS[[#This Row],[NSK Original]]-BASE_DATOS[[#This Row],[NSK]]),"")</f>
        <v/>
      </c>
      <c r="AL22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20" s="366" t="str">
        <f>IFERROR(BASE_DATOS[[#This Row],[Precio US$]]/BASE_DATOS[[#This Row],[Horas Proy.]],"")</f>
        <v/>
      </c>
      <c r="AN220" s="176" t="str">
        <f>IF(OR(BASE_DATOS[[#This Row],[Km.]]="",BASE_DATOS[[#This Row],[Km. Actual]]=""),"",BASE_DATOS[[#This Row],[Km. Actual]]-BASE_DATOS[[#This Row],[Km.]]+BASE_DATOS[[#This Row],[Kilómetros Acumulados]])</f>
        <v/>
      </c>
      <c r="AO220" s="177" t="str">
        <f>IFERROR(BASE_DATOS[[#This Row],[Precio US$]]/BASE_DATOS[[#This Row],[Kilómetros Rodados]],"")</f>
        <v/>
      </c>
      <c r="AP220" s="176" t="str">
        <f>IFERROR(BASE_DATOS[[#This Row],[Kilómetros Rodados]]/(BASE_DATOS[[#This Row],[NSK Original]]-BASE_DATOS[[#This Row],[NSK]]),"")</f>
        <v/>
      </c>
      <c r="AQ22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20" s="177" t="str">
        <f>IFERROR(BASE_DATOS[[#This Row],[Precio US$]]/BASE_DATOS[[#This Row],[Kilómetros Proy.]],"")</f>
        <v/>
      </c>
      <c r="AS220" s="167" t="s">
        <v>62</v>
      </c>
      <c r="AT220" s="167"/>
      <c r="AU220" s="167"/>
      <c r="AV220" s="167"/>
      <c r="AW220" s="179"/>
      <c r="AX220" s="179"/>
      <c r="AY220" s="179" t="str">
        <f>CONCATENATE(BASE_DATOS[[#This Row],[Código_U]]&amp;BASE_DATOS[[#This Row],[Pos.]]&amp;BASE_DATOS[[#This Row],[Situación Actual]])</f>
        <v>TC-1387Rodando</v>
      </c>
    </row>
    <row r="221" spans="1:51" ht="12" x14ac:dyDescent="0.25">
      <c r="A221" s="227" t="s">
        <v>153</v>
      </c>
      <c r="B221" s="217" t="s">
        <v>154</v>
      </c>
      <c r="C221" s="228" t="s">
        <v>296</v>
      </c>
      <c r="D221" s="229" t="s">
        <v>61</v>
      </c>
      <c r="E221" s="255"/>
      <c r="F221" s="256" t="s">
        <v>278</v>
      </c>
      <c r="G221" s="256" t="s">
        <v>271</v>
      </c>
      <c r="H221" s="257" t="str">
        <f>IF(BASE_DATOS[[#This Row],[N-R]]="N",BASE_DATOS[[#This Row],[Diseño]],"Reencauche")</f>
        <v>HD3</v>
      </c>
      <c r="I221" s="256" t="s">
        <v>286</v>
      </c>
      <c r="J221" s="243" t="s">
        <v>72</v>
      </c>
      <c r="K221" s="258">
        <v>0</v>
      </c>
      <c r="L221" s="241">
        <v>110</v>
      </c>
      <c r="M221" s="259"/>
      <c r="N221" s="260"/>
      <c r="O221" s="277"/>
      <c r="P221" s="278"/>
      <c r="Q221" s="279"/>
      <c r="R221" s="309" t="s">
        <v>105</v>
      </c>
      <c r="S221" s="310">
        <v>45385</v>
      </c>
      <c r="T221" s="311"/>
      <c r="U221" s="312"/>
      <c r="V221" s="227">
        <v>5</v>
      </c>
      <c r="W221" s="281"/>
      <c r="X221" s="282">
        <v>6</v>
      </c>
      <c r="Y221" s="293">
        <f t="shared" si="8"/>
        <v>5</v>
      </c>
      <c r="Z221" s="175" t="s">
        <v>85</v>
      </c>
      <c r="AA221" s="342">
        <f>IFERROR(BASE_DATOS[[#This Row],[NSK Original]]-BASE_DATOS[[#This Row],[NSK]]," ")</f>
        <v>-5</v>
      </c>
      <c r="AB221" s="343">
        <f>'NSK-TRACTO'!$A$2</f>
        <v>6</v>
      </c>
      <c r="AC221" s="343">
        <f>IF(BASE_DATOS[[#This Row],[NSK]]&gt;=BASE_DATOS[[#This Row],[NSK Reen]],BASE_DATOS[[#This Row],[NSK Reen]],BASE_DATOS[[#This Row],[NSK]])</f>
        <v>5</v>
      </c>
      <c r="AD221" s="344" t="str">
        <f>IFERROR(100%-(BASE_DATOS[[#This Row],[NSK Reen]]/BASE_DATOS[[#This Row],[NSK Original]]),"")</f>
        <v/>
      </c>
      <c r="AE221" s="344" t="str">
        <f>IFERROR(100%-BASE_DATOS[[#This Row],[NSK]]/BASE_DATOS[[#This Row],[NSK Original]],"")</f>
        <v/>
      </c>
      <c r="AF221" s="344" t="str">
        <f>IFERROR(BASE_DATOS[[#This Row],[% Max Des.]]-BASE_DATOS[[#This Row],[% Des]],"")</f>
        <v/>
      </c>
      <c r="AG221" s="287"/>
      <c r="AH221" s="273"/>
      <c r="AI221" s="363" t="str">
        <f>IF(OR(BASE_DATOS[[#This Row],[Hr.]]="",BASE_DATOS[[#This Row],[Hr. Actual]]=""),"",BASE_DATOS[[#This Row],[Hr. Actual]]-BASE_DATOS[[#This Row],[Hr.]]+BASE_DATOS[[#This Row],[Horas Acumuladas]])</f>
        <v/>
      </c>
      <c r="AJ221" s="364" t="str">
        <f>IFERROR(BASE_DATOS[[#This Row],[Precio US$]]/BASE_DATOS[[#This Row],[Horas Rodadas]],"")</f>
        <v/>
      </c>
      <c r="AK221" s="365" t="str">
        <f>IFERROR(BASE_DATOS[[#This Row],[Horas Rodadas]]/(BASE_DATOS[[#This Row],[NSK Original]]-BASE_DATOS[[#This Row],[NSK]]),"")</f>
        <v/>
      </c>
      <c r="AL22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21" s="366" t="str">
        <f>IFERROR(BASE_DATOS[[#This Row],[Precio US$]]/BASE_DATOS[[#This Row],[Horas Proy.]],"")</f>
        <v/>
      </c>
      <c r="AN221" s="176" t="str">
        <f>IF(OR(BASE_DATOS[[#This Row],[Km.]]="",BASE_DATOS[[#This Row],[Km. Actual]]=""),"",BASE_DATOS[[#This Row],[Km. Actual]]-BASE_DATOS[[#This Row],[Km.]]+BASE_DATOS[[#This Row],[Kilómetros Acumulados]])</f>
        <v/>
      </c>
      <c r="AO221" s="177" t="str">
        <f>IFERROR(BASE_DATOS[[#This Row],[Precio US$]]/BASE_DATOS[[#This Row],[Kilómetros Rodados]],"")</f>
        <v/>
      </c>
      <c r="AP221" s="176" t="str">
        <f>IFERROR(BASE_DATOS[[#This Row],[Kilómetros Rodados]]/(BASE_DATOS[[#This Row],[NSK Original]]-BASE_DATOS[[#This Row],[NSK]]),"")</f>
        <v/>
      </c>
      <c r="AQ22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21" s="177" t="str">
        <f>IFERROR(BASE_DATOS[[#This Row],[Precio US$]]/BASE_DATOS[[#This Row],[Kilómetros Proy.]],"")</f>
        <v/>
      </c>
      <c r="AS221" s="167" t="s">
        <v>62</v>
      </c>
      <c r="AT221" s="167"/>
      <c r="AU221" s="167"/>
      <c r="AV221" s="167"/>
      <c r="AW221" s="179"/>
      <c r="AX221" s="179"/>
      <c r="AY221" s="179" t="str">
        <f>CONCATENATE(BASE_DATOS[[#This Row],[Código_U]]&amp;BASE_DATOS[[#This Row],[Pos.]]&amp;BASE_DATOS[[#This Row],[Situación Actual]])</f>
        <v>TC-1388Rodando</v>
      </c>
    </row>
    <row r="222" spans="1:51" ht="12" x14ac:dyDescent="0.25">
      <c r="A222" s="227" t="s">
        <v>153</v>
      </c>
      <c r="B222" s="217" t="s">
        <v>154</v>
      </c>
      <c r="C222" s="228" t="s">
        <v>296</v>
      </c>
      <c r="D222" s="229" t="s">
        <v>61</v>
      </c>
      <c r="E222" s="255"/>
      <c r="F222" s="256" t="s">
        <v>278</v>
      </c>
      <c r="G222" s="256" t="s">
        <v>271</v>
      </c>
      <c r="H222" s="257" t="str">
        <f>IF(BASE_DATOS[[#This Row],[N-R]]="N",BASE_DATOS[[#This Row],[Diseño]],"Reencauche")</f>
        <v>HS3+</v>
      </c>
      <c r="I222" s="256" t="s">
        <v>279</v>
      </c>
      <c r="J222" s="243" t="s">
        <v>72</v>
      </c>
      <c r="K222" s="258">
        <v>16</v>
      </c>
      <c r="L222" s="241">
        <v>110</v>
      </c>
      <c r="M222" s="259"/>
      <c r="N222" s="260"/>
      <c r="O222" s="277"/>
      <c r="P222" s="278"/>
      <c r="Q222" s="279"/>
      <c r="R222" s="309" t="s">
        <v>106</v>
      </c>
      <c r="S222" s="310">
        <v>45385</v>
      </c>
      <c r="T222" s="311"/>
      <c r="U222" s="312"/>
      <c r="V222" s="227">
        <v>6</v>
      </c>
      <c r="W222" s="281">
        <v>5</v>
      </c>
      <c r="X222" s="282">
        <v>4</v>
      </c>
      <c r="Y222" s="293">
        <f t="shared" si="8"/>
        <v>4</v>
      </c>
      <c r="Z222" s="175" t="s">
        <v>85</v>
      </c>
      <c r="AA222" s="342">
        <f>IFERROR(BASE_DATOS[[#This Row],[NSK Original]]-BASE_DATOS[[#This Row],[NSK]]," ")</f>
        <v>12</v>
      </c>
      <c r="AB222" s="343">
        <f>'NSK-TRACTO'!$A$2</f>
        <v>6</v>
      </c>
      <c r="AC222" s="343">
        <f>IF(BASE_DATOS[[#This Row],[NSK]]&gt;=BASE_DATOS[[#This Row],[NSK Reen]],BASE_DATOS[[#This Row],[NSK Reen]],BASE_DATOS[[#This Row],[NSK]])</f>
        <v>4</v>
      </c>
      <c r="AD222" s="344">
        <f>IFERROR(100%-(BASE_DATOS[[#This Row],[NSK Reen]]/BASE_DATOS[[#This Row],[NSK Original]]),"")</f>
        <v>0.625</v>
      </c>
      <c r="AE222" s="344">
        <f>IFERROR(100%-BASE_DATOS[[#This Row],[NSK]]/BASE_DATOS[[#This Row],[NSK Original]],"")</f>
        <v>0.75</v>
      </c>
      <c r="AF222" s="344">
        <f>IFERROR(BASE_DATOS[[#This Row],[% Max Des.]]-BASE_DATOS[[#This Row],[% Des]],"")</f>
        <v>-0.125</v>
      </c>
      <c r="AG222" s="287"/>
      <c r="AH222" s="273"/>
      <c r="AI222" s="363" t="str">
        <f>IF(OR(BASE_DATOS[[#This Row],[Hr.]]="",BASE_DATOS[[#This Row],[Hr. Actual]]=""),"",BASE_DATOS[[#This Row],[Hr. Actual]]-BASE_DATOS[[#This Row],[Hr.]]+BASE_DATOS[[#This Row],[Horas Acumuladas]])</f>
        <v/>
      </c>
      <c r="AJ222" s="364" t="str">
        <f>IFERROR(BASE_DATOS[[#This Row],[Precio US$]]/BASE_DATOS[[#This Row],[Horas Rodadas]],"")</f>
        <v/>
      </c>
      <c r="AK222" s="365" t="str">
        <f>IFERROR(BASE_DATOS[[#This Row],[Horas Rodadas]]/(BASE_DATOS[[#This Row],[NSK Original]]-BASE_DATOS[[#This Row],[NSK]]),"")</f>
        <v/>
      </c>
      <c r="AL22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22" s="366" t="str">
        <f>IFERROR(BASE_DATOS[[#This Row],[Precio US$]]/BASE_DATOS[[#This Row],[Horas Proy.]],"")</f>
        <v/>
      </c>
      <c r="AN222" s="176" t="str">
        <f>IF(OR(BASE_DATOS[[#This Row],[Km.]]="",BASE_DATOS[[#This Row],[Km. Actual]]=""),"",BASE_DATOS[[#This Row],[Km. Actual]]-BASE_DATOS[[#This Row],[Km.]]+BASE_DATOS[[#This Row],[Kilómetros Acumulados]])</f>
        <v/>
      </c>
      <c r="AO222" s="177" t="str">
        <f>IFERROR(BASE_DATOS[[#This Row],[Precio US$]]/BASE_DATOS[[#This Row],[Kilómetros Rodados]],"")</f>
        <v/>
      </c>
      <c r="AP222" s="176" t="str">
        <f>IFERROR(BASE_DATOS[[#This Row],[Kilómetros Rodados]]/(BASE_DATOS[[#This Row],[NSK Original]]-BASE_DATOS[[#This Row],[NSK]]),"")</f>
        <v/>
      </c>
      <c r="AQ22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22" s="177" t="str">
        <f>IFERROR(BASE_DATOS[[#This Row],[Precio US$]]/BASE_DATOS[[#This Row],[Kilómetros Proy.]],"")</f>
        <v/>
      </c>
      <c r="AS222" s="167" t="s">
        <v>62</v>
      </c>
      <c r="AT222" s="167"/>
      <c r="AU222" s="167"/>
      <c r="AV222" s="167"/>
      <c r="AW222" s="179"/>
      <c r="AX222" s="179"/>
      <c r="AY222" s="179" t="str">
        <f>CONCATENATE(BASE_DATOS[[#This Row],[Código_U]]&amp;BASE_DATOS[[#This Row],[Pos.]]&amp;BASE_DATOS[[#This Row],[Situación Actual]])</f>
        <v>TC-1389Rodando</v>
      </c>
    </row>
    <row r="223" spans="1:51" ht="12" x14ac:dyDescent="0.25">
      <c r="A223" s="227" t="s">
        <v>153</v>
      </c>
      <c r="B223" s="217" t="s">
        <v>154</v>
      </c>
      <c r="C223" s="228" t="s">
        <v>296</v>
      </c>
      <c r="D223" s="229" t="s">
        <v>61</v>
      </c>
      <c r="E223" s="255"/>
      <c r="F223" s="256" t="s">
        <v>278</v>
      </c>
      <c r="G223" s="256" t="s">
        <v>271</v>
      </c>
      <c r="H223" s="257" t="str">
        <f>IF(BASE_DATOS[[#This Row],[N-R]]="N",BASE_DATOS[[#This Row],[Diseño]],"Reencauche")</f>
        <v>HS3+</v>
      </c>
      <c r="I223" s="256" t="s">
        <v>279</v>
      </c>
      <c r="J223" s="243" t="s">
        <v>72</v>
      </c>
      <c r="K223" s="258">
        <v>16</v>
      </c>
      <c r="L223" s="241">
        <v>110</v>
      </c>
      <c r="M223" s="259"/>
      <c r="N223" s="260"/>
      <c r="O223" s="277"/>
      <c r="P223" s="278"/>
      <c r="Q223" s="279"/>
      <c r="R223" s="309" t="s">
        <v>107</v>
      </c>
      <c r="S223" s="310">
        <v>45385</v>
      </c>
      <c r="T223" s="311"/>
      <c r="U223" s="312"/>
      <c r="V223" s="227">
        <v>5</v>
      </c>
      <c r="W223" s="281">
        <v>4</v>
      </c>
      <c r="X223" s="282">
        <v>6</v>
      </c>
      <c r="Y223" s="293">
        <f t="shared" si="8"/>
        <v>4</v>
      </c>
      <c r="Z223" s="175" t="s">
        <v>85</v>
      </c>
      <c r="AA223" s="342">
        <f>IFERROR(BASE_DATOS[[#This Row],[NSK Original]]-BASE_DATOS[[#This Row],[NSK]]," ")</f>
        <v>12</v>
      </c>
      <c r="AB223" s="343">
        <f>'NSK-TRACTO'!$A$2</f>
        <v>6</v>
      </c>
      <c r="AC223" s="343">
        <f>IF(BASE_DATOS[[#This Row],[NSK]]&gt;=BASE_DATOS[[#This Row],[NSK Reen]],BASE_DATOS[[#This Row],[NSK Reen]],BASE_DATOS[[#This Row],[NSK]])</f>
        <v>4</v>
      </c>
      <c r="AD223" s="344">
        <f>IFERROR(100%-(BASE_DATOS[[#This Row],[NSK Reen]]/BASE_DATOS[[#This Row],[NSK Original]]),"")</f>
        <v>0.625</v>
      </c>
      <c r="AE223" s="344">
        <f>IFERROR(100%-BASE_DATOS[[#This Row],[NSK]]/BASE_DATOS[[#This Row],[NSK Original]],"")</f>
        <v>0.75</v>
      </c>
      <c r="AF223" s="344">
        <f>IFERROR(BASE_DATOS[[#This Row],[% Max Des.]]-BASE_DATOS[[#This Row],[% Des]],"")</f>
        <v>-0.125</v>
      </c>
      <c r="AG223" s="287"/>
      <c r="AH223" s="273"/>
      <c r="AI223" s="363" t="str">
        <f>IF(OR(BASE_DATOS[[#This Row],[Hr.]]="",BASE_DATOS[[#This Row],[Hr. Actual]]=""),"",BASE_DATOS[[#This Row],[Hr. Actual]]-BASE_DATOS[[#This Row],[Hr.]]+BASE_DATOS[[#This Row],[Horas Acumuladas]])</f>
        <v/>
      </c>
      <c r="AJ223" s="364" t="str">
        <f>IFERROR(BASE_DATOS[[#This Row],[Precio US$]]/BASE_DATOS[[#This Row],[Horas Rodadas]],"")</f>
        <v/>
      </c>
      <c r="AK223" s="365" t="str">
        <f>IFERROR(BASE_DATOS[[#This Row],[Horas Rodadas]]/(BASE_DATOS[[#This Row],[NSK Original]]-BASE_DATOS[[#This Row],[NSK]]),"")</f>
        <v/>
      </c>
      <c r="AL22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23" s="366" t="str">
        <f>IFERROR(BASE_DATOS[[#This Row],[Precio US$]]/BASE_DATOS[[#This Row],[Horas Proy.]],"")</f>
        <v/>
      </c>
      <c r="AN223" s="176" t="str">
        <f>IF(OR(BASE_DATOS[[#This Row],[Km.]]="",BASE_DATOS[[#This Row],[Km. Actual]]=""),"",BASE_DATOS[[#This Row],[Km. Actual]]-BASE_DATOS[[#This Row],[Km.]]+BASE_DATOS[[#This Row],[Kilómetros Acumulados]])</f>
        <v/>
      </c>
      <c r="AO223" s="177" t="str">
        <f>IFERROR(BASE_DATOS[[#This Row],[Precio US$]]/BASE_DATOS[[#This Row],[Kilómetros Rodados]],"")</f>
        <v/>
      </c>
      <c r="AP223" s="176" t="str">
        <f>IFERROR(BASE_DATOS[[#This Row],[Kilómetros Rodados]]/(BASE_DATOS[[#This Row],[NSK Original]]-BASE_DATOS[[#This Row],[NSK]]),"")</f>
        <v/>
      </c>
      <c r="AQ22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23" s="177" t="str">
        <f>IFERROR(BASE_DATOS[[#This Row],[Precio US$]]/BASE_DATOS[[#This Row],[Kilómetros Proy.]],"")</f>
        <v/>
      </c>
      <c r="AS223" s="167" t="s">
        <v>62</v>
      </c>
      <c r="AT223" s="167"/>
      <c r="AU223" s="167"/>
      <c r="AV223" s="167"/>
      <c r="AW223" s="179"/>
      <c r="AX223" s="179"/>
      <c r="AY223" s="179" t="str">
        <f>CONCATENATE(BASE_DATOS[[#This Row],[Código_U]]&amp;BASE_DATOS[[#This Row],[Pos.]]&amp;BASE_DATOS[[#This Row],[Situación Actual]])</f>
        <v>TC-13810Rodando</v>
      </c>
    </row>
    <row r="224" spans="1:51" ht="12" x14ac:dyDescent="0.25">
      <c r="A224" s="224" t="s">
        <v>155</v>
      </c>
      <c r="B224" s="213" t="s">
        <v>156</v>
      </c>
      <c r="C224" s="225" t="s">
        <v>295</v>
      </c>
      <c r="D224" s="226" t="s">
        <v>87</v>
      </c>
      <c r="E224" s="249"/>
      <c r="F224" s="250" t="s">
        <v>97</v>
      </c>
      <c r="G224" s="250" t="s">
        <v>269</v>
      </c>
      <c r="H224" s="251" t="str">
        <f>IF(BASE_DATOS[[#This Row],[N-R]]="N",BASE_DATOS[[#This Row],[Diseño]],"Reencauche")</f>
        <v>AGC28</v>
      </c>
      <c r="I224" s="250" t="s">
        <v>270</v>
      </c>
      <c r="J224" s="235" t="s">
        <v>72</v>
      </c>
      <c r="K224" s="252">
        <v>16.5</v>
      </c>
      <c r="L224" s="250">
        <v>110</v>
      </c>
      <c r="M224" s="253"/>
      <c r="N224" s="254"/>
      <c r="O224" s="274"/>
      <c r="P224" s="275"/>
      <c r="Q224" s="276"/>
      <c r="R224" s="305" t="s">
        <v>98</v>
      </c>
      <c r="S224" s="306">
        <v>45385</v>
      </c>
      <c r="T224" s="314"/>
      <c r="U224" s="276"/>
      <c r="V224" s="224">
        <v>12</v>
      </c>
      <c r="W224" s="325">
        <v>12</v>
      </c>
      <c r="X224" s="326">
        <v>12</v>
      </c>
      <c r="Y224" s="292">
        <f t="shared" si="8"/>
        <v>12</v>
      </c>
      <c r="Z224" s="194" t="s">
        <v>85</v>
      </c>
      <c r="AA224" s="339">
        <f>IFERROR(BASE_DATOS[[#This Row],[NSK Original]]-BASE_DATOS[[#This Row],[NSK]]," ")</f>
        <v>4.5</v>
      </c>
      <c r="AB224" s="340">
        <f>'NSK-TRACTO'!$A$2</f>
        <v>6</v>
      </c>
      <c r="AC224" s="340">
        <f>IF(BASE_DATOS[[#This Row],[NSK]]&gt;=BASE_DATOS[[#This Row],[NSK Reen]],BASE_DATOS[[#This Row],[NSK Reen]],BASE_DATOS[[#This Row],[NSK]])</f>
        <v>6</v>
      </c>
      <c r="AD224" s="341">
        <f>IFERROR(100%-(BASE_DATOS[[#This Row],[NSK Reen]]/BASE_DATOS[[#This Row],[NSK Original]]),"")</f>
        <v>0.63636363636363635</v>
      </c>
      <c r="AE224" s="341">
        <f>IFERROR(100%-BASE_DATOS[[#This Row],[NSK]]/BASE_DATOS[[#This Row],[NSK Original]],"")</f>
        <v>0.27272727272727271</v>
      </c>
      <c r="AF224" s="341">
        <f>IFERROR(BASE_DATOS[[#This Row],[% Max Des.]]-BASE_DATOS[[#This Row],[% Des]],"")</f>
        <v>0.36363636363636365</v>
      </c>
      <c r="AG224" s="284"/>
      <c r="AH224" s="335"/>
      <c r="AI224" s="359" t="str">
        <f>IF(OR(BASE_DATOS[[#This Row],[Hr.]]="",BASE_DATOS[[#This Row],[Hr. Actual]]=""),"",BASE_DATOS[[#This Row],[Hr. Actual]]-BASE_DATOS[[#This Row],[Hr.]]+BASE_DATOS[[#This Row],[Horas Acumuladas]])</f>
        <v/>
      </c>
      <c r="AJ224" s="360" t="str">
        <f>IFERROR(BASE_DATOS[[#This Row],[Precio US$]]/BASE_DATOS[[#This Row],[Horas Rodadas]],"")</f>
        <v/>
      </c>
      <c r="AK224" s="361" t="str">
        <f>IFERROR(BASE_DATOS[[#This Row],[Horas Rodadas]]/(BASE_DATOS[[#This Row],[NSK Original]]-BASE_DATOS[[#This Row],[NSK]]),"")</f>
        <v/>
      </c>
      <c r="AL224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24" s="362" t="str">
        <f>IFERROR(BASE_DATOS[[#This Row],[Precio US$]]/BASE_DATOS[[#This Row],[Horas Proy.]],"")</f>
        <v/>
      </c>
      <c r="AN224" s="195" t="str">
        <f>IF(OR(BASE_DATOS[[#This Row],[Km.]]="",BASE_DATOS[[#This Row],[Km. Actual]]=""),"",BASE_DATOS[[#This Row],[Km. Actual]]-BASE_DATOS[[#This Row],[Km.]]+BASE_DATOS[[#This Row],[Kilómetros Acumulados]])</f>
        <v/>
      </c>
      <c r="AO224" s="196" t="str">
        <f>IFERROR(BASE_DATOS[[#This Row],[Precio US$]]/BASE_DATOS[[#This Row],[Kilómetros Rodados]],"")</f>
        <v/>
      </c>
      <c r="AP224" s="195" t="str">
        <f>IFERROR(BASE_DATOS[[#This Row],[Kilómetros Rodados]]/(BASE_DATOS[[#This Row],[NSK Original]]-BASE_DATOS[[#This Row],[NSK]]),"")</f>
        <v/>
      </c>
      <c r="AQ224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24" s="196" t="str">
        <f>IFERROR(BASE_DATOS[[#This Row],[Precio US$]]/BASE_DATOS[[#This Row],[Kilómetros Proy.]],"")</f>
        <v/>
      </c>
      <c r="AS224" s="191" t="s">
        <v>62</v>
      </c>
      <c r="AT224" s="191"/>
      <c r="AU224" s="191"/>
      <c r="AV224" s="191"/>
      <c r="AW224" s="198"/>
      <c r="AX224" s="198"/>
      <c r="AY224" s="198" t="str">
        <f>CONCATENATE(BASE_DATOS[[#This Row],[Código_U]]&amp;BASE_DATOS[[#This Row],[Pos.]]&amp;BASE_DATOS[[#This Row],[Situación Actual]])</f>
        <v>SR-1401Rodando</v>
      </c>
    </row>
    <row r="225" spans="1:51" ht="12" x14ac:dyDescent="0.25">
      <c r="A225" s="227" t="s">
        <v>155</v>
      </c>
      <c r="B225" s="217" t="s">
        <v>156</v>
      </c>
      <c r="C225" s="228" t="s">
        <v>295</v>
      </c>
      <c r="D225" s="229" t="s">
        <v>87</v>
      </c>
      <c r="E225" s="255"/>
      <c r="F225" s="256" t="s">
        <v>97</v>
      </c>
      <c r="G225" s="256" t="s">
        <v>269</v>
      </c>
      <c r="H225" s="257" t="str">
        <f>IF(BASE_DATOS[[#This Row],[N-R]]="N",BASE_DATOS[[#This Row],[Diseño]],"Reencauche")</f>
        <v>AGC28</v>
      </c>
      <c r="I225" s="256" t="s">
        <v>270</v>
      </c>
      <c r="J225" s="243" t="s">
        <v>72</v>
      </c>
      <c r="K225" s="258">
        <v>16.5</v>
      </c>
      <c r="L225" s="256">
        <v>110</v>
      </c>
      <c r="M225" s="259"/>
      <c r="N225" s="260"/>
      <c r="O225" s="277"/>
      <c r="P225" s="278"/>
      <c r="Q225" s="279"/>
      <c r="R225" s="309" t="s">
        <v>99</v>
      </c>
      <c r="S225" s="310">
        <v>45385</v>
      </c>
      <c r="T225" s="313"/>
      <c r="U225" s="279"/>
      <c r="V225" s="227">
        <v>12</v>
      </c>
      <c r="W225" s="281">
        <v>12</v>
      </c>
      <c r="X225" s="282">
        <v>12</v>
      </c>
      <c r="Y225" s="293">
        <f t="shared" si="8"/>
        <v>12</v>
      </c>
      <c r="Z225" s="175" t="s">
        <v>85</v>
      </c>
      <c r="AA225" s="342">
        <f>IFERROR(BASE_DATOS[[#This Row],[NSK Original]]-BASE_DATOS[[#This Row],[NSK]]," ")</f>
        <v>4.5</v>
      </c>
      <c r="AB225" s="343">
        <f>'NSK-TRACTO'!$A$2</f>
        <v>6</v>
      </c>
      <c r="AC225" s="343">
        <f>IF(BASE_DATOS[[#This Row],[NSK]]&gt;=BASE_DATOS[[#This Row],[NSK Reen]],BASE_DATOS[[#This Row],[NSK Reen]],BASE_DATOS[[#This Row],[NSK]])</f>
        <v>6</v>
      </c>
      <c r="AD225" s="344">
        <f>IFERROR(100%-(BASE_DATOS[[#This Row],[NSK Reen]]/BASE_DATOS[[#This Row],[NSK Original]]),"")</f>
        <v>0.63636363636363635</v>
      </c>
      <c r="AE225" s="344">
        <f>IFERROR(100%-BASE_DATOS[[#This Row],[NSK]]/BASE_DATOS[[#This Row],[NSK Original]],"")</f>
        <v>0.27272727272727271</v>
      </c>
      <c r="AF225" s="344">
        <f>IFERROR(BASE_DATOS[[#This Row],[% Max Des.]]-BASE_DATOS[[#This Row],[% Des]],"")</f>
        <v>0.36363636363636365</v>
      </c>
      <c r="AG225" s="287"/>
      <c r="AH225" s="273"/>
      <c r="AI225" s="363" t="str">
        <f>IF(OR(BASE_DATOS[[#This Row],[Hr.]]="",BASE_DATOS[[#This Row],[Hr. Actual]]=""),"",BASE_DATOS[[#This Row],[Hr. Actual]]-BASE_DATOS[[#This Row],[Hr.]]+BASE_DATOS[[#This Row],[Horas Acumuladas]])</f>
        <v/>
      </c>
      <c r="AJ225" s="364" t="str">
        <f>IFERROR(BASE_DATOS[[#This Row],[Precio US$]]/BASE_DATOS[[#This Row],[Horas Rodadas]],"")</f>
        <v/>
      </c>
      <c r="AK225" s="365" t="str">
        <f>IFERROR(BASE_DATOS[[#This Row],[Horas Rodadas]]/(BASE_DATOS[[#This Row],[NSK Original]]-BASE_DATOS[[#This Row],[NSK]]),"")</f>
        <v/>
      </c>
      <c r="AL22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25" s="366" t="str">
        <f>IFERROR(BASE_DATOS[[#This Row],[Precio US$]]/BASE_DATOS[[#This Row],[Horas Proy.]],"")</f>
        <v/>
      </c>
      <c r="AN225" s="176" t="str">
        <f>IF(OR(BASE_DATOS[[#This Row],[Km.]]="",BASE_DATOS[[#This Row],[Km. Actual]]=""),"",BASE_DATOS[[#This Row],[Km. Actual]]-BASE_DATOS[[#This Row],[Km.]]+BASE_DATOS[[#This Row],[Kilómetros Acumulados]])</f>
        <v/>
      </c>
      <c r="AO225" s="177" t="str">
        <f>IFERROR(BASE_DATOS[[#This Row],[Precio US$]]/BASE_DATOS[[#This Row],[Kilómetros Rodados]],"")</f>
        <v/>
      </c>
      <c r="AP225" s="176" t="str">
        <f>IFERROR(BASE_DATOS[[#This Row],[Kilómetros Rodados]]/(BASE_DATOS[[#This Row],[NSK Original]]-BASE_DATOS[[#This Row],[NSK]]),"")</f>
        <v/>
      </c>
      <c r="AQ22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25" s="177" t="str">
        <f>IFERROR(BASE_DATOS[[#This Row],[Precio US$]]/BASE_DATOS[[#This Row],[Kilómetros Proy.]],"")</f>
        <v/>
      </c>
      <c r="AS225" s="167" t="s">
        <v>62</v>
      </c>
      <c r="AT225" s="167"/>
      <c r="AU225" s="167"/>
      <c r="AV225" s="167"/>
      <c r="AW225" s="179"/>
      <c r="AX225" s="179"/>
      <c r="AY225" s="179" t="str">
        <f>CONCATENATE(BASE_DATOS[[#This Row],[Código_U]]&amp;BASE_DATOS[[#This Row],[Pos.]]&amp;BASE_DATOS[[#This Row],[Situación Actual]])</f>
        <v>SR-1402Rodando</v>
      </c>
    </row>
    <row r="226" spans="1:51" ht="12" x14ac:dyDescent="0.25">
      <c r="A226" s="227" t="s">
        <v>155</v>
      </c>
      <c r="B226" s="217" t="s">
        <v>156</v>
      </c>
      <c r="C226" s="228" t="s">
        <v>295</v>
      </c>
      <c r="D226" s="229" t="s">
        <v>87</v>
      </c>
      <c r="E226" s="255"/>
      <c r="F226" s="256" t="s">
        <v>97</v>
      </c>
      <c r="G226" s="256" t="s">
        <v>269</v>
      </c>
      <c r="H226" s="257" t="str">
        <f>IF(BASE_DATOS[[#This Row],[N-R]]="N",BASE_DATOS[[#This Row],[Diseño]],"Reencauche")</f>
        <v>AGC28</v>
      </c>
      <c r="I226" s="256" t="s">
        <v>270</v>
      </c>
      <c r="J226" s="243" t="s">
        <v>72</v>
      </c>
      <c r="K226" s="258">
        <v>16.5</v>
      </c>
      <c r="L226" s="256">
        <v>110</v>
      </c>
      <c r="M226" s="259"/>
      <c r="N226" s="260"/>
      <c r="O226" s="277"/>
      <c r="P226" s="278"/>
      <c r="Q226" s="279"/>
      <c r="R226" s="309" t="s">
        <v>100</v>
      </c>
      <c r="S226" s="310">
        <v>45385</v>
      </c>
      <c r="T226" s="313"/>
      <c r="U226" s="279"/>
      <c r="V226" s="227">
        <v>13</v>
      </c>
      <c r="W226" s="281">
        <v>13</v>
      </c>
      <c r="X226" s="282">
        <v>13</v>
      </c>
      <c r="Y226" s="293">
        <f t="shared" si="8"/>
        <v>13</v>
      </c>
      <c r="Z226" s="175" t="s">
        <v>85</v>
      </c>
      <c r="AA226" s="342">
        <f>IFERROR(BASE_DATOS[[#This Row],[NSK Original]]-BASE_DATOS[[#This Row],[NSK]]," ")</f>
        <v>3.5</v>
      </c>
      <c r="AB226" s="343">
        <f>'NSK-TRACTO'!$A$2</f>
        <v>6</v>
      </c>
      <c r="AC226" s="343">
        <f>IF(BASE_DATOS[[#This Row],[NSK]]&gt;=BASE_DATOS[[#This Row],[NSK Reen]],BASE_DATOS[[#This Row],[NSK Reen]],BASE_DATOS[[#This Row],[NSK]])</f>
        <v>6</v>
      </c>
      <c r="AD226" s="344">
        <f>IFERROR(100%-(BASE_DATOS[[#This Row],[NSK Reen]]/BASE_DATOS[[#This Row],[NSK Original]]),"")</f>
        <v>0.63636363636363635</v>
      </c>
      <c r="AE226" s="344">
        <f>IFERROR(100%-BASE_DATOS[[#This Row],[NSK]]/BASE_DATOS[[#This Row],[NSK Original]],"")</f>
        <v>0.21212121212121215</v>
      </c>
      <c r="AF226" s="344">
        <f>IFERROR(BASE_DATOS[[#This Row],[% Max Des.]]-BASE_DATOS[[#This Row],[% Des]],"")</f>
        <v>0.4242424242424242</v>
      </c>
      <c r="AG226" s="287"/>
      <c r="AH226" s="273"/>
      <c r="AI226" s="363" t="str">
        <f>IF(OR(BASE_DATOS[[#This Row],[Hr.]]="",BASE_DATOS[[#This Row],[Hr. Actual]]=""),"",BASE_DATOS[[#This Row],[Hr. Actual]]-BASE_DATOS[[#This Row],[Hr.]]+BASE_DATOS[[#This Row],[Horas Acumuladas]])</f>
        <v/>
      </c>
      <c r="AJ226" s="364" t="str">
        <f>IFERROR(BASE_DATOS[[#This Row],[Precio US$]]/BASE_DATOS[[#This Row],[Horas Rodadas]],"")</f>
        <v/>
      </c>
      <c r="AK226" s="365" t="str">
        <f>IFERROR(BASE_DATOS[[#This Row],[Horas Rodadas]]/(BASE_DATOS[[#This Row],[NSK Original]]-BASE_DATOS[[#This Row],[NSK]]),"")</f>
        <v/>
      </c>
      <c r="AL22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26" s="366" t="str">
        <f>IFERROR(BASE_DATOS[[#This Row],[Precio US$]]/BASE_DATOS[[#This Row],[Horas Proy.]],"")</f>
        <v/>
      </c>
      <c r="AN226" s="176" t="str">
        <f>IF(OR(BASE_DATOS[[#This Row],[Km.]]="",BASE_DATOS[[#This Row],[Km. Actual]]=""),"",BASE_DATOS[[#This Row],[Km. Actual]]-BASE_DATOS[[#This Row],[Km.]]+BASE_DATOS[[#This Row],[Kilómetros Acumulados]])</f>
        <v/>
      </c>
      <c r="AO226" s="177" t="str">
        <f>IFERROR(BASE_DATOS[[#This Row],[Precio US$]]/BASE_DATOS[[#This Row],[Kilómetros Rodados]],"")</f>
        <v/>
      </c>
      <c r="AP226" s="176" t="str">
        <f>IFERROR(BASE_DATOS[[#This Row],[Kilómetros Rodados]]/(BASE_DATOS[[#This Row],[NSK Original]]-BASE_DATOS[[#This Row],[NSK]]),"")</f>
        <v/>
      </c>
      <c r="AQ22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26" s="177" t="str">
        <f>IFERROR(BASE_DATOS[[#This Row],[Precio US$]]/BASE_DATOS[[#This Row],[Kilómetros Proy.]],"")</f>
        <v/>
      </c>
      <c r="AS226" s="167" t="s">
        <v>62</v>
      </c>
      <c r="AT226" s="167"/>
      <c r="AU226" s="167"/>
      <c r="AV226" s="167"/>
      <c r="AW226" s="179"/>
      <c r="AX226" s="179"/>
      <c r="AY226" s="179" t="str">
        <f>CONCATENATE(BASE_DATOS[[#This Row],[Código_U]]&amp;BASE_DATOS[[#This Row],[Pos.]]&amp;BASE_DATOS[[#This Row],[Situación Actual]])</f>
        <v>SR-1403Rodando</v>
      </c>
    </row>
    <row r="227" spans="1:51" ht="12" x14ac:dyDescent="0.25">
      <c r="A227" s="227" t="s">
        <v>155</v>
      </c>
      <c r="B227" s="217" t="s">
        <v>156</v>
      </c>
      <c r="C227" s="228" t="s">
        <v>295</v>
      </c>
      <c r="D227" s="229" t="s">
        <v>87</v>
      </c>
      <c r="E227" s="255"/>
      <c r="F227" s="256" t="s">
        <v>97</v>
      </c>
      <c r="G227" s="256" t="s">
        <v>269</v>
      </c>
      <c r="H227" s="257" t="str">
        <f>IF(BASE_DATOS[[#This Row],[N-R]]="N",BASE_DATOS[[#This Row],[Diseño]],"Reencauche")</f>
        <v>AGC28</v>
      </c>
      <c r="I227" s="256" t="s">
        <v>270</v>
      </c>
      <c r="J227" s="243" t="s">
        <v>72</v>
      </c>
      <c r="K227" s="258">
        <v>16.5</v>
      </c>
      <c r="L227" s="256">
        <v>110</v>
      </c>
      <c r="M227" s="259"/>
      <c r="N227" s="260"/>
      <c r="O227" s="277"/>
      <c r="P227" s="278"/>
      <c r="Q227" s="279"/>
      <c r="R227" s="309" t="s">
        <v>101</v>
      </c>
      <c r="S227" s="310">
        <v>45385</v>
      </c>
      <c r="T227" s="313"/>
      <c r="U227" s="279"/>
      <c r="V227" s="227">
        <v>13</v>
      </c>
      <c r="W227" s="281">
        <v>13</v>
      </c>
      <c r="X227" s="282">
        <v>13</v>
      </c>
      <c r="Y227" s="293">
        <f t="shared" si="8"/>
        <v>13</v>
      </c>
      <c r="Z227" s="175" t="s">
        <v>85</v>
      </c>
      <c r="AA227" s="342">
        <f>IFERROR(BASE_DATOS[[#This Row],[NSK Original]]-BASE_DATOS[[#This Row],[NSK]]," ")</f>
        <v>3.5</v>
      </c>
      <c r="AB227" s="343">
        <f>'NSK-TRACTO'!$A$2</f>
        <v>6</v>
      </c>
      <c r="AC227" s="343">
        <f>IF(BASE_DATOS[[#This Row],[NSK]]&gt;=BASE_DATOS[[#This Row],[NSK Reen]],BASE_DATOS[[#This Row],[NSK Reen]],BASE_DATOS[[#This Row],[NSK]])</f>
        <v>6</v>
      </c>
      <c r="AD227" s="344">
        <f>IFERROR(100%-(BASE_DATOS[[#This Row],[NSK Reen]]/BASE_DATOS[[#This Row],[NSK Original]]),"")</f>
        <v>0.63636363636363635</v>
      </c>
      <c r="AE227" s="344">
        <f>IFERROR(100%-BASE_DATOS[[#This Row],[NSK]]/BASE_DATOS[[#This Row],[NSK Original]],"")</f>
        <v>0.21212121212121215</v>
      </c>
      <c r="AF227" s="344">
        <f>IFERROR(BASE_DATOS[[#This Row],[% Max Des.]]-BASE_DATOS[[#This Row],[% Des]],"")</f>
        <v>0.4242424242424242</v>
      </c>
      <c r="AG227" s="287"/>
      <c r="AH227" s="273"/>
      <c r="AI227" s="363" t="str">
        <f>IF(OR(BASE_DATOS[[#This Row],[Hr.]]="",BASE_DATOS[[#This Row],[Hr. Actual]]=""),"",BASE_DATOS[[#This Row],[Hr. Actual]]-BASE_DATOS[[#This Row],[Hr.]]+BASE_DATOS[[#This Row],[Horas Acumuladas]])</f>
        <v/>
      </c>
      <c r="AJ227" s="364" t="str">
        <f>IFERROR(BASE_DATOS[[#This Row],[Precio US$]]/BASE_DATOS[[#This Row],[Horas Rodadas]],"")</f>
        <v/>
      </c>
      <c r="AK227" s="365" t="str">
        <f>IFERROR(BASE_DATOS[[#This Row],[Horas Rodadas]]/(BASE_DATOS[[#This Row],[NSK Original]]-BASE_DATOS[[#This Row],[NSK]]),"")</f>
        <v/>
      </c>
      <c r="AL22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27" s="366" t="str">
        <f>IFERROR(BASE_DATOS[[#This Row],[Precio US$]]/BASE_DATOS[[#This Row],[Horas Proy.]],"")</f>
        <v/>
      </c>
      <c r="AN227" s="176" t="str">
        <f>IF(OR(BASE_DATOS[[#This Row],[Km.]]="",BASE_DATOS[[#This Row],[Km. Actual]]=""),"",BASE_DATOS[[#This Row],[Km. Actual]]-BASE_DATOS[[#This Row],[Km.]]+BASE_DATOS[[#This Row],[Kilómetros Acumulados]])</f>
        <v/>
      </c>
      <c r="AO227" s="177" t="str">
        <f>IFERROR(BASE_DATOS[[#This Row],[Precio US$]]/BASE_DATOS[[#This Row],[Kilómetros Rodados]],"")</f>
        <v/>
      </c>
      <c r="AP227" s="176" t="str">
        <f>IFERROR(BASE_DATOS[[#This Row],[Kilómetros Rodados]]/(BASE_DATOS[[#This Row],[NSK Original]]-BASE_DATOS[[#This Row],[NSK]]),"")</f>
        <v/>
      </c>
      <c r="AQ22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27" s="177" t="str">
        <f>IFERROR(BASE_DATOS[[#This Row],[Precio US$]]/BASE_DATOS[[#This Row],[Kilómetros Proy.]],"")</f>
        <v/>
      </c>
      <c r="AS227" s="167" t="s">
        <v>62</v>
      </c>
      <c r="AT227" s="167"/>
      <c r="AU227" s="167"/>
      <c r="AV227" s="167"/>
      <c r="AW227" s="179"/>
      <c r="AX227" s="179"/>
      <c r="AY227" s="179" t="str">
        <f>CONCATENATE(BASE_DATOS[[#This Row],[Código_U]]&amp;BASE_DATOS[[#This Row],[Pos.]]&amp;BASE_DATOS[[#This Row],[Situación Actual]])</f>
        <v>SR-1404Rodando</v>
      </c>
    </row>
    <row r="228" spans="1:51" ht="12" x14ac:dyDescent="0.25">
      <c r="A228" s="227" t="s">
        <v>155</v>
      </c>
      <c r="B228" s="217" t="s">
        <v>156</v>
      </c>
      <c r="C228" s="228" t="s">
        <v>295</v>
      </c>
      <c r="D228" s="229" t="s">
        <v>87</v>
      </c>
      <c r="E228" s="255"/>
      <c r="F228" s="256" t="s">
        <v>97</v>
      </c>
      <c r="G228" s="256" t="s">
        <v>269</v>
      </c>
      <c r="H228" s="257" t="str">
        <f>IF(BASE_DATOS[[#This Row],[N-R]]="N",BASE_DATOS[[#This Row],[Diseño]],"Reencauche")</f>
        <v>AGC28</v>
      </c>
      <c r="I228" s="256" t="s">
        <v>270</v>
      </c>
      <c r="J228" s="243" t="s">
        <v>72</v>
      </c>
      <c r="K228" s="258">
        <v>16.5</v>
      </c>
      <c r="L228" s="256">
        <v>110</v>
      </c>
      <c r="M228" s="259"/>
      <c r="N228" s="260"/>
      <c r="O228" s="277"/>
      <c r="P228" s="278"/>
      <c r="Q228" s="279"/>
      <c r="R228" s="309" t="s">
        <v>102</v>
      </c>
      <c r="S228" s="310">
        <v>45385</v>
      </c>
      <c r="T228" s="313"/>
      <c r="U228" s="279"/>
      <c r="V228" s="227">
        <v>13</v>
      </c>
      <c r="W228" s="281">
        <v>12</v>
      </c>
      <c r="X228" s="282">
        <v>12</v>
      </c>
      <c r="Y228" s="293">
        <f t="shared" si="8"/>
        <v>12</v>
      </c>
      <c r="Z228" s="175" t="s">
        <v>85</v>
      </c>
      <c r="AA228" s="342">
        <f>IFERROR(BASE_DATOS[[#This Row],[NSK Original]]-BASE_DATOS[[#This Row],[NSK]]," ")</f>
        <v>4.5</v>
      </c>
      <c r="AB228" s="343">
        <f>'NSK-TRACTO'!$A$2</f>
        <v>6</v>
      </c>
      <c r="AC228" s="343">
        <f>IF(BASE_DATOS[[#This Row],[NSK]]&gt;=BASE_DATOS[[#This Row],[NSK Reen]],BASE_DATOS[[#This Row],[NSK Reen]],BASE_DATOS[[#This Row],[NSK]])</f>
        <v>6</v>
      </c>
      <c r="AD228" s="344">
        <f>IFERROR(100%-(BASE_DATOS[[#This Row],[NSK Reen]]/BASE_DATOS[[#This Row],[NSK Original]]),"")</f>
        <v>0.63636363636363635</v>
      </c>
      <c r="AE228" s="344">
        <f>IFERROR(100%-BASE_DATOS[[#This Row],[NSK]]/BASE_DATOS[[#This Row],[NSK Original]],"")</f>
        <v>0.27272727272727271</v>
      </c>
      <c r="AF228" s="344">
        <f>IFERROR(BASE_DATOS[[#This Row],[% Max Des.]]-BASE_DATOS[[#This Row],[% Des]],"")</f>
        <v>0.36363636363636365</v>
      </c>
      <c r="AG228" s="287"/>
      <c r="AH228" s="273"/>
      <c r="AI228" s="363" t="str">
        <f>IF(OR(BASE_DATOS[[#This Row],[Hr.]]="",BASE_DATOS[[#This Row],[Hr. Actual]]=""),"",BASE_DATOS[[#This Row],[Hr. Actual]]-BASE_DATOS[[#This Row],[Hr.]]+BASE_DATOS[[#This Row],[Horas Acumuladas]])</f>
        <v/>
      </c>
      <c r="AJ228" s="364" t="str">
        <f>IFERROR(BASE_DATOS[[#This Row],[Precio US$]]/BASE_DATOS[[#This Row],[Horas Rodadas]],"")</f>
        <v/>
      </c>
      <c r="AK228" s="365" t="str">
        <f>IFERROR(BASE_DATOS[[#This Row],[Horas Rodadas]]/(BASE_DATOS[[#This Row],[NSK Original]]-BASE_DATOS[[#This Row],[NSK]]),"")</f>
        <v/>
      </c>
      <c r="AL22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28" s="366" t="str">
        <f>IFERROR(BASE_DATOS[[#This Row],[Precio US$]]/BASE_DATOS[[#This Row],[Horas Proy.]],"")</f>
        <v/>
      </c>
      <c r="AN228" s="176" t="str">
        <f>IF(OR(BASE_DATOS[[#This Row],[Km.]]="",BASE_DATOS[[#This Row],[Km. Actual]]=""),"",BASE_DATOS[[#This Row],[Km. Actual]]-BASE_DATOS[[#This Row],[Km.]]+BASE_DATOS[[#This Row],[Kilómetros Acumulados]])</f>
        <v/>
      </c>
      <c r="AO228" s="177" t="str">
        <f>IFERROR(BASE_DATOS[[#This Row],[Precio US$]]/BASE_DATOS[[#This Row],[Kilómetros Rodados]],"")</f>
        <v/>
      </c>
      <c r="AP228" s="176" t="str">
        <f>IFERROR(BASE_DATOS[[#This Row],[Kilómetros Rodados]]/(BASE_DATOS[[#This Row],[NSK Original]]-BASE_DATOS[[#This Row],[NSK]]),"")</f>
        <v/>
      </c>
      <c r="AQ22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28" s="177" t="str">
        <f>IFERROR(BASE_DATOS[[#This Row],[Precio US$]]/BASE_DATOS[[#This Row],[Kilómetros Proy.]],"")</f>
        <v/>
      </c>
      <c r="AS228" s="167" t="s">
        <v>62</v>
      </c>
      <c r="AT228" s="167"/>
      <c r="AU228" s="167"/>
      <c r="AV228" s="167"/>
      <c r="AW228" s="179"/>
      <c r="AX228" s="179"/>
      <c r="AY228" s="179" t="str">
        <f>CONCATENATE(BASE_DATOS[[#This Row],[Código_U]]&amp;BASE_DATOS[[#This Row],[Pos.]]&amp;BASE_DATOS[[#This Row],[Situación Actual]])</f>
        <v>SR-1405Rodando</v>
      </c>
    </row>
    <row r="229" spans="1:51" ht="12" x14ac:dyDescent="0.25">
      <c r="A229" s="227" t="s">
        <v>155</v>
      </c>
      <c r="B229" s="217" t="s">
        <v>156</v>
      </c>
      <c r="C229" s="228" t="s">
        <v>295</v>
      </c>
      <c r="D229" s="229" t="s">
        <v>87</v>
      </c>
      <c r="E229" s="255"/>
      <c r="F229" s="256" t="s">
        <v>97</v>
      </c>
      <c r="G229" s="256" t="s">
        <v>269</v>
      </c>
      <c r="H229" s="257" t="str">
        <f>IF(BASE_DATOS[[#This Row],[N-R]]="N",BASE_DATOS[[#This Row],[Diseño]],"Reencauche")</f>
        <v>AGC28</v>
      </c>
      <c r="I229" s="256" t="s">
        <v>270</v>
      </c>
      <c r="J229" s="243" t="s">
        <v>72</v>
      </c>
      <c r="K229" s="258">
        <v>16.5</v>
      </c>
      <c r="L229" s="256">
        <v>110</v>
      </c>
      <c r="M229" s="259"/>
      <c r="N229" s="260"/>
      <c r="O229" s="277"/>
      <c r="P229" s="278"/>
      <c r="Q229" s="279"/>
      <c r="R229" s="309" t="s">
        <v>103</v>
      </c>
      <c r="S229" s="310">
        <v>45385</v>
      </c>
      <c r="T229" s="313"/>
      <c r="U229" s="279"/>
      <c r="V229" s="227">
        <v>13</v>
      </c>
      <c r="W229" s="281">
        <v>13</v>
      </c>
      <c r="X229" s="282">
        <v>13</v>
      </c>
      <c r="Y229" s="293">
        <f t="shared" si="8"/>
        <v>13</v>
      </c>
      <c r="Z229" s="175" t="s">
        <v>85</v>
      </c>
      <c r="AA229" s="342">
        <f>IFERROR(BASE_DATOS[[#This Row],[NSK Original]]-BASE_DATOS[[#This Row],[NSK]]," ")</f>
        <v>3.5</v>
      </c>
      <c r="AB229" s="343">
        <f>'NSK-TRACTO'!$A$2</f>
        <v>6</v>
      </c>
      <c r="AC229" s="343">
        <f>IF(BASE_DATOS[[#This Row],[NSK]]&gt;=BASE_DATOS[[#This Row],[NSK Reen]],BASE_DATOS[[#This Row],[NSK Reen]],BASE_DATOS[[#This Row],[NSK]])</f>
        <v>6</v>
      </c>
      <c r="AD229" s="344">
        <f>IFERROR(100%-(BASE_DATOS[[#This Row],[NSK Reen]]/BASE_DATOS[[#This Row],[NSK Original]]),"")</f>
        <v>0.63636363636363635</v>
      </c>
      <c r="AE229" s="344">
        <f>IFERROR(100%-BASE_DATOS[[#This Row],[NSK]]/BASE_DATOS[[#This Row],[NSK Original]],"")</f>
        <v>0.21212121212121215</v>
      </c>
      <c r="AF229" s="344">
        <f>IFERROR(BASE_DATOS[[#This Row],[% Max Des.]]-BASE_DATOS[[#This Row],[% Des]],"")</f>
        <v>0.4242424242424242</v>
      </c>
      <c r="AG229" s="287"/>
      <c r="AH229" s="273"/>
      <c r="AI229" s="363" t="str">
        <f>IF(OR(BASE_DATOS[[#This Row],[Hr.]]="",BASE_DATOS[[#This Row],[Hr. Actual]]=""),"",BASE_DATOS[[#This Row],[Hr. Actual]]-BASE_DATOS[[#This Row],[Hr.]]+BASE_DATOS[[#This Row],[Horas Acumuladas]])</f>
        <v/>
      </c>
      <c r="AJ229" s="364" t="str">
        <f>IFERROR(BASE_DATOS[[#This Row],[Precio US$]]/BASE_DATOS[[#This Row],[Horas Rodadas]],"")</f>
        <v/>
      </c>
      <c r="AK229" s="365" t="str">
        <f>IFERROR(BASE_DATOS[[#This Row],[Horas Rodadas]]/(BASE_DATOS[[#This Row],[NSK Original]]-BASE_DATOS[[#This Row],[NSK]]),"")</f>
        <v/>
      </c>
      <c r="AL22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29" s="366" t="str">
        <f>IFERROR(BASE_DATOS[[#This Row],[Precio US$]]/BASE_DATOS[[#This Row],[Horas Proy.]],"")</f>
        <v/>
      </c>
      <c r="AN229" s="176" t="str">
        <f>IF(OR(BASE_DATOS[[#This Row],[Km.]]="",BASE_DATOS[[#This Row],[Km. Actual]]=""),"",BASE_DATOS[[#This Row],[Km. Actual]]-BASE_DATOS[[#This Row],[Km.]]+BASE_DATOS[[#This Row],[Kilómetros Acumulados]])</f>
        <v/>
      </c>
      <c r="AO229" s="177" t="str">
        <f>IFERROR(BASE_DATOS[[#This Row],[Precio US$]]/BASE_DATOS[[#This Row],[Kilómetros Rodados]],"")</f>
        <v/>
      </c>
      <c r="AP229" s="176" t="str">
        <f>IFERROR(BASE_DATOS[[#This Row],[Kilómetros Rodados]]/(BASE_DATOS[[#This Row],[NSK Original]]-BASE_DATOS[[#This Row],[NSK]]),"")</f>
        <v/>
      </c>
      <c r="AQ22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29" s="177" t="str">
        <f>IFERROR(BASE_DATOS[[#This Row],[Precio US$]]/BASE_DATOS[[#This Row],[Kilómetros Proy.]],"")</f>
        <v/>
      </c>
      <c r="AS229" s="167" t="s">
        <v>62</v>
      </c>
      <c r="AT229" s="167"/>
      <c r="AU229" s="167"/>
      <c r="AV229" s="167"/>
      <c r="AW229" s="179"/>
      <c r="AX229" s="179"/>
      <c r="AY229" s="179" t="str">
        <f>CONCATENATE(BASE_DATOS[[#This Row],[Código_U]]&amp;BASE_DATOS[[#This Row],[Pos.]]&amp;BASE_DATOS[[#This Row],[Situación Actual]])</f>
        <v>SR-1406Rodando</v>
      </c>
    </row>
    <row r="230" spans="1:51" ht="12" x14ac:dyDescent="0.25">
      <c r="A230" s="227" t="s">
        <v>155</v>
      </c>
      <c r="B230" s="217" t="s">
        <v>156</v>
      </c>
      <c r="C230" s="228" t="s">
        <v>295</v>
      </c>
      <c r="D230" s="229" t="s">
        <v>384</v>
      </c>
      <c r="E230" s="255"/>
      <c r="F230" s="256" t="s">
        <v>273</v>
      </c>
      <c r="G230" s="256" t="s">
        <v>274</v>
      </c>
      <c r="H230" s="257" t="str">
        <f>IF(BASE_DATOS[[#This Row],[N-R]]="N",BASE_DATOS[[#This Row],[Diseño]],"Reencauche")</f>
        <v>Reencauche</v>
      </c>
      <c r="I230" s="256" t="s">
        <v>275</v>
      </c>
      <c r="J230" s="243" t="s">
        <v>82</v>
      </c>
      <c r="K230" s="258">
        <v>19</v>
      </c>
      <c r="L230" s="256">
        <v>110</v>
      </c>
      <c r="M230" s="259"/>
      <c r="N230" s="260"/>
      <c r="O230" s="277"/>
      <c r="P230" s="278"/>
      <c r="Q230" s="279"/>
      <c r="R230" s="304" t="s">
        <v>509</v>
      </c>
      <c r="S230" s="310">
        <v>45385</v>
      </c>
      <c r="T230" s="313"/>
      <c r="U230" s="279"/>
      <c r="V230" s="227">
        <v>12</v>
      </c>
      <c r="W230" s="281">
        <v>13</v>
      </c>
      <c r="X230" s="282">
        <v>12</v>
      </c>
      <c r="Y230" s="293">
        <f t="shared" si="8"/>
        <v>12</v>
      </c>
      <c r="Z230" s="175" t="s">
        <v>85</v>
      </c>
      <c r="AA230" s="342">
        <f>IFERROR(BASE_DATOS[[#This Row],[NSK Original]]-BASE_DATOS[[#This Row],[NSK]]," ")</f>
        <v>7</v>
      </c>
      <c r="AB230" s="343">
        <f>'NSK-TRACTO'!$A$2</f>
        <v>6</v>
      </c>
      <c r="AC230" s="343">
        <f>IF(BASE_DATOS[[#This Row],[NSK]]&gt;=BASE_DATOS[[#This Row],[NSK Reen]],BASE_DATOS[[#This Row],[NSK Reen]],BASE_DATOS[[#This Row],[NSK]])</f>
        <v>6</v>
      </c>
      <c r="AD230" s="344">
        <f>IFERROR(100%-(BASE_DATOS[[#This Row],[NSK Reen]]/BASE_DATOS[[#This Row],[NSK Original]]),"")</f>
        <v>0.68421052631578949</v>
      </c>
      <c r="AE230" s="344">
        <f>IFERROR(100%-BASE_DATOS[[#This Row],[NSK]]/BASE_DATOS[[#This Row],[NSK Original]],"")</f>
        <v>0.36842105263157898</v>
      </c>
      <c r="AF230" s="344">
        <f>IFERROR(BASE_DATOS[[#This Row],[% Max Des.]]-BASE_DATOS[[#This Row],[% Des]],"")</f>
        <v>0.31578947368421051</v>
      </c>
      <c r="AG230" s="287"/>
      <c r="AH230" s="273"/>
      <c r="AI230" s="363" t="str">
        <f>IF(OR(BASE_DATOS[[#This Row],[Hr.]]="",BASE_DATOS[[#This Row],[Hr. Actual]]=""),"",BASE_DATOS[[#This Row],[Hr. Actual]]-BASE_DATOS[[#This Row],[Hr.]]+BASE_DATOS[[#This Row],[Horas Acumuladas]])</f>
        <v/>
      </c>
      <c r="AJ230" s="364" t="str">
        <f>IFERROR(BASE_DATOS[[#This Row],[Precio US$]]/BASE_DATOS[[#This Row],[Horas Rodadas]],"")</f>
        <v/>
      </c>
      <c r="AK230" s="365" t="str">
        <f>IFERROR(BASE_DATOS[[#This Row],[Horas Rodadas]]/(BASE_DATOS[[#This Row],[NSK Original]]-BASE_DATOS[[#This Row],[NSK]]),"")</f>
        <v/>
      </c>
      <c r="AL23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30" s="366" t="str">
        <f>IFERROR(BASE_DATOS[[#This Row],[Precio US$]]/BASE_DATOS[[#This Row],[Horas Proy.]],"")</f>
        <v/>
      </c>
      <c r="AN230" s="176" t="str">
        <f>IF(OR(BASE_DATOS[[#This Row],[Km.]]="",BASE_DATOS[[#This Row],[Km. Actual]]=""),"",BASE_DATOS[[#This Row],[Km. Actual]]-BASE_DATOS[[#This Row],[Km.]]+BASE_DATOS[[#This Row],[Kilómetros Acumulados]])</f>
        <v/>
      </c>
      <c r="AO230" s="177" t="str">
        <f>IFERROR(BASE_DATOS[[#This Row],[Precio US$]]/BASE_DATOS[[#This Row],[Kilómetros Rodados]],"")</f>
        <v/>
      </c>
      <c r="AP230" s="176" t="str">
        <f>IFERROR(BASE_DATOS[[#This Row],[Kilómetros Rodados]]/(BASE_DATOS[[#This Row],[NSK Original]]-BASE_DATOS[[#This Row],[NSK]]),"")</f>
        <v/>
      </c>
      <c r="AQ23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30" s="177" t="str">
        <f>IFERROR(BASE_DATOS[[#This Row],[Precio US$]]/BASE_DATOS[[#This Row],[Kilómetros Proy.]],"")</f>
        <v/>
      </c>
      <c r="AS230" s="167" t="s">
        <v>62</v>
      </c>
      <c r="AT230" s="167"/>
      <c r="AU230" s="167"/>
      <c r="AV230" s="167"/>
      <c r="AW230" s="179"/>
      <c r="AX230" s="179"/>
      <c r="AY230" s="179" t="str">
        <f>CONCATENATE(BASE_DATOS[[#This Row],[Código_U]]&amp;BASE_DATOS[[#This Row],[Pos.]]&amp;BASE_DATOS[[#This Row],[Situación Actual]])</f>
        <v>SR-140RERodando</v>
      </c>
    </row>
    <row r="231" spans="1:51" ht="12" x14ac:dyDescent="0.25">
      <c r="A231" s="227" t="s">
        <v>155</v>
      </c>
      <c r="B231" s="217" t="s">
        <v>156</v>
      </c>
      <c r="C231" s="228" t="s">
        <v>295</v>
      </c>
      <c r="D231" s="229" t="s">
        <v>108</v>
      </c>
      <c r="E231" s="255"/>
      <c r="F231" s="256" t="s">
        <v>273</v>
      </c>
      <c r="G231" s="256" t="s">
        <v>271</v>
      </c>
      <c r="H231" s="257" t="str">
        <f>IF(BASE_DATOS[[#This Row],[N-R]]="N",BASE_DATOS[[#This Row],[Diseño]],"Reencauche")</f>
        <v>XMULTI2D</v>
      </c>
      <c r="I231" s="256" t="s">
        <v>299</v>
      </c>
      <c r="J231" s="243" t="s">
        <v>72</v>
      </c>
      <c r="K231" s="258">
        <v>21.4</v>
      </c>
      <c r="L231" s="256">
        <v>110</v>
      </c>
      <c r="M231" s="259"/>
      <c r="N231" s="260"/>
      <c r="O231" s="277"/>
      <c r="P231" s="278"/>
      <c r="Q231" s="279"/>
      <c r="R231" s="309" t="s">
        <v>108</v>
      </c>
      <c r="S231" s="310">
        <v>45385</v>
      </c>
      <c r="T231" s="313"/>
      <c r="U231" s="279"/>
      <c r="V231" s="227">
        <v>15</v>
      </c>
      <c r="W231" s="281"/>
      <c r="X231" s="282">
        <v>15</v>
      </c>
      <c r="Y231" s="293">
        <f t="shared" ref="Y231:Y245" si="9">IFERROR(MIN(V231:X231),"")</f>
        <v>15</v>
      </c>
      <c r="Z231" s="175" t="s">
        <v>85</v>
      </c>
      <c r="AA231" s="342">
        <f>IFERROR(BASE_DATOS[[#This Row],[NSK Original]]-BASE_DATOS[[#This Row],[NSK]]," ")</f>
        <v>6.3999999999999986</v>
      </c>
      <c r="AB231" s="343">
        <f>'NSK-TRACTO'!$A$2</f>
        <v>6</v>
      </c>
      <c r="AC231" s="343">
        <f>IF(BASE_DATOS[[#This Row],[NSK]]&gt;=BASE_DATOS[[#This Row],[NSK Reen]],BASE_DATOS[[#This Row],[NSK Reen]],BASE_DATOS[[#This Row],[NSK]])</f>
        <v>6</v>
      </c>
      <c r="AD231" s="344">
        <f>IFERROR(100%-(BASE_DATOS[[#This Row],[NSK Reen]]/BASE_DATOS[[#This Row],[NSK Original]]),"")</f>
        <v>0.71962616822429903</v>
      </c>
      <c r="AE231" s="344">
        <f>IFERROR(100%-BASE_DATOS[[#This Row],[NSK]]/BASE_DATOS[[#This Row],[NSK Original]],"")</f>
        <v>0.29906542056074759</v>
      </c>
      <c r="AF231" s="344">
        <f>IFERROR(BASE_DATOS[[#This Row],[% Max Des.]]-BASE_DATOS[[#This Row],[% Des]],"")</f>
        <v>0.42056074766355145</v>
      </c>
      <c r="AG231" s="287"/>
      <c r="AH231" s="273"/>
      <c r="AI231" s="363" t="str">
        <f>IF(OR(BASE_DATOS[[#This Row],[Hr.]]="",BASE_DATOS[[#This Row],[Hr. Actual]]=""),"",BASE_DATOS[[#This Row],[Hr. Actual]]-BASE_DATOS[[#This Row],[Hr.]]+BASE_DATOS[[#This Row],[Horas Acumuladas]])</f>
        <v/>
      </c>
      <c r="AJ231" s="364" t="str">
        <f>IFERROR(BASE_DATOS[[#This Row],[Precio US$]]/BASE_DATOS[[#This Row],[Horas Rodadas]],"")</f>
        <v/>
      </c>
      <c r="AK231" s="365" t="str">
        <f>IFERROR(BASE_DATOS[[#This Row],[Horas Rodadas]]/(BASE_DATOS[[#This Row],[NSK Original]]-BASE_DATOS[[#This Row],[NSK]]),"")</f>
        <v/>
      </c>
      <c r="AL23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31" s="366" t="str">
        <f>IFERROR(BASE_DATOS[[#This Row],[Precio US$]]/BASE_DATOS[[#This Row],[Horas Proy.]],"")</f>
        <v/>
      </c>
      <c r="AN231" s="176" t="str">
        <f>IF(OR(BASE_DATOS[[#This Row],[Km.]]="",BASE_DATOS[[#This Row],[Km. Actual]]=""),"",BASE_DATOS[[#This Row],[Km. Actual]]-BASE_DATOS[[#This Row],[Km.]]+BASE_DATOS[[#This Row],[Kilómetros Acumulados]])</f>
        <v/>
      </c>
      <c r="AO231" s="177" t="str">
        <f>IFERROR(BASE_DATOS[[#This Row],[Precio US$]]/BASE_DATOS[[#This Row],[Kilómetros Rodados]],"")</f>
        <v/>
      </c>
      <c r="AP231" s="176" t="str">
        <f>IFERROR(BASE_DATOS[[#This Row],[Kilómetros Rodados]]/(BASE_DATOS[[#This Row],[NSK Original]]-BASE_DATOS[[#This Row],[NSK]]),"")</f>
        <v/>
      </c>
      <c r="AQ23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31" s="177" t="str">
        <f>IFERROR(BASE_DATOS[[#This Row],[Precio US$]]/BASE_DATOS[[#This Row],[Kilómetros Proy.]],"")</f>
        <v/>
      </c>
      <c r="AS231" s="167" t="s">
        <v>62</v>
      </c>
      <c r="AT231" s="167"/>
      <c r="AU231" s="167"/>
      <c r="AV231" s="167"/>
      <c r="AW231" s="179"/>
      <c r="AX231" s="179"/>
      <c r="AY231" s="179" t="str">
        <f>CONCATENATE(BASE_DATOS[[#This Row],[Código_U]]&amp;BASE_DATOS[[#This Row],[Pos.]]&amp;BASE_DATOS[[#This Row],[Situación Actual]])</f>
        <v>SR-140RTRodando</v>
      </c>
    </row>
    <row r="232" spans="1:51" ht="12" x14ac:dyDescent="0.25">
      <c r="A232" s="224" t="s">
        <v>157</v>
      </c>
      <c r="B232" s="213" t="s">
        <v>158</v>
      </c>
      <c r="C232" s="225" t="s">
        <v>295</v>
      </c>
      <c r="D232" s="226" t="s">
        <v>87</v>
      </c>
      <c r="E232" s="249"/>
      <c r="F232" s="250" t="s">
        <v>97</v>
      </c>
      <c r="G232" s="250" t="s">
        <v>269</v>
      </c>
      <c r="H232" s="251" t="str">
        <f>IF(BASE_DATOS[[#This Row],[N-R]]="N",BASE_DATOS[[#This Row],[Diseño]],"Reencauche")</f>
        <v>Reencauche</v>
      </c>
      <c r="I232" s="250" t="s">
        <v>275</v>
      </c>
      <c r="J232" s="235" t="s">
        <v>82</v>
      </c>
      <c r="K232" s="252">
        <v>20</v>
      </c>
      <c r="L232" s="250">
        <v>110</v>
      </c>
      <c r="M232" s="253"/>
      <c r="N232" s="254"/>
      <c r="O232" s="274"/>
      <c r="P232" s="275"/>
      <c r="Q232" s="276"/>
      <c r="R232" s="305" t="s">
        <v>98</v>
      </c>
      <c r="S232" s="306">
        <v>45385</v>
      </c>
      <c r="T232" s="314"/>
      <c r="U232" s="276"/>
      <c r="V232" s="224">
        <v>19</v>
      </c>
      <c r="W232" s="325">
        <v>18</v>
      </c>
      <c r="X232" s="326">
        <v>18</v>
      </c>
      <c r="Y232" s="292">
        <f t="shared" si="9"/>
        <v>18</v>
      </c>
      <c r="Z232" s="194" t="s">
        <v>85</v>
      </c>
      <c r="AA232" s="339">
        <f>IFERROR(BASE_DATOS[[#This Row],[NSK Original]]-BASE_DATOS[[#This Row],[NSK]]," ")</f>
        <v>2</v>
      </c>
      <c r="AB232" s="340">
        <f>'NSK-TRACTO'!$A$2</f>
        <v>6</v>
      </c>
      <c r="AC232" s="340">
        <f>IF(BASE_DATOS[[#This Row],[NSK]]&gt;=BASE_DATOS[[#This Row],[NSK Reen]],BASE_DATOS[[#This Row],[NSK Reen]],BASE_DATOS[[#This Row],[NSK]])</f>
        <v>6</v>
      </c>
      <c r="AD232" s="341">
        <f>IFERROR(100%-(BASE_DATOS[[#This Row],[NSK Reen]]/BASE_DATOS[[#This Row],[NSK Original]]),"")</f>
        <v>0.7</v>
      </c>
      <c r="AE232" s="341">
        <f>IFERROR(100%-BASE_DATOS[[#This Row],[NSK]]/BASE_DATOS[[#This Row],[NSK Original]],"")</f>
        <v>9.9999999999999978E-2</v>
      </c>
      <c r="AF232" s="341">
        <f>IFERROR(BASE_DATOS[[#This Row],[% Max Des.]]-BASE_DATOS[[#This Row],[% Des]],"")</f>
        <v>0.6</v>
      </c>
      <c r="AG232" s="284"/>
      <c r="AH232" s="335"/>
      <c r="AI232" s="359" t="str">
        <f>IF(OR(BASE_DATOS[[#This Row],[Hr.]]="",BASE_DATOS[[#This Row],[Hr. Actual]]=""),"",BASE_DATOS[[#This Row],[Hr. Actual]]-BASE_DATOS[[#This Row],[Hr.]]+BASE_DATOS[[#This Row],[Horas Acumuladas]])</f>
        <v/>
      </c>
      <c r="AJ232" s="360" t="str">
        <f>IFERROR(BASE_DATOS[[#This Row],[Precio US$]]/BASE_DATOS[[#This Row],[Horas Rodadas]],"")</f>
        <v/>
      </c>
      <c r="AK232" s="361" t="str">
        <f>IFERROR(BASE_DATOS[[#This Row],[Horas Rodadas]]/(BASE_DATOS[[#This Row],[NSK Original]]-BASE_DATOS[[#This Row],[NSK]]),"")</f>
        <v/>
      </c>
      <c r="AL232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32" s="362" t="str">
        <f>IFERROR(BASE_DATOS[[#This Row],[Precio US$]]/BASE_DATOS[[#This Row],[Horas Proy.]],"")</f>
        <v/>
      </c>
      <c r="AN232" s="195" t="str">
        <f>IF(OR(BASE_DATOS[[#This Row],[Km.]]="",BASE_DATOS[[#This Row],[Km. Actual]]=""),"",BASE_DATOS[[#This Row],[Km. Actual]]-BASE_DATOS[[#This Row],[Km.]]+BASE_DATOS[[#This Row],[Kilómetros Acumulados]])</f>
        <v/>
      </c>
      <c r="AO232" s="196" t="str">
        <f>IFERROR(BASE_DATOS[[#This Row],[Precio US$]]/BASE_DATOS[[#This Row],[Kilómetros Rodados]],"")</f>
        <v/>
      </c>
      <c r="AP232" s="195" t="str">
        <f>IFERROR(BASE_DATOS[[#This Row],[Kilómetros Rodados]]/(BASE_DATOS[[#This Row],[NSK Original]]-BASE_DATOS[[#This Row],[NSK]]),"")</f>
        <v/>
      </c>
      <c r="AQ232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32" s="196" t="str">
        <f>IFERROR(BASE_DATOS[[#This Row],[Precio US$]]/BASE_DATOS[[#This Row],[Kilómetros Proy.]],"")</f>
        <v/>
      </c>
      <c r="AS232" s="191" t="s">
        <v>62</v>
      </c>
      <c r="AT232" s="191"/>
      <c r="AU232" s="191"/>
      <c r="AV232" s="191"/>
      <c r="AW232" s="198"/>
      <c r="AX232" s="198"/>
      <c r="AY232" s="198" t="str">
        <f>CONCATENATE(BASE_DATOS[[#This Row],[Código_U]]&amp;BASE_DATOS[[#This Row],[Pos.]]&amp;BASE_DATOS[[#This Row],[Situación Actual]])</f>
        <v>SR-1441Rodando</v>
      </c>
    </row>
    <row r="233" spans="1:51" ht="12" x14ac:dyDescent="0.25">
      <c r="A233" s="227" t="s">
        <v>157</v>
      </c>
      <c r="B233" s="217" t="s">
        <v>158</v>
      </c>
      <c r="C233" s="228" t="s">
        <v>295</v>
      </c>
      <c r="D233" s="229" t="s">
        <v>87</v>
      </c>
      <c r="E233" s="255"/>
      <c r="F233" s="256" t="s">
        <v>97</v>
      </c>
      <c r="G233" s="256" t="s">
        <v>269</v>
      </c>
      <c r="H233" s="257" t="str">
        <f>IF(BASE_DATOS[[#This Row],[N-R]]="N",BASE_DATOS[[#This Row],[Diseño]],"Reencauche")</f>
        <v>Reencauche</v>
      </c>
      <c r="I233" s="256" t="s">
        <v>275</v>
      </c>
      <c r="J233" s="243" t="s">
        <v>82</v>
      </c>
      <c r="K233" s="258">
        <v>20</v>
      </c>
      <c r="L233" s="256">
        <v>110</v>
      </c>
      <c r="M233" s="259"/>
      <c r="N233" s="260"/>
      <c r="O233" s="277"/>
      <c r="P233" s="278"/>
      <c r="Q233" s="279"/>
      <c r="R233" s="309" t="s">
        <v>99</v>
      </c>
      <c r="S233" s="310">
        <v>45385</v>
      </c>
      <c r="T233" s="313"/>
      <c r="U233" s="279"/>
      <c r="V233" s="227">
        <v>18</v>
      </c>
      <c r="W233" s="281">
        <v>19</v>
      </c>
      <c r="X233" s="282">
        <v>19</v>
      </c>
      <c r="Y233" s="293">
        <f t="shared" si="9"/>
        <v>18</v>
      </c>
      <c r="Z233" s="175" t="s">
        <v>85</v>
      </c>
      <c r="AA233" s="342">
        <f>IFERROR(BASE_DATOS[[#This Row],[NSK Original]]-BASE_DATOS[[#This Row],[NSK]]," ")</f>
        <v>2</v>
      </c>
      <c r="AB233" s="343">
        <f>'NSK-TRACTO'!$A$2</f>
        <v>6</v>
      </c>
      <c r="AC233" s="343">
        <f>IF(BASE_DATOS[[#This Row],[NSK]]&gt;=BASE_DATOS[[#This Row],[NSK Reen]],BASE_DATOS[[#This Row],[NSK Reen]],BASE_DATOS[[#This Row],[NSK]])</f>
        <v>6</v>
      </c>
      <c r="AD233" s="344">
        <f>IFERROR(100%-(BASE_DATOS[[#This Row],[NSK Reen]]/BASE_DATOS[[#This Row],[NSK Original]]),"")</f>
        <v>0.7</v>
      </c>
      <c r="AE233" s="344">
        <f>IFERROR(100%-BASE_DATOS[[#This Row],[NSK]]/BASE_DATOS[[#This Row],[NSK Original]],"")</f>
        <v>9.9999999999999978E-2</v>
      </c>
      <c r="AF233" s="344">
        <f>IFERROR(BASE_DATOS[[#This Row],[% Max Des.]]-BASE_DATOS[[#This Row],[% Des]],"")</f>
        <v>0.6</v>
      </c>
      <c r="AG233" s="287"/>
      <c r="AH233" s="273"/>
      <c r="AI233" s="363" t="str">
        <f>IF(OR(BASE_DATOS[[#This Row],[Hr.]]="",BASE_DATOS[[#This Row],[Hr. Actual]]=""),"",BASE_DATOS[[#This Row],[Hr. Actual]]-BASE_DATOS[[#This Row],[Hr.]]+BASE_DATOS[[#This Row],[Horas Acumuladas]])</f>
        <v/>
      </c>
      <c r="AJ233" s="364" t="str">
        <f>IFERROR(BASE_DATOS[[#This Row],[Precio US$]]/BASE_DATOS[[#This Row],[Horas Rodadas]],"")</f>
        <v/>
      </c>
      <c r="AK233" s="365" t="str">
        <f>IFERROR(BASE_DATOS[[#This Row],[Horas Rodadas]]/(BASE_DATOS[[#This Row],[NSK Original]]-BASE_DATOS[[#This Row],[NSK]]),"")</f>
        <v/>
      </c>
      <c r="AL23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33" s="366" t="str">
        <f>IFERROR(BASE_DATOS[[#This Row],[Precio US$]]/BASE_DATOS[[#This Row],[Horas Proy.]],"")</f>
        <v/>
      </c>
      <c r="AN233" s="176" t="str">
        <f>IF(OR(BASE_DATOS[[#This Row],[Km.]]="",BASE_DATOS[[#This Row],[Km. Actual]]=""),"",BASE_DATOS[[#This Row],[Km. Actual]]-BASE_DATOS[[#This Row],[Km.]]+BASE_DATOS[[#This Row],[Kilómetros Acumulados]])</f>
        <v/>
      </c>
      <c r="AO233" s="177" t="str">
        <f>IFERROR(BASE_DATOS[[#This Row],[Precio US$]]/BASE_DATOS[[#This Row],[Kilómetros Rodados]],"")</f>
        <v/>
      </c>
      <c r="AP233" s="176" t="str">
        <f>IFERROR(BASE_DATOS[[#This Row],[Kilómetros Rodados]]/(BASE_DATOS[[#This Row],[NSK Original]]-BASE_DATOS[[#This Row],[NSK]]),"")</f>
        <v/>
      </c>
      <c r="AQ23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33" s="177" t="str">
        <f>IFERROR(BASE_DATOS[[#This Row],[Precio US$]]/BASE_DATOS[[#This Row],[Kilómetros Proy.]],"")</f>
        <v/>
      </c>
      <c r="AS233" s="167" t="s">
        <v>62</v>
      </c>
      <c r="AT233" s="167"/>
      <c r="AU233" s="167"/>
      <c r="AV233" s="167"/>
      <c r="AW233" s="179"/>
      <c r="AX233" s="179"/>
      <c r="AY233" s="179" t="str">
        <f>CONCATENATE(BASE_DATOS[[#This Row],[Código_U]]&amp;BASE_DATOS[[#This Row],[Pos.]]&amp;BASE_DATOS[[#This Row],[Situación Actual]])</f>
        <v>SR-1442Rodando</v>
      </c>
    </row>
    <row r="234" spans="1:51" ht="12" x14ac:dyDescent="0.25">
      <c r="A234" s="227" t="s">
        <v>157</v>
      </c>
      <c r="B234" s="217" t="s">
        <v>158</v>
      </c>
      <c r="C234" s="228" t="s">
        <v>295</v>
      </c>
      <c r="D234" s="229" t="s">
        <v>87</v>
      </c>
      <c r="E234" s="255"/>
      <c r="F234" s="256" t="s">
        <v>97</v>
      </c>
      <c r="G234" s="256" t="s">
        <v>269</v>
      </c>
      <c r="H234" s="257" t="str">
        <f>IF(BASE_DATOS[[#This Row],[N-R]]="N",BASE_DATOS[[#This Row],[Diseño]],"Reencauche")</f>
        <v>AGC28</v>
      </c>
      <c r="I234" s="256" t="s">
        <v>270</v>
      </c>
      <c r="J234" s="243" t="s">
        <v>72</v>
      </c>
      <c r="K234" s="258">
        <v>16.5</v>
      </c>
      <c r="L234" s="256">
        <v>110</v>
      </c>
      <c r="M234" s="259"/>
      <c r="N234" s="260"/>
      <c r="O234" s="277"/>
      <c r="P234" s="278"/>
      <c r="Q234" s="279"/>
      <c r="R234" s="309" t="s">
        <v>100</v>
      </c>
      <c r="S234" s="310">
        <v>45385</v>
      </c>
      <c r="T234" s="313"/>
      <c r="U234" s="279"/>
      <c r="V234" s="227">
        <v>13</v>
      </c>
      <c r="W234" s="281">
        <v>13</v>
      </c>
      <c r="X234" s="282">
        <v>13</v>
      </c>
      <c r="Y234" s="293">
        <f t="shared" si="9"/>
        <v>13</v>
      </c>
      <c r="Z234" s="175" t="s">
        <v>85</v>
      </c>
      <c r="AA234" s="342">
        <f>IFERROR(BASE_DATOS[[#This Row],[NSK Original]]-BASE_DATOS[[#This Row],[NSK]]," ")</f>
        <v>3.5</v>
      </c>
      <c r="AB234" s="343">
        <f>'NSK-TRACTO'!$A$2</f>
        <v>6</v>
      </c>
      <c r="AC234" s="343">
        <f>IF(BASE_DATOS[[#This Row],[NSK]]&gt;=BASE_DATOS[[#This Row],[NSK Reen]],BASE_DATOS[[#This Row],[NSK Reen]],BASE_DATOS[[#This Row],[NSK]])</f>
        <v>6</v>
      </c>
      <c r="AD234" s="344">
        <f>IFERROR(100%-(BASE_DATOS[[#This Row],[NSK Reen]]/BASE_DATOS[[#This Row],[NSK Original]]),"")</f>
        <v>0.63636363636363635</v>
      </c>
      <c r="AE234" s="344">
        <f>IFERROR(100%-BASE_DATOS[[#This Row],[NSK]]/BASE_DATOS[[#This Row],[NSK Original]],"")</f>
        <v>0.21212121212121215</v>
      </c>
      <c r="AF234" s="344">
        <f>IFERROR(BASE_DATOS[[#This Row],[% Max Des.]]-BASE_DATOS[[#This Row],[% Des]],"")</f>
        <v>0.4242424242424242</v>
      </c>
      <c r="AG234" s="287"/>
      <c r="AH234" s="273"/>
      <c r="AI234" s="363" t="str">
        <f>IF(OR(BASE_DATOS[[#This Row],[Hr.]]="",BASE_DATOS[[#This Row],[Hr. Actual]]=""),"",BASE_DATOS[[#This Row],[Hr. Actual]]-BASE_DATOS[[#This Row],[Hr.]]+BASE_DATOS[[#This Row],[Horas Acumuladas]])</f>
        <v/>
      </c>
      <c r="AJ234" s="364" t="str">
        <f>IFERROR(BASE_DATOS[[#This Row],[Precio US$]]/BASE_DATOS[[#This Row],[Horas Rodadas]],"")</f>
        <v/>
      </c>
      <c r="AK234" s="365" t="str">
        <f>IFERROR(BASE_DATOS[[#This Row],[Horas Rodadas]]/(BASE_DATOS[[#This Row],[NSK Original]]-BASE_DATOS[[#This Row],[NSK]]),"")</f>
        <v/>
      </c>
      <c r="AL23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34" s="366" t="str">
        <f>IFERROR(BASE_DATOS[[#This Row],[Precio US$]]/BASE_DATOS[[#This Row],[Horas Proy.]],"")</f>
        <v/>
      </c>
      <c r="AN234" s="176" t="str">
        <f>IF(OR(BASE_DATOS[[#This Row],[Km.]]="",BASE_DATOS[[#This Row],[Km. Actual]]=""),"",BASE_DATOS[[#This Row],[Km. Actual]]-BASE_DATOS[[#This Row],[Km.]]+BASE_DATOS[[#This Row],[Kilómetros Acumulados]])</f>
        <v/>
      </c>
      <c r="AO234" s="177" t="str">
        <f>IFERROR(BASE_DATOS[[#This Row],[Precio US$]]/BASE_DATOS[[#This Row],[Kilómetros Rodados]],"")</f>
        <v/>
      </c>
      <c r="AP234" s="176" t="str">
        <f>IFERROR(BASE_DATOS[[#This Row],[Kilómetros Rodados]]/(BASE_DATOS[[#This Row],[NSK Original]]-BASE_DATOS[[#This Row],[NSK]]),"")</f>
        <v/>
      </c>
      <c r="AQ23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34" s="177" t="str">
        <f>IFERROR(BASE_DATOS[[#This Row],[Precio US$]]/BASE_DATOS[[#This Row],[Kilómetros Proy.]],"")</f>
        <v/>
      </c>
      <c r="AS234" s="167" t="s">
        <v>62</v>
      </c>
      <c r="AT234" s="167"/>
      <c r="AU234" s="167"/>
      <c r="AV234" s="167"/>
      <c r="AW234" s="179"/>
      <c r="AX234" s="179"/>
      <c r="AY234" s="179" t="str">
        <f>CONCATENATE(BASE_DATOS[[#This Row],[Código_U]]&amp;BASE_DATOS[[#This Row],[Pos.]]&amp;BASE_DATOS[[#This Row],[Situación Actual]])</f>
        <v>SR-1443Rodando</v>
      </c>
    </row>
    <row r="235" spans="1:51" ht="12" x14ac:dyDescent="0.25">
      <c r="A235" s="227" t="s">
        <v>157</v>
      </c>
      <c r="B235" s="217" t="s">
        <v>158</v>
      </c>
      <c r="C235" s="228" t="s">
        <v>295</v>
      </c>
      <c r="D235" s="229" t="s">
        <v>87</v>
      </c>
      <c r="E235" s="255"/>
      <c r="F235" s="256" t="s">
        <v>97</v>
      </c>
      <c r="G235" s="256" t="s">
        <v>269</v>
      </c>
      <c r="H235" s="257" t="str">
        <f>IF(BASE_DATOS[[#This Row],[N-R]]="N",BASE_DATOS[[#This Row],[Diseño]],"Reencauche")</f>
        <v>AGC28</v>
      </c>
      <c r="I235" s="256" t="s">
        <v>270</v>
      </c>
      <c r="J235" s="243" t="s">
        <v>72</v>
      </c>
      <c r="K235" s="258">
        <v>16.5</v>
      </c>
      <c r="L235" s="256">
        <v>110</v>
      </c>
      <c r="M235" s="259"/>
      <c r="N235" s="260"/>
      <c r="O235" s="277"/>
      <c r="P235" s="278"/>
      <c r="Q235" s="279"/>
      <c r="R235" s="309" t="s">
        <v>101</v>
      </c>
      <c r="S235" s="310">
        <v>45385</v>
      </c>
      <c r="T235" s="313"/>
      <c r="U235" s="279"/>
      <c r="V235" s="227">
        <v>12</v>
      </c>
      <c r="W235" s="281">
        <v>12</v>
      </c>
      <c r="X235" s="282">
        <v>12</v>
      </c>
      <c r="Y235" s="293">
        <f t="shared" si="9"/>
        <v>12</v>
      </c>
      <c r="Z235" s="175" t="s">
        <v>85</v>
      </c>
      <c r="AA235" s="342">
        <f>IFERROR(BASE_DATOS[[#This Row],[NSK Original]]-BASE_DATOS[[#This Row],[NSK]]," ")</f>
        <v>4.5</v>
      </c>
      <c r="AB235" s="343">
        <f>'NSK-TRACTO'!$A$2</f>
        <v>6</v>
      </c>
      <c r="AC235" s="343">
        <f>IF(BASE_DATOS[[#This Row],[NSK]]&gt;=BASE_DATOS[[#This Row],[NSK Reen]],BASE_DATOS[[#This Row],[NSK Reen]],BASE_DATOS[[#This Row],[NSK]])</f>
        <v>6</v>
      </c>
      <c r="AD235" s="344">
        <f>IFERROR(100%-(BASE_DATOS[[#This Row],[NSK Reen]]/BASE_DATOS[[#This Row],[NSK Original]]),"")</f>
        <v>0.63636363636363635</v>
      </c>
      <c r="AE235" s="344">
        <f>IFERROR(100%-BASE_DATOS[[#This Row],[NSK]]/BASE_DATOS[[#This Row],[NSK Original]],"")</f>
        <v>0.27272727272727271</v>
      </c>
      <c r="AF235" s="344">
        <f>IFERROR(BASE_DATOS[[#This Row],[% Max Des.]]-BASE_DATOS[[#This Row],[% Des]],"")</f>
        <v>0.36363636363636365</v>
      </c>
      <c r="AG235" s="287"/>
      <c r="AH235" s="273"/>
      <c r="AI235" s="363" t="str">
        <f>IF(OR(BASE_DATOS[[#This Row],[Hr.]]="",BASE_DATOS[[#This Row],[Hr. Actual]]=""),"",BASE_DATOS[[#This Row],[Hr. Actual]]-BASE_DATOS[[#This Row],[Hr.]]+BASE_DATOS[[#This Row],[Horas Acumuladas]])</f>
        <v/>
      </c>
      <c r="AJ235" s="364" t="str">
        <f>IFERROR(BASE_DATOS[[#This Row],[Precio US$]]/BASE_DATOS[[#This Row],[Horas Rodadas]],"")</f>
        <v/>
      </c>
      <c r="AK235" s="365" t="str">
        <f>IFERROR(BASE_DATOS[[#This Row],[Horas Rodadas]]/(BASE_DATOS[[#This Row],[NSK Original]]-BASE_DATOS[[#This Row],[NSK]]),"")</f>
        <v/>
      </c>
      <c r="AL23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35" s="366" t="str">
        <f>IFERROR(BASE_DATOS[[#This Row],[Precio US$]]/BASE_DATOS[[#This Row],[Horas Proy.]],"")</f>
        <v/>
      </c>
      <c r="AN235" s="176" t="str">
        <f>IF(OR(BASE_DATOS[[#This Row],[Km.]]="",BASE_DATOS[[#This Row],[Km. Actual]]=""),"",BASE_DATOS[[#This Row],[Km. Actual]]-BASE_DATOS[[#This Row],[Km.]]+BASE_DATOS[[#This Row],[Kilómetros Acumulados]])</f>
        <v/>
      </c>
      <c r="AO235" s="177" t="str">
        <f>IFERROR(BASE_DATOS[[#This Row],[Precio US$]]/BASE_DATOS[[#This Row],[Kilómetros Rodados]],"")</f>
        <v/>
      </c>
      <c r="AP235" s="176" t="str">
        <f>IFERROR(BASE_DATOS[[#This Row],[Kilómetros Rodados]]/(BASE_DATOS[[#This Row],[NSK Original]]-BASE_DATOS[[#This Row],[NSK]]),"")</f>
        <v/>
      </c>
      <c r="AQ23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35" s="177" t="str">
        <f>IFERROR(BASE_DATOS[[#This Row],[Precio US$]]/BASE_DATOS[[#This Row],[Kilómetros Proy.]],"")</f>
        <v/>
      </c>
      <c r="AS235" s="167" t="s">
        <v>62</v>
      </c>
      <c r="AT235" s="167"/>
      <c r="AU235" s="167"/>
      <c r="AV235" s="167"/>
      <c r="AW235" s="179"/>
      <c r="AX235" s="179"/>
      <c r="AY235" s="179" t="str">
        <f>CONCATENATE(BASE_DATOS[[#This Row],[Código_U]]&amp;BASE_DATOS[[#This Row],[Pos.]]&amp;BASE_DATOS[[#This Row],[Situación Actual]])</f>
        <v>SR-1444Rodando</v>
      </c>
    </row>
    <row r="236" spans="1:51" ht="12" x14ac:dyDescent="0.25">
      <c r="A236" s="227" t="s">
        <v>157</v>
      </c>
      <c r="B236" s="217" t="s">
        <v>158</v>
      </c>
      <c r="C236" s="228" t="s">
        <v>295</v>
      </c>
      <c r="D236" s="229" t="s">
        <v>87</v>
      </c>
      <c r="E236" s="255"/>
      <c r="F236" s="256" t="s">
        <v>97</v>
      </c>
      <c r="G236" s="256" t="s">
        <v>269</v>
      </c>
      <c r="H236" s="257" t="str">
        <f>IF(BASE_DATOS[[#This Row],[N-R]]="N",BASE_DATOS[[#This Row],[Diseño]],"Reencauche")</f>
        <v>AGC28</v>
      </c>
      <c r="I236" s="256" t="s">
        <v>270</v>
      </c>
      <c r="J236" s="243" t="s">
        <v>72</v>
      </c>
      <c r="K236" s="258">
        <v>16.5</v>
      </c>
      <c r="L236" s="256">
        <v>110</v>
      </c>
      <c r="M236" s="259"/>
      <c r="N236" s="260"/>
      <c r="O236" s="277"/>
      <c r="P236" s="278"/>
      <c r="Q236" s="279"/>
      <c r="R236" s="309" t="s">
        <v>102</v>
      </c>
      <c r="S236" s="310">
        <v>45385</v>
      </c>
      <c r="T236" s="313"/>
      <c r="U236" s="279"/>
      <c r="V236" s="227">
        <v>9</v>
      </c>
      <c r="W236" s="281">
        <v>9</v>
      </c>
      <c r="X236" s="282">
        <v>9</v>
      </c>
      <c r="Y236" s="293">
        <f t="shared" si="9"/>
        <v>9</v>
      </c>
      <c r="Z236" s="175" t="s">
        <v>85</v>
      </c>
      <c r="AA236" s="342">
        <f>IFERROR(BASE_DATOS[[#This Row],[NSK Original]]-BASE_DATOS[[#This Row],[NSK]]," ")</f>
        <v>7.5</v>
      </c>
      <c r="AB236" s="343">
        <f>'NSK-TRACTO'!$A$2</f>
        <v>6</v>
      </c>
      <c r="AC236" s="343">
        <f>IF(BASE_DATOS[[#This Row],[NSK]]&gt;=BASE_DATOS[[#This Row],[NSK Reen]],BASE_DATOS[[#This Row],[NSK Reen]],BASE_DATOS[[#This Row],[NSK]])</f>
        <v>6</v>
      </c>
      <c r="AD236" s="344">
        <f>IFERROR(100%-(BASE_DATOS[[#This Row],[NSK Reen]]/BASE_DATOS[[#This Row],[NSK Original]]),"")</f>
        <v>0.63636363636363635</v>
      </c>
      <c r="AE236" s="344">
        <f>IFERROR(100%-BASE_DATOS[[#This Row],[NSK]]/BASE_DATOS[[#This Row],[NSK Original]],"")</f>
        <v>0.45454545454545459</v>
      </c>
      <c r="AF236" s="344">
        <f>IFERROR(BASE_DATOS[[#This Row],[% Max Des.]]-BASE_DATOS[[#This Row],[% Des]],"")</f>
        <v>0.18181818181818177</v>
      </c>
      <c r="AG236" s="287"/>
      <c r="AH236" s="273"/>
      <c r="AI236" s="363" t="str">
        <f>IF(OR(BASE_DATOS[[#This Row],[Hr.]]="",BASE_DATOS[[#This Row],[Hr. Actual]]=""),"",BASE_DATOS[[#This Row],[Hr. Actual]]-BASE_DATOS[[#This Row],[Hr.]]+BASE_DATOS[[#This Row],[Horas Acumuladas]])</f>
        <v/>
      </c>
      <c r="AJ236" s="364" t="str">
        <f>IFERROR(BASE_DATOS[[#This Row],[Precio US$]]/BASE_DATOS[[#This Row],[Horas Rodadas]],"")</f>
        <v/>
      </c>
      <c r="AK236" s="365" t="str">
        <f>IFERROR(BASE_DATOS[[#This Row],[Horas Rodadas]]/(BASE_DATOS[[#This Row],[NSK Original]]-BASE_DATOS[[#This Row],[NSK]]),"")</f>
        <v/>
      </c>
      <c r="AL23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36" s="366" t="str">
        <f>IFERROR(BASE_DATOS[[#This Row],[Precio US$]]/BASE_DATOS[[#This Row],[Horas Proy.]],"")</f>
        <v/>
      </c>
      <c r="AN236" s="176" t="str">
        <f>IF(OR(BASE_DATOS[[#This Row],[Km.]]="",BASE_DATOS[[#This Row],[Km. Actual]]=""),"",BASE_DATOS[[#This Row],[Km. Actual]]-BASE_DATOS[[#This Row],[Km.]]+BASE_DATOS[[#This Row],[Kilómetros Acumulados]])</f>
        <v/>
      </c>
      <c r="AO236" s="177" t="str">
        <f>IFERROR(BASE_DATOS[[#This Row],[Precio US$]]/BASE_DATOS[[#This Row],[Kilómetros Rodados]],"")</f>
        <v/>
      </c>
      <c r="AP236" s="176" t="str">
        <f>IFERROR(BASE_DATOS[[#This Row],[Kilómetros Rodados]]/(BASE_DATOS[[#This Row],[NSK Original]]-BASE_DATOS[[#This Row],[NSK]]),"")</f>
        <v/>
      </c>
      <c r="AQ23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36" s="177" t="str">
        <f>IFERROR(BASE_DATOS[[#This Row],[Precio US$]]/BASE_DATOS[[#This Row],[Kilómetros Proy.]],"")</f>
        <v/>
      </c>
      <c r="AS236" s="167" t="s">
        <v>62</v>
      </c>
      <c r="AT236" s="167"/>
      <c r="AU236" s="167"/>
      <c r="AV236" s="167"/>
      <c r="AW236" s="179"/>
      <c r="AX236" s="179"/>
      <c r="AY236" s="179" t="str">
        <f>CONCATENATE(BASE_DATOS[[#This Row],[Código_U]]&amp;BASE_DATOS[[#This Row],[Pos.]]&amp;BASE_DATOS[[#This Row],[Situación Actual]])</f>
        <v>SR-1445Rodando</v>
      </c>
    </row>
    <row r="237" spans="1:51" ht="12" x14ac:dyDescent="0.25">
      <c r="A237" s="227" t="s">
        <v>157</v>
      </c>
      <c r="B237" s="217" t="s">
        <v>158</v>
      </c>
      <c r="C237" s="228" t="s">
        <v>295</v>
      </c>
      <c r="D237" s="229" t="s">
        <v>87</v>
      </c>
      <c r="E237" s="255"/>
      <c r="F237" s="256" t="s">
        <v>97</v>
      </c>
      <c r="G237" s="256" t="s">
        <v>269</v>
      </c>
      <c r="H237" s="257" t="str">
        <f>IF(BASE_DATOS[[#This Row],[N-R]]="N",BASE_DATOS[[#This Row],[Diseño]],"Reencauche")</f>
        <v>AGC28</v>
      </c>
      <c r="I237" s="256" t="s">
        <v>270</v>
      </c>
      <c r="J237" s="243" t="s">
        <v>72</v>
      </c>
      <c r="K237" s="258">
        <v>16.5</v>
      </c>
      <c r="L237" s="256">
        <v>110</v>
      </c>
      <c r="M237" s="259"/>
      <c r="N237" s="260"/>
      <c r="O237" s="277"/>
      <c r="P237" s="278"/>
      <c r="Q237" s="279"/>
      <c r="R237" s="309" t="s">
        <v>103</v>
      </c>
      <c r="S237" s="310">
        <v>45385</v>
      </c>
      <c r="T237" s="313"/>
      <c r="U237" s="279"/>
      <c r="V237" s="227">
        <v>9</v>
      </c>
      <c r="W237" s="281">
        <v>9</v>
      </c>
      <c r="X237" s="282">
        <v>9</v>
      </c>
      <c r="Y237" s="293">
        <f t="shared" si="9"/>
        <v>9</v>
      </c>
      <c r="Z237" s="175" t="s">
        <v>85</v>
      </c>
      <c r="AA237" s="342">
        <f>IFERROR(BASE_DATOS[[#This Row],[NSK Original]]-BASE_DATOS[[#This Row],[NSK]]," ")</f>
        <v>7.5</v>
      </c>
      <c r="AB237" s="343">
        <f>'NSK-TRACTO'!$A$2</f>
        <v>6</v>
      </c>
      <c r="AC237" s="343">
        <f>IF(BASE_DATOS[[#This Row],[NSK]]&gt;=BASE_DATOS[[#This Row],[NSK Reen]],BASE_DATOS[[#This Row],[NSK Reen]],BASE_DATOS[[#This Row],[NSK]])</f>
        <v>6</v>
      </c>
      <c r="AD237" s="344">
        <f>IFERROR(100%-(BASE_DATOS[[#This Row],[NSK Reen]]/BASE_DATOS[[#This Row],[NSK Original]]),"")</f>
        <v>0.63636363636363635</v>
      </c>
      <c r="AE237" s="344">
        <f>IFERROR(100%-BASE_DATOS[[#This Row],[NSK]]/BASE_DATOS[[#This Row],[NSK Original]],"")</f>
        <v>0.45454545454545459</v>
      </c>
      <c r="AF237" s="344">
        <f>IFERROR(BASE_DATOS[[#This Row],[% Max Des.]]-BASE_DATOS[[#This Row],[% Des]],"")</f>
        <v>0.18181818181818177</v>
      </c>
      <c r="AG237" s="287"/>
      <c r="AH237" s="273"/>
      <c r="AI237" s="363" t="str">
        <f>IF(OR(BASE_DATOS[[#This Row],[Hr.]]="",BASE_DATOS[[#This Row],[Hr. Actual]]=""),"",BASE_DATOS[[#This Row],[Hr. Actual]]-BASE_DATOS[[#This Row],[Hr.]]+BASE_DATOS[[#This Row],[Horas Acumuladas]])</f>
        <v/>
      </c>
      <c r="AJ237" s="364" t="str">
        <f>IFERROR(BASE_DATOS[[#This Row],[Precio US$]]/BASE_DATOS[[#This Row],[Horas Rodadas]],"")</f>
        <v/>
      </c>
      <c r="AK237" s="365" t="str">
        <f>IFERROR(BASE_DATOS[[#This Row],[Horas Rodadas]]/(BASE_DATOS[[#This Row],[NSK Original]]-BASE_DATOS[[#This Row],[NSK]]),"")</f>
        <v/>
      </c>
      <c r="AL23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37" s="366" t="str">
        <f>IFERROR(BASE_DATOS[[#This Row],[Precio US$]]/BASE_DATOS[[#This Row],[Horas Proy.]],"")</f>
        <v/>
      </c>
      <c r="AN237" s="176" t="str">
        <f>IF(OR(BASE_DATOS[[#This Row],[Km.]]="",BASE_DATOS[[#This Row],[Km. Actual]]=""),"",BASE_DATOS[[#This Row],[Km. Actual]]-BASE_DATOS[[#This Row],[Km.]]+BASE_DATOS[[#This Row],[Kilómetros Acumulados]])</f>
        <v/>
      </c>
      <c r="AO237" s="177" t="str">
        <f>IFERROR(BASE_DATOS[[#This Row],[Precio US$]]/BASE_DATOS[[#This Row],[Kilómetros Rodados]],"")</f>
        <v/>
      </c>
      <c r="AP237" s="176" t="str">
        <f>IFERROR(BASE_DATOS[[#This Row],[Kilómetros Rodados]]/(BASE_DATOS[[#This Row],[NSK Original]]-BASE_DATOS[[#This Row],[NSK]]),"")</f>
        <v/>
      </c>
      <c r="AQ23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37" s="177" t="str">
        <f>IFERROR(BASE_DATOS[[#This Row],[Precio US$]]/BASE_DATOS[[#This Row],[Kilómetros Proy.]],"")</f>
        <v/>
      </c>
      <c r="AS237" s="167" t="s">
        <v>62</v>
      </c>
      <c r="AT237" s="167"/>
      <c r="AU237" s="167"/>
      <c r="AV237" s="167"/>
      <c r="AW237" s="179"/>
      <c r="AX237" s="179"/>
      <c r="AY237" s="179" t="str">
        <f>CONCATENATE(BASE_DATOS[[#This Row],[Código_U]]&amp;BASE_DATOS[[#This Row],[Pos.]]&amp;BASE_DATOS[[#This Row],[Situación Actual]])</f>
        <v>SR-1446Rodando</v>
      </c>
    </row>
    <row r="238" spans="1:51" ht="12" x14ac:dyDescent="0.25">
      <c r="A238" s="227" t="s">
        <v>157</v>
      </c>
      <c r="B238" s="217" t="s">
        <v>158</v>
      </c>
      <c r="C238" s="228" t="s">
        <v>295</v>
      </c>
      <c r="D238" s="229" t="s">
        <v>384</v>
      </c>
      <c r="E238" s="255"/>
      <c r="F238" s="256" t="s">
        <v>97</v>
      </c>
      <c r="G238" s="256" t="s">
        <v>269</v>
      </c>
      <c r="H238" s="257" t="str">
        <f>IF(BASE_DATOS[[#This Row],[N-R]]="N",BASE_DATOS[[#This Row],[Diseño]],"Reencauche")</f>
        <v>AGC28</v>
      </c>
      <c r="I238" s="256" t="s">
        <v>270</v>
      </c>
      <c r="J238" s="243" t="s">
        <v>72</v>
      </c>
      <c r="K238" s="258">
        <v>16.5</v>
      </c>
      <c r="L238" s="256">
        <v>110</v>
      </c>
      <c r="M238" s="259"/>
      <c r="N238" s="260"/>
      <c r="O238" s="277"/>
      <c r="P238" s="278"/>
      <c r="Q238" s="279"/>
      <c r="R238" s="304" t="s">
        <v>509</v>
      </c>
      <c r="S238" s="310">
        <v>45385</v>
      </c>
      <c r="T238" s="313"/>
      <c r="U238" s="279"/>
      <c r="V238" s="227">
        <v>6</v>
      </c>
      <c r="W238" s="281">
        <v>6</v>
      </c>
      <c r="X238" s="282">
        <v>6</v>
      </c>
      <c r="Y238" s="293">
        <f t="shared" si="9"/>
        <v>6</v>
      </c>
      <c r="Z238" s="175" t="s">
        <v>85</v>
      </c>
      <c r="AA238" s="342">
        <f>IFERROR(BASE_DATOS[[#This Row],[NSK Original]]-BASE_DATOS[[#This Row],[NSK]]," ")</f>
        <v>10.5</v>
      </c>
      <c r="AB238" s="343">
        <f>'NSK-TRACTO'!$A$2</f>
        <v>6</v>
      </c>
      <c r="AC238" s="343">
        <f>IF(BASE_DATOS[[#This Row],[NSK]]&gt;=BASE_DATOS[[#This Row],[NSK Reen]],BASE_DATOS[[#This Row],[NSK Reen]],BASE_DATOS[[#This Row],[NSK]])</f>
        <v>6</v>
      </c>
      <c r="AD238" s="344">
        <f>IFERROR(100%-(BASE_DATOS[[#This Row],[NSK Reen]]/BASE_DATOS[[#This Row],[NSK Original]]),"")</f>
        <v>0.63636363636363635</v>
      </c>
      <c r="AE238" s="344">
        <f>IFERROR(100%-BASE_DATOS[[#This Row],[NSK]]/BASE_DATOS[[#This Row],[NSK Original]],"")</f>
        <v>0.63636363636363635</v>
      </c>
      <c r="AF238" s="344">
        <f>IFERROR(BASE_DATOS[[#This Row],[% Max Des.]]-BASE_DATOS[[#This Row],[% Des]],"")</f>
        <v>0</v>
      </c>
      <c r="AG238" s="287"/>
      <c r="AH238" s="273"/>
      <c r="AI238" s="363" t="str">
        <f>IF(OR(BASE_DATOS[[#This Row],[Hr.]]="",BASE_DATOS[[#This Row],[Hr. Actual]]=""),"",BASE_DATOS[[#This Row],[Hr. Actual]]-BASE_DATOS[[#This Row],[Hr.]]+BASE_DATOS[[#This Row],[Horas Acumuladas]])</f>
        <v/>
      </c>
      <c r="AJ238" s="364" t="str">
        <f>IFERROR(BASE_DATOS[[#This Row],[Precio US$]]/BASE_DATOS[[#This Row],[Horas Rodadas]],"")</f>
        <v/>
      </c>
      <c r="AK238" s="365" t="str">
        <f>IFERROR(BASE_DATOS[[#This Row],[Horas Rodadas]]/(BASE_DATOS[[#This Row],[NSK Original]]-BASE_DATOS[[#This Row],[NSK]]),"")</f>
        <v/>
      </c>
      <c r="AL23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38" s="366" t="str">
        <f>IFERROR(BASE_DATOS[[#This Row],[Precio US$]]/BASE_DATOS[[#This Row],[Horas Proy.]],"")</f>
        <v/>
      </c>
      <c r="AN238" s="176" t="str">
        <f>IF(OR(BASE_DATOS[[#This Row],[Km.]]="",BASE_DATOS[[#This Row],[Km. Actual]]=""),"",BASE_DATOS[[#This Row],[Km. Actual]]-BASE_DATOS[[#This Row],[Km.]]+BASE_DATOS[[#This Row],[Kilómetros Acumulados]])</f>
        <v/>
      </c>
      <c r="AO238" s="177" t="str">
        <f>IFERROR(BASE_DATOS[[#This Row],[Precio US$]]/BASE_DATOS[[#This Row],[Kilómetros Rodados]],"")</f>
        <v/>
      </c>
      <c r="AP238" s="176" t="str">
        <f>IFERROR(BASE_DATOS[[#This Row],[Kilómetros Rodados]]/(BASE_DATOS[[#This Row],[NSK Original]]-BASE_DATOS[[#This Row],[NSK]]),"")</f>
        <v/>
      </c>
      <c r="AQ23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38" s="177" t="str">
        <f>IFERROR(BASE_DATOS[[#This Row],[Precio US$]]/BASE_DATOS[[#This Row],[Kilómetros Proy.]],"")</f>
        <v/>
      </c>
      <c r="AS238" s="167" t="s">
        <v>62</v>
      </c>
      <c r="AT238" s="167" t="s">
        <v>515</v>
      </c>
      <c r="AU238" s="167"/>
      <c r="AV238" s="167"/>
      <c r="AW238" s="169" t="s">
        <v>386</v>
      </c>
      <c r="AX238" s="179"/>
      <c r="AY238" s="179" t="str">
        <f>CONCATENATE(BASE_DATOS[[#This Row],[Código_U]]&amp;BASE_DATOS[[#This Row],[Pos.]]&amp;BASE_DATOS[[#This Row],[Situación Actual]])</f>
        <v>SR-144RERodando</v>
      </c>
    </row>
    <row r="239" spans="1:51" ht="12" x14ac:dyDescent="0.25">
      <c r="A239" s="227" t="s">
        <v>157</v>
      </c>
      <c r="B239" s="217" t="s">
        <v>158</v>
      </c>
      <c r="C239" s="228" t="s">
        <v>295</v>
      </c>
      <c r="D239" s="229" t="s">
        <v>108</v>
      </c>
      <c r="E239" s="255"/>
      <c r="F239" s="256" t="s">
        <v>273</v>
      </c>
      <c r="G239" s="256" t="s">
        <v>271</v>
      </c>
      <c r="H239" s="257" t="str">
        <f>IF(BASE_DATOS[[#This Row],[N-R]]="N",BASE_DATOS[[#This Row],[Diseño]],"Reencauche")</f>
        <v>Reencauche</v>
      </c>
      <c r="I239" s="256" t="s">
        <v>299</v>
      </c>
      <c r="J239" s="243" t="s">
        <v>495</v>
      </c>
      <c r="K239" s="258">
        <v>21.4</v>
      </c>
      <c r="L239" s="256">
        <v>110</v>
      </c>
      <c r="M239" s="259"/>
      <c r="N239" s="260"/>
      <c r="O239" s="277"/>
      <c r="P239" s="278"/>
      <c r="Q239" s="279"/>
      <c r="R239" s="304" t="s">
        <v>108</v>
      </c>
      <c r="S239" s="310">
        <v>45385</v>
      </c>
      <c r="T239" s="313"/>
      <c r="U239" s="279"/>
      <c r="V239" s="227">
        <v>20</v>
      </c>
      <c r="W239" s="281"/>
      <c r="X239" s="282">
        <v>20</v>
      </c>
      <c r="Y239" s="293">
        <f t="shared" si="9"/>
        <v>20</v>
      </c>
      <c r="Z239" s="175" t="s">
        <v>85</v>
      </c>
      <c r="AA239" s="342">
        <f>IFERROR(BASE_DATOS[[#This Row],[NSK Original]]-BASE_DATOS[[#This Row],[NSK]]," ")</f>
        <v>1.3999999999999986</v>
      </c>
      <c r="AB239" s="343">
        <f>'NSK-TRACTO'!$A$2</f>
        <v>6</v>
      </c>
      <c r="AC239" s="343">
        <f>IF(BASE_DATOS[[#This Row],[NSK]]&gt;=BASE_DATOS[[#This Row],[NSK Reen]],BASE_DATOS[[#This Row],[NSK Reen]],BASE_DATOS[[#This Row],[NSK]])</f>
        <v>6</v>
      </c>
      <c r="AD239" s="344">
        <f>IFERROR(100%-(BASE_DATOS[[#This Row],[NSK Reen]]/BASE_DATOS[[#This Row],[NSK Original]]),"")</f>
        <v>0.71962616822429903</v>
      </c>
      <c r="AE239" s="344">
        <f>IFERROR(100%-BASE_DATOS[[#This Row],[NSK]]/BASE_DATOS[[#This Row],[NSK Original]],"")</f>
        <v>6.5420560747663448E-2</v>
      </c>
      <c r="AF239" s="344">
        <f>IFERROR(BASE_DATOS[[#This Row],[% Max Des.]]-BASE_DATOS[[#This Row],[% Des]],"")</f>
        <v>0.65420560747663559</v>
      </c>
      <c r="AG239" s="287"/>
      <c r="AH239" s="273"/>
      <c r="AI239" s="363" t="str">
        <f>IF(OR(BASE_DATOS[[#This Row],[Hr.]]="",BASE_DATOS[[#This Row],[Hr. Actual]]=""),"",BASE_DATOS[[#This Row],[Hr. Actual]]-BASE_DATOS[[#This Row],[Hr.]]+BASE_DATOS[[#This Row],[Horas Acumuladas]])</f>
        <v/>
      </c>
      <c r="AJ239" s="364" t="str">
        <f>IFERROR(BASE_DATOS[[#This Row],[Precio US$]]/BASE_DATOS[[#This Row],[Horas Rodadas]],"")</f>
        <v/>
      </c>
      <c r="AK239" s="365" t="str">
        <f>IFERROR(BASE_DATOS[[#This Row],[Horas Rodadas]]/(BASE_DATOS[[#This Row],[NSK Original]]-BASE_DATOS[[#This Row],[NSK]]),"")</f>
        <v/>
      </c>
      <c r="AL23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39" s="366" t="str">
        <f>IFERROR(BASE_DATOS[[#This Row],[Precio US$]]/BASE_DATOS[[#This Row],[Horas Proy.]],"")</f>
        <v/>
      </c>
      <c r="AN239" s="176" t="str">
        <f>IF(OR(BASE_DATOS[[#This Row],[Km.]]="",BASE_DATOS[[#This Row],[Km. Actual]]=""),"",BASE_DATOS[[#This Row],[Km. Actual]]-BASE_DATOS[[#This Row],[Km.]]+BASE_DATOS[[#This Row],[Kilómetros Acumulados]])</f>
        <v/>
      </c>
      <c r="AO239" s="177" t="str">
        <f>IFERROR(BASE_DATOS[[#This Row],[Precio US$]]/BASE_DATOS[[#This Row],[Kilómetros Rodados]],"")</f>
        <v/>
      </c>
      <c r="AP239" s="176" t="str">
        <f>IFERROR(BASE_DATOS[[#This Row],[Kilómetros Rodados]]/(BASE_DATOS[[#This Row],[NSK Original]]-BASE_DATOS[[#This Row],[NSK]]),"")</f>
        <v/>
      </c>
      <c r="AQ23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39" s="177" t="str">
        <f>IFERROR(BASE_DATOS[[#This Row],[Precio US$]]/BASE_DATOS[[#This Row],[Kilómetros Proy.]],"")</f>
        <v/>
      </c>
      <c r="AS239" s="167" t="s">
        <v>62</v>
      </c>
      <c r="AT239" s="167"/>
      <c r="AU239" s="167"/>
      <c r="AV239" s="167"/>
      <c r="AW239" s="179"/>
      <c r="AX239" s="179"/>
      <c r="AY239" s="179" t="str">
        <f>CONCATENATE(BASE_DATOS[[#This Row],[Código_U]]&amp;BASE_DATOS[[#This Row],[Pos.]]&amp;BASE_DATOS[[#This Row],[Situación Actual]])</f>
        <v>SR-144RTRodando</v>
      </c>
    </row>
    <row r="240" spans="1:51" ht="12" x14ac:dyDescent="0.25">
      <c r="A240" s="224" t="s">
        <v>159</v>
      </c>
      <c r="B240" s="213" t="s">
        <v>160</v>
      </c>
      <c r="C240" s="225" t="s">
        <v>296</v>
      </c>
      <c r="D240" s="226" t="s">
        <v>86</v>
      </c>
      <c r="E240" s="249" t="s">
        <v>321</v>
      </c>
      <c r="F240" s="250" t="s">
        <v>71</v>
      </c>
      <c r="G240" s="250" t="s">
        <v>271</v>
      </c>
      <c r="H240" s="251" t="str">
        <f>IF(BASE_DATOS[[#This Row],[N-R]]="N",BASE_DATOS[[#This Row],[Diseño]],"Reencauche")</f>
        <v>KMAX S</v>
      </c>
      <c r="I240" s="250" t="s">
        <v>287</v>
      </c>
      <c r="J240" s="235" t="s">
        <v>72</v>
      </c>
      <c r="K240" s="252">
        <v>15.8</v>
      </c>
      <c r="L240" s="233">
        <v>100</v>
      </c>
      <c r="M240" s="253"/>
      <c r="N240" s="254"/>
      <c r="O240" s="274"/>
      <c r="P240" s="275"/>
      <c r="Q240" s="276"/>
      <c r="R240" s="305" t="s">
        <v>98</v>
      </c>
      <c r="S240" s="306">
        <v>45385</v>
      </c>
      <c r="T240" s="314"/>
      <c r="U240" s="276"/>
      <c r="V240" s="224">
        <v>14</v>
      </c>
      <c r="W240" s="325">
        <v>15</v>
      </c>
      <c r="X240" s="326">
        <v>14</v>
      </c>
      <c r="Y240" s="292">
        <f t="shared" si="9"/>
        <v>14</v>
      </c>
      <c r="Z240" s="194" t="s">
        <v>85</v>
      </c>
      <c r="AA240" s="339">
        <f>IFERROR(BASE_DATOS[[#This Row],[NSK Original]]-BASE_DATOS[[#This Row],[NSK]]," ")</f>
        <v>1.8000000000000007</v>
      </c>
      <c r="AB240" s="340">
        <f>'NSK-TRACTO'!$A$2</f>
        <v>6</v>
      </c>
      <c r="AC240" s="340">
        <f>IF(BASE_DATOS[[#This Row],[NSK]]&gt;=BASE_DATOS[[#This Row],[NSK Reen]],BASE_DATOS[[#This Row],[NSK Reen]],BASE_DATOS[[#This Row],[NSK]])</f>
        <v>6</v>
      </c>
      <c r="AD240" s="341">
        <f>IFERROR(100%-(BASE_DATOS[[#This Row],[NSK Reen]]/BASE_DATOS[[#This Row],[NSK Original]]),"")</f>
        <v>0.620253164556962</v>
      </c>
      <c r="AE240" s="341">
        <f>IFERROR(100%-BASE_DATOS[[#This Row],[NSK]]/BASE_DATOS[[#This Row],[NSK Original]],"")</f>
        <v>0.11392405063291144</v>
      </c>
      <c r="AF240" s="341">
        <f>IFERROR(BASE_DATOS[[#This Row],[% Max Des.]]-BASE_DATOS[[#This Row],[% Des]],"")</f>
        <v>0.50632911392405056</v>
      </c>
      <c r="AG240" s="284"/>
      <c r="AH240" s="335"/>
      <c r="AI240" s="359" t="str">
        <f>IF(OR(BASE_DATOS[[#This Row],[Hr.]]="",BASE_DATOS[[#This Row],[Hr. Actual]]=""),"",BASE_DATOS[[#This Row],[Hr. Actual]]-BASE_DATOS[[#This Row],[Hr.]]+BASE_DATOS[[#This Row],[Horas Acumuladas]])</f>
        <v/>
      </c>
      <c r="AJ240" s="360" t="str">
        <f>IFERROR(BASE_DATOS[[#This Row],[Precio US$]]/BASE_DATOS[[#This Row],[Horas Rodadas]],"")</f>
        <v/>
      </c>
      <c r="AK240" s="361" t="str">
        <f>IFERROR(BASE_DATOS[[#This Row],[Horas Rodadas]]/(BASE_DATOS[[#This Row],[NSK Original]]-BASE_DATOS[[#This Row],[NSK]]),"")</f>
        <v/>
      </c>
      <c r="AL240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40" s="362" t="str">
        <f>IFERROR(BASE_DATOS[[#This Row],[Precio US$]]/BASE_DATOS[[#This Row],[Horas Proy.]],"")</f>
        <v/>
      </c>
      <c r="AN240" s="195" t="str">
        <f>IF(OR(BASE_DATOS[[#This Row],[Km.]]="",BASE_DATOS[[#This Row],[Km. Actual]]=""),"",BASE_DATOS[[#This Row],[Km. Actual]]-BASE_DATOS[[#This Row],[Km.]]+BASE_DATOS[[#This Row],[Kilómetros Acumulados]])</f>
        <v/>
      </c>
      <c r="AO240" s="196" t="str">
        <f>IFERROR(BASE_DATOS[[#This Row],[Precio US$]]/BASE_DATOS[[#This Row],[Kilómetros Rodados]],"")</f>
        <v/>
      </c>
      <c r="AP240" s="195" t="str">
        <f>IFERROR(BASE_DATOS[[#This Row],[Kilómetros Rodados]]/(BASE_DATOS[[#This Row],[NSK Original]]-BASE_DATOS[[#This Row],[NSK]]),"")</f>
        <v/>
      </c>
      <c r="AQ240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40" s="196" t="str">
        <f>IFERROR(BASE_DATOS[[#This Row],[Precio US$]]/BASE_DATOS[[#This Row],[Kilómetros Proy.]],"")</f>
        <v/>
      </c>
      <c r="AS240" s="191" t="s">
        <v>62</v>
      </c>
      <c r="AT240" s="191"/>
      <c r="AU240" s="191"/>
      <c r="AV240" s="191"/>
      <c r="AW240" s="198"/>
      <c r="AX240" s="198"/>
      <c r="AY240" s="198" t="str">
        <f>CONCATENATE(BASE_DATOS[[#This Row],[Código_U]]&amp;BASE_DATOS[[#This Row],[Pos.]]&amp;BASE_DATOS[[#This Row],[Situación Actual]])</f>
        <v>TC-1461Rodando</v>
      </c>
    </row>
    <row r="241" spans="1:51" ht="12" x14ac:dyDescent="0.25">
      <c r="A241" s="227" t="s">
        <v>159</v>
      </c>
      <c r="B241" s="217" t="s">
        <v>160</v>
      </c>
      <c r="C241" s="228" t="s">
        <v>296</v>
      </c>
      <c r="D241" s="229" t="s">
        <v>86</v>
      </c>
      <c r="E241" s="255" t="s">
        <v>322</v>
      </c>
      <c r="F241" s="256" t="s">
        <v>71</v>
      </c>
      <c r="G241" s="256" t="s">
        <v>271</v>
      </c>
      <c r="H241" s="257" t="str">
        <f>IF(BASE_DATOS[[#This Row],[N-R]]="N",BASE_DATOS[[#This Row],[Diseño]],"Reencauche")</f>
        <v>KMAX S</v>
      </c>
      <c r="I241" s="256" t="s">
        <v>287</v>
      </c>
      <c r="J241" s="243" t="s">
        <v>72</v>
      </c>
      <c r="K241" s="258">
        <v>15.8</v>
      </c>
      <c r="L241" s="241">
        <v>100</v>
      </c>
      <c r="M241" s="259"/>
      <c r="N241" s="260"/>
      <c r="O241" s="277"/>
      <c r="P241" s="278"/>
      <c r="Q241" s="279"/>
      <c r="R241" s="309" t="s">
        <v>99</v>
      </c>
      <c r="S241" s="310">
        <v>45385</v>
      </c>
      <c r="T241" s="313"/>
      <c r="U241" s="279"/>
      <c r="V241" s="227">
        <v>14</v>
      </c>
      <c r="W241" s="281">
        <v>14</v>
      </c>
      <c r="X241" s="282">
        <v>14</v>
      </c>
      <c r="Y241" s="293">
        <f t="shared" si="9"/>
        <v>14</v>
      </c>
      <c r="Z241" s="175" t="s">
        <v>85</v>
      </c>
      <c r="AA241" s="342">
        <f>IFERROR(BASE_DATOS[[#This Row],[NSK Original]]-BASE_DATOS[[#This Row],[NSK]]," ")</f>
        <v>1.8000000000000007</v>
      </c>
      <c r="AB241" s="343">
        <f>'NSK-TRACTO'!$A$2</f>
        <v>6</v>
      </c>
      <c r="AC241" s="343">
        <f>IF(BASE_DATOS[[#This Row],[NSK]]&gt;=BASE_DATOS[[#This Row],[NSK Reen]],BASE_DATOS[[#This Row],[NSK Reen]],BASE_DATOS[[#This Row],[NSK]])</f>
        <v>6</v>
      </c>
      <c r="AD241" s="344">
        <f>IFERROR(100%-(BASE_DATOS[[#This Row],[NSK Reen]]/BASE_DATOS[[#This Row],[NSK Original]]),"")</f>
        <v>0.620253164556962</v>
      </c>
      <c r="AE241" s="344">
        <f>IFERROR(100%-BASE_DATOS[[#This Row],[NSK]]/BASE_DATOS[[#This Row],[NSK Original]],"")</f>
        <v>0.11392405063291144</v>
      </c>
      <c r="AF241" s="344">
        <f>IFERROR(BASE_DATOS[[#This Row],[% Max Des.]]-BASE_DATOS[[#This Row],[% Des]],"")</f>
        <v>0.50632911392405056</v>
      </c>
      <c r="AG241" s="287"/>
      <c r="AH241" s="273"/>
      <c r="AI241" s="363" t="str">
        <f>IF(OR(BASE_DATOS[[#This Row],[Hr.]]="",BASE_DATOS[[#This Row],[Hr. Actual]]=""),"",BASE_DATOS[[#This Row],[Hr. Actual]]-BASE_DATOS[[#This Row],[Hr.]]+BASE_DATOS[[#This Row],[Horas Acumuladas]])</f>
        <v/>
      </c>
      <c r="AJ241" s="364" t="str">
        <f>IFERROR(BASE_DATOS[[#This Row],[Precio US$]]/BASE_DATOS[[#This Row],[Horas Rodadas]],"")</f>
        <v/>
      </c>
      <c r="AK241" s="365" t="str">
        <f>IFERROR(BASE_DATOS[[#This Row],[Horas Rodadas]]/(BASE_DATOS[[#This Row],[NSK Original]]-BASE_DATOS[[#This Row],[NSK]]),"")</f>
        <v/>
      </c>
      <c r="AL24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41" s="366" t="str">
        <f>IFERROR(BASE_DATOS[[#This Row],[Precio US$]]/BASE_DATOS[[#This Row],[Horas Proy.]],"")</f>
        <v/>
      </c>
      <c r="AN241" s="176" t="str">
        <f>IF(OR(BASE_DATOS[[#This Row],[Km.]]="",BASE_DATOS[[#This Row],[Km. Actual]]=""),"",BASE_DATOS[[#This Row],[Km. Actual]]-BASE_DATOS[[#This Row],[Km.]]+BASE_DATOS[[#This Row],[Kilómetros Acumulados]])</f>
        <v/>
      </c>
      <c r="AO241" s="177" t="str">
        <f>IFERROR(BASE_DATOS[[#This Row],[Precio US$]]/BASE_DATOS[[#This Row],[Kilómetros Rodados]],"")</f>
        <v/>
      </c>
      <c r="AP241" s="176" t="str">
        <f>IFERROR(BASE_DATOS[[#This Row],[Kilómetros Rodados]]/(BASE_DATOS[[#This Row],[NSK Original]]-BASE_DATOS[[#This Row],[NSK]]),"")</f>
        <v/>
      </c>
      <c r="AQ24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41" s="177" t="str">
        <f>IFERROR(BASE_DATOS[[#This Row],[Precio US$]]/BASE_DATOS[[#This Row],[Kilómetros Proy.]],"")</f>
        <v/>
      </c>
      <c r="AS241" s="167" t="s">
        <v>62</v>
      </c>
      <c r="AT241" s="167"/>
      <c r="AU241" s="167"/>
      <c r="AV241" s="167"/>
      <c r="AW241" s="179"/>
      <c r="AX241" s="179"/>
      <c r="AY241" s="179" t="str">
        <f>CONCATENATE(BASE_DATOS[[#This Row],[Código_U]]&amp;BASE_DATOS[[#This Row],[Pos.]]&amp;BASE_DATOS[[#This Row],[Situación Actual]])</f>
        <v>TC-1462Rodando</v>
      </c>
    </row>
    <row r="242" spans="1:51" s="151" customFormat="1" ht="12" x14ac:dyDescent="0.25">
      <c r="A242" s="227" t="s">
        <v>159</v>
      </c>
      <c r="B242" s="217" t="s">
        <v>160</v>
      </c>
      <c r="C242" s="228" t="s">
        <v>296</v>
      </c>
      <c r="D242" s="229" t="s">
        <v>61</v>
      </c>
      <c r="E242" s="255"/>
      <c r="F242" s="256" t="s">
        <v>71</v>
      </c>
      <c r="G242" s="256" t="s">
        <v>271</v>
      </c>
      <c r="H242" s="257" t="str">
        <f>IF(BASE_DATOS[[#This Row],[N-R]]="N",BASE_DATOS[[#This Row],[Diseño]],"Reencauche")</f>
        <v>Reencauche</v>
      </c>
      <c r="I242" s="256" t="s">
        <v>282</v>
      </c>
      <c r="J242" s="243" t="s">
        <v>82</v>
      </c>
      <c r="K242" s="258">
        <v>22</v>
      </c>
      <c r="L242" s="241">
        <v>110</v>
      </c>
      <c r="M242" s="259"/>
      <c r="N242" s="260"/>
      <c r="O242" s="277"/>
      <c r="P242" s="278"/>
      <c r="Q242" s="279"/>
      <c r="R242" s="309" t="s">
        <v>100</v>
      </c>
      <c r="S242" s="310">
        <v>45385</v>
      </c>
      <c r="T242" s="313"/>
      <c r="U242" s="279"/>
      <c r="V242" s="227">
        <v>11</v>
      </c>
      <c r="W242" s="281"/>
      <c r="X242" s="282">
        <v>11</v>
      </c>
      <c r="Y242" s="293">
        <f t="shared" si="9"/>
        <v>11</v>
      </c>
      <c r="Z242" s="175" t="s">
        <v>85</v>
      </c>
      <c r="AA242" s="342">
        <f>IFERROR(BASE_DATOS[[#This Row],[NSK Original]]-BASE_DATOS[[#This Row],[NSK]]," ")</f>
        <v>11</v>
      </c>
      <c r="AB242" s="343">
        <f>'NSK-TRACTO'!$A$2</f>
        <v>6</v>
      </c>
      <c r="AC242" s="343">
        <f>IF(BASE_DATOS[[#This Row],[NSK]]&gt;=BASE_DATOS[[#This Row],[NSK Reen]],BASE_DATOS[[#This Row],[NSK Reen]],BASE_DATOS[[#This Row],[NSK]])</f>
        <v>6</v>
      </c>
      <c r="AD242" s="344">
        <f>IFERROR(100%-(BASE_DATOS[[#This Row],[NSK Reen]]/BASE_DATOS[[#This Row],[NSK Original]]),"")</f>
        <v>0.72727272727272729</v>
      </c>
      <c r="AE242" s="344">
        <f>IFERROR(100%-BASE_DATOS[[#This Row],[NSK]]/BASE_DATOS[[#This Row],[NSK Original]],"")</f>
        <v>0.5</v>
      </c>
      <c r="AF242" s="344">
        <f>IFERROR(BASE_DATOS[[#This Row],[% Max Des.]]-BASE_DATOS[[#This Row],[% Des]],"")</f>
        <v>0.22727272727272729</v>
      </c>
      <c r="AG242" s="287"/>
      <c r="AH242" s="273"/>
      <c r="AI242" s="363" t="str">
        <f>IF(OR(BASE_DATOS[[#This Row],[Hr.]]="",BASE_DATOS[[#This Row],[Hr. Actual]]=""),"",BASE_DATOS[[#This Row],[Hr. Actual]]-BASE_DATOS[[#This Row],[Hr.]]+BASE_DATOS[[#This Row],[Horas Acumuladas]])</f>
        <v/>
      </c>
      <c r="AJ242" s="364" t="str">
        <f>IFERROR(BASE_DATOS[[#This Row],[Precio US$]]/BASE_DATOS[[#This Row],[Horas Rodadas]],"")</f>
        <v/>
      </c>
      <c r="AK242" s="365" t="str">
        <f>IFERROR(BASE_DATOS[[#This Row],[Horas Rodadas]]/(BASE_DATOS[[#This Row],[NSK Original]]-BASE_DATOS[[#This Row],[NSK]]),"")</f>
        <v/>
      </c>
      <c r="AL24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42" s="366" t="str">
        <f>IFERROR(BASE_DATOS[[#This Row],[Precio US$]]/BASE_DATOS[[#This Row],[Horas Proy.]],"")</f>
        <v/>
      </c>
      <c r="AN242" s="176" t="str">
        <f>IF(OR(BASE_DATOS[[#This Row],[Km.]]="",BASE_DATOS[[#This Row],[Km. Actual]]=""),"",BASE_DATOS[[#This Row],[Km. Actual]]-BASE_DATOS[[#This Row],[Km.]]+BASE_DATOS[[#This Row],[Kilómetros Acumulados]])</f>
        <v/>
      </c>
      <c r="AO242" s="177" t="str">
        <f>IFERROR(BASE_DATOS[[#This Row],[Precio US$]]/BASE_DATOS[[#This Row],[Kilómetros Rodados]],"")</f>
        <v/>
      </c>
      <c r="AP242" s="176" t="str">
        <f>IFERROR(BASE_DATOS[[#This Row],[Kilómetros Rodados]]/(BASE_DATOS[[#This Row],[NSK Original]]-BASE_DATOS[[#This Row],[NSK]]),"")</f>
        <v/>
      </c>
      <c r="AQ24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42" s="177" t="str">
        <f>IFERROR(BASE_DATOS[[#This Row],[Precio US$]]/BASE_DATOS[[#This Row],[Kilómetros Proy.]],"")</f>
        <v/>
      </c>
      <c r="AS242" s="167" t="s">
        <v>62</v>
      </c>
      <c r="AT242" s="167"/>
      <c r="AU242" s="167"/>
      <c r="AV242" s="167"/>
      <c r="AW242" s="179"/>
      <c r="AX242" s="179"/>
      <c r="AY242" s="179" t="str">
        <f>CONCATENATE(BASE_DATOS[[#This Row],[Código_U]]&amp;BASE_DATOS[[#This Row],[Pos.]]&amp;BASE_DATOS[[#This Row],[Situación Actual]])</f>
        <v>TC-1463Rodando</v>
      </c>
    </row>
    <row r="243" spans="1:51" s="151" customFormat="1" ht="12" x14ac:dyDescent="0.25">
      <c r="A243" s="227" t="s">
        <v>159</v>
      </c>
      <c r="B243" s="217" t="s">
        <v>160</v>
      </c>
      <c r="C243" s="228" t="s">
        <v>296</v>
      </c>
      <c r="D243" s="229" t="s">
        <v>61</v>
      </c>
      <c r="E243" s="255"/>
      <c r="F243" s="256" t="s">
        <v>71</v>
      </c>
      <c r="G243" s="256" t="s">
        <v>271</v>
      </c>
      <c r="H243" s="257" t="str">
        <f>IF(BASE_DATOS[[#This Row],[N-R]]="N",BASE_DATOS[[#This Row],[Diseño]],"Reencauche")</f>
        <v>Reencauche</v>
      </c>
      <c r="I243" s="256" t="s">
        <v>282</v>
      </c>
      <c r="J243" s="243" t="s">
        <v>82</v>
      </c>
      <c r="K243" s="258">
        <v>22</v>
      </c>
      <c r="L243" s="241">
        <v>110</v>
      </c>
      <c r="M243" s="259"/>
      <c r="N243" s="260"/>
      <c r="O243" s="277"/>
      <c r="P243" s="278"/>
      <c r="Q243" s="279"/>
      <c r="R243" s="309" t="s">
        <v>101</v>
      </c>
      <c r="S243" s="310">
        <v>45385</v>
      </c>
      <c r="T243" s="313"/>
      <c r="U243" s="279"/>
      <c r="V243" s="227">
        <v>8</v>
      </c>
      <c r="W243" s="281"/>
      <c r="X243" s="282">
        <v>10</v>
      </c>
      <c r="Y243" s="293">
        <f t="shared" si="9"/>
        <v>8</v>
      </c>
      <c r="Z243" s="175" t="s">
        <v>85</v>
      </c>
      <c r="AA243" s="342">
        <f>IFERROR(BASE_DATOS[[#This Row],[NSK Original]]-BASE_DATOS[[#This Row],[NSK]]," ")</f>
        <v>14</v>
      </c>
      <c r="AB243" s="343">
        <f>'NSK-TRACTO'!$A$2</f>
        <v>6</v>
      </c>
      <c r="AC243" s="343">
        <f>IF(BASE_DATOS[[#This Row],[NSK]]&gt;=BASE_DATOS[[#This Row],[NSK Reen]],BASE_DATOS[[#This Row],[NSK Reen]],BASE_DATOS[[#This Row],[NSK]])</f>
        <v>6</v>
      </c>
      <c r="AD243" s="344">
        <f>IFERROR(100%-(BASE_DATOS[[#This Row],[NSK Reen]]/BASE_DATOS[[#This Row],[NSK Original]]),"")</f>
        <v>0.72727272727272729</v>
      </c>
      <c r="AE243" s="344">
        <f>IFERROR(100%-BASE_DATOS[[#This Row],[NSK]]/BASE_DATOS[[#This Row],[NSK Original]],"")</f>
        <v>0.63636363636363635</v>
      </c>
      <c r="AF243" s="344">
        <f>IFERROR(BASE_DATOS[[#This Row],[% Max Des.]]-BASE_DATOS[[#This Row],[% Des]],"")</f>
        <v>9.0909090909090939E-2</v>
      </c>
      <c r="AG243" s="287"/>
      <c r="AH243" s="273"/>
      <c r="AI243" s="363" t="str">
        <f>IF(OR(BASE_DATOS[[#This Row],[Hr.]]="",BASE_DATOS[[#This Row],[Hr. Actual]]=""),"",BASE_DATOS[[#This Row],[Hr. Actual]]-BASE_DATOS[[#This Row],[Hr.]]+BASE_DATOS[[#This Row],[Horas Acumuladas]])</f>
        <v/>
      </c>
      <c r="AJ243" s="364" t="str">
        <f>IFERROR(BASE_DATOS[[#This Row],[Precio US$]]/BASE_DATOS[[#This Row],[Horas Rodadas]],"")</f>
        <v/>
      </c>
      <c r="AK243" s="365" t="str">
        <f>IFERROR(BASE_DATOS[[#This Row],[Horas Rodadas]]/(BASE_DATOS[[#This Row],[NSK Original]]-BASE_DATOS[[#This Row],[NSK]]),"")</f>
        <v/>
      </c>
      <c r="AL24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43" s="366" t="str">
        <f>IFERROR(BASE_DATOS[[#This Row],[Precio US$]]/BASE_DATOS[[#This Row],[Horas Proy.]],"")</f>
        <v/>
      </c>
      <c r="AN243" s="176" t="str">
        <f>IF(OR(BASE_DATOS[[#This Row],[Km.]]="",BASE_DATOS[[#This Row],[Km. Actual]]=""),"",BASE_DATOS[[#This Row],[Km. Actual]]-BASE_DATOS[[#This Row],[Km.]]+BASE_DATOS[[#This Row],[Kilómetros Acumulados]])</f>
        <v/>
      </c>
      <c r="AO243" s="177" t="str">
        <f>IFERROR(BASE_DATOS[[#This Row],[Precio US$]]/BASE_DATOS[[#This Row],[Kilómetros Rodados]],"")</f>
        <v/>
      </c>
      <c r="AP243" s="176" t="str">
        <f>IFERROR(BASE_DATOS[[#This Row],[Kilómetros Rodados]]/(BASE_DATOS[[#This Row],[NSK Original]]-BASE_DATOS[[#This Row],[NSK]]),"")</f>
        <v/>
      </c>
      <c r="AQ24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43" s="177" t="str">
        <f>IFERROR(BASE_DATOS[[#This Row],[Precio US$]]/BASE_DATOS[[#This Row],[Kilómetros Proy.]],"")</f>
        <v/>
      </c>
      <c r="AS243" s="167" t="s">
        <v>62</v>
      </c>
      <c r="AT243" s="167"/>
      <c r="AU243" s="167"/>
      <c r="AV243" s="167"/>
      <c r="AW243" s="179"/>
      <c r="AX243" s="179"/>
      <c r="AY243" s="179" t="str">
        <f>CONCATENATE(BASE_DATOS[[#This Row],[Código_U]]&amp;BASE_DATOS[[#This Row],[Pos.]]&amp;BASE_DATOS[[#This Row],[Situación Actual]])</f>
        <v>TC-1464Rodando</v>
      </c>
    </row>
    <row r="244" spans="1:51" s="151" customFormat="1" ht="12" x14ac:dyDescent="0.25">
      <c r="A244" s="227" t="s">
        <v>159</v>
      </c>
      <c r="B244" s="217" t="s">
        <v>160</v>
      </c>
      <c r="C244" s="228" t="s">
        <v>296</v>
      </c>
      <c r="D244" s="229" t="s">
        <v>61</v>
      </c>
      <c r="E244" s="255"/>
      <c r="F244" s="256" t="s">
        <v>273</v>
      </c>
      <c r="G244" s="256" t="s">
        <v>271</v>
      </c>
      <c r="H244" s="257" t="str">
        <f>IF(BASE_DATOS[[#This Row],[N-R]]="N",BASE_DATOS[[#This Row],[Diseño]],"Reencauche")</f>
        <v>Reencauche</v>
      </c>
      <c r="I244" s="256" t="s">
        <v>282</v>
      </c>
      <c r="J244" s="243" t="s">
        <v>82</v>
      </c>
      <c r="K244" s="258">
        <v>22</v>
      </c>
      <c r="L244" s="241">
        <v>110</v>
      </c>
      <c r="M244" s="259"/>
      <c r="N244" s="260"/>
      <c r="O244" s="277"/>
      <c r="P244" s="278"/>
      <c r="Q244" s="279"/>
      <c r="R244" s="309" t="s">
        <v>102</v>
      </c>
      <c r="S244" s="310">
        <v>45385</v>
      </c>
      <c r="T244" s="313"/>
      <c r="U244" s="279"/>
      <c r="V244" s="227">
        <v>12</v>
      </c>
      <c r="W244" s="281"/>
      <c r="X244" s="282">
        <v>10</v>
      </c>
      <c r="Y244" s="293">
        <f t="shared" si="9"/>
        <v>10</v>
      </c>
      <c r="Z244" s="175" t="s">
        <v>85</v>
      </c>
      <c r="AA244" s="342">
        <f>IFERROR(BASE_DATOS[[#This Row],[NSK Original]]-BASE_DATOS[[#This Row],[NSK]]," ")</f>
        <v>12</v>
      </c>
      <c r="AB244" s="343">
        <f>'NSK-TRACTO'!$A$2</f>
        <v>6</v>
      </c>
      <c r="AC244" s="343">
        <f>IF(BASE_DATOS[[#This Row],[NSK]]&gt;=BASE_DATOS[[#This Row],[NSK Reen]],BASE_DATOS[[#This Row],[NSK Reen]],BASE_DATOS[[#This Row],[NSK]])</f>
        <v>6</v>
      </c>
      <c r="AD244" s="344">
        <f>IFERROR(100%-(BASE_DATOS[[#This Row],[NSK Reen]]/BASE_DATOS[[#This Row],[NSK Original]]),"")</f>
        <v>0.72727272727272729</v>
      </c>
      <c r="AE244" s="344">
        <f>IFERROR(100%-BASE_DATOS[[#This Row],[NSK]]/BASE_DATOS[[#This Row],[NSK Original]],"")</f>
        <v>0.54545454545454541</v>
      </c>
      <c r="AF244" s="344">
        <f>IFERROR(BASE_DATOS[[#This Row],[% Max Des.]]-BASE_DATOS[[#This Row],[% Des]],"")</f>
        <v>0.18181818181818188</v>
      </c>
      <c r="AG244" s="287"/>
      <c r="AH244" s="273"/>
      <c r="AI244" s="363" t="str">
        <f>IF(OR(BASE_DATOS[[#This Row],[Hr.]]="",BASE_DATOS[[#This Row],[Hr. Actual]]=""),"",BASE_DATOS[[#This Row],[Hr. Actual]]-BASE_DATOS[[#This Row],[Hr.]]+BASE_DATOS[[#This Row],[Horas Acumuladas]])</f>
        <v/>
      </c>
      <c r="AJ244" s="364" t="str">
        <f>IFERROR(BASE_DATOS[[#This Row],[Precio US$]]/BASE_DATOS[[#This Row],[Horas Rodadas]],"")</f>
        <v/>
      </c>
      <c r="AK244" s="365" t="str">
        <f>IFERROR(BASE_DATOS[[#This Row],[Horas Rodadas]]/(BASE_DATOS[[#This Row],[NSK Original]]-BASE_DATOS[[#This Row],[NSK]]),"")</f>
        <v/>
      </c>
      <c r="AL24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44" s="366" t="str">
        <f>IFERROR(BASE_DATOS[[#This Row],[Precio US$]]/BASE_DATOS[[#This Row],[Horas Proy.]],"")</f>
        <v/>
      </c>
      <c r="AN244" s="176" t="str">
        <f>IF(OR(BASE_DATOS[[#This Row],[Km.]]="",BASE_DATOS[[#This Row],[Km. Actual]]=""),"",BASE_DATOS[[#This Row],[Km. Actual]]-BASE_DATOS[[#This Row],[Km.]]+BASE_DATOS[[#This Row],[Kilómetros Acumulados]])</f>
        <v/>
      </c>
      <c r="AO244" s="177" t="str">
        <f>IFERROR(BASE_DATOS[[#This Row],[Precio US$]]/BASE_DATOS[[#This Row],[Kilómetros Rodados]],"")</f>
        <v/>
      </c>
      <c r="AP244" s="176" t="str">
        <f>IFERROR(BASE_DATOS[[#This Row],[Kilómetros Rodados]]/(BASE_DATOS[[#This Row],[NSK Original]]-BASE_DATOS[[#This Row],[NSK]]),"")</f>
        <v/>
      </c>
      <c r="AQ24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44" s="177" t="str">
        <f>IFERROR(BASE_DATOS[[#This Row],[Precio US$]]/BASE_DATOS[[#This Row],[Kilómetros Proy.]],"")</f>
        <v/>
      </c>
      <c r="AS244" s="167" t="s">
        <v>62</v>
      </c>
      <c r="AT244" s="167"/>
      <c r="AU244" s="167"/>
      <c r="AV244" s="167"/>
      <c r="AW244" s="179"/>
      <c r="AX244" s="179"/>
      <c r="AY244" s="179" t="str">
        <f>CONCATENATE(BASE_DATOS[[#This Row],[Código_U]]&amp;BASE_DATOS[[#This Row],[Pos.]]&amp;BASE_DATOS[[#This Row],[Situación Actual]])</f>
        <v>TC-1465Rodando</v>
      </c>
    </row>
    <row r="245" spans="1:51" s="151" customFormat="1" ht="12" x14ac:dyDescent="0.25">
      <c r="A245" s="227" t="s">
        <v>159</v>
      </c>
      <c r="B245" s="217" t="s">
        <v>160</v>
      </c>
      <c r="C245" s="228" t="s">
        <v>296</v>
      </c>
      <c r="D245" s="229" t="s">
        <v>61</v>
      </c>
      <c r="E245" s="255"/>
      <c r="F245" s="256" t="s">
        <v>273</v>
      </c>
      <c r="G245" s="256" t="s">
        <v>271</v>
      </c>
      <c r="H245" s="257" t="str">
        <f>IF(BASE_DATOS[[#This Row],[N-R]]="N",BASE_DATOS[[#This Row],[Diseño]],"Reencauche")</f>
        <v>Reencauche</v>
      </c>
      <c r="I245" s="256" t="s">
        <v>282</v>
      </c>
      <c r="J245" s="243" t="s">
        <v>82</v>
      </c>
      <c r="K245" s="258">
        <v>22</v>
      </c>
      <c r="L245" s="241">
        <v>110</v>
      </c>
      <c r="M245" s="259"/>
      <c r="N245" s="260"/>
      <c r="O245" s="277"/>
      <c r="P245" s="278"/>
      <c r="Q245" s="279"/>
      <c r="R245" s="309" t="s">
        <v>103</v>
      </c>
      <c r="S245" s="310">
        <v>45385</v>
      </c>
      <c r="T245" s="313"/>
      <c r="U245" s="279"/>
      <c r="V245" s="227">
        <v>13</v>
      </c>
      <c r="W245" s="281"/>
      <c r="X245" s="282">
        <v>14</v>
      </c>
      <c r="Y245" s="293">
        <f t="shared" si="9"/>
        <v>13</v>
      </c>
      <c r="Z245" s="175" t="s">
        <v>85</v>
      </c>
      <c r="AA245" s="342">
        <f>IFERROR(BASE_DATOS[[#This Row],[NSK Original]]-BASE_DATOS[[#This Row],[NSK]]," ")</f>
        <v>9</v>
      </c>
      <c r="AB245" s="343">
        <f>'NSK-TRACTO'!$A$2</f>
        <v>6</v>
      </c>
      <c r="AC245" s="343">
        <f>IF(BASE_DATOS[[#This Row],[NSK]]&gt;=BASE_DATOS[[#This Row],[NSK Reen]],BASE_DATOS[[#This Row],[NSK Reen]],BASE_DATOS[[#This Row],[NSK]])</f>
        <v>6</v>
      </c>
      <c r="AD245" s="344">
        <f>IFERROR(100%-(BASE_DATOS[[#This Row],[NSK Reen]]/BASE_DATOS[[#This Row],[NSK Original]]),"")</f>
        <v>0.72727272727272729</v>
      </c>
      <c r="AE245" s="344">
        <f>IFERROR(100%-BASE_DATOS[[#This Row],[NSK]]/BASE_DATOS[[#This Row],[NSK Original]],"")</f>
        <v>0.40909090909090906</v>
      </c>
      <c r="AF245" s="344">
        <f>IFERROR(BASE_DATOS[[#This Row],[% Max Des.]]-BASE_DATOS[[#This Row],[% Des]],"")</f>
        <v>0.31818181818181823</v>
      </c>
      <c r="AG245" s="287"/>
      <c r="AH245" s="273"/>
      <c r="AI245" s="363" t="str">
        <f>IF(OR(BASE_DATOS[[#This Row],[Hr.]]="",BASE_DATOS[[#This Row],[Hr. Actual]]=""),"",BASE_DATOS[[#This Row],[Hr. Actual]]-BASE_DATOS[[#This Row],[Hr.]]+BASE_DATOS[[#This Row],[Horas Acumuladas]])</f>
        <v/>
      </c>
      <c r="AJ245" s="364" t="str">
        <f>IFERROR(BASE_DATOS[[#This Row],[Precio US$]]/BASE_DATOS[[#This Row],[Horas Rodadas]],"")</f>
        <v/>
      </c>
      <c r="AK245" s="365" t="str">
        <f>IFERROR(BASE_DATOS[[#This Row],[Horas Rodadas]]/(BASE_DATOS[[#This Row],[NSK Original]]-BASE_DATOS[[#This Row],[NSK]]),"")</f>
        <v/>
      </c>
      <c r="AL24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45" s="366" t="str">
        <f>IFERROR(BASE_DATOS[[#This Row],[Precio US$]]/BASE_DATOS[[#This Row],[Horas Proy.]],"")</f>
        <v/>
      </c>
      <c r="AN245" s="176" t="str">
        <f>IF(OR(BASE_DATOS[[#This Row],[Km.]]="",BASE_DATOS[[#This Row],[Km. Actual]]=""),"",BASE_DATOS[[#This Row],[Km. Actual]]-BASE_DATOS[[#This Row],[Km.]]+BASE_DATOS[[#This Row],[Kilómetros Acumulados]])</f>
        <v/>
      </c>
      <c r="AO245" s="177" t="str">
        <f>IFERROR(BASE_DATOS[[#This Row],[Precio US$]]/BASE_DATOS[[#This Row],[Kilómetros Rodados]],"")</f>
        <v/>
      </c>
      <c r="AP245" s="176" t="str">
        <f>IFERROR(BASE_DATOS[[#This Row],[Kilómetros Rodados]]/(BASE_DATOS[[#This Row],[NSK Original]]-BASE_DATOS[[#This Row],[NSK]]),"")</f>
        <v/>
      </c>
      <c r="AQ24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45" s="177" t="str">
        <f>IFERROR(BASE_DATOS[[#This Row],[Precio US$]]/BASE_DATOS[[#This Row],[Kilómetros Proy.]],"")</f>
        <v/>
      </c>
      <c r="AS245" s="167" t="s">
        <v>62</v>
      </c>
      <c r="AT245" s="167"/>
      <c r="AU245" s="167"/>
      <c r="AV245" s="167"/>
      <c r="AW245" s="179"/>
      <c r="AX245" s="179"/>
      <c r="AY245" s="179" t="str">
        <f>CONCATENATE(BASE_DATOS[[#This Row],[Código_U]]&amp;BASE_DATOS[[#This Row],[Pos.]]&amp;BASE_DATOS[[#This Row],[Situación Actual]])</f>
        <v>TC-1466Rodando</v>
      </c>
    </row>
    <row r="246" spans="1:51" ht="12" x14ac:dyDescent="0.25">
      <c r="A246" s="227" t="s">
        <v>159</v>
      </c>
      <c r="B246" s="217" t="s">
        <v>160</v>
      </c>
      <c r="C246" s="228" t="s">
        <v>296</v>
      </c>
      <c r="D246" s="229" t="s">
        <v>61</v>
      </c>
      <c r="E246" s="255"/>
      <c r="F246" s="256" t="s">
        <v>71</v>
      </c>
      <c r="G246" s="256" t="s">
        <v>271</v>
      </c>
      <c r="H246" s="257" t="str">
        <f>IF(BASE_DATOS[[#This Row],[N-R]]="N",BASE_DATOS[[#This Row],[Diseño]],"Reencauche")</f>
        <v>KMAXD</v>
      </c>
      <c r="I246" s="256" t="s">
        <v>294</v>
      </c>
      <c r="J246" s="243" t="s">
        <v>72</v>
      </c>
      <c r="K246" s="258">
        <v>22.2</v>
      </c>
      <c r="L246" s="241">
        <v>110</v>
      </c>
      <c r="M246" s="259"/>
      <c r="N246" s="260"/>
      <c r="O246" s="277"/>
      <c r="P246" s="278"/>
      <c r="Q246" s="279"/>
      <c r="R246" s="309" t="s">
        <v>104</v>
      </c>
      <c r="S246" s="310">
        <v>45385</v>
      </c>
      <c r="T246" s="313"/>
      <c r="U246" s="279"/>
      <c r="V246" s="227">
        <v>17</v>
      </c>
      <c r="W246" s="281"/>
      <c r="X246" s="282">
        <v>17</v>
      </c>
      <c r="Y246" s="293">
        <f t="shared" ref="Y246:Y249" si="10">IFERROR(MIN(V246:X246),"")</f>
        <v>17</v>
      </c>
      <c r="Z246" s="175" t="s">
        <v>85</v>
      </c>
      <c r="AA246" s="342">
        <f>IFERROR(BASE_DATOS[[#This Row],[NSK Original]]-BASE_DATOS[[#This Row],[NSK]]," ")</f>
        <v>5.1999999999999993</v>
      </c>
      <c r="AB246" s="343">
        <f>'NSK-TRACTO'!$A$2</f>
        <v>6</v>
      </c>
      <c r="AC246" s="343">
        <f>IF(BASE_DATOS[[#This Row],[NSK]]&gt;=BASE_DATOS[[#This Row],[NSK Reen]],BASE_DATOS[[#This Row],[NSK Reen]],BASE_DATOS[[#This Row],[NSK]])</f>
        <v>6</v>
      </c>
      <c r="AD246" s="344">
        <f>IFERROR(100%-(BASE_DATOS[[#This Row],[NSK Reen]]/BASE_DATOS[[#This Row],[NSK Original]]),"")</f>
        <v>0.72972972972972971</v>
      </c>
      <c r="AE246" s="344">
        <f>IFERROR(100%-BASE_DATOS[[#This Row],[NSK]]/BASE_DATOS[[#This Row],[NSK Original]],"")</f>
        <v>0.23423423423423417</v>
      </c>
      <c r="AF246" s="344">
        <f>IFERROR(BASE_DATOS[[#This Row],[% Max Des.]]-BASE_DATOS[[#This Row],[% Des]],"")</f>
        <v>0.49549549549549554</v>
      </c>
      <c r="AG246" s="287"/>
      <c r="AH246" s="273"/>
      <c r="AI246" s="363" t="str">
        <f>IF(OR(BASE_DATOS[[#This Row],[Hr.]]="",BASE_DATOS[[#This Row],[Hr. Actual]]=""),"",BASE_DATOS[[#This Row],[Hr. Actual]]-BASE_DATOS[[#This Row],[Hr.]]+BASE_DATOS[[#This Row],[Horas Acumuladas]])</f>
        <v/>
      </c>
      <c r="AJ246" s="364" t="str">
        <f>IFERROR(BASE_DATOS[[#This Row],[Precio US$]]/BASE_DATOS[[#This Row],[Horas Rodadas]],"")</f>
        <v/>
      </c>
      <c r="AK246" s="365" t="str">
        <f>IFERROR(BASE_DATOS[[#This Row],[Horas Rodadas]]/(BASE_DATOS[[#This Row],[NSK Original]]-BASE_DATOS[[#This Row],[NSK]]),"")</f>
        <v/>
      </c>
      <c r="AL24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46" s="366" t="str">
        <f>IFERROR(BASE_DATOS[[#This Row],[Precio US$]]/BASE_DATOS[[#This Row],[Horas Proy.]],"")</f>
        <v/>
      </c>
      <c r="AN246" s="176" t="str">
        <f>IF(OR(BASE_DATOS[[#This Row],[Km.]]="",BASE_DATOS[[#This Row],[Km. Actual]]=""),"",BASE_DATOS[[#This Row],[Km. Actual]]-BASE_DATOS[[#This Row],[Km.]]+BASE_DATOS[[#This Row],[Kilómetros Acumulados]])</f>
        <v/>
      </c>
      <c r="AO246" s="177" t="str">
        <f>IFERROR(BASE_DATOS[[#This Row],[Precio US$]]/BASE_DATOS[[#This Row],[Kilómetros Rodados]],"")</f>
        <v/>
      </c>
      <c r="AP246" s="176" t="str">
        <f>IFERROR(BASE_DATOS[[#This Row],[Kilómetros Rodados]]/(BASE_DATOS[[#This Row],[NSK Original]]-BASE_DATOS[[#This Row],[NSK]]),"")</f>
        <v/>
      </c>
      <c r="AQ24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46" s="177" t="str">
        <f>IFERROR(BASE_DATOS[[#This Row],[Precio US$]]/BASE_DATOS[[#This Row],[Kilómetros Proy.]],"")</f>
        <v/>
      </c>
      <c r="AS246" s="167" t="s">
        <v>62</v>
      </c>
      <c r="AT246" s="167"/>
      <c r="AU246" s="167"/>
      <c r="AV246" s="167"/>
      <c r="AW246" s="179"/>
      <c r="AX246" s="179"/>
      <c r="AY246" s="179" t="str">
        <f>CONCATENATE(BASE_DATOS[[#This Row],[Código_U]]&amp;BASE_DATOS[[#This Row],[Pos.]]&amp;BASE_DATOS[[#This Row],[Situación Actual]])</f>
        <v>TC-1467Rodando</v>
      </c>
    </row>
    <row r="247" spans="1:51" ht="12" x14ac:dyDescent="0.25">
      <c r="A247" s="227" t="s">
        <v>159</v>
      </c>
      <c r="B247" s="217" t="s">
        <v>160</v>
      </c>
      <c r="C247" s="228" t="s">
        <v>296</v>
      </c>
      <c r="D247" s="229" t="s">
        <v>61</v>
      </c>
      <c r="E247" s="255"/>
      <c r="F247" s="256" t="s">
        <v>71</v>
      </c>
      <c r="G247" s="256" t="s">
        <v>271</v>
      </c>
      <c r="H247" s="257" t="str">
        <f>IF(BASE_DATOS[[#This Row],[N-R]]="N",BASE_DATOS[[#This Row],[Diseño]],"Reencauche")</f>
        <v>KMAXD</v>
      </c>
      <c r="I247" s="256" t="s">
        <v>294</v>
      </c>
      <c r="J247" s="243" t="s">
        <v>72</v>
      </c>
      <c r="K247" s="258">
        <v>22.2</v>
      </c>
      <c r="L247" s="241">
        <v>110</v>
      </c>
      <c r="M247" s="259"/>
      <c r="N247" s="260"/>
      <c r="O247" s="277"/>
      <c r="P247" s="278"/>
      <c r="Q247" s="279"/>
      <c r="R247" s="309" t="s">
        <v>105</v>
      </c>
      <c r="S247" s="310">
        <v>45385</v>
      </c>
      <c r="T247" s="313"/>
      <c r="U247" s="279"/>
      <c r="V247" s="227">
        <v>17</v>
      </c>
      <c r="W247" s="281"/>
      <c r="X247" s="282">
        <v>17</v>
      </c>
      <c r="Y247" s="293">
        <f t="shared" si="10"/>
        <v>17</v>
      </c>
      <c r="Z247" s="175" t="s">
        <v>85</v>
      </c>
      <c r="AA247" s="342">
        <f>IFERROR(BASE_DATOS[[#This Row],[NSK Original]]-BASE_DATOS[[#This Row],[NSK]]," ")</f>
        <v>5.1999999999999993</v>
      </c>
      <c r="AB247" s="343">
        <f>'NSK-TRACTO'!$A$2</f>
        <v>6</v>
      </c>
      <c r="AC247" s="343">
        <f>IF(BASE_DATOS[[#This Row],[NSK]]&gt;=BASE_DATOS[[#This Row],[NSK Reen]],BASE_DATOS[[#This Row],[NSK Reen]],BASE_DATOS[[#This Row],[NSK]])</f>
        <v>6</v>
      </c>
      <c r="AD247" s="344">
        <f>IFERROR(100%-(BASE_DATOS[[#This Row],[NSK Reen]]/BASE_DATOS[[#This Row],[NSK Original]]),"")</f>
        <v>0.72972972972972971</v>
      </c>
      <c r="AE247" s="344">
        <f>IFERROR(100%-BASE_DATOS[[#This Row],[NSK]]/BASE_DATOS[[#This Row],[NSK Original]],"")</f>
        <v>0.23423423423423417</v>
      </c>
      <c r="AF247" s="344">
        <f>IFERROR(BASE_DATOS[[#This Row],[% Max Des.]]-BASE_DATOS[[#This Row],[% Des]],"")</f>
        <v>0.49549549549549554</v>
      </c>
      <c r="AG247" s="287"/>
      <c r="AH247" s="273"/>
      <c r="AI247" s="363" t="str">
        <f>IF(OR(BASE_DATOS[[#This Row],[Hr.]]="",BASE_DATOS[[#This Row],[Hr. Actual]]=""),"",BASE_DATOS[[#This Row],[Hr. Actual]]-BASE_DATOS[[#This Row],[Hr.]]+BASE_DATOS[[#This Row],[Horas Acumuladas]])</f>
        <v/>
      </c>
      <c r="AJ247" s="364" t="str">
        <f>IFERROR(BASE_DATOS[[#This Row],[Precio US$]]/BASE_DATOS[[#This Row],[Horas Rodadas]],"")</f>
        <v/>
      </c>
      <c r="AK247" s="365" t="str">
        <f>IFERROR(BASE_DATOS[[#This Row],[Horas Rodadas]]/(BASE_DATOS[[#This Row],[NSK Original]]-BASE_DATOS[[#This Row],[NSK]]),"")</f>
        <v/>
      </c>
      <c r="AL24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47" s="366" t="str">
        <f>IFERROR(BASE_DATOS[[#This Row],[Precio US$]]/BASE_DATOS[[#This Row],[Horas Proy.]],"")</f>
        <v/>
      </c>
      <c r="AN247" s="176" t="str">
        <f>IF(OR(BASE_DATOS[[#This Row],[Km.]]="",BASE_DATOS[[#This Row],[Km. Actual]]=""),"",BASE_DATOS[[#This Row],[Km. Actual]]-BASE_DATOS[[#This Row],[Km.]]+BASE_DATOS[[#This Row],[Kilómetros Acumulados]])</f>
        <v/>
      </c>
      <c r="AO247" s="177" t="str">
        <f>IFERROR(BASE_DATOS[[#This Row],[Precio US$]]/BASE_DATOS[[#This Row],[Kilómetros Rodados]],"")</f>
        <v/>
      </c>
      <c r="AP247" s="176" t="str">
        <f>IFERROR(BASE_DATOS[[#This Row],[Kilómetros Rodados]]/(BASE_DATOS[[#This Row],[NSK Original]]-BASE_DATOS[[#This Row],[NSK]]),"")</f>
        <v/>
      </c>
      <c r="AQ24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47" s="177" t="str">
        <f>IFERROR(BASE_DATOS[[#This Row],[Precio US$]]/BASE_DATOS[[#This Row],[Kilómetros Proy.]],"")</f>
        <v/>
      </c>
      <c r="AS247" s="167" t="s">
        <v>62</v>
      </c>
      <c r="AT247" s="167"/>
      <c r="AU247" s="167"/>
      <c r="AV247" s="167"/>
      <c r="AW247" s="179"/>
      <c r="AX247" s="179"/>
      <c r="AY247" s="179" t="str">
        <f>CONCATENATE(BASE_DATOS[[#This Row],[Código_U]]&amp;BASE_DATOS[[#This Row],[Pos.]]&amp;BASE_DATOS[[#This Row],[Situación Actual]])</f>
        <v>TC-1468Rodando</v>
      </c>
    </row>
    <row r="248" spans="1:51" ht="12" x14ac:dyDescent="0.25">
      <c r="A248" s="227" t="s">
        <v>159</v>
      </c>
      <c r="B248" s="217" t="s">
        <v>160</v>
      </c>
      <c r="C248" s="228" t="s">
        <v>296</v>
      </c>
      <c r="D248" s="229" t="s">
        <v>61</v>
      </c>
      <c r="E248" s="255"/>
      <c r="F248" s="256" t="s">
        <v>71</v>
      </c>
      <c r="G248" s="256" t="s">
        <v>271</v>
      </c>
      <c r="H248" s="257" t="str">
        <f>IF(BASE_DATOS[[#This Row],[N-R]]="N",BASE_DATOS[[#This Row],[Diseño]],"Reencauche")</f>
        <v>KMAXD</v>
      </c>
      <c r="I248" s="256" t="s">
        <v>294</v>
      </c>
      <c r="J248" s="243" t="s">
        <v>72</v>
      </c>
      <c r="K248" s="258">
        <v>22.2</v>
      </c>
      <c r="L248" s="241">
        <v>110</v>
      </c>
      <c r="M248" s="259"/>
      <c r="N248" s="260"/>
      <c r="O248" s="277"/>
      <c r="P248" s="278"/>
      <c r="Q248" s="279"/>
      <c r="R248" s="309" t="s">
        <v>106</v>
      </c>
      <c r="S248" s="310">
        <v>45385</v>
      </c>
      <c r="T248" s="313"/>
      <c r="U248" s="279"/>
      <c r="V248" s="227">
        <v>17</v>
      </c>
      <c r="W248" s="281"/>
      <c r="X248" s="282">
        <v>17</v>
      </c>
      <c r="Y248" s="293">
        <f t="shared" si="10"/>
        <v>17</v>
      </c>
      <c r="Z248" s="175" t="s">
        <v>85</v>
      </c>
      <c r="AA248" s="342">
        <f>IFERROR(BASE_DATOS[[#This Row],[NSK Original]]-BASE_DATOS[[#This Row],[NSK]]," ")</f>
        <v>5.1999999999999993</v>
      </c>
      <c r="AB248" s="343">
        <f>'NSK-TRACTO'!$A$2</f>
        <v>6</v>
      </c>
      <c r="AC248" s="343">
        <f>IF(BASE_DATOS[[#This Row],[NSK]]&gt;=BASE_DATOS[[#This Row],[NSK Reen]],BASE_DATOS[[#This Row],[NSK Reen]],BASE_DATOS[[#This Row],[NSK]])</f>
        <v>6</v>
      </c>
      <c r="AD248" s="344">
        <f>IFERROR(100%-(BASE_DATOS[[#This Row],[NSK Reen]]/BASE_DATOS[[#This Row],[NSK Original]]),"")</f>
        <v>0.72972972972972971</v>
      </c>
      <c r="AE248" s="344">
        <f>IFERROR(100%-BASE_DATOS[[#This Row],[NSK]]/BASE_DATOS[[#This Row],[NSK Original]],"")</f>
        <v>0.23423423423423417</v>
      </c>
      <c r="AF248" s="344">
        <f>IFERROR(BASE_DATOS[[#This Row],[% Max Des.]]-BASE_DATOS[[#This Row],[% Des]],"")</f>
        <v>0.49549549549549554</v>
      </c>
      <c r="AG248" s="287"/>
      <c r="AH248" s="273"/>
      <c r="AI248" s="363" t="str">
        <f>IF(OR(BASE_DATOS[[#This Row],[Hr.]]="",BASE_DATOS[[#This Row],[Hr. Actual]]=""),"",BASE_DATOS[[#This Row],[Hr. Actual]]-BASE_DATOS[[#This Row],[Hr.]]+BASE_DATOS[[#This Row],[Horas Acumuladas]])</f>
        <v/>
      </c>
      <c r="AJ248" s="364" t="str">
        <f>IFERROR(BASE_DATOS[[#This Row],[Precio US$]]/BASE_DATOS[[#This Row],[Horas Rodadas]],"")</f>
        <v/>
      </c>
      <c r="AK248" s="365" t="str">
        <f>IFERROR(BASE_DATOS[[#This Row],[Horas Rodadas]]/(BASE_DATOS[[#This Row],[NSK Original]]-BASE_DATOS[[#This Row],[NSK]]),"")</f>
        <v/>
      </c>
      <c r="AL24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48" s="366" t="str">
        <f>IFERROR(BASE_DATOS[[#This Row],[Precio US$]]/BASE_DATOS[[#This Row],[Horas Proy.]],"")</f>
        <v/>
      </c>
      <c r="AN248" s="176" t="str">
        <f>IF(OR(BASE_DATOS[[#This Row],[Km.]]="",BASE_DATOS[[#This Row],[Km. Actual]]=""),"",BASE_DATOS[[#This Row],[Km. Actual]]-BASE_DATOS[[#This Row],[Km.]]+BASE_DATOS[[#This Row],[Kilómetros Acumulados]])</f>
        <v/>
      </c>
      <c r="AO248" s="177" t="str">
        <f>IFERROR(BASE_DATOS[[#This Row],[Precio US$]]/BASE_DATOS[[#This Row],[Kilómetros Rodados]],"")</f>
        <v/>
      </c>
      <c r="AP248" s="176" t="str">
        <f>IFERROR(BASE_DATOS[[#This Row],[Kilómetros Rodados]]/(BASE_DATOS[[#This Row],[NSK Original]]-BASE_DATOS[[#This Row],[NSK]]),"")</f>
        <v/>
      </c>
      <c r="AQ24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48" s="177" t="str">
        <f>IFERROR(BASE_DATOS[[#This Row],[Precio US$]]/BASE_DATOS[[#This Row],[Kilómetros Proy.]],"")</f>
        <v/>
      </c>
      <c r="AS248" s="167" t="s">
        <v>62</v>
      </c>
      <c r="AT248" s="167"/>
      <c r="AU248" s="167"/>
      <c r="AV248" s="167"/>
      <c r="AW248" s="179"/>
      <c r="AX248" s="179"/>
      <c r="AY248" s="179" t="str">
        <f>CONCATENATE(BASE_DATOS[[#This Row],[Código_U]]&amp;BASE_DATOS[[#This Row],[Pos.]]&amp;BASE_DATOS[[#This Row],[Situación Actual]])</f>
        <v>TC-1469Rodando</v>
      </c>
    </row>
    <row r="249" spans="1:51" ht="12" x14ac:dyDescent="0.25">
      <c r="A249" s="227" t="s">
        <v>159</v>
      </c>
      <c r="B249" s="217" t="s">
        <v>160</v>
      </c>
      <c r="C249" s="228" t="s">
        <v>296</v>
      </c>
      <c r="D249" s="229" t="s">
        <v>61</v>
      </c>
      <c r="E249" s="255"/>
      <c r="F249" s="256" t="s">
        <v>71</v>
      </c>
      <c r="G249" s="256" t="s">
        <v>271</v>
      </c>
      <c r="H249" s="257" t="str">
        <f>IF(BASE_DATOS[[#This Row],[N-R]]="N",BASE_DATOS[[#This Row],[Diseño]],"Reencauche")</f>
        <v>KMAXD</v>
      </c>
      <c r="I249" s="256" t="s">
        <v>294</v>
      </c>
      <c r="J249" s="243" t="s">
        <v>72</v>
      </c>
      <c r="K249" s="258">
        <v>22.2</v>
      </c>
      <c r="L249" s="241">
        <v>110</v>
      </c>
      <c r="M249" s="259"/>
      <c r="N249" s="260"/>
      <c r="O249" s="277"/>
      <c r="P249" s="278"/>
      <c r="Q249" s="279"/>
      <c r="R249" s="309" t="s">
        <v>107</v>
      </c>
      <c r="S249" s="310">
        <v>45385</v>
      </c>
      <c r="T249" s="313"/>
      <c r="U249" s="279"/>
      <c r="V249" s="227">
        <v>17</v>
      </c>
      <c r="W249" s="281"/>
      <c r="X249" s="282">
        <v>17</v>
      </c>
      <c r="Y249" s="293">
        <f t="shared" si="10"/>
        <v>17</v>
      </c>
      <c r="Z249" s="175" t="s">
        <v>85</v>
      </c>
      <c r="AA249" s="342">
        <f>IFERROR(BASE_DATOS[[#This Row],[NSK Original]]-BASE_DATOS[[#This Row],[NSK]]," ")</f>
        <v>5.1999999999999993</v>
      </c>
      <c r="AB249" s="343">
        <f>'NSK-TRACTO'!$A$2</f>
        <v>6</v>
      </c>
      <c r="AC249" s="343">
        <f>IF(BASE_DATOS[[#This Row],[NSK]]&gt;=BASE_DATOS[[#This Row],[NSK Reen]],BASE_DATOS[[#This Row],[NSK Reen]],BASE_DATOS[[#This Row],[NSK]])</f>
        <v>6</v>
      </c>
      <c r="AD249" s="344">
        <f>IFERROR(100%-(BASE_DATOS[[#This Row],[NSK Reen]]/BASE_DATOS[[#This Row],[NSK Original]]),"")</f>
        <v>0.72972972972972971</v>
      </c>
      <c r="AE249" s="344">
        <f>IFERROR(100%-BASE_DATOS[[#This Row],[NSK]]/BASE_DATOS[[#This Row],[NSK Original]],"")</f>
        <v>0.23423423423423417</v>
      </c>
      <c r="AF249" s="344">
        <f>IFERROR(BASE_DATOS[[#This Row],[% Max Des.]]-BASE_DATOS[[#This Row],[% Des]],"")</f>
        <v>0.49549549549549554</v>
      </c>
      <c r="AG249" s="287"/>
      <c r="AH249" s="273"/>
      <c r="AI249" s="363" t="str">
        <f>IF(OR(BASE_DATOS[[#This Row],[Hr.]]="",BASE_DATOS[[#This Row],[Hr. Actual]]=""),"",BASE_DATOS[[#This Row],[Hr. Actual]]-BASE_DATOS[[#This Row],[Hr.]]+BASE_DATOS[[#This Row],[Horas Acumuladas]])</f>
        <v/>
      </c>
      <c r="AJ249" s="364" t="str">
        <f>IFERROR(BASE_DATOS[[#This Row],[Precio US$]]/BASE_DATOS[[#This Row],[Horas Rodadas]],"")</f>
        <v/>
      </c>
      <c r="AK249" s="365" t="str">
        <f>IFERROR(BASE_DATOS[[#This Row],[Horas Rodadas]]/(BASE_DATOS[[#This Row],[NSK Original]]-BASE_DATOS[[#This Row],[NSK]]),"")</f>
        <v/>
      </c>
      <c r="AL24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49" s="366" t="str">
        <f>IFERROR(BASE_DATOS[[#This Row],[Precio US$]]/BASE_DATOS[[#This Row],[Horas Proy.]],"")</f>
        <v/>
      </c>
      <c r="AN249" s="176" t="str">
        <f>IF(OR(BASE_DATOS[[#This Row],[Km.]]="",BASE_DATOS[[#This Row],[Km. Actual]]=""),"",BASE_DATOS[[#This Row],[Km. Actual]]-BASE_DATOS[[#This Row],[Km.]]+BASE_DATOS[[#This Row],[Kilómetros Acumulados]])</f>
        <v/>
      </c>
      <c r="AO249" s="177" t="str">
        <f>IFERROR(BASE_DATOS[[#This Row],[Precio US$]]/BASE_DATOS[[#This Row],[Kilómetros Rodados]],"")</f>
        <v/>
      </c>
      <c r="AP249" s="176" t="str">
        <f>IFERROR(BASE_DATOS[[#This Row],[Kilómetros Rodados]]/(BASE_DATOS[[#This Row],[NSK Original]]-BASE_DATOS[[#This Row],[NSK]]),"")</f>
        <v/>
      </c>
      <c r="AQ24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49" s="177" t="str">
        <f>IFERROR(BASE_DATOS[[#This Row],[Precio US$]]/BASE_DATOS[[#This Row],[Kilómetros Proy.]],"")</f>
        <v/>
      </c>
      <c r="AS249" s="167" t="s">
        <v>62</v>
      </c>
      <c r="AT249" s="167"/>
      <c r="AU249" s="167"/>
      <c r="AV249" s="167"/>
      <c r="AW249" s="179"/>
      <c r="AX249" s="179"/>
      <c r="AY249" s="179" t="str">
        <f>CONCATENATE(BASE_DATOS[[#This Row],[Código_U]]&amp;BASE_DATOS[[#This Row],[Pos.]]&amp;BASE_DATOS[[#This Row],[Situación Actual]])</f>
        <v>TC-14610Rodando</v>
      </c>
    </row>
    <row r="250" spans="1:51" ht="12" x14ac:dyDescent="0.25">
      <c r="A250" s="224" t="s">
        <v>161</v>
      </c>
      <c r="B250" s="213" t="s">
        <v>162</v>
      </c>
      <c r="C250" s="225" t="s">
        <v>295</v>
      </c>
      <c r="D250" s="226" t="s">
        <v>87</v>
      </c>
      <c r="E250" s="249"/>
      <c r="F250" s="250" t="s">
        <v>97</v>
      </c>
      <c r="G250" s="250" t="s">
        <v>269</v>
      </c>
      <c r="H250" s="251" t="str">
        <f>IF(BASE_DATOS[[#This Row],[N-R]]="N",BASE_DATOS[[#This Row],[Diseño]],"Reencauche")</f>
        <v>AGC28</v>
      </c>
      <c r="I250" s="250" t="s">
        <v>270</v>
      </c>
      <c r="J250" s="235" t="s">
        <v>72</v>
      </c>
      <c r="K250" s="252">
        <v>16.5</v>
      </c>
      <c r="L250" s="250">
        <v>110</v>
      </c>
      <c r="M250" s="253"/>
      <c r="N250" s="254"/>
      <c r="O250" s="274"/>
      <c r="P250" s="275"/>
      <c r="Q250" s="276"/>
      <c r="R250" s="305" t="s">
        <v>98</v>
      </c>
      <c r="S250" s="306">
        <v>45385</v>
      </c>
      <c r="T250" s="314"/>
      <c r="U250" s="276"/>
      <c r="V250" s="224">
        <v>13</v>
      </c>
      <c r="W250" s="325">
        <v>13</v>
      </c>
      <c r="X250" s="326">
        <v>13</v>
      </c>
      <c r="Y250" s="292">
        <f t="shared" ref="Y250:Y268" si="11">IFERROR(MIN(V250:X250),"")</f>
        <v>13</v>
      </c>
      <c r="Z250" s="194" t="s">
        <v>85</v>
      </c>
      <c r="AA250" s="339">
        <f>IFERROR(BASE_DATOS[[#This Row],[NSK Original]]-BASE_DATOS[[#This Row],[NSK]]," ")</f>
        <v>3.5</v>
      </c>
      <c r="AB250" s="340">
        <f>'NSK-TRACTO'!$A$2</f>
        <v>6</v>
      </c>
      <c r="AC250" s="340">
        <f>IF(BASE_DATOS[[#This Row],[NSK]]&gt;=BASE_DATOS[[#This Row],[NSK Reen]],BASE_DATOS[[#This Row],[NSK Reen]],BASE_DATOS[[#This Row],[NSK]])</f>
        <v>6</v>
      </c>
      <c r="AD250" s="341">
        <f>IFERROR(100%-(BASE_DATOS[[#This Row],[NSK Reen]]/BASE_DATOS[[#This Row],[NSK Original]]),"")</f>
        <v>0.63636363636363635</v>
      </c>
      <c r="AE250" s="341">
        <f>IFERROR(100%-BASE_DATOS[[#This Row],[NSK]]/BASE_DATOS[[#This Row],[NSK Original]],"")</f>
        <v>0.21212121212121215</v>
      </c>
      <c r="AF250" s="341">
        <f>IFERROR(BASE_DATOS[[#This Row],[% Max Des.]]-BASE_DATOS[[#This Row],[% Des]],"")</f>
        <v>0.4242424242424242</v>
      </c>
      <c r="AG250" s="284"/>
      <c r="AH250" s="335"/>
      <c r="AI250" s="359" t="str">
        <f>IF(OR(BASE_DATOS[[#This Row],[Hr.]]="",BASE_DATOS[[#This Row],[Hr. Actual]]=""),"",BASE_DATOS[[#This Row],[Hr. Actual]]-BASE_DATOS[[#This Row],[Hr.]]+BASE_DATOS[[#This Row],[Horas Acumuladas]])</f>
        <v/>
      </c>
      <c r="AJ250" s="360" t="str">
        <f>IFERROR(BASE_DATOS[[#This Row],[Precio US$]]/BASE_DATOS[[#This Row],[Horas Rodadas]],"")</f>
        <v/>
      </c>
      <c r="AK250" s="361" t="str">
        <f>IFERROR(BASE_DATOS[[#This Row],[Horas Rodadas]]/(BASE_DATOS[[#This Row],[NSK Original]]-BASE_DATOS[[#This Row],[NSK]]),"")</f>
        <v/>
      </c>
      <c r="AL250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50" s="362" t="str">
        <f>IFERROR(BASE_DATOS[[#This Row],[Precio US$]]/BASE_DATOS[[#This Row],[Horas Proy.]],"")</f>
        <v/>
      </c>
      <c r="AN250" s="195" t="str">
        <f>IF(OR(BASE_DATOS[[#This Row],[Km.]]="",BASE_DATOS[[#This Row],[Km. Actual]]=""),"",BASE_DATOS[[#This Row],[Km. Actual]]-BASE_DATOS[[#This Row],[Km.]]+BASE_DATOS[[#This Row],[Kilómetros Acumulados]])</f>
        <v/>
      </c>
      <c r="AO250" s="196" t="str">
        <f>IFERROR(BASE_DATOS[[#This Row],[Precio US$]]/BASE_DATOS[[#This Row],[Kilómetros Rodados]],"")</f>
        <v/>
      </c>
      <c r="AP250" s="195" t="str">
        <f>IFERROR(BASE_DATOS[[#This Row],[Kilómetros Rodados]]/(BASE_DATOS[[#This Row],[NSK Original]]-BASE_DATOS[[#This Row],[NSK]]),"")</f>
        <v/>
      </c>
      <c r="AQ250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50" s="196" t="str">
        <f>IFERROR(BASE_DATOS[[#This Row],[Precio US$]]/BASE_DATOS[[#This Row],[Kilómetros Proy.]],"")</f>
        <v/>
      </c>
      <c r="AS250" s="191" t="s">
        <v>62</v>
      </c>
      <c r="AT250" s="191"/>
      <c r="AU250" s="191"/>
      <c r="AV250" s="191"/>
      <c r="AW250" s="198"/>
      <c r="AX250" s="198"/>
      <c r="AY250" s="198" t="str">
        <f>CONCATENATE(BASE_DATOS[[#This Row],[Código_U]]&amp;BASE_DATOS[[#This Row],[Pos.]]&amp;BASE_DATOS[[#This Row],[Situación Actual]])</f>
        <v>SR-1461Rodando</v>
      </c>
    </row>
    <row r="251" spans="1:51" ht="12" x14ac:dyDescent="0.25">
      <c r="A251" s="227" t="s">
        <v>161</v>
      </c>
      <c r="B251" s="217" t="s">
        <v>162</v>
      </c>
      <c r="C251" s="228" t="s">
        <v>295</v>
      </c>
      <c r="D251" s="229" t="s">
        <v>87</v>
      </c>
      <c r="E251" s="255"/>
      <c r="F251" s="256" t="s">
        <v>97</v>
      </c>
      <c r="G251" s="256" t="s">
        <v>269</v>
      </c>
      <c r="H251" s="257" t="str">
        <f>IF(BASE_DATOS[[#This Row],[N-R]]="N",BASE_DATOS[[#This Row],[Diseño]],"Reencauche")</f>
        <v>AGC28</v>
      </c>
      <c r="I251" s="256" t="s">
        <v>270</v>
      </c>
      <c r="J251" s="243" t="s">
        <v>72</v>
      </c>
      <c r="K251" s="258">
        <v>16.5</v>
      </c>
      <c r="L251" s="256">
        <v>110</v>
      </c>
      <c r="M251" s="259"/>
      <c r="N251" s="260"/>
      <c r="O251" s="277"/>
      <c r="P251" s="278"/>
      <c r="Q251" s="279"/>
      <c r="R251" s="309" t="s">
        <v>99</v>
      </c>
      <c r="S251" s="310">
        <v>45385</v>
      </c>
      <c r="T251" s="313"/>
      <c r="U251" s="279"/>
      <c r="V251" s="227">
        <v>13</v>
      </c>
      <c r="W251" s="281">
        <v>13</v>
      </c>
      <c r="X251" s="282">
        <v>13</v>
      </c>
      <c r="Y251" s="293">
        <f t="shared" si="11"/>
        <v>13</v>
      </c>
      <c r="Z251" s="175" t="s">
        <v>85</v>
      </c>
      <c r="AA251" s="342">
        <f>IFERROR(BASE_DATOS[[#This Row],[NSK Original]]-BASE_DATOS[[#This Row],[NSK]]," ")</f>
        <v>3.5</v>
      </c>
      <c r="AB251" s="343">
        <f>'NSK-TRACTO'!$A$2</f>
        <v>6</v>
      </c>
      <c r="AC251" s="343">
        <f>IF(BASE_DATOS[[#This Row],[NSK]]&gt;=BASE_DATOS[[#This Row],[NSK Reen]],BASE_DATOS[[#This Row],[NSK Reen]],BASE_DATOS[[#This Row],[NSK]])</f>
        <v>6</v>
      </c>
      <c r="AD251" s="344">
        <f>IFERROR(100%-(BASE_DATOS[[#This Row],[NSK Reen]]/BASE_DATOS[[#This Row],[NSK Original]]),"")</f>
        <v>0.63636363636363635</v>
      </c>
      <c r="AE251" s="344">
        <f>IFERROR(100%-BASE_DATOS[[#This Row],[NSK]]/BASE_DATOS[[#This Row],[NSK Original]],"")</f>
        <v>0.21212121212121215</v>
      </c>
      <c r="AF251" s="344">
        <f>IFERROR(BASE_DATOS[[#This Row],[% Max Des.]]-BASE_DATOS[[#This Row],[% Des]],"")</f>
        <v>0.4242424242424242</v>
      </c>
      <c r="AG251" s="287"/>
      <c r="AH251" s="273"/>
      <c r="AI251" s="363" t="str">
        <f>IF(OR(BASE_DATOS[[#This Row],[Hr.]]="",BASE_DATOS[[#This Row],[Hr. Actual]]=""),"",BASE_DATOS[[#This Row],[Hr. Actual]]-BASE_DATOS[[#This Row],[Hr.]]+BASE_DATOS[[#This Row],[Horas Acumuladas]])</f>
        <v/>
      </c>
      <c r="AJ251" s="364" t="str">
        <f>IFERROR(BASE_DATOS[[#This Row],[Precio US$]]/BASE_DATOS[[#This Row],[Horas Rodadas]],"")</f>
        <v/>
      </c>
      <c r="AK251" s="365" t="str">
        <f>IFERROR(BASE_DATOS[[#This Row],[Horas Rodadas]]/(BASE_DATOS[[#This Row],[NSK Original]]-BASE_DATOS[[#This Row],[NSK]]),"")</f>
        <v/>
      </c>
      <c r="AL25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51" s="366" t="str">
        <f>IFERROR(BASE_DATOS[[#This Row],[Precio US$]]/BASE_DATOS[[#This Row],[Horas Proy.]],"")</f>
        <v/>
      </c>
      <c r="AN251" s="176" t="str">
        <f>IF(OR(BASE_DATOS[[#This Row],[Km.]]="",BASE_DATOS[[#This Row],[Km. Actual]]=""),"",BASE_DATOS[[#This Row],[Km. Actual]]-BASE_DATOS[[#This Row],[Km.]]+BASE_DATOS[[#This Row],[Kilómetros Acumulados]])</f>
        <v/>
      </c>
      <c r="AO251" s="177" t="str">
        <f>IFERROR(BASE_DATOS[[#This Row],[Precio US$]]/BASE_DATOS[[#This Row],[Kilómetros Rodados]],"")</f>
        <v/>
      </c>
      <c r="AP251" s="176" t="str">
        <f>IFERROR(BASE_DATOS[[#This Row],[Kilómetros Rodados]]/(BASE_DATOS[[#This Row],[NSK Original]]-BASE_DATOS[[#This Row],[NSK]]),"")</f>
        <v/>
      </c>
      <c r="AQ25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51" s="177" t="str">
        <f>IFERROR(BASE_DATOS[[#This Row],[Precio US$]]/BASE_DATOS[[#This Row],[Kilómetros Proy.]],"")</f>
        <v/>
      </c>
      <c r="AS251" s="167" t="s">
        <v>62</v>
      </c>
      <c r="AT251" s="167"/>
      <c r="AU251" s="167"/>
      <c r="AV251" s="167"/>
      <c r="AW251" s="179"/>
      <c r="AX251" s="179"/>
      <c r="AY251" s="179" t="str">
        <f>CONCATENATE(BASE_DATOS[[#This Row],[Código_U]]&amp;BASE_DATOS[[#This Row],[Pos.]]&amp;BASE_DATOS[[#This Row],[Situación Actual]])</f>
        <v>SR-1462Rodando</v>
      </c>
    </row>
    <row r="252" spans="1:51" ht="12" x14ac:dyDescent="0.25">
      <c r="A252" s="227" t="s">
        <v>161</v>
      </c>
      <c r="B252" s="217" t="s">
        <v>162</v>
      </c>
      <c r="C252" s="228" t="s">
        <v>295</v>
      </c>
      <c r="D252" s="229" t="s">
        <v>87</v>
      </c>
      <c r="E252" s="255"/>
      <c r="F252" s="256" t="s">
        <v>97</v>
      </c>
      <c r="G252" s="256" t="s">
        <v>269</v>
      </c>
      <c r="H252" s="257" t="str">
        <f>IF(BASE_DATOS[[#This Row],[N-R]]="N",BASE_DATOS[[#This Row],[Diseño]],"Reencauche")</f>
        <v>AGC28</v>
      </c>
      <c r="I252" s="256" t="s">
        <v>270</v>
      </c>
      <c r="J252" s="243" t="s">
        <v>72</v>
      </c>
      <c r="K252" s="258">
        <v>16.5</v>
      </c>
      <c r="L252" s="256">
        <v>110</v>
      </c>
      <c r="M252" s="259"/>
      <c r="N252" s="260"/>
      <c r="O252" s="277"/>
      <c r="P252" s="278"/>
      <c r="Q252" s="279"/>
      <c r="R252" s="309" t="s">
        <v>100</v>
      </c>
      <c r="S252" s="310">
        <v>45385</v>
      </c>
      <c r="T252" s="313"/>
      <c r="U252" s="279"/>
      <c r="V252" s="227">
        <v>10</v>
      </c>
      <c r="W252" s="281">
        <v>8</v>
      </c>
      <c r="X252" s="282">
        <v>8</v>
      </c>
      <c r="Y252" s="293">
        <f t="shared" si="11"/>
        <v>8</v>
      </c>
      <c r="Z252" s="175" t="s">
        <v>85</v>
      </c>
      <c r="AA252" s="342">
        <f>IFERROR(BASE_DATOS[[#This Row],[NSK Original]]-BASE_DATOS[[#This Row],[NSK]]," ")</f>
        <v>8.5</v>
      </c>
      <c r="AB252" s="343">
        <f>'NSK-TRACTO'!$A$2</f>
        <v>6</v>
      </c>
      <c r="AC252" s="343">
        <f>IF(BASE_DATOS[[#This Row],[NSK]]&gt;=BASE_DATOS[[#This Row],[NSK Reen]],BASE_DATOS[[#This Row],[NSK Reen]],BASE_DATOS[[#This Row],[NSK]])</f>
        <v>6</v>
      </c>
      <c r="AD252" s="344">
        <f>IFERROR(100%-(BASE_DATOS[[#This Row],[NSK Reen]]/BASE_DATOS[[#This Row],[NSK Original]]),"")</f>
        <v>0.63636363636363635</v>
      </c>
      <c r="AE252" s="344">
        <f>IFERROR(100%-BASE_DATOS[[#This Row],[NSK]]/BASE_DATOS[[#This Row],[NSK Original]],"")</f>
        <v>0.51515151515151514</v>
      </c>
      <c r="AF252" s="344">
        <f>IFERROR(BASE_DATOS[[#This Row],[% Max Des.]]-BASE_DATOS[[#This Row],[% Des]],"")</f>
        <v>0.12121212121212122</v>
      </c>
      <c r="AG252" s="287"/>
      <c r="AH252" s="273"/>
      <c r="AI252" s="363" t="str">
        <f>IF(OR(BASE_DATOS[[#This Row],[Hr.]]="",BASE_DATOS[[#This Row],[Hr. Actual]]=""),"",BASE_DATOS[[#This Row],[Hr. Actual]]-BASE_DATOS[[#This Row],[Hr.]]+BASE_DATOS[[#This Row],[Horas Acumuladas]])</f>
        <v/>
      </c>
      <c r="AJ252" s="364" t="str">
        <f>IFERROR(BASE_DATOS[[#This Row],[Precio US$]]/BASE_DATOS[[#This Row],[Horas Rodadas]],"")</f>
        <v/>
      </c>
      <c r="AK252" s="365" t="str">
        <f>IFERROR(BASE_DATOS[[#This Row],[Horas Rodadas]]/(BASE_DATOS[[#This Row],[NSK Original]]-BASE_DATOS[[#This Row],[NSK]]),"")</f>
        <v/>
      </c>
      <c r="AL25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52" s="366" t="str">
        <f>IFERROR(BASE_DATOS[[#This Row],[Precio US$]]/BASE_DATOS[[#This Row],[Horas Proy.]],"")</f>
        <v/>
      </c>
      <c r="AN252" s="176" t="str">
        <f>IF(OR(BASE_DATOS[[#This Row],[Km.]]="",BASE_DATOS[[#This Row],[Km. Actual]]=""),"",BASE_DATOS[[#This Row],[Km. Actual]]-BASE_DATOS[[#This Row],[Km.]]+BASE_DATOS[[#This Row],[Kilómetros Acumulados]])</f>
        <v/>
      </c>
      <c r="AO252" s="177" t="str">
        <f>IFERROR(BASE_DATOS[[#This Row],[Precio US$]]/BASE_DATOS[[#This Row],[Kilómetros Rodados]],"")</f>
        <v/>
      </c>
      <c r="AP252" s="176" t="str">
        <f>IFERROR(BASE_DATOS[[#This Row],[Kilómetros Rodados]]/(BASE_DATOS[[#This Row],[NSK Original]]-BASE_DATOS[[#This Row],[NSK]]),"")</f>
        <v/>
      </c>
      <c r="AQ25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52" s="177" t="str">
        <f>IFERROR(BASE_DATOS[[#This Row],[Precio US$]]/BASE_DATOS[[#This Row],[Kilómetros Proy.]],"")</f>
        <v/>
      </c>
      <c r="AS252" s="167" t="s">
        <v>62</v>
      </c>
      <c r="AT252" s="167"/>
      <c r="AU252" s="167" t="s">
        <v>515</v>
      </c>
      <c r="AV252" s="167"/>
      <c r="AW252" s="179"/>
      <c r="AX252" s="169" t="s">
        <v>371</v>
      </c>
      <c r="AY252" s="169" t="str">
        <f>CONCATENATE(BASE_DATOS[[#This Row],[Código_U]]&amp;BASE_DATOS[[#This Row],[Pos.]]&amp;BASE_DATOS[[#This Row],[Situación Actual]])</f>
        <v>SR-1463Rodando</v>
      </c>
    </row>
    <row r="253" spans="1:51" ht="12" x14ac:dyDescent="0.25">
      <c r="A253" s="227" t="s">
        <v>161</v>
      </c>
      <c r="B253" s="217" t="s">
        <v>162</v>
      </c>
      <c r="C253" s="228" t="s">
        <v>295</v>
      </c>
      <c r="D253" s="229" t="s">
        <v>87</v>
      </c>
      <c r="E253" s="255"/>
      <c r="F253" s="256" t="s">
        <v>97</v>
      </c>
      <c r="G253" s="256" t="s">
        <v>269</v>
      </c>
      <c r="H253" s="257" t="str">
        <f>IF(BASE_DATOS[[#This Row],[N-R]]="N",BASE_DATOS[[#This Row],[Diseño]],"Reencauche")</f>
        <v>AGC28</v>
      </c>
      <c r="I253" s="256" t="s">
        <v>270</v>
      </c>
      <c r="J253" s="243" t="s">
        <v>72</v>
      </c>
      <c r="K253" s="258">
        <v>16.5</v>
      </c>
      <c r="L253" s="256">
        <v>110</v>
      </c>
      <c r="M253" s="259"/>
      <c r="N253" s="260"/>
      <c r="O253" s="277"/>
      <c r="P253" s="278"/>
      <c r="Q253" s="279"/>
      <c r="R253" s="309" t="s">
        <v>101</v>
      </c>
      <c r="S253" s="310">
        <v>45385</v>
      </c>
      <c r="T253" s="313"/>
      <c r="U253" s="279"/>
      <c r="V253" s="227">
        <v>9</v>
      </c>
      <c r="W253" s="281">
        <v>8</v>
      </c>
      <c r="X253" s="282">
        <v>9</v>
      </c>
      <c r="Y253" s="293">
        <f t="shared" si="11"/>
        <v>8</v>
      </c>
      <c r="Z253" s="175" t="s">
        <v>85</v>
      </c>
      <c r="AA253" s="342">
        <f>IFERROR(BASE_DATOS[[#This Row],[NSK Original]]-BASE_DATOS[[#This Row],[NSK]]," ")</f>
        <v>8.5</v>
      </c>
      <c r="AB253" s="343">
        <f>'NSK-TRACTO'!$A$2</f>
        <v>6</v>
      </c>
      <c r="AC253" s="343">
        <f>IF(BASE_DATOS[[#This Row],[NSK]]&gt;=BASE_DATOS[[#This Row],[NSK Reen]],BASE_DATOS[[#This Row],[NSK Reen]],BASE_DATOS[[#This Row],[NSK]])</f>
        <v>6</v>
      </c>
      <c r="AD253" s="344">
        <f>IFERROR(100%-(BASE_DATOS[[#This Row],[NSK Reen]]/BASE_DATOS[[#This Row],[NSK Original]]),"")</f>
        <v>0.63636363636363635</v>
      </c>
      <c r="AE253" s="344">
        <f>IFERROR(100%-BASE_DATOS[[#This Row],[NSK]]/BASE_DATOS[[#This Row],[NSK Original]],"")</f>
        <v>0.51515151515151514</v>
      </c>
      <c r="AF253" s="344">
        <f>IFERROR(BASE_DATOS[[#This Row],[% Max Des.]]-BASE_DATOS[[#This Row],[% Des]],"")</f>
        <v>0.12121212121212122</v>
      </c>
      <c r="AG253" s="287"/>
      <c r="AH253" s="273"/>
      <c r="AI253" s="363" t="str">
        <f>IF(OR(BASE_DATOS[[#This Row],[Hr.]]="",BASE_DATOS[[#This Row],[Hr. Actual]]=""),"",BASE_DATOS[[#This Row],[Hr. Actual]]-BASE_DATOS[[#This Row],[Hr.]]+BASE_DATOS[[#This Row],[Horas Acumuladas]])</f>
        <v/>
      </c>
      <c r="AJ253" s="364" t="str">
        <f>IFERROR(BASE_DATOS[[#This Row],[Precio US$]]/BASE_DATOS[[#This Row],[Horas Rodadas]],"")</f>
        <v/>
      </c>
      <c r="AK253" s="365" t="str">
        <f>IFERROR(BASE_DATOS[[#This Row],[Horas Rodadas]]/(BASE_DATOS[[#This Row],[NSK Original]]-BASE_DATOS[[#This Row],[NSK]]),"")</f>
        <v/>
      </c>
      <c r="AL25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53" s="366" t="str">
        <f>IFERROR(BASE_DATOS[[#This Row],[Precio US$]]/BASE_DATOS[[#This Row],[Horas Proy.]],"")</f>
        <v/>
      </c>
      <c r="AN253" s="176" t="str">
        <f>IF(OR(BASE_DATOS[[#This Row],[Km.]]="",BASE_DATOS[[#This Row],[Km. Actual]]=""),"",BASE_DATOS[[#This Row],[Km. Actual]]-BASE_DATOS[[#This Row],[Km.]]+BASE_DATOS[[#This Row],[Kilómetros Acumulados]])</f>
        <v/>
      </c>
      <c r="AO253" s="177" t="str">
        <f>IFERROR(BASE_DATOS[[#This Row],[Precio US$]]/BASE_DATOS[[#This Row],[Kilómetros Rodados]],"")</f>
        <v/>
      </c>
      <c r="AP253" s="176" t="str">
        <f>IFERROR(BASE_DATOS[[#This Row],[Kilómetros Rodados]]/(BASE_DATOS[[#This Row],[NSK Original]]-BASE_DATOS[[#This Row],[NSK]]),"")</f>
        <v/>
      </c>
      <c r="AQ25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53" s="177" t="str">
        <f>IFERROR(BASE_DATOS[[#This Row],[Precio US$]]/BASE_DATOS[[#This Row],[Kilómetros Proy.]],"")</f>
        <v/>
      </c>
      <c r="AS253" s="167" t="s">
        <v>62</v>
      </c>
      <c r="AT253" s="167"/>
      <c r="AU253" s="167"/>
      <c r="AV253" s="167"/>
      <c r="AW253" s="179"/>
      <c r="AX253" s="179"/>
      <c r="AY253" s="179" t="str">
        <f>CONCATENATE(BASE_DATOS[[#This Row],[Código_U]]&amp;BASE_DATOS[[#This Row],[Pos.]]&amp;BASE_DATOS[[#This Row],[Situación Actual]])</f>
        <v>SR-1464Rodando</v>
      </c>
    </row>
    <row r="254" spans="1:51" ht="12" x14ac:dyDescent="0.25">
      <c r="A254" s="227" t="s">
        <v>161</v>
      </c>
      <c r="B254" s="217" t="s">
        <v>162</v>
      </c>
      <c r="C254" s="228" t="s">
        <v>295</v>
      </c>
      <c r="D254" s="229" t="s">
        <v>87</v>
      </c>
      <c r="E254" s="255"/>
      <c r="F254" s="256" t="s">
        <v>278</v>
      </c>
      <c r="G254" s="256" t="s">
        <v>269</v>
      </c>
      <c r="H254" s="257" t="str">
        <f>IF(BASE_DATOS[[#This Row],[N-R]]="N",BASE_DATOS[[#This Row],[Diseño]],"Reencauche")</f>
        <v>HAC3</v>
      </c>
      <c r="I254" s="256" t="s">
        <v>283</v>
      </c>
      <c r="J254" s="243" t="s">
        <v>72</v>
      </c>
      <c r="K254" s="258">
        <v>0</v>
      </c>
      <c r="L254" s="256">
        <v>110</v>
      </c>
      <c r="M254" s="259"/>
      <c r="N254" s="260"/>
      <c r="O254" s="277"/>
      <c r="P254" s="278"/>
      <c r="Q254" s="279"/>
      <c r="R254" s="309" t="s">
        <v>102</v>
      </c>
      <c r="S254" s="310">
        <v>45385</v>
      </c>
      <c r="T254" s="313"/>
      <c r="U254" s="279"/>
      <c r="V254" s="227">
        <v>16</v>
      </c>
      <c r="W254" s="281">
        <v>16</v>
      </c>
      <c r="X254" s="282">
        <v>15</v>
      </c>
      <c r="Y254" s="293">
        <f t="shared" si="11"/>
        <v>15</v>
      </c>
      <c r="Z254" s="175" t="s">
        <v>85</v>
      </c>
      <c r="AA254" s="342">
        <f>IFERROR(BASE_DATOS[[#This Row],[NSK Original]]-BASE_DATOS[[#This Row],[NSK]]," ")</f>
        <v>-15</v>
      </c>
      <c r="AB254" s="343">
        <f>'NSK-TRACTO'!$A$2</f>
        <v>6</v>
      </c>
      <c r="AC254" s="343">
        <f>IF(BASE_DATOS[[#This Row],[NSK]]&gt;=BASE_DATOS[[#This Row],[NSK Reen]],BASE_DATOS[[#This Row],[NSK Reen]],BASE_DATOS[[#This Row],[NSK]])</f>
        <v>6</v>
      </c>
      <c r="AD254" s="344" t="str">
        <f>IFERROR(100%-(BASE_DATOS[[#This Row],[NSK Reen]]/BASE_DATOS[[#This Row],[NSK Original]]),"")</f>
        <v/>
      </c>
      <c r="AE254" s="344" t="str">
        <f>IFERROR(100%-BASE_DATOS[[#This Row],[NSK]]/BASE_DATOS[[#This Row],[NSK Original]],"")</f>
        <v/>
      </c>
      <c r="AF254" s="344" t="str">
        <f>IFERROR(BASE_DATOS[[#This Row],[% Max Des.]]-BASE_DATOS[[#This Row],[% Des]],"")</f>
        <v/>
      </c>
      <c r="AG254" s="287"/>
      <c r="AH254" s="273"/>
      <c r="AI254" s="363" t="str">
        <f>IF(OR(BASE_DATOS[[#This Row],[Hr.]]="",BASE_DATOS[[#This Row],[Hr. Actual]]=""),"",BASE_DATOS[[#This Row],[Hr. Actual]]-BASE_DATOS[[#This Row],[Hr.]]+BASE_DATOS[[#This Row],[Horas Acumuladas]])</f>
        <v/>
      </c>
      <c r="AJ254" s="364" t="str">
        <f>IFERROR(BASE_DATOS[[#This Row],[Precio US$]]/BASE_DATOS[[#This Row],[Horas Rodadas]],"")</f>
        <v/>
      </c>
      <c r="AK254" s="365" t="str">
        <f>IFERROR(BASE_DATOS[[#This Row],[Horas Rodadas]]/(BASE_DATOS[[#This Row],[NSK Original]]-BASE_DATOS[[#This Row],[NSK]]),"")</f>
        <v/>
      </c>
      <c r="AL25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54" s="366" t="str">
        <f>IFERROR(BASE_DATOS[[#This Row],[Precio US$]]/BASE_DATOS[[#This Row],[Horas Proy.]],"")</f>
        <v/>
      </c>
      <c r="AN254" s="176" t="str">
        <f>IF(OR(BASE_DATOS[[#This Row],[Km.]]="",BASE_DATOS[[#This Row],[Km. Actual]]=""),"",BASE_DATOS[[#This Row],[Km. Actual]]-BASE_DATOS[[#This Row],[Km.]]+BASE_DATOS[[#This Row],[Kilómetros Acumulados]])</f>
        <v/>
      </c>
      <c r="AO254" s="177" t="str">
        <f>IFERROR(BASE_DATOS[[#This Row],[Precio US$]]/BASE_DATOS[[#This Row],[Kilómetros Rodados]],"")</f>
        <v/>
      </c>
      <c r="AP254" s="176" t="str">
        <f>IFERROR(BASE_DATOS[[#This Row],[Kilómetros Rodados]]/(BASE_DATOS[[#This Row],[NSK Original]]-BASE_DATOS[[#This Row],[NSK]]),"")</f>
        <v/>
      </c>
      <c r="AQ25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54" s="177" t="str">
        <f>IFERROR(BASE_DATOS[[#This Row],[Precio US$]]/BASE_DATOS[[#This Row],[Kilómetros Proy.]],"")</f>
        <v/>
      </c>
      <c r="AS254" s="167" t="s">
        <v>62</v>
      </c>
      <c r="AT254" s="167"/>
      <c r="AU254" s="167"/>
      <c r="AV254" s="167"/>
      <c r="AW254" s="179"/>
      <c r="AX254" s="179"/>
      <c r="AY254" s="179" t="str">
        <f>CONCATENATE(BASE_DATOS[[#This Row],[Código_U]]&amp;BASE_DATOS[[#This Row],[Pos.]]&amp;BASE_DATOS[[#This Row],[Situación Actual]])</f>
        <v>SR-1465Rodando</v>
      </c>
    </row>
    <row r="255" spans="1:51" ht="12" x14ac:dyDescent="0.25">
      <c r="A255" s="227" t="s">
        <v>161</v>
      </c>
      <c r="B255" s="217" t="s">
        <v>162</v>
      </c>
      <c r="C255" s="228" t="s">
        <v>295</v>
      </c>
      <c r="D255" s="229" t="s">
        <v>87</v>
      </c>
      <c r="E255" s="255"/>
      <c r="F255" s="256" t="s">
        <v>278</v>
      </c>
      <c r="G255" s="256" t="s">
        <v>269</v>
      </c>
      <c r="H255" s="257" t="str">
        <f>IF(BASE_DATOS[[#This Row],[N-R]]="N",BASE_DATOS[[#This Row],[Diseño]],"Reencauche")</f>
        <v>HAC3</v>
      </c>
      <c r="I255" s="256" t="s">
        <v>283</v>
      </c>
      <c r="J255" s="243" t="s">
        <v>72</v>
      </c>
      <c r="K255" s="258">
        <v>0</v>
      </c>
      <c r="L255" s="256">
        <v>110</v>
      </c>
      <c r="M255" s="259"/>
      <c r="N255" s="260"/>
      <c r="O255" s="277"/>
      <c r="P255" s="278"/>
      <c r="Q255" s="279"/>
      <c r="R255" s="309" t="s">
        <v>103</v>
      </c>
      <c r="S255" s="310">
        <v>45385</v>
      </c>
      <c r="T255" s="313"/>
      <c r="U255" s="279"/>
      <c r="V255" s="227">
        <v>15</v>
      </c>
      <c r="W255" s="281">
        <v>16</v>
      </c>
      <c r="X255" s="282">
        <v>16</v>
      </c>
      <c r="Y255" s="293">
        <f t="shared" si="11"/>
        <v>15</v>
      </c>
      <c r="Z255" s="175" t="s">
        <v>85</v>
      </c>
      <c r="AA255" s="342">
        <f>IFERROR(BASE_DATOS[[#This Row],[NSK Original]]-BASE_DATOS[[#This Row],[NSK]]," ")</f>
        <v>-15</v>
      </c>
      <c r="AB255" s="343">
        <f>'NSK-TRACTO'!$A$2</f>
        <v>6</v>
      </c>
      <c r="AC255" s="343">
        <f>IF(BASE_DATOS[[#This Row],[NSK]]&gt;=BASE_DATOS[[#This Row],[NSK Reen]],BASE_DATOS[[#This Row],[NSK Reen]],BASE_DATOS[[#This Row],[NSK]])</f>
        <v>6</v>
      </c>
      <c r="AD255" s="344" t="str">
        <f>IFERROR(100%-(BASE_DATOS[[#This Row],[NSK Reen]]/BASE_DATOS[[#This Row],[NSK Original]]),"")</f>
        <v/>
      </c>
      <c r="AE255" s="344" t="str">
        <f>IFERROR(100%-BASE_DATOS[[#This Row],[NSK]]/BASE_DATOS[[#This Row],[NSK Original]],"")</f>
        <v/>
      </c>
      <c r="AF255" s="344" t="str">
        <f>IFERROR(BASE_DATOS[[#This Row],[% Max Des.]]-BASE_DATOS[[#This Row],[% Des]],"")</f>
        <v/>
      </c>
      <c r="AG255" s="287"/>
      <c r="AH255" s="273"/>
      <c r="AI255" s="363" t="str">
        <f>IF(OR(BASE_DATOS[[#This Row],[Hr.]]="",BASE_DATOS[[#This Row],[Hr. Actual]]=""),"",BASE_DATOS[[#This Row],[Hr. Actual]]-BASE_DATOS[[#This Row],[Hr.]]+BASE_DATOS[[#This Row],[Horas Acumuladas]])</f>
        <v/>
      </c>
      <c r="AJ255" s="364" t="str">
        <f>IFERROR(BASE_DATOS[[#This Row],[Precio US$]]/BASE_DATOS[[#This Row],[Horas Rodadas]],"")</f>
        <v/>
      </c>
      <c r="AK255" s="365" t="str">
        <f>IFERROR(BASE_DATOS[[#This Row],[Horas Rodadas]]/(BASE_DATOS[[#This Row],[NSK Original]]-BASE_DATOS[[#This Row],[NSK]]),"")</f>
        <v/>
      </c>
      <c r="AL25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55" s="366" t="str">
        <f>IFERROR(BASE_DATOS[[#This Row],[Precio US$]]/BASE_DATOS[[#This Row],[Horas Proy.]],"")</f>
        <v/>
      </c>
      <c r="AN255" s="176" t="str">
        <f>IF(OR(BASE_DATOS[[#This Row],[Km.]]="",BASE_DATOS[[#This Row],[Km. Actual]]=""),"",BASE_DATOS[[#This Row],[Km. Actual]]-BASE_DATOS[[#This Row],[Km.]]+BASE_DATOS[[#This Row],[Kilómetros Acumulados]])</f>
        <v/>
      </c>
      <c r="AO255" s="177" t="str">
        <f>IFERROR(BASE_DATOS[[#This Row],[Precio US$]]/BASE_DATOS[[#This Row],[Kilómetros Rodados]],"")</f>
        <v/>
      </c>
      <c r="AP255" s="176" t="str">
        <f>IFERROR(BASE_DATOS[[#This Row],[Kilómetros Rodados]]/(BASE_DATOS[[#This Row],[NSK Original]]-BASE_DATOS[[#This Row],[NSK]]),"")</f>
        <v/>
      </c>
      <c r="AQ25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55" s="177" t="str">
        <f>IFERROR(BASE_DATOS[[#This Row],[Precio US$]]/BASE_DATOS[[#This Row],[Kilómetros Proy.]],"")</f>
        <v/>
      </c>
      <c r="AS255" s="167" t="s">
        <v>62</v>
      </c>
      <c r="AT255" s="167"/>
      <c r="AU255" s="167"/>
      <c r="AV255" s="167"/>
      <c r="AW255" s="179"/>
      <c r="AX255" s="179"/>
      <c r="AY255" s="179" t="str">
        <f>CONCATENATE(BASE_DATOS[[#This Row],[Código_U]]&amp;BASE_DATOS[[#This Row],[Pos.]]&amp;BASE_DATOS[[#This Row],[Situación Actual]])</f>
        <v>SR-1466Rodando</v>
      </c>
    </row>
    <row r="256" spans="1:51" ht="12" x14ac:dyDescent="0.25">
      <c r="A256" s="227" t="s">
        <v>161</v>
      </c>
      <c r="B256" s="217" t="s">
        <v>162</v>
      </c>
      <c r="C256" s="228" t="s">
        <v>295</v>
      </c>
      <c r="D256" s="229" t="s">
        <v>384</v>
      </c>
      <c r="E256" s="255"/>
      <c r="F256" s="256" t="s">
        <v>71</v>
      </c>
      <c r="G256" s="256" t="s">
        <v>269</v>
      </c>
      <c r="H256" s="257" t="str">
        <f>IF(BASE_DATOS[[#This Row],[N-R]]="N",BASE_DATOS[[#This Row],[Diseño]],"Reencauche")</f>
        <v>OMNITRAC MST2</v>
      </c>
      <c r="I256" s="256" t="s">
        <v>281</v>
      </c>
      <c r="J256" s="243" t="s">
        <v>72</v>
      </c>
      <c r="K256" s="258">
        <v>15.6</v>
      </c>
      <c r="L256" s="256">
        <v>110</v>
      </c>
      <c r="M256" s="259"/>
      <c r="N256" s="260"/>
      <c r="O256" s="277"/>
      <c r="P256" s="278"/>
      <c r="Q256" s="279"/>
      <c r="R256" s="309" t="s">
        <v>509</v>
      </c>
      <c r="S256" s="310">
        <v>45385</v>
      </c>
      <c r="T256" s="313"/>
      <c r="U256" s="279"/>
      <c r="V256" s="227">
        <v>10</v>
      </c>
      <c r="W256" s="281">
        <v>10</v>
      </c>
      <c r="X256" s="282">
        <v>10</v>
      </c>
      <c r="Y256" s="293">
        <f t="shared" si="11"/>
        <v>10</v>
      </c>
      <c r="Z256" s="175" t="s">
        <v>85</v>
      </c>
      <c r="AA256" s="342">
        <f>IFERROR(BASE_DATOS[[#This Row],[NSK Original]]-BASE_DATOS[[#This Row],[NSK]]," ")</f>
        <v>5.6</v>
      </c>
      <c r="AB256" s="343">
        <f>'NSK-TRACTO'!$A$2</f>
        <v>6</v>
      </c>
      <c r="AC256" s="343">
        <f>IF(BASE_DATOS[[#This Row],[NSK]]&gt;=BASE_DATOS[[#This Row],[NSK Reen]],BASE_DATOS[[#This Row],[NSK Reen]],BASE_DATOS[[#This Row],[NSK]])</f>
        <v>6</v>
      </c>
      <c r="AD256" s="344">
        <f>IFERROR(100%-(BASE_DATOS[[#This Row],[NSK Reen]]/BASE_DATOS[[#This Row],[NSK Original]]),"")</f>
        <v>0.61538461538461542</v>
      </c>
      <c r="AE256" s="344">
        <f>IFERROR(100%-BASE_DATOS[[#This Row],[NSK]]/BASE_DATOS[[#This Row],[NSK Original]],"")</f>
        <v>0.35897435897435892</v>
      </c>
      <c r="AF256" s="344">
        <f>IFERROR(BASE_DATOS[[#This Row],[% Max Des.]]-BASE_DATOS[[#This Row],[% Des]],"")</f>
        <v>0.2564102564102565</v>
      </c>
      <c r="AG256" s="287"/>
      <c r="AH256" s="273"/>
      <c r="AI256" s="363" t="str">
        <f>IF(OR(BASE_DATOS[[#This Row],[Hr.]]="",BASE_DATOS[[#This Row],[Hr. Actual]]=""),"",BASE_DATOS[[#This Row],[Hr. Actual]]-BASE_DATOS[[#This Row],[Hr.]]+BASE_DATOS[[#This Row],[Horas Acumuladas]])</f>
        <v/>
      </c>
      <c r="AJ256" s="364" t="str">
        <f>IFERROR(BASE_DATOS[[#This Row],[Precio US$]]/BASE_DATOS[[#This Row],[Horas Rodadas]],"")</f>
        <v/>
      </c>
      <c r="AK256" s="365" t="str">
        <f>IFERROR(BASE_DATOS[[#This Row],[Horas Rodadas]]/(BASE_DATOS[[#This Row],[NSK Original]]-BASE_DATOS[[#This Row],[NSK]]),"")</f>
        <v/>
      </c>
      <c r="AL25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56" s="366" t="str">
        <f>IFERROR(BASE_DATOS[[#This Row],[Precio US$]]/BASE_DATOS[[#This Row],[Horas Proy.]],"")</f>
        <v/>
      </c>
      <c r="AN256" s="176" t="str">
        <f>IF(OR(BASE_DATOS[[#This Row],[Km.]]="",BASE_DATOS[[#This Row],[Km. Actual]]=""),"",BASE_DATOS[[#This Row],[Km. Actual]]-BASE_DATOS[[#This Row],[Km.]]+BASE_DATOS[[#This Row],[Kilómetros Acumulados]])</f>
        <v/>
      </c>
      <c r="AO256" s="177" t="str">
        <f>IFERROR(BASE_DATOS[[#This Row],[Precio US$]]/BASE_DATOS[[#This Row],[Kilómetros Rodados]],"")</f>
        <v/>
      </c>
      <c r="AP256" s="176" t="str">
        <f>IFERROR(BASE_DATOS[[#This Row],[Kilómetros Rodados]]/(BASE_DATOS[[#This Row],[NSK Original]]-BASE_DATOS[[#This Row],[NSK]]),"")</f>
        <v/>
      </c>
      <c r="AQ25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56" s="177" t="str">
        <f>IFERROR(BASE_DATOS[[#This Row],[Precio US$]]/BASE_DATOS[[#This Row],[Kilómetros Proy.]],"")</f>
        <v/>
      </c>
      <c r="AS256" s="167" t="s">
        <v>62</v>
      </c>
      <c r="AT256" s="167"/>
      <c r="AU256" s="167"/>
      <c r="AV256" s="167"/>
      <c r="AW256" s="179"/>
      <c r="AX256" s="179"/>
      <c r="AY256" s="179" t="str">
        <f>CONCATENATE(BASE_DATOS[[#This Row],[Código_U]]&amp;BASE_DATOS[[#This Row],[Pos.]]&amp;BASE_DATOS[[#This Row],[Situación Actual]])</f>
        <v>SR-146RERodando</v>
      </c>
    </row>
    <row r="257" spans="1:51" ht="12" x14ac:dyDescent="0.25">
      <c r="A257" s="227" t="s">
        <v>161</v>
      </c>
      <c r="B257" s="217" t="s">
        <v>162</v>
      </c>
      <c r="C257" s="228" t="s">
        <v>295</v>
      </c>
      <c r="D257" s="229" t="s">
        <v>108</v>
      </c>
      <c r="E257" s="255"/>
      <c r="F257" s="256" t="s">
        <v>71</v>
      </c>
      <c r="G257" s="256" t="s">
        <v>271</v>
      </c>
      <c r="H257" s="257" t="str">
        <f>IF(BASE_DATOS[[#This Row],[N-R]]="N",BASE_DATOS[[#This Row],[Diseño]],"Reencauche")</f>
        <v>KMAX S</v>
      </c>
      <c r="I257" s="256" t="s">
        <v>287</v>
      </c>
      <c r="J257" s="243" t="s">
        <v>72</v>
      </c>
      <c r="K257" s="258">
        <v>15.8</v>
      </c>
      <c r="L257" s="256">
        <v>100</v>
      </c>
      <c r="M257" s="259"/>
      <c r="N257" s="260"/>
      <c r="O257" s="277"/>
      <c r="P257" s="278"/>
      <c r="Q257" s="279"/>
      <c r="R257" s="309" t="s">
        <v>108</v>
      </c>
      <c r="S257" s="310">
        <v>45385</v>
      </c>
      <c r="T257" s="313"/>
      <c r="U257" s="279"/>
      <c r="V257" s="227">
        <v>9</v>
      </c>
      <c r="W257" s="281">
        <v>10</v>
      </c>
      <c r="X257" s="282">
        <v>6</v>
      </c>
      <c r="Y257" s="293">
        <f t="shared" si="11"/>
        <v>6</v>
      </c>
      <c r="Z257" s="175" t="s">
        <v>85</v>
      </c>
      <c r="AA257" s="342">
        <f>IFERROR(BASE_DATOS[[#This Row],[NSK Original]]-BASE_DATOS[[#This Row],[NSK]]," ")</f>
        <v>9.8000000000000007</v>
      </c>
      <c r="AB257" s="343">
        <f>'NSK-TRACTO'!$A$2</f>
        <v>6</v>
      </c>
      <c r="AC257" s="343">
        <f>IF(BASE_DATOS[[#This Row],[NSK]]&gt;=BASE_DATOS[[#This Row],[NSK Reen]],BASE_DATOS[[#This Row],[NSK Reen]],BASE_DATOS[[#This Row],[NSK]])</f>
        <v>6</v>
      </c>
      <c r="AD257" s="344">
        <f>IFERROR(100%-(BASE_DATOS[[#This Row],[NSK Reen]]/BASE_DATOS[[#This Row],[NSK Original]]),"")</f>
        <v>0.620253164556962</v>
      </c>
      <c r="AE257" s="344">
        <f>IFERROR(100%-BASE_DATOS[[#This Row],[NSK]]/BASE_DATOS[[#This Row],[NSK Original]],"")</f>
        <v>0.620253164556962</v>
      </c>
      <c r="AF257" s="344">
        <f>IFERROR(BASE_DATOS[[#This Row],[% Max Des.]]-BASE_DATOS[[#This Row],[% Des]],"")</f>
        <v>0</v>
      </c>
      <c r="AG257" s="287"/>
      <c r="AH257" s="273"/>
      <c r="AI257" s="363" t="str">
        <f>IF(OR(BASE_DATOS[[#This Row],[Hr.]]="",BASE_DATOS[[#This Row],[Hr. Actual]]=""),"",BASE_DATOS[[#This Row],[Hr. Actual]]-BASE_DATOS[[#This Row],[Hr.]]+BASE_DATOS[[#This Row],[Horas Acumuladas]])</f>
        <v/>
      </c>
      <c r="AJ257" s="364" t="str">
        <f>IFERROR(BASE_DATOS[[#This Row],[Precio US$]]/BASE_DATOS[[#This Row],[Horas Rodadas]],"")</f>
        <v/>
      </c>
      <c r="AK257" s="365" t="str">
        <f>IFERROR(BASE_DATOS[[#This Row],[Horas Rodadas]]/(BASE_DATOS[[#This Row],[NSK Original]]-BASE_DATOS[[#This Row],[NSK]]),"")</f>
        <v/>
      </c>
      <c r="AL25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57" s="366" t="str">
        <f>IFERROR(BASE_DATOS[[#This Row],[Precio US$]]/BASE_DATOS[[#This Row],[Horas Proy.]],"")</f>
        <v/>
      </c>
      <c r="AN257" s="176" t="str">
        <f>IF(OR(BASE_DATOS[[#This Row],[Km.]]="",BASE_DATOS[[#This Row],[Km. Actual]]=""),"",BASE_DATOS[[#This Row],[Km. Actual]]-BASE_DATOS[[#This Row],[Km.]]+BASE_DATOS[[#This Row],[Kilómetros Acumulados]])</f>
        <v/>
      </c>
      <c r="AO257" s="177" t="str">
        <f>IFERROR(BASE_DATOS[[#This Row],[Precio US$]]/BASE_DATOS[[#This Row],[Kilómetros Rodados]],"")</f>
        <v/>
      </c>
      <c r="AP257" s="176" t="str">
        <f>IFERROR(BASE_DATOS[[#This Row],[Kilómetros Rodados]]/(BASE_DATOS[[#This Row],[NSK Original]]-BASE_DATOS[[#This Row],[NSK]]),"")</f>
        <v/>
      </c>
      <c r="AQ25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57" s="177" t="str">
        <f>IFERROR(BASE_DATOS[[#This Row],[Precio US$]]/BASE_DATOS[[#This Row],[Kilómetros Proy.]],"")</f>
        <v/>
      </c>
      <c r="AS257" s="167" t="s">
        <v>62</v>
      </c>
      <c r="AT257" s="167"/>
      <c r="AU257" s="167" t="s">
        <v>515</v>
      </c>
      <c r="AV257" s="167"/>
      <c r="AW257" s="179"/>
      <c r="AX257" s="169" t="s">
        <v>371</v>
      </c>
      <c r="AY257" s="169" t="str">
        <f>CONCATENATE(BASE_DATOS[[#This Row],[Código_U]]&amp;BASE_DATOS[[#This Row],[Pos.]]&amp;BASE_DATOS[[#This Row],[Situación Actual]])</f>
        <v>SR-146RTRodando</v>
      </c>
    </row>
    <row r="258" spans="1:51" ht="12" x14ac:dyDescent="0.25">
      <c r="A258" s="224" t="s">
        <v>163</v>
      </c>
      <c r="B258" s="213" t="s">
        <v>164</v>
      </c>
      <c r="C258" s="225" t="s">
        <v>295</v>
      </c>
      <c r="D258" s="226" t="s">
        <v>87</v>
      </c>
      <c r="E258" s="249"/>
      <c r="F258" s="250" t="s">
        <v>97</v>
      </c>
      <c r="G258" s="250" t="s">
        <v>269</v>
      </c>
      <c r="H258" s="251" t="str">
        <f>IF(BASE_DATOS[[#This Row],[N-R]]="N",BASE_DATOS[[#This Row],[Diseño]],"Reencauche")</f>
        <v>Reencauche</v>
      </c>
      <c r="I258" s="250" t="s">
        <v>275</v>
      </c>
      <c r="J258" s="235" t="s">
        <v>82</v>
      </c>
      <c r="K258" s="252">
        <v>21</v>
      </c>
      <c r="L258" s="250">
        <v>110</v>
      </c>
      <c r="M258" s="253"/>
      <c r="N258" s="254"/>
      <c r="O258" s="274"/>
      <c r="P258" s="275"/>
      <c r="Q258" s="276"/>
      <c r="R258" s="305" t="s">
        <v>98</v>
      </c>
      <c r="S258" s="306">
        <v>45384</v>
      </c>
      <c r="T258" s="314"/>
      <c r="U258" s="276"/>
      <c r="V258" s="224">
        <v>20</v>
      </c>
      <c r="W258" s="325">
        <v>19</v>
      </c>
      <c r="X258" s="326">
        <v>19</v>
      </c>
      <c r="Y258" s="292">
        <f t="shared" si="11"/>
        <v>19</v>
      </c>
      <c r="Z258" s="194" t="s">
        <v>85</v>
      </c>
      <c r="AA258" s="339">
        <f>IFERROR(BASE_DATOS[[#This Row],[NSK Original]]-BASE_DATOS[[#This Row],[NSK]]," ")</f>
        <v>2</v>
      </c>
      <c r="AB258" s="340">
        <f>'NSK-TRACTO'!$A$2</f>
        <v>6</v>
      </c>
      <c r="AC258" s="340">
        <f>IF(BASE_DATOS[[#This Row],[NSK]]&gt;=BASE_DATOS[[#This Row],[NSK Reen]],BASE_DATOS[[#This Row],[NSK Reen]],BASE_DATOS[[#This Row],[NSK]])</f>
        <v>6</v>
      </c>
      <c r="AD258" s="341">
        <f>IFERROR(100%-(BASE_DATOS[[#This Row],[NSK Reen]]/BASE_DATOS[[#This Row],[NSK Original]]),"")</f>
        <v>0.7142857142857143</v>
      </c>
      <c r="AE258" s="341">
        <f>IFERROR(100%-BASE_DATOS[[#This Row],[NSK]]/BASE_DATOS[[#This Row],[NSK Original]],"")</f>
        <v>9.5238095238095233E-2</v>
      </c>
      <c r="AF258" s="341">
        <f>IFERROR(BASE_DATOS[[#This Row],[% Max Des.]]-BASE_DATOS[[#This Row],[% Des]],"")</f>
        <v>0.61904761904761907</v>
      </c>
      <c r="AG258" s="284"/>
      <c r="AH258" s="335"/>
      <c r="AI258" s="359" t="str">
        <f>IF(OR(BASE_DATOS[[#This Row],[Hr.]]="",BASE_DATOS[[#This Row],[Hr. Actual]]=""),"",BASE_DATOS[[#This Row],[Hr. Actual]]-BASE_DATOS[[#This Row],[Hr.]]+BASE_DATOS[[#This Row],[Horas Acumuladas]])</f>
        <v/>
      </c>
      <c r="AJ258" s="360" t="str">
        <f>IFERROR(BASE_DATOS[[#This Row],[Precio US$]]/BASE_DATOS[[#This Row],[Horas Rodadas]],"")</f>
        <v/>
      </c>
      <c r="AK258" s="361" t="str">
        <f>IFERROR(BASE_DATOS[[#This Row],[Horas Rodadas]]/(BASE_DATOS[[#This Row],[NSK Original]]-BASE_DATOS[[#This Row],[NSK]]),"")</f>
        <v/>
      </c>
      <c r="AL258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58" s="362" t="str">
        <f>IFERROR(BASE_DATOS[[#This Row],[Precio US$]]/BASE_DATOS[[#This Row],[Horas Proy.]],"")</f>
        <v/>
      </c>
      <c r="AN258" s="195" t="str">
        <f>IF(OR(BASE_DATOS[[#This Row],[Km.]]="",BASE_DATOS[[#This Row],[Km. Actual]]=""),"",BASE_DATOS[[#This Row],[Km. Actual]]-BASE_DATOS[[#This Row],[Km.]]+BASE_DATOS[[#This Row],[Kilómetros Acumulados]])</f>
        <v/>
      </c>
      <c r="AO258" s="196" t="str">
        <f>IFERROR(BASE_DATOS[[#This Row],[Precio US$]]/BASE_DATOS[[#This Row],[Kilómetros Rodados]],"")</f>
        <v/>
      </c>
      <c r="AP258" s="195" t="str">
        <f>IFERROR(BASE_DATOS[[#This Row],[Kilómetros Rodados]]/(BASE_DATOS[[#This Row],[NSK Original]]-BASE_DATOS[[#This Row],[NSK]]),"")</f>
        <v/>
      </c>
      <c r="AQ258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58" s="196" t="str">
        <f>IFERROR(BASE_DATOS[[#This Row],[Precio US$]]/BASE_DATOS[[#This Row],[Kilómetros Proy.]],"")</f>
        <v/>
      </c>
      <c r="AS258" s="191" t="s">
        <v>62</v>
      </c>
      <c r="AT258" s="191"/>
      <c r="AU258" s="191"/>
      <c r="AV258" s="191"/>
      <c r="AW258" s="198"/>
      <c r="AX258" s="198"/>
      <c r="AY258" s="198" t="str">
        <f>CONCATENATE(BASE_DATOS[[#This Row],[Código_U]]&amp;BASE_DATOS[[#This Row],[Pos.]]&amp;BASE_DATOS[[#This Row],[Situación Actual]])</f>
        <v>SR-1481Rodando</v>
      </c>
    </row>
    <row r="259" spans="1:51" ht="12" x14ac:dyDescent="0.25">
      <c r="A259" s="227" t="s">
        <v>163</v>
      </c>
      <c r="B259" s="217" t="s">
        <v>164</v>
      </c>
      <c r="C259" s="228" t="s">
        <v>295</v>
      </c>
      <c r="D259" s="229" t="s">
        <v>87</v>
      </c>
      <c r="E259" s="255"/>
      <c r="F259" s="256" t="s">
        <v>97</v>
      </c>
      <c r="G259" s="256" t="s">
        <v>269</v>
      </c>
      <c r="H259" s="257" t="str">
        <f>IF(BASE_DATOS[[#This Row],[N-R]]="N",BASE_DATOS[[#This Row],[Diseño]],"Reencauche")</f>
        <v>Reencauche</v>
      </c>
      <c r="I259" s="256" t="s">
        <v>275</v>
      </c>
      <c r="J259" s="243" t="s">
        <v>82</v>
      </c>
      <c r="K259" s="258">
        <v>21</v>
      </c>
      <c r="L259" s="256">
        <v>110</v>
      </c>
      <c r="M259" s="259"/>
      <c r="N259" s="260"/>
      <c r="O259" s="277"/>
      <c r="P259" s="278"/>
      <c r="Q259" s="279"/>
      <c r="R259" s="309" t="s">
        <v>99</v>
      </c>
      <c r="S259" s="310">
        <v>45384</v>
      </c>
      <c r="T259" s="313"/>
      <c r="U259" s="279"/>
      <c r="V259" s="227">
        <v>19</v>
      </c>
      <c r="W259" s="281">
        <v>19</v>
      </c>
      <c r="X259" s="282">
        <v>19</v>
      </c>
      <c r="Y259" s="293">
        <f t="shared" si="11"/>
        <v>19</v>
      </c>
      <c r="Z259" s="175" t="s">
        <v>85</v>
      </c>
      <c r="AA259" s="342">
        <f>IFERROR(BASE_DATOS[[#This Row],[NSK Original]]-BASE_DATOS[[#This Row],[NSK]]," ")</f>
        <v>2</v>
      </c>
      <c r="AB259" s="343">
        <f>'NSK-TRACTO'!$A$2</f>
        <v>6</v>
      </c>
      <c r="AC259" s="343">
        <f>IF(BASE_DATOS[[#This Row],[NSK]]&gt;=BASE_DATOS[[#This Row],[NSK Reen]],BASE_DATOS[[#This Row],[NSK Reen]],BASE_DATOS[[#This Row],[NSK]])</f>
        <v>6</v>
      </c>
      <c r="AD259" s="344">
        <f>IFERROR(100%-(BASE_DATOS[[#This Row],[NSK Reen]]/BASE_DATOS[[#This Row],[NSK Original]]),"")</f>
        <v>0.7142857142857143</v>
      </c>
      <c r="AE259" s="344">
        <f>IFERROR(100%-BASE_DATOS[[#This Row],[NSK]]/BASE_DATOS[[#This Row],[NSK Original]],"")</f>
        <v>9.5238095238095233E-2</v>
      </c>
      <c r="AF259" s="344">
        <f>IFERROR(BASE_DATOS[[#This Row],[% Max Des.]]-BASE_DATOS[[#This Row],[% Des]],"")</f>
        <v>0.61904761904761907</v>
      </c>
      <c r="AG259" s="287"/>
      <c r="AH259" s="273"/>
      <c r="AI259" s="363" t="str">
        <f>IF(OR(BASE_DATOS[[#This Row],[Hr.]]="",BASE_DATOS[[#This Row],[Hr. Actual]]=""),"",BASE_DATOS[[#This Row],[Hr. Actual]]-BASE_DATOS[[#This Row],[Hr.]]+BASE_DATOS[[#This Row],[Horas Acumuladas]])</f>
        <v/>
      </c>
      <c r="AJ259" s="364" t="str">
        <f>IFERROR(BASE_DATOS[[#This Row],[Precio US$]]/BASE_DATOS[[#This Row],[Horas Rodadas]],"")</f>
        <v/>
      </c>
      <c r="AK259" s="365" t="str">
        <f>IFERROR(BASE_DATOS[[#This Row],[Horas Rodadas]]/(BASE_DATOS[[#This Row],[NSK Original]]-BASE_DATOS[[#This Row],[NSK]]),"")</f>
        <v/>
      </c>
      <c r="AL25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59" s="366" t="str">
        <f>IFERROR(BASE_DATOS[[#This Row],[Precio US$]]/BASE_DATOS[[#This Row],[Horas Proy.]],"")</f>
        <v/>
      </c>
      <c r="AN259" s="176" t="str">
        <f>IF(OR(BASE_DATOS[[#This Row],[Km.]]="",BASE_DATOS[[#This Row],[Km. Actual]]=""),"",BASE_DATOS[[#This Row],[Km. Actual]]-BASE_DATOS[[#This Row],[Km.]]+BASE_DATOS[[#This Row],[Kilómetros Acumulados]])</f>
        <v/>
      </c>
      <c r="AO259" s="177" t="str">
        <f>IFERROR(BASE_DATOS[[#This Row],[Precio US$]]/BASE_DATOS[[#This Row],[Kilómetros Rodados]],"")</f>
        <v/>
      </c>
      <c r="AP259" s="176" t="str">
        <f>IFERROR(BASE_DATOS[[#This Row],[Kilómetros Rodados]]/(BASE_DATOS[[#This Row],[NSK Original]]-BASE_DATOS[[#This Row],[NSK]]),"")</f>
        <v/>
      </c>
      <c r="AQ25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59" s="177" t="str">
        <f>IFERROR(BASE_DATOS[[#This Row],[Precio US$]]/BASE_DATOS[[#This Row],[Kilómetros Proy.]],"")</f>
        <v/>
      </c>
      <c r="AS259" s="167" t="s">
        <v>62</v>
      </c>
      <c r="AT259" s="167"/>
      <c r="AU259" s="167"/>
      <c r="AV259" s="167"/>
      <c r="AW259" s="179"/>
      <c r="AX259" s="179"/>
      <c r="AY259" s="179" t="str">
        <f>CONCATENATE(BASE_DATOS[[#This Row],[Código_U]]&amp;BASE_DATOS[[#This Row],[Pos.]]&amp;BASE_DATOS[[#This Row],[Situación Actual]])</f>
        <v>SR-1482Rodando</v>
      </c>
    </row>
    <row r="260" spans="1:51" ht="12" x14ac:dyDescent="0.25">
      <c r="A260" s="227" t="s">
        <v>163</v>
      </c>
      <c r="B260" s="217" t="s">
        <v>164</v>
      </c>
      <c r="C260" s="228" t="s">
        <v>295</v>
      </c>
      <c r="D260" s="229" t="s">
        <v>87</v>
      </c>
      <c r="E260" s="255"/>
      <c r="F260" s="256" t="s">
        <v>97</v>
      </c>
      <c r="G260" s="256" t="s">
        <v>269</v>
      </c>
      <c r="H260" s="257" t="str">
        <f>IF(BASE_DATOS[[#This Row],[N-R]]="N",BASE_DATOS[[#This Row],[Diseño]],"Reencauche")</f>
        <v>AGC28</v>
      </c>
      <c r="I260" s="256" t="s">
        <v>270</v>
      </c>
      <c r="J260" s="243" t="s">
        <v>72</v>
      </c>
      <c r="K260" s="258">
        <v>16.5</v>
      </c>
      <c r="L260" s="256">
        <v>110</v>
      </c>
      <c r="M260" s="259"/>
      <c r="N260" s="260"/>
      <c r="O260" s="277"/>
      <c r="P260" s="278"/>
      <c r="Q260" s="279"/>
      <c r="R260" s="309" t="s">
        <v>100</v>
      </c>
      <c r="S260" s="310">
        <v>45384</v>
      </c>
      <c r="T260" s="313"/>
      <c r="U260" s="279"/>
      <c r="V260" s="227">
        <v>11</v>
      </c>
      <c r="W260" s="281">
        <v>10</v>
      </c>
      <c r="X260" s="282">
        <v>10</v>
      </c>
      <c r="Y260" s="293">
        <f t="shared" si="11"/>
        <v>10</v>
      </c>
      <c r="Z260" s="175" t="s">
        <v>85</v>
      </c>
      <c r="AA260" s="342">
        <f>IFERROR(BASE_DATOS[[#This Row],[NSK Original]]-BASE_DATOS[[#This Row],[NSK]]," ")</f>
        <v>6.5</v>
      </c>
      <c r="AB260" s="343">
        <f>'NSK-TRACTO'!$A$2</f>
        <v>6</v>
      </c>
      <c r="AC260" s="343">
        <f>IF(BASE_DATOS[[#This Row],[NSK]]&gt;=BASE_DATOS[[#This Row],[NSK Reen]],BASE_DATOS[[#This Row],[NSK Reen]],BASE_DATOS[[#This Row],[NSK]])</f>
        <v>6</v>
      </c>
      <c r="AD260" s="344">
        <f>IFERROR(100%-(BASE_DATOS[[#This Row],[NSK Reen]]/BASE_DATOS[[#This Row],[NSK Original]]),"")</f>
        <v>0.63636363636363635</v>
      </c>
      <c r="AE260" s="344">
        <f>IFERROR(100%-BASE_DATOS[[#This Row],[NSK]]/BASE_DATOS[[#This Row],[NSK Original]],"")</f>
        <v>0.39393939393939392</v>
      </c>
      <c r="AF260" s="344">
        <f>IFERROR(BASE_DATOS[[#This Row],[% Max Des.]]-BASE_DATOS[[#This Row],[% Des]],"")</f>
        <v>0.24242424242424243</v>
      </c>
      <c r="AG260" s="287"/>
      <c r="AH260" s="273"/>
      <c r="AI260" s="363" t="str">
        <f>IF(OR(BASE_DATOS[[#This Row],[Hr.]]="",BASE_DATOS[[#This Row],[Hr. Actual]]=""),"",BASE_DATOS[[#This Row],[Hr. Actual]]-BASE_DATOS[[#This Row],[Hr.]]+BASE_DATOS[[#This Row],[Horas Acumuladas]])</f>
        <v/>
      </c>
      <c r="AJ260" s="364" t="str">
        <f>IFERROR(BASE_DATOS[[#This Row],[Precio US$]]/BASE_DATOS[[#This Row],[Horas Rodadas]],"")</f>
        <v/>
      </c>
      <c r="AK260" s="365" t="str">
        <f>IFERROR(BASE_DATOS[[#This Row],[Horas Rodadas]]/(BASE_DATOS[[#This Row],[NSK Original]]-BASE_DATOS[[#This Row],[NSK]]),"")</f>
        <v/>
      </c>
      <c r="AL26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60" s="366" t="str">
        <f>IFERROR(BASE_DATOS[[#This Row],[Precio US$]]/BASE_DATOS[[#This Row],[Horas Proy.]],"")</f>
        <v/>
      </c>
      <c r="AN260" s="176" t="str">
        <f>IF(OR(BASE_DATOS[[#This Row],[Km.]]="",BASE_DATOS[[#This Row],[Km. Actual]]=""),"",BASE_DATOS[[#This Row],[Km. Actual]]-BASE_DATOS[[#This Row],[Km.]]+BASE_DATOS[[#This Row],[Kilómetros Acumulados]])</f>
        <v/>
      </c>
      <c r="AO260" s="177" t="str">
        <f>IFERROR(BASE_DATOS[[#This Row],[Precio US$]]/BASE_DATOS[[#This Row],[Kilómetros Rodados]],"")</f>
        <v/>
      </c>
      <c r="AP260" s="176" t="str">
        <f>IFERROR(BASE_DATOS[[#This Row],[Kilómetros Rodados]]/(BASE_DATOS[[#This Row],[NSK Original]]-BASE_DATOS[[#This Row],[NSK]]),"")</f>
        <v/>
      </c>
      <c r="AQ26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60" s="177" t="str">
        <f>IFERROR(BASE_DATOS[[#This Row],[Precio US$]]/BASE_DATOS[[#This Row],[Kilómetros Proy.]],"")</f>
        <v/>
      </c>
      <c r="AS260" s="167" t="s">
        <v>62</v>
      </c>
      <c r="AT260" s="167"/>
      <c r="AU260" s="167"/>
      <c r="AV260" s="167"/>
      <c r="AW260" s="179"/>
      <c r="AX260" s="179"/>
      <c r="AY260" s="179" t="str">
        <f>CONCATENATE(BASE_DATOS[[#This Row],[Código_U]]&amp;BASE_DATOS[[#This Row],[Pos.]]&amp;BASE_DATOS[[#This Row],[Situación Actual]])</f>
        <v>SR-1483Rodando</v>
      </c>
    </row>
    <row r="261" spans="1:51" ht="12" x14ac:dyDescent="0.25">
      <c r="A261" s="227" t="s">
        <v>163</v>
      </c>
      <c r="B261" s="217" t="s">
        <v>164</v>
      </c>
      <c r="C261" s="228" t="s">
        <v>295</v>
      </c>
      <c r="D261" s="229" t="s">
        <v>87</v>
      </c>
      <c r="E261" s="255"/>
      <c r="F261" s="256" t="s">
        <v>97</v>
      </c>
      <c r="G261" s="256" t="s">
        <v>269</v>
      </c>
      <c r="H261" s="257" t="str">
        <f>IF(BASE_DATOS[[#This Row],[N-R]]="N",BASE_DATOS[[#This Row],[Diseño]],"Reencauche")</f>
        <v>AGC28</v>
      </c>
      <c r="I261" s="256" t="s">
        <v>270</v>
      </c>
      <c r="J261" s="243" t="s">
        <v>72</v>
      </c>
      <c r="K261" s="258">
        <v>16.5</v>
      </c>
      <c r="L261" s="256">
        <v>110</v>
      </c>
      <c r="M261" s="259"/>
      <c r="N261" s="260"/>
      <c r="O261" s="277"/>
      <c r="P261" s="278"/>
      <c r="Q261" s="279"/>
      <c r="R261" s="309" t="s">
        <v>101</v>
      </c>
      <c r="S261" s="310">
        <v>45384</v>
      </c>
      <c r="T261" s="313"/>
      <c r="U261" s="279"/>
      <c r="V261" s="227">
        <v>9</v>
      </c>
      <c r="W261" s="281">
        <v>8</v>
      </c>
      <c r="X261" s="282">
        <v>9</v>
      </c>
      <c r="Y261" s="293">
        <f t="shared" si="11"/>
        <v>8</v>
      </c>
      <c r="Z261" s="175" t="s">
        <v>85</v>
      </c>
      <c r="AA261" s="342">
        <f>IFERROR(BASE_DATOS[[#This Row],[NSK Original]]-BASE_DATOS[[#This Row],[NSK]]," ")</f>
        <v>8.5</v>
      </c>
      <c r="AB261" s="343">
        <f>'NSK-TRACTO'!$A$2</f>
        <v>6</v>
      </c>
      <c r="AC261" s="343">
        <f>IF(BASE_DATOS[[#This Row],[NSK]]&gt;=BASE_DATOS[[#This Row],[NSK Reen]],BASE_DATOS[[#This Row],[NSK Reen]],BASE_DATOS[[#This Row],[NSK]])</f>
        <v>6</v>
      </c>
      <c r="AD261" s="344">
        <f>IFERROR(100%-(BASE_DATOS[[#This Row],[NSK Reen]]/BASE_DATOS[[#This Row],[NSK Original]]),"")</f>
        <v>0.63636363636363635</v>
      </c>
      <c r="AE261" s="344">
        <f>IFERROR(100%-BASE_DATOS[[#This Row],[NSK]]/BASE_DATOS[[#This Row],[NSK Original]],"")</f>
        <v>0.51515151515151514</v>
      </c>
      <c r="AF261" s="344">
        <f>IFERROR(BASE_DATOS[[#This Row],[% Max Des.]]-BASE_DATOS[[#This Row],[% Des]],"")</f>
        <v>0.12121212121212122</v>
      </c>
      <c r="AG261" s="287"/>
      <c r="AH261" s="273"/>
      <c r="AI261" s="363" t="str">
        <f>IF(OR(BASE_DATOS[[#This Row],[Hr.]]="",BASE_DATOS[[#This Row],[Hr. Actual]]=""),"",BASE_DATOS[[#This Row],[Hr. Actual]]-BASE_DATOS[[#This Row],[Hr.]]+BASE_DATOS[[#This Row],[Horas Acumuladas]])</f>
        <v/>
      </c>
      <c r="AJ261" s="364" t="str">
        <f>IFERROR(BASE_DATOS[[#This Row],[Precio US$]]/BASE_DATOS[[#This Row],[Horas Rodadas]],"")</f>
        <v/>
      </c>
      <c r="AK261" s="365" t="str">
        <f>IFERROR(BASE_DATOS[[#This Row],[Horas Rodadas]]/(BASE_DATOS[[#This Row],[NSK Original]]-BASE_DATOS[[#This Row],[NSK]]),"")</f>
        <v/>
      </c>
      <c r="AL26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61" s="366" t="str">
        <f>IFERROR(BASE_DATOS[[#This Row],[Precio US$]]/BASE_DATOS[[#This Row],[Horas Proy.]],"")</f>
        <v/>
      </c>
      <c r="AN261" s="176" t="str">
        <f>IF(OR(BASE_DATOS[[#This Row],[Km.]]="",BASE_DATOS[[#This Row],[Km. Actual]]=""),"",BASE_DATOS[[#This Row],[Km. Actual]]-BASE_DATOS[[#This Row],[Km.]]+BASE_DATOS[[#This Row],[Kilómetros Acumulados]])</f>
        <v/>
      </c>
      <c r="AO261" s="177" t="str">
        <f>IFERROR(BASE_DATOS[[#This Row],[Precio US$]]/BASE_DATOS[[#This Row],[Kilómetros Rodados]],"")</f>
        <v/>
      </c>
      <c r="AP261" s="176" t="str">
        <f>IFERROR(BASE_DATOS[[#This Row],[Kilómetros Rodados]]/(BASE_DATOS[[#This Row],[NSK Original]]-BASE_DATOS[[#This Row],[NSK]]),"")</f>
        <v/>
      </c>
      <c r="AQ26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61" s="177" t="str">
        <f>IFERROR(BASE_DATOS[[#This Row],[Precio US$]]/BASE_DATOS[[#This Row],[Kilómetros Proy.]],"")</f>
        <v/>
      </c>
      <c r="AS261" s="167" t="s">
        <v>62</v>
      </c>
      <c r="AT261" s="167"/>
      <c r="AU261" s="167"/>
      <c r="AV261" s="167"/>
      <c r="AW261" s="179"/>
      <c r="AX261" s="179"/>
      <c r="AY261" s="179" t="str">
        <f>CONCATENATE(BASE_DATOS[[#This Row],[Código_U]]&amp;BASE_DATOS[[#This Row],[Pos.]]&amp;BASE_DATOS[[#This Row],[Situación Actual]])</f>
        <v>SR-1484Rodando</v>
      </c>
    </row>
    <row r="262" spans="1:51" ht="12" x14ac:dyDescent="0.25">
      <c r="A262" s="227" t="s">
        <v>163</v>
      </c>
      <c r="B262" s="217" t="s">
        <v>164</v>
      </c>
      <c r="C262" s="228" t="s">
        <v>295</v>
      </c>
      <c r="D262" s="229" t="s">
        <v>87</v>
      </c>
      <c r="E262" s="255"/>
      <c r="F262" s="256" t="s">
        <v>71</v>
      </c>
      <c r="G262" s="256" t="s">
        <v>274</v>
      </c>
      <c r="H262" s="257" t="str">
        <f>IF(BASE_DATOS[[#This Row],[N-R]]="N",BASE_DATOS[[#This Row],[Diseño]],"Reencauche")</f>
        <v>Reencauche</v>
      </c>
      <c r="I262" s="256" t="s">
        <v>275</v>
      </c>
      <c r="J262" s="243" t="s">
        <v>82</v>
      </c>
      <c r="K262" s="258">
        <v>19</v>
      </c>
      <c r="L262" s="256">
        <v>110</v>
      </c>
      <c r="M262" s="259"/>
      <c r="N262" s="260"/>
      <c r="O262" s="277"/>
      <c r="P262" s="278"/>
      <c r="Q262" s="279"/>
      <c r="R262" s="309" t="s">
        <v>102</v>
      </c>
      <c r="S262" s="310">
        <v>45384</v>
      </c>
      <c r="T262" s="313"/>
      <c r="U262" s="279"/>
      <c r="V262" s="227">
        <v>13</v>
      </c>
      <c r="W262" s="281">
        <v>12</v>
      </c>
      <c r="X262" s="282">
        <v>12</v>
      </c>
      <c r="Y262" s="293">
        <f t="shared" si="11"/>
        <v>12</v>
      </c>
      <c r="Z262" s="175" t="s">
        <v>85</v>
      </c>
      <c r="AA262" s="342">
        <f>IFERROR(BASE_DATOS[[#This Row],[NSK Original]]-BASE_DATOS[[#This Row],[NSK]]," ")</f>
        <v>7</v>
      </c>
      <c r="AB262" s="343">
        <f>'NSK-TRACTO'!$A$2</f>
        <v>6</v>
      </c>
      <c r="AC262" s="343">
        <f>IF(BASE_DATOS[[#This Row],[NSK]]&gt;=BASE_DATOS[[#This Row],[NSK Reen]],BASE_DATOS[[#This Row],[NSK Reen]],BASE_DATOS[[#This Row],[NSK]])</f>
        <v>6</v>
      </c>
      <c r="AD262" s="344">
        <f>IFERROR(100%-(BASE_DATOS[[#This Row],[NSK Reen]]/BASE_DATOS[[#This Row],[NSK Original]]),"")</f>
        <v>0.68421052631578949</v>
      </c>
      <c r="AE262" s="344">
        <f>IFERROR(100%-BASE_DATOS[[#This Row],[NSK]]/BASE_DATOS[[#This Row],[NSK Original]],"")</f>
        <v>0.36842105263157898</v>
      </c>
      <c r="AF262" s="344">
        <f>IFERROR(BASE_DATOS[[#This Row],[% Max Des.]]-BASE_DATOS[[#This Row],[% Des]],"")</f>
        <v>0.31578947368421051</v>
      </c>
      <c r="AG262" s="287"/>
      <c r="AH262" s="273"/>
      <c r="AI262" s="363" t="str">
        <f>IF(OR(BASE_DATOS[[#This Row],[Hr.]]="",BASE_DATOS[[#This Row],[Hr. Actual]]=""),"",BASE_DATOS[[#This Row],[Hr. Actual]]-BASE_DATOS[[#This Row],[Hr.]]+BASE_DATOS[[#This Row],[Horas Acumuladas]])</f>
        <v/>
      </c>
      <c r="AJ262" s="364" t="str">
        <f>IFERROR(BASE_DATOS[[#This Row],[Precio US$]]/BASE_DATOS[[#This Row],[Horas Rodadas]],"")</f>
        <v/>
      </c>
      <c r="AK262" s="365" t="str">
        <f>IFERROR(BASE_DATOS[[#This Row],[Horas Rodadas]]/(BASE_DATOS[[#This Row],[NSK Original]]-BASE_DATOS[[#This Row],[NSK]]),"")</f>
        <v/>
      </c>
      <c r="AL26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62" s="366" t="str">
        <f>IFERROR(BASE_DATOS[[#This Row],[Precio US$]]/BASE_DATOS[[#This Row],[Horas Proy.]],"")</f>
        <v/>
      </c>
      <c r="AN262" s="176" t="str">
        <f>IF(OR(BASE_DATOS[[#This Row],[Km.]]="",BASE_DATOS[[#This Row],[Km. Actual]]=""),"",BASE_DATOS[[#This Row],[Km. Actual]]-BASE_DATOS[[#This Row],[Km.]]+BASE_DATOS[[#This Row],[Kilómetros Acumulados]])</f>
        <v/>
      </c>
      <c r="AO262" s="177" t="str">
        <f>IFERROR(BASE_DATOS[[#This Row],[Precio US$]]/BASE_DATOS[[#This Row],[Kilómetros Rodados]],"")</f>
        <v/>
      </c>
      <c r="AP262" s="176" t="str">
        <f>IFERROR(BASE_DATOS[[#This Row],[Kilómetros Rodados]]/(BASE_DATOS[[#This Row],[NSK Original]]-BASE_DATOS[[#This Row],[NSK]]),"")</f>
        <v/>
      </c>
      <c r="AQ26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62" s="177" t="str">
        <f>IFERROR(BASE_DATOS[[#This Row],[Precio US$]]/BASE_DATOS[[#This Row],[Kilómetros Proy.]],"")</f>
        <v/>
      </c>
      <c r="AS262" s="167" t="s">
        <v>62</v>
      </c>
      <c r="AT262" s="167"/>
      <c r="AU262" s="167"/>
      <c r="AV262" s="167"/>
      <c r="AW262" s="179"/>
      <c r="AX262" s="179"/>
      <c r="AY262" s="179" t="str">
        <f>CONCATENATE(BASE_DATOS[[#This Row],[Código_U]]&amp;BASE_DATOS[[#This Row],[Pos.]]&amp;BASE_DATOS[[#This Row],[Situación Actual]])</f>
        <v>SR-1485Rodando</v>
      </c>
    </row>
    <row r="263" spans="1:51" ht="12" x14ac:dyDescent="0.25">
      <c r="A263" s="227" t="s">
        <v>163</v>
      </c>
      <c r="B263" s="217" t="s">
        <v>164</v>
      </c>
      <c r="C263" s="228" t="s">
        <v>295</v>
      </c>
      <c r="D263" s="229" t="s">
        <v>87</v>
      </c>
      <c r="E263" s="255"/>
      <c r="F263" s="256" t="s">
        <v>71</v>
      </c>
      <c r="G263" s="256" t="s">
        <v>274</v>
      </c>
      <c r="H263" s="257" t="str">
        <f>IF(BASE_DATOS[[#This Row],[N-R]]="N",BASE_DATOS[[#This Row],[Diseño]],"Reencauche")</f>
        <v>Reencauche</v>
      </c>
      <c r="I263" s="256" t="s">
        <v>275</v>
      </c>
      <c r="J263" s="243" t="s">
        <v>82</v>
      </c>
      <c r="K263" s="258">
        <v>19</v>
      </c>
      <c r="L263" s="256">
        <v>110</v>
      </c>
      <c r="M263" s="259"/>
      <c r="N263" s="260"/>
      <c r="O263" s="277"/>
      <c r="P263" s="278"/>
      <c r="Q263" s="279"/>
      <c r="R263" s="309" t="s">
        <v>103</v>
      </c>
      <c r="S263" s="310">
        <v>45384</v>
      </c>
      <c r="T263" s="313"/>
      <c r="U263" s="279"/>
      <c r="V263" s="227">
        <v>13</v>
      </c>
      <c r="W263" s="281">
        <v>12</v>
      </c>
      <c r="X263" s="282">
        <v>12</v>
      </c>
      <c r="Y263" s="293">
        <f t="shared" si="11"/>
        <v>12</v>
      </c>
      <c r="Z263" s="161" t="s">
        <v>73</v>
      </c>
      <c r="AA263" s="342">
        <f>IFERROR(BASE_DATOS[[#This Row],[NSK Original]]-BASE_DATOS[[#This Row],[NSK]]," ")</f>
        <v>7</v>
      </c>
      <c r="AB263" s="343">
        <f>'NSK-TRACTO'!$A$2</f>
        <v>6</v>
      </c>
      <c r="AC263" s="343">
        <f>IF(BASE_DATOS[[#This Row],[NSK]]&gt;=BASE_DATOS[[#This Row],[NSK Reen]],BASE_DATOS[[#This Row],[NSK Reen]],BASE_DATOS[[#This Row],[NSK]])</f>
        <v>6</v>
      </c>
      <c r="AD263" s="344">
        <f>IFERROR(100%-(BASE_DATOS[[#This Row],[NSK Reen]]/BASE_DATOS[[#This Row],[NSK Original]]),"")</f>
        <v>0.68421052631578949</v>
      </c>
      <c r="AE263" s="344">
        <f>IFERROR(100%-BASE_DATOS[[#This Row],[NSK]]/BASE_DATOS[[#This Row],[NSK Original]],"")</f>
        <v>0.36842105263157898</v>
      </c>
      <c r="AF263" s="344">
        <f>IFERROR(BASE_DATOS[[#This Row],[% Max Des.]]-BASE_DATOS[[#This Row],[% Des]],"")</f>
        <v>0.31578947368421051</v>
      </c>
      <c r="AG263" s="287"/>
      <c r="AH263" s="273"/>
      <c r="AI263" s="363" t="str">
        <f>IF(OR(BASE_DATOS[[#This Row],[Hr.]]="",BASE_DATOS[[#This Row],[Hr. Actual]]=""),"",BASE_DATOS[[#This Row],[Hr. Actual]]-BASE_DATOS[[#This Row],[Hr.]]+BASE_DATOS[[#This Row],[Horas Acumuladas]])</f>
        <v/>
      </c>
      <c r="AJ263" s="364" t="str">
        <f>IFERROR(BASE_DATOS[[#This Row],[Precio US$]]/BASE_DATOS[[#This Row],[Horas Rodadas]],"")</f>
        <v/>
      </c>
      <c r="AK263" s="365" t="str">
        <f>IFERROR(BASE_DATOS[[#This Row],[Horas Rodadas]]/(BASE_DATOS[[#This Row],[NSK Original]]-BASE_DATOS[[#This Row],[NSK]]),"")</f>
        <v/>
      </c>
      <c r="AL26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63" s="366" t="str">
        <f>IFERROR(BASE_DATOS[[#This Row],[Precio US$]]/BASE_DATOS[[#This Row],[Horas Proy.]],"")</f>
        <v/>
      </c>
      <c r="AN263" s="176" t="str">
        <f>IF(OR(BASE_DATOS[[#This Row],[Km.]]="",BASE_DATOS[[#This Row],[Km. Actual]]=""),"",BASE_DATOS[[#This Row],[Km. Actual]]-BASE_DATOS[[#This Row],[Km.]]+BASE_DATOS[[#This Row],[Kilómetros Acumulados]])</f>
        <v/>
      </c>
      <c r="AO263" s="177" t="str">
        <f>IFERROR(BASE_DATOS[[#This Row],[Precio US$]]/BASE_DATOS[[#This Row],[Kilómetros Rodados]],"")</f>
        <v/>
      </c>
      <c r="AP263" s="176" t="str">
        <f>IFERROR(BASE_DATOS[[#This Row],[Kilómetros Rodados]]/(BASE_DATOS[[#This Row],[NSK Original]]-BASE_DATOS[[#This Row],[NSK]]),"")</f>
        <v/>
      </c>
      <c r="AQ26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63" s="177" t="str">
        <f>IFERROR(BASE_DATOS[[#This Row],[Precio US$]]/BASE_DATOS[[#This Row],[Kilómetros Proy.]],"")</f>
        <v/>
      </c>
      <c r="AS263" s="167" t="s">
        <v>62</v>
      </c>
      <c r="AT263" s="167"/>
      <c r="AU263" s="167"/>
      <c r="AV263" s="167"/>
      <c r="AW263" s="179"/>
      <c r="AX263" s="179"/>
      <c r="AY263" s="179" t="str">
        <f>CONCATENATE(BASE_DATOS[[#This Row],[Código_U]]&amp;BASE_DATOS[[#This Row],[Pos.]]&amp;BASE_DATOS[[#This Row],[Situación Actual]])</f>
        <v>SR-1486Rodando</v>
      </c>
    </row>
    <row r="264" spans="1:51" ht="12" x14ac:dyDescent="0.25">
      <c r="A264" s="227" t="s">
        <v>163</v>
      </c>
      <c r="B264" s="217" t="s">
        <v>164</v>
      </c>
      <c r="C264" s="228" t="s">
        <v>295</v>
      </c>
      <c r="D264" s="229" t="s">
        <v>384</v>
      </c>
      <c r="E264" s="255"/>
      <c r="F264" s="256" t="s">
        <v>97</v>
      </c>
      <c r="G264" s="256" t="s">
        <v>269</v>
      </c>
      <c r="H264" s="257" t="str">
        <f>IF(BASE_DATOS[[#This Row],[N-R]]="N",BASE_DATOS[[#This Row],[Diseño]],"Reencauche")</f>
        <v>AGC28</v>
      </c>
      <c r="I264" s="256" t="s">
        <v>270</v>
      </c>
      <c r="J264" s="243" t="s">
        <v>72</v>
      </c>
      <c r="K264" s="258">
        <v>16.5</v>
      </c>
      <c r="L264" s="256">
        <v>110</v>
      </c>
      <c r="M264" s="259"/>
      <c r="N264" s="260"/>
      <c r="O264" s="277"/>
      <c r="P264" s="278"/>
      <c r="Q264" s="279"/>
      <c r="R264" s="304" t="s">
        <v>509</v>
      </c>
      <c r="S264" s="310">
        <v>45384</v>
      </c>
      <c r="T264" s="313"/>
      <c r="U264" s="279"/>
      <c r="V264" s="227">
        <v>7</v>
      </c>
      <c r="W264" s="281">
        <v>7</v>
      </c>
      <c r="X264" s="282">
        <v>7</v>
      </c>
      <c r="Y264" s="293">
        <f t="shared" si="11"/>
        <v>7</v>
      </c>
      <c r="Z264" s="161" t="s">
        <v>85</v>
      </c>
      <c r="AA264" s="342">
        <f>IFERROR(BASE_DATOS[[#This Row],[NSK Original]]-BASE_DATOS[[#This Row],[NSK]]," ")</f>
        <v>9.5</v>
      </c>
      <c r="AB264" s="343">
        <f>'NSK-TRACTO'!$A$2</f>
        <v>6</v>
      </c>
      <c r="AC264" s="343">
        <f>IF(BASE_DATOS[[#This Row],[NSK]]&gt;=BASE_DATOS[[#This Row],[NSK Reen]],BASE_DATOS[[#This Row],[NSK Reen]],BASE_DATOS[[#This Row],[NSK]])</f>
        <v>6</v>
      </c>
      <c r="AD264" s="344">
        <f>IFERROR(100%-(BASE_DATOS[[#This Row],[NSK Reen]]/BASE_DATOS[[#This Row],[NSK Original]]),"")</f>
        <v>0.63636363636363635</v>
      </c>
      <c r="AE264" s="344">
        <f>IFERROR(100%-BASE_DATOS[[#This Row],[NSK]]/BASE_DATOS[[#This Row],[NSK Original]],"")</f>
        <v>0.57575757575757569</v>
      </c>
      <c r="AF264" s="344">
        <f>IFERROR(BASE_DATOS[[#This Row],[% Max Des.]]-BASE_DATOS[[#This Row],[% Des]],"")</f>
        <v>6.0606060606060663E-2</v>
      </c>
      <c r="AG264" s="287"/>
      <c r="AH264" s="273"/>
      <c r="AI264" s="363" t="str">
        <f>IF(OR(BASE_DATOS[[#This Row],[Hr.]]="",BASE_DATOS[[#This Row],[Hr. Actual]]=""),"",BASE_DATOS[[#This Row],[Hr. Actual]]-BASE_DATOS[[#This Row],[Hr.]]+BASE_DATOS[[#This Row],[Horas Acumuladas]])</f>
        <v/>
      </c>
      <c r="AJ264" s="364" t="str">
        <f>IFERROR(BASE_DATOS[[#This Row],[Precio US$]]/BASE_DATOS[[#This Row],[Horas Rodadas]],"")</f>
        <v/>
      </c>
      <c r="AK264" s="365" t="str">
        <f>IFERROR(BASE_DATOS[[#This Row],[Horas Rodadas]]/(BASE_DATOS[[#This Row],[NSK Original]]-BASE_DATOS[[#This Row],[NSK]]),"")</f>
        <v/>
      </c>
      <c r="AL26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64" s="366" t="str">
        <f>IFERROR(BASE_DATOS[[#This Row],[Precio US$]]/BASE_DATOS[[#This Row],[Horas Proy.]],"")</f>
        <v/>
      </c>
      <c r="AN264" s="176" t="str">
        <f>IF(OR(BASE_DATOS[[#This Row],[Km.]]="",BASE_DATOS[[#This Row],[Km. Actual]]=""),"",BASE_DATOS[[#This Row],[Km. Actual]]-BASE_DATOS[[#This Row],[Km.]]+BASE_DATOS[[#This Row],[Kilómetros Acumulados]])</f>
        <v/>
      </c>
      <c r="AO264" s="177" t="str">
        <f>IFERROR(BASE_DATOS[[#This Row],[Precio US$]]/BASE_DATOS[[#This Row],[Kilómetros Rodados]],"")</f>
        <v/>
      </c>
      <c r="AP264" s="176" t="str">
        <f>IFERROR(BASE_DATOS[[#This Row],[Kilómetros Rodados]]/(BASE_DATOS[[#This Row],[NSK Original]]-BASE_DATOS[[#This Row],[NSK]]),"")</f>
        <v/>
      </c>
      <c r="AQ26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64" s="177" t="str">
        <f>IFERROR(BASE_DATOS[[#This Row],[Precio US$]]/BASE_DATOS[[#This Row],[Kilómetros Proy.]],"")</f>
        <v/>
      </c>
      <c r="AS264" s="167" t="s">
        <v>62</v>
      </c>
      <c r="AT264" s="167"/>
      <c r="AU264" s="167"/>
      <c r="AV264" s="167"/>
      <c r="AW264" s="179"/>
      <c r="AX264" s="179"/>
      <c r="AY264" s="179" t="str">
        <f>CONCATENATE(BASE_DATOS[[#This Row],[Código_U]]&amp;BASE_DATOS[[#This Row],[Pos.]]&amp;BASE_DATOS[[#This Row],[Situación Actual]])</f>
        <v>SR-148RERodando</v>
      </c>
    </row>
    <row r="265" spans="1:51" ht="12" x14ac:dyDescent="0.25">
      <c r="A265" s="227" t="s">
        <v>163</v>
      </c>
      <c r="B265" s="217" t="s">
        <v>164</v>
      </c>
      <c r="C265" s="228" t="s">
        <v>295</v>
      </c>
      <c r="D265" s="229" t="s">
        <v>108</v>
      </c>
      <c r="E265" s="255"/>
      <c r="F265" s="256" t="s">
        <v>273</v>
      </c>
      <c r="G265" s="256" t="s">
        <v>271</v>
      </c>
      <c r="H265" s="257" t="str">
        <f>IF(BASE_DATOS[[#This Row],[N-R]]="N",BASE_DATOS[[#This Row],[Diseño]],"Reencauche")</f>
        <v>XMULTI2D</v>
      </c>
      <c r="I265" s="256" t="s">
        <v>299</v>
      </c>
      <c r="J265" s="243" t="s">
        <v>72</v>
      </c>
      <c r="K265" s="258">
        <v>21.4</v>
      </c>
      <c r="L265" s="256">
        <v>110</v>
      </c>
      <c r="M265" s="259"/>
      <c r="N265" s="260"/>
      <c r="O265" s="277"/>
      <c r="P265" s="278"/>
      <c r="Q265" s="279"/>
      <c r="R265" s="304" t="s">
        <v>108</v>
      </c>
      <c r="S265" s="310">
        <v>45384</v>
      </c>
      <c r="T265" s="313"/>
      <c r="U265" s="279"/>
      <c r="V265" s="227">
        <v>20</v>
      </c>
      <c r="W265" s="281"/>
      <c r="X265" s="282">
        <v>20</v>
      </c>
      <c r="Y265" s="293">
        <f t="shared" si="11"/>
        <v>20</v>
      </c>
      <c r="Z265" s="161" t="s">
        <v>73</v>
      </c>
      <c r="AA265" s="342">
        <f>IFERROR(BASE_DATOS[[#This Row],[NSK Original]]-BASE_DATOS[[#This Row],[NSK]]," ")</f>
        <v>1.3999999999999986</v>
      </c>
      <c r="AB265" s="343">
        <f>'NSK-TRACTO'!$A$2</f>
        <v>6</v>
      </c>
      <c r="AC265" s="343">
        <f>IF(BASE_DATOS[[#This Row],[NSK]]&gt;=BASE_DATOS[[#This Row],[NSK Reen]],BASE_DATOS[[#This Row],[NSK Reen]],BASE_DATOS[[#This Row],[NSK]])</f>
        <v>6</v>
      </c>
      <c r="AD265" s="344">
        <f>IFERROR(100%-(BASE_DATOS[[#This Row],[NSK Reen]]/BASE_DATOS[[#This Row],[NSK Original]]),"")</f>
        <v>0.71962616822429903</v>
      </c>
      <c r="AE265" s="344">
        <f>IFERROR(100%-BASE_DATOS[[#This Row],[NSK]]/BASE_DATOS[[#This Row],[NSK Original]],"")</f>
        <v>6.5420560747663448E-2</v>
      </c>
      <c r="AF265" s="344">
        <f>IFERROR(BASE_DATOS[[#This Row],[% Max Des.]]-BASE_DATOS[[#This Row],[% Des]],"")</f>
        <v>0.65420560747663559</v>
      </c>
      <c r="AG265" s="287"/>
      <c r="AH265" s="273"/>
      <c r="AI265" s="363" t="str">
        <f>IF(OR(BASE_DATOS[[#This Row],[Hr.]]="",BASE_DATOS[[#This Row],[Hr. Actual]]=""),"",BASE_DATOS[[#This Row],[Hr. Actual]]-BASE_DATOS[[#This Row],[Hr.]]+BASE_DATOS[[#This Row],[Horas Acumuladas]])</f>
        <v/>
      </c>
      <c r="AJ265" s="364" t="str">
        <f>IFERROR(BASE_DATOS[[#This Row],[Precio US$]]/BASE_DATOS[[#This Row],[Horas Rodadas]],"")</f>
        <v/>
      </c>
      <c r="AK265" s="365" t="str">
        <f>IFERROR(BASE_DATOS[[#This Row],[Horas Rodadas]]/(BASE_DATOS[[#This Row],[NSK Original]]-BASE_DATOS[[#This Row],[NSK]]),"")</f>
        <v/>
      </c>
      <c r="AL26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65" s="366" t="str">
        <f>IFERROR(BASE_DATOS[[#This Row],[Precio US$]]/BASE_DATOS[[#This Row],[Horas Proy.]],"")</f>
        <v/>
      </c>
      <c r="AN265" s="176" t="str">
        <f>IF(OR(BASE_DATOS[[#This Row],[Km.]]="",BASE_DATOS[[#This Row],[Km. Actual]]=""),"",BASE_DATOS[[#This Row],[Km. Actual]]-BASE_DATOS[[#This Row],[Km.]]+BASE_DATOS[[#This Row],[Kilómetros Acumulados]])</f>
        <v/>
      </c>
      <c r="AO265" s="177" t="str">
        <f>IFERROR(BASE_DATOS[[#This Row],[Precio US$]]/BASE_DATOS[[#This Row],[Kilómetros Rodados]],"")</f>
        <v/>
      </c>
      <c r="AP265" s="176" t="str">
        <f>IFERROR(BASE_DATOS[[#This Row],[Kilómetros Rodados]]/(BASE_DATOS[[#This Row],[NSK Original]]-BASE_DATOS[[#This Row],[NSK]]),"")</f>
        <v/>
      </c>
      <c r="AQ26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65" s="177" t="str">
        <f>IFERROR(BASE_DATOS[[#This Row],[Precio US$]]/BASE_DATOS[[#This Row],[Kilómetros Proy.]],"")</f>
        <v/>
      </c>
      <c r="AS265" s="167" t="s">
        <v>62</v>
      </c>
      <c r="AT265" s="167"/>
      <c r="AU265" s="167"/>
      <c r="AV265" s="167"/>
      <c r="AW265" s="179"/>
      <c r="AX265" s="179"/>
      <c r="AY265" s="179" t="str">
        <f>CONCATENATE(BASE_DATOS[[#This Row],[Código_U]]&amp;BASE_DATOS[[#This Row],[Pos.]]&amp;BASE_DATOS[[#This Row],[Situación Actual]])</f>
        <v>SR-148RTRodando</v>
      </c>
    </row>
    <row r="266" spans="1:51" ht="12" x14ac:dyDescent="0.25">
      <c r="A266" s="224" t="s">
        <v>165</v>
      </c>
      <c r="B266" s="213" t="s">
        <v>166</v>
      </c>
      <c r="C266" s="225" t="s">
        <v>296</v>
      </c>
      <c r="D266" s="226" t="s">
        <v>86</v>
      </c>
      <c r="E266" s="249"/>
      <c r="F266" s="250" t="s">
        <v>71</v>
      </c>
      <c r="G266" s="250" t="s">
        <v>271</v>
      </c>
      <c r="H266" s="251" t="str">
        <f>IF(BASE_DATOS[[#This Row],[N-R]]="N",BASE_DATOS[[#This Row],[Diseño]],"Reencauche")</f>
        <v>KMAX S</v>
      </c>
      <c r="I266" s="250" t="s">
        <v>287</v>
      </c>
      <c r="J266" s="235" t="s">
        <v>72</v>
      </c>
      <c r="K266" s="252">
        <v>15.8</v>
      </c>
      <c r="L266" s="233">
        <v>100</v>
      </c>
      <c r="M266" s="253"/>
      <c r="N266" s="254"/>
      <c r="O266" s="274"/>
      <c r="P266" s="275"/>
      <c r="Q266" s="276"/>
      <c r="R266" s="305" t="s">
        <v>98</v>
      </c>
      <c r="S266" s="306">
        <v>45385</v>
      </c>
      <c r="T266" s="307"/>
      <c r="U266" s="308"/>
      <c r="V266" s="224">
        <v>9</v>
      </c>
      <c r="W266" s="325">
        <v>12</v>
      </c>
      <c r="X266" s="326">
        <v>12</v>
      </c>
      <c r="Y266" s="292">
        <f t="shared" si="11"/>
        <v>9</v>
      </c>
      <c r="Z266" s="194" t="s">
        <v>85</v>
      </c>
      <c r="AA266" s="339">
        <f>IFERROR(BASE_DATOS[[#This Row],[NSK Original]]-BASE_DATOS[[#This Row],[NSK]]," ")</f>
        <v>6.8000000000000007</v>
      </c>
      <c r="AB266" s="340">
        <f>'NSK-TRACTO'!$A$2</f>
        <v>6</v>
      </c>
      <c r="AC266" s="340">
        <f>IF(BASE_DATOS[[#This Row],[NSK]]&gt;=BASE_DATOS[[#This Row],[NSK Reen]],BASE_DATOS[[#This Row],[NSK Reen]],BASE_DATOS[[#This Row],[NSK]])</f>
        <v>6</v>
      </c>
      <c r="AD266" s="341">
        <f>IFERROR(100%-(BASE_DATOS[[#This Row],[NSK Reen]]/BASE_DATOS[[#This Row],[NSK Original]]),"")</f>
        <v>0.620253164556962</v>
      </c>
      <c r="AE266" s="341">
        <f>IFERROR(100%-BASE_DATOS[[#This Row],[NSK]]/BASE_DATOS[[#This Row],[NSK Original]],"")</f>
        <v>0.43037974683544311</v>
      </c>
      <c r="AF266" s="341">
        <f>IFERROR(BASE_DATOS[[#This Row],[% Max Des.]]-BASE_DATOS[[#This Row],[% Des]],"")</f>
        <v>0.18987341772151889</v>
      </c>
      <c r="AG266" s="284"/>
      <c r="AH266" s="335"/>
      <c r="AI266" s="359" t="str">
        <f>IF(OR(BASE_DATOS[[#This Row],[Hr.]]="",BASE_DATOS[[#This Row],[Hr. Actual]]=""),"",BASE_DATOS[[#This Row],[Hr. Actual]]-BASE_DATOS[[#This Row],[Hr.]]+BASE_DATOS[[#This Row],[Horas Acumuladas]])</f>
        <v/>
      </c>
      <c r="AJ266" s="360" t="str">
        <f>IFERROR(BASE_DATOS[[#This Row],[Precio US$]]/BASE_DATOS[[#This Row],[Horas Rodadas]],"")</f>
        <v/>
      </c>
      <c r="AK266" s="361" t="str">
        <f>IFERROR(BASE_DATOS[[#This Row],[Horas Rodadas]]/(BASE_DATOS[[#This Row],[NSK Original]]-BASE_DATOS[[#This Row],[NSK]]),"")</f>
        <v/>
      </c>
      <c r="AL266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66" s="362" t="str">
        <f>IFERROR(BASE_DATOS[[#This Row],[Precio US$]]/BASE_DATOS[[#This Row],[Horas Proy.]],"")</f>
        <v/>
      </c>
      <c r="AN266" s="195" t="str">
        <f>IF(OR(BASE_DATOS[[#This Row],[Km.]]="",BASE_DATOS[[#This Row],[Km. Actual]]=""),"",BASE_DATOS[[#This Row],[Km. Actual]]-BASE_DATOS[[#This Row],[Km.]]+BASE_DATOS[[#This Row],[Kilómetros Acumulados]])</f>
        <v/>
      </c>
      <c r="AO266" s="196" t="str">
        <f>IFERROR(BASE_DATOS[[#This Row],[Precio US$]]/BASE_DATOS[[#This Row],[Kilómetros Rodados]],"")</f>
        <v/>
      </c>
      <c r="AP266" s="195" t="str">
        <f>IFERROR(BASE_DATOS[[#This Row],[Kilómetros Rodados]]/(BASE_DATOS[[#This Row],[NSK Original]]-BASE_DATOS[[#This Row],[NSK]]),"")</f>
        <v/>
      </c>
      <c r="AQ266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66" s="196" t="str">
        <f>IFERROR(BASE_DATOS[[#This Row],[Precio US$]]/BASE_DATOS[[#This Row],[Kilómetros Proy.]],"")</f>
        <v/>
      </c>
      <c r="AS266" s="191" t="s">
        <v>62</v>
      </c>
      <c r="AT266" s="191"/>
      <c r="AU266" s="191" t="s">
        <v>515</v>
      </c>
      <c r="AV266" s="191"/>
      <c r="AW266" s="198"/>
      <c r="AX266" s="198" t="s">
        <v>371</v>
      </c>
      <c r="AY266" s="198" t="str">
        <f>CONCATENATE(BASE_DATOS[[#This Row],[Código_U]]&amp;BASE_DATOS[[#This Row],[Pos.]]&amp;BASE_DATOS[[#This Row],[Situación Actual]])</f>
        <v>TC-1521Rodando</v>
      </c>
    </row>
    <row r="267" spans="1:51" ht="12" x14ac:dyDescent="0.25">
      <c r="A267" s="227" t="s">
        <v>165</v>
      </c>
      <c r="B267" s="217" t="s">
        <v>166</v>
      </c>
      <c r="C267" s="228" t="s">
        <v>296</v>
      </c>
      <c r="D267" s="229" t="s">
        <v>86</v>
      </c>
      <c r="E267" s="255"/>
      <c r="F267" s="256" t="s">
        <v>71</v>
      </c>
      <c r="G267" s="256" t="s">
        <v>271</v>
      </c>
      <c r="H267" s="257" t="str">
        <f>IF(BASE_DATOS[[#This Row],[N-R]]="N",BASE_DATOS[[#This Row],[Diseño]],"Reencauche")</f>
        <v>KMAX S</v>
      </c>
      <c r="I267" s="256" t="s">
        <v>287</v>
      </c>
      <c r="J267" s="243" t="s">
        <v>72</v>
      </c>
      <c r="K267" s="258">
        <v>15.8</v>
      </c>
      <c r="L267" s="241">
        <v>100</v>
      </c>
      <c r="M267" s="259"/>
      <c r="N267" s="260"/>
      <c r="O267" s="277"/>
      <c r="P267" s="278"/>
      <c r="Q267" s="279"/>
      <c r="R267" s="309" t="s">
        <v>99</v>
      </c>
      <c r="S267" s="310">
        <v>45385</v>
      </c>
      <c r="T267" s="311"/>
      <c r="U267" s="312"/>
      <c r="V267" s="227">
        <v>10</v>
      </c>
      <c r="W267" s="281">
        <v>12</v>
      </c>
      <c r="X267" s="282">
        <v>11</v>
      </c>
      <c r="Y267" s="293">
        <f t="shared" si="11"/>
        <v>10</v>
      </c>
      <c r="Z267" s="175" t="s">
        <v>85</v>
      </c>
      <c r="AA267" s="342">
        <f>IFERROR(BASE_DATOS[[#This Row],[NSK Original]]-BASE_DATOS[[#This Row],[NSK]]," ")</f>
        <v>5.8000000000000007</v>
      </c>
      <c r="AB267" s="343">
        <f>'NSK-TRACTO'!$A$2</f>
        <v>6</v>
      </c>
      <c r="AC267" s="343">
        <f>IF(BASE_DATOS[[#This Row],[NSK]]&gt;=BASE_DATOS[[#This Row],[NSK Reen]],BASE_DATOS[[#This Row],[NSK Reen]],BASE_DATOS[[#This Row],[NSK]])</f>
        <v>6</v>
      </c>
      <c r="AD267" s="344">
        <f>IFERROR(100%-(BASE_DATOS[[#This Row],[NSK Reen]]/BASE_DATOS[[#This Row],[NSK Original]]),"")</f>
        <v>0.620253164556962</v>
      </c>
      <c r="AE267" s="344">
        <f>IFERROR(100%-BASE_DATOS[[#This Row],[NSK]]/BASE_DATOS[[#This Row],[NSK Original]],"")</f>
        <v>0.36708860759493678</v>
      </c>
      <c r="AF267" s="344">
        <f>IFERROR(BASE_DATOS[[#This Row],[% Max Des.]]-BASE_DATOS[[#This Row],[% Des]],"")</f>
        <v>0.25316455696202522</v>
      </c>
      <c r="AG267" s="287"/>
      <c r="AH267" s="273"/>
      <c r="AI267" s="363" t="str">
        <f>IF(OR(BASE_DATOS[[#This Row],[Hr.]]="",BASE_DATOS[[#This Row],[Hr. Actual]]=""),"",BASE_DATOS[[#This Row],[Hr. Actual]]-BASE_DATOS[[#This Row],[Hr.]]+BASE_DATOS[[#This Row],[Horas Acumuladas]])</f>
        <v/>
      </c>
      <c r="AJ267" s="364" t="str">
        <f>IFERROR(BASE_DATOS[[#This Row],[Precio US$]]/BASE_DATOS[[#This Row],[Horas Rodadas]],"")</f>
        <v/>
      </c>
      <c r="AK267" s="365" t="str">
        <f>IFERROR(BASE_DATOS[[#This Row],[Horas Rodadas]]/(BASE_DATOS[[#This Row],[NSK Original]]-BASE_DATOS[[#This Row],[NSK]]),"")</f>
        <v/>
      </c>
      <c r="AL26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67" s="366" t="str">
        <f>IFERROR(BASE_DATOS[[#This Row],[Precio US$]]/BASE_DATOS[[#This Row],[Horas Proy.]],"")</f>
        <v/>
      </c>
      <c r="AN267" s="176" t="str">
        <f>IF(OR(BASE_DATOS[[#This Row],[Km.]]="",BASE_DATOS[[#This Row],[Km. Actual]]=""),"",BASE_DATOS[[#This Row],[Km. Actual]]-BASE_DATOS[[#This Row],[Km.]]+BASE_DATOS[[#This Row],[Kilómetros Acumulados]])</f>
        <v/>
      </c>
      <c r="AO267" s="177" t="str">
        <f>IFERROR(BASE_DATOS[[#This Row],[Precio US$]]/BASE_DATOS[[#This Row],[Kilómetros Rodados]],"")</f>
        <v/>
      </c>
      <c r="AP267" s="176" t="str">
        <f>IFERROR(BASE_DATOS[[#This Row],[Kilómetros Rodados]]/(BASE_DATOS[[#This Row],[NSK Original]]-BASE_DATOS[[#This Row],[NSK]]),"")</f>
        <v/>
      </c>
      <c r="AQ26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67" s="177" t="str">
        <f>IFERROR(BASE_DATOS[[#This Row],[Precio US$]]/BASE_DATOS[[#This Row],[Kilómetros Proy.]],"")</f>
        <v/>
      </c>
      <c r="AS267" s="167" t="s">
        <v>62</v>
      </c>
      <c r="AT267" s="167"/>
      <c r="AU267" s="167" t="s">
        <v>515</v>
      </c>
      <c r="AV267" s="167"/>
      <c r="AW267" s="179"/>
      <c r="AX267" s="179" t="s">
        <v>371</v>
      </c>
      <c r="AY267" s="179" t="str">
        <f>CONCATENATE(BASE_DATOS[[#This Row],[Código_U]]&amp;BASE_DATOS[[#This Row],[Pos.]]&amp;BASE_DATOS[[#This Row],[Situación Actual]])</f>
        <v>TC-1522Rodando</v>
      </c>
    </row>
    <row r="268" spans="1:51" ht="12" x14ac:dyDescent="0.25">
      <c r="A268" s="227" t="s">
        <v>165</v>
      </c>
      <c r="B268" s="217" t="s">
        <v>166</v>
      </c>
      <c r="C268" s="228" t="s">
        <v>296</v>
      </c>
      <c r="D268" s="229" t="s">
        <v>61</v>
      </c>
      <c r="E268" s="255"/>
      <c r="F268" s="256" t="s">
        <v>273</v>
      </c>
      <c r="G268" s="256" t="s">
        <v>271</v>
      </c>
      <c r="H268" s="257" t="str">
        <f>IF(BASE_DATOS[[#This Row],[N-R]]="N",BASE_DATOS[[#This Row],[Diseño]],"Reencauche")</f>
        <v>XMULTI2D</v>
      </c>
      <c r="I268" s="256" t="s">
        <v>299</v>
      </c>
      <c r="J268" s="243" t="s">
        <v>72</v>
      </c>
      <c r="K268" s="258">
        <v>21.4</v>
      </c>
      <c r="L268" s="241">
        <v>110</v>
      </c>
      <c r="M268" s="259"/>
      <c r="N268" s="260"/>
      <c r="O268" s="277"/>
      <c r="P268" s="278"/>
      <c r="Q268" s="279"/>
      <c r="R268" s="309" t="s">
        <v>100</v>
      </c>
      <c r="S268" s="310">
        <v>45385</v>
      </c>
      <c r="T268" s="311"/>
      <c r="U268" s="312"/>
      <c r="V268" s="227">
        <v>20</v>
      </c>
      <c r="W268" s="281"/>
      <c r="X268" s="282">
        <v>20</v>
      </c>
      <c r="Y268" s="293">
        <f t="shared" si="11"/>
        <v>20</v>
      </c>
      <c r="Z268" s="175" t="s">
        <v>85</v>
      </c>
      <c r="AA268" s="342">
        <f>IFERROR(BASE_DATOS[[#This Row],[NSK Original]]-BASE_DATOS[[#This Row],[NSK]]," ")</f>
        <v>1.3999999999999986</v>
      </c>
      <c r="AB268" s="343">
        <f>'NSK-TRACTO'!$A$2</f>
        <v>6</v>
      </c>
      <c r="AC268" s="343">
        <f>IF(BASE_DATOS[[#This Row],[NSK]]&gt;=BASE_DATOS[[#This Row],[NSK Reen]],BASE_DATOS[[#This Row],[NSK Reen]],BASE_DATOS[[#This Row],[NSK]])</f>
        <v>6</v>
      </c>
      <c r="AD268" s="344">
        <f>IFERROR(100%-(BASE_DATOS[[#This Row],[NSK Reen]]/BASE_DATOS[[#This Row],[NSK Original]]),"")</f>
        <v>0.71962616822429903</v>
      </c>
      <c r="AE268" s="344">
        <f>IFERROR(100%-BASE_DATOS[[#This Row],[NSK]]/BASE_DATOS[[#This Row],[NSK Original]],"")</f>
        <v>6.5420560747663448E-2</v>
      </c>
      <c r="AF268" s="344">
        <f>IFERROR(BASE_DATOS[[#This Row],[% Max Des.]]-BASE_DATOS[[#This Row],[% Des]],"")</f>
        <v>0.65420560747663559</v>
      </c>
      <c r="AG268" s="287"/>
      <c r="AH268" s="273"/>
      <c r="AI268" s="363" t="str">
        <f>IF(OR(BASE_DATOS[[#This Row],[Hr.]]="",BASE_DATOS[[#This Row],[Hr. Actual]]=""),"",BASE_DATOS[[#This Row],[Hr. Actual]]-BASE_DATOS[[#This Row],[Hr.]]+BASE_DATOS[[#This Row],[Horas Acumuladas]])</f>
        <v/>
      </c>
      <c r="AJ268" s="364" t="str">
        <f>IFERROR(BASE_DATOS[[#This Row],[Precio US$]]/BASE_DATOS[[#This Row],[Horas Rodadas]],"")</f>
        <v/>
      </c>
      <c r="AK268" s="365" t="str">
        <f>IFERROR(BASE_DATOS[[#This Row],[Horas Rodadas]]/(BASE_DATOS[[#This Row],[NSK Original]]-BASE_DATOS[[#This Row],[NSK]]),"")</f>
        <v/>
      </c>
      <c r="AL26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68" s="366" t="str">
        <f>IFERROR(BASE_DATOS[[#This Row],[Precio US$]]/BASE_DATOS[[#This Row],[Horas Proy.]],"")</f>
        <v/>
      </c>
      <c r="AN268" s="176" t="str">
        <f>IF(OR(BASE_DATOS[[#This Row],[Km.]]="",BASE_DATOS[[#This Row],[Km. Actual]]=""),"",BASE_DATOS[[#This Row],[Km. Actual]]-BASE_DATOS[[#This Row],[Km.]]+BASE_DATOS[[#This Row],[Kilómetros Acumulados]])</f>
        <v/>
      </c>
      <c r="AO268" s="177" t="str">
        <f>IFERROR(BASE_DATOS[[#This Row],[Precio US$]]/BASE_DATOS[[#This Row],[Kilómetros Rodados]],"")</f>
        <v/>
      </c>
      <c r="AP268" s="176" t="str">
        <f>IFERROR(BASE_DATOS[[#This Row],[Kilómetros Rodados]]/(BASE_DATOS[[#This Row],[NSK Original]]-BASE_DATOS[[#This Row],[NSK]]),"")</f>
        <v/>
      </c>
      <c r="AQ26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68" s="177" t="str">
        <f>IFERROR(BASE_DATOS[[#This Row],[Precio US$]]/BASE_DATOS[[#This Row],[Kilómetros Proy.]],"")</f>
        <v/>
      </c>
      <c r="AS268" s="167" t="s">
        <v>62</v>
      </c>
      <c r="AT268" s="167"/>
      <c r="AU268" s="167"/>
      <c r="AV268" s="167" t="s">
        <v>515</v>
      </c>
      <c r="AW268" s="179"/>
      <c r="AX268" s="179"/>
      <c r="AY268" s="179" t="str">
        <f>CONCATENATE(BASE_DATOS[[#This Row],[Código_U]]&amp;BASE_DATOS[[#This Row],[Pos.]]&amp;BASE_DATOS[[#This Row],[Situación Actual]])</f>
        <v>TC-1523Rodando</v>
      </c>
    </row>
    <row r="269" spans="1:51" ht="12" x14ac:dyDescent="0.25">
      <c r="A269" s="227" t="s">
        <v>165</v>
      </c>
      <c r="B269" s="217" t="s">
        <v>166</v>
      </c>
      <c r="C269" s="228" t="s">
        <v>296</v>
      </c>
      <c r="D269" s="229" t="s">
        <v>61</v>
      </c>
      <c r="E269" s="255"/>
      <c r="F269" s="256" t="s">
        <v>273</v>
      </c>
      <c r="G269" s="256" t="s">
        <v>271</v>
      </c>
      <c r="H269" s="257" t="str">
        <f>IF(BASE_DATOS[[#This Row],[N-R]]="N",BASE_DATOS[[#This Row],[Diseño]],"Reencauche")</f>
        <v>XMULTI2D</v>
      </c>
      <c r="I269" s="256" t="s">
        <v>299</v>
      </c>
      <c r="J269" s="243" t="s">
        <v>72</v>
      </c>
      <c r="K269" s="258">
        <v>21.4</v>
      </c>
      <c r="L269" s="241">
        <v>110</v>
      </c>
      <c r="M269" s="259"/>
      <c r="N269" s="260"/>
      <c r="O269" s="277"/>
      <c r="P269" s="278"/>
      <c r="Q269" s="279"/>
      <c r="R269" s="309" t="s">
        <v>101</v>
      </c>
      <c r="S269" s="310">
        <v>45385</v>
      </c>
      <c r="T269" s="311"/>
      <c r="U269" s="312"/>
      <c r="V269" s="227">
        <v>20</v>
      </c>
      <c r="W269" s="281"/>
      <c r="X269" s="282">
        <v>20</v>
      </c>
      <c r="Y269" s="293">
        <f t="shared" ref="Y269:Y318" si="12">IFERROR(MIN(V269:X269),"")</f>
        <v>20</v>
      </c>
      <c r="Z269" s="175" t="s">
        <v>85</v>
      </c>
      <c r="AA269" s="342">
        <f>IFERROR(BASE_DATOS[[#This Row],[NSK Original]]-BASE_DATOS[[#This Row],[NSK]]," ")</f>
        <v>1.3999999999999986</v>
      </c>
      <c r="AB269" s="343">
        <f>'NSK-TRACTO'!$A$2</f>
        <v>6</v>
      </c>
      <c r="AC269" s="343">
        <f>IF(BASE_DATOS[[#This Row],[NSK]]&gt;=BASE_DATOS[[#This Row],[NSK Reen]],BASE_DATOS[[#This Row],[NSK Reen]],BASE_DATOS[[#This Row],[NSK]])</f>
        <v>6</v>
      </c>
      <c r="AD269" s="344">
        <f>IFERROR(100%-(BASE_DATOS[[#This Row],[NSK Reen]]/BASE_DATOS[[#This Row],[NSK Original]]),"")</f>
        <v>0.71962616822429903</v>
      </c>
      <c r="AE269" s="344">
        <f>IFERROR(100%-BASE_DATOS[[#This Row],[NSK]]/BASE_DATOS[[#This Row],[NSK Original]],"")</f>
        <v>6.5420560747663448E-2</v>
      </c>
      <c r="AF269" s="344">
        <f>IFERROR(BASE_DATOS[[#This Row],[% Max Des.]]-BASE_DATOS[[#This Row],[% Des]],"")</f>
        <v>0.65420560747663559</v>
      </c>
      <c r="AG269" s="287"/>
      <c r="AH269" s="273"/>
      <c r="AI269" s="363" t="str">
        <f>IF(OR(BASE_DATOS[[#This Row],[Hr.]]="",BASE_DATOS[[#This Row],[Hr. Actual]]=""),"",BASE_DATOS[[#This Row],[Hr. Actual]]-BASE_DATOS[[#This Row],[Hr.]]+BASE_DATOS[[#This Row],[Horas Acumuladas]])</f>
        <v/>
      </c>
      <c r="AJ269" s="364" t="str">
        <f>IFERROR(BASE_DATOS[[#This Row],[Precio US$]]/BASE_DATOS[[#This Row],[Horas Rodadas]],"")</f>
        <v/>
      </c>
      <c r="AK269" s="365" t="str">
        <f>IFERROR(BASE_DATOS[[#This Row],[Horas Rodadas]]/(BASE_DATOS[[#This Row],[NSK Original]]-BASE_DATOS[[#This Row],[NSK]]),"")</f>
        <v/>
      </c>
      <c r="AL26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69" s="366" t="str">
        <f>IFERROR(BASE_DATOS[[#This Row],[Precio US$]]/BASE_DATOS[[#This Row],[Horas Proy.]],"")</f>
        <v/>
      </c>
      <c r="AN269" s="176" t="str">
        <f>IF(OR(BASE_DATOS[[#This Row],[Km.]]="",BASE_DATOS[[#This Row],[Km. Actual]]=""),"",BASE_DATOS[[#This Row],[Km. Actual]]-BASE_DATOS[[#This Row],[Km.]]+BASE_DATOS[[#This Row],[Kilómetros Acumulados]])</f>
        <v/>
      </c>
      <c r="AO269" s="177" t="str">
        <f>IFERROR(BASE_DATOS[[#This Row],[Precio US$]]/BASE_DATOS[[#This Row],[Kilómetros Rodados]],"")</f>
        <v/>
      </c>
      <c r="AP269" s="176" t="str">
        <f>IFERROR(BASE_DATOS[[#This Row],[Kilómetros Rodados]]/(BASE_DATOS[[#This Row],[NSK Original]]-BASE_DATOS[[#This Row],[NSK]]),"")</f>
        <v/>
      </c>
      <c r="AQ26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69" s="177" t="str">
        <f>IFERROR(BASE_DATOS[[#This Row],[Precio US$]]/BASE_DATOS[[#This Row],[Kilómetros Proy.]],"")</f>
        <v/>
      </c>
      <c r="AS269" s="167" t="s">
        <v>62</v>
      </c>
      <c r="AT269" s="167"/>
      <c r="AU269" s="167"/>
      <c r="AV269" s="167" t="s">
        <v>515</v>
      </c>
      <c r="AW269" s="179"/>
      <c r="AX269" s="179"/>
      <c r="AY269" s="179" t="str">
        <f>CONCATENATE(BASE_DATOS[[#This Row],[Código_U]]&amp;BASE_DATOS[[#This Row],[Pos.]]&amp;BASE_DATOS[[#This Row],[Situación Actual]])</f>
        <v>TC-1524Rodando</v>
      </c>
    </row>
    <row r="270" spans="1:51" ht="12" x14ac:dyDescent="0.25">
      <c r="A270" s="227" t="s">
        <v>165</v>
      </c>
      <c r="B270" s="217" t="s">
        <v>166</v>
      </c>
      <c r="C270" s="228" t="s">
        <v>296</v>
      </c>
      <c r="D270" s="229" t="s">
        <v>61</v>
      </c>
      <c r="E270" s="255"/>
      <c r="F270" s="256" t="s">
        <v>273</v>
      </c>
      <c r="G270" s="256" t="s">
        <v>271</v>
      </c>
      <c r="H270" s="257" t="str">
        <f>IF(BASE_DATOS[[#This Row],[N-R]]="N",BASE_DATOS[[#This Row],[Diseño]],"Reencauche")</f>
        <v>XMULTI2D</v>
      </c>
      <c r="I270" s="256" t="s">
        <v>299</v>
      </c>
      <c r="J270" s="243" t="s">
        <v>72</v>
      </c>
      <c r="K270" s="258">
        <v>21.4</v>
      </c>
      <c r="L270" s="241">
        <v>110</v>
      </c>
      <c r="M270" s="259"/>
      <c r="N270" s="260"/>
      <c r="O270" s="277"/>
      <c r="P270" s="278"/>
      <c r="Q270" s="279"/>
      <c r="R270" s="309" t="s">
        <v>102</v>
      </c>
      <c r="S270" s="310">
        <v>45385</v>
      </c>
      <c r="T270" s="311"/>
      <c r="U270" s="312"/>
      <c r="V270" s="227">
        <v>20</v>
      </c>
      <c r="W270" s="281"/>
      <c r="X270" s="282">
        <v>20</v>
      </c>
      <c r="Y270" s="293">
        <f t="shared" si="12"/>
        <v>20</v>
      </c>
      <c r="Z270" s="175" t="s">
        <v>85</v>
      </c>
      <c r="AA270" s="342">
        <f>IFERROR(BASE_DATOS[[#This Row],[NSK Original]]-BASE_DATOS[[#This Row],[NSK]]," ")</f>
        <v>1.3999999999999986</v>
      </c>
      <c r="AB270" s="343">
        <f>'NSK-TRACTO'!$A$2</f>
        <v>6</v>
      </c>
      <c r="AC270" s="343">
        <f>IF(BASE_DATOS[[#This Row],[NSK]]&gt;=BASE_DATOS[[#This Row],[NSK Reen]],BASE_DATOS[[#This Row],[NSK Reen]],BASE_DATOS[[#This Row],[NSK]])</f>
        <v>6</v>
      </c>
      <c r="AD270" s="344">
        <f>IFERROR(100%-(BASE_DATOS[[#This Row],[NSK Reen]]/BASE_DATOS[[#This Row],[NSK Original]]),"")</f>
        <v>0.71962616822429903</v>
      </c>
      <c r="AE270" s="344">
        <f>IFERROR(100%-BASE_DATOS[[#This Row],[NSK]]/BASE_DATOS[[#This Row],[NSK Original]],"")</f>
        <v>6.5420560747663448E-2</v>
      </c>
      <c r="AF270" s="344">
        <f>IFERROR(BASE_DATOS[[#This Row],[% Max Des.]]-BASE_DATOS[[#This Row],[% Des]],"")</f>
        <v>0.65420560747663559</v>
      </c>
      <c r="AG270" s="287"/>
      <c r="AH270" s="273"/>
      <c r="AI270" s="363" t="str">
        <f>IF(OR(BASE_DATOS[[#This Row],[Hr.]]="",BASE_DATOS[[#This Row],[Hr. Actual]]=""),"",BASE_DATOS[[#This Row],[Hr. Actual]]-BASE_DATOS[[#This Row],[Hr.]]+BASE_DATOS[[#This Row],[Horas Acumuladas]])</f>
        <v/>
      </c>
      <c r="AJ270" s="364" t="str">
        <f>IFERROR(BASE_DATOS[[#This Row],[Precio US$]]/BASE_DATOS[[#This Row],[Horas Rodadas]],"")</f>
        <v/>
      </c>
      <c r="AK270" s="365" t="str">
        <f>IFERROR(BASE_DATOS[[#This Row],[Horas Rodadas]]/(BASE_DATOS[[#This Row],[NSK Original]]-BASE_DATOS[[#This Row],[NSK]]),"")</f>
        <v/>
      </c>
      <c r="AL27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70" s="366" t="str">
        <f>IFERROR(BASE_DATOS[[#This Row],[Precio US$]]/BASE_DATOS[[#This Row],[Horas Proy.]],"")</f>
        <v/>
      </c>
      <c r="AN270" s="176" t="str">
        <f>IF(OR(BASE_DATOS[[#This Row],[Km.]]="",BASE_DATOS[[#This Row],[Km. Actual]]=""),"",BASE_DATOS[[#This Row],[Km. Actual]]-BASE_DATOS[[#This Row],[Km.]]+BASE_DATOS[[#This Row],[Kilómetros Acumulados]])</f>
        <v/>
      </c>
      <c r="AO270" s="177" t="str">
        <f>IFERROR(BASE_DATOS[[#This Row],[Precio US$]]/BASE_DATOS[[#This Row],[Kilómetros Rodados]],"")</f>
        <v/>
      </c>
      <c r="AP270" s="176" t="str">
        <f>IFERROR(BASE_DATOS[[#This Row],[Kilómetros Rodados]]/(BASE_DATOS[[#This Row],[NSK Original]]-BASE_DATOS[[#This Row],[NSK]]),"")</f>
        <v/>
      </c>
      <c r="AQ27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70" s="177" t="str">
        <f>IFERROR(BASE_DATOS[[#This Row],[Precio US$]]/BASE_DATOS[[#This Row],[Kilómetros Proy.]],"")</f>
        <v/>
      </c>
      <c r="AS270" s="167" t="s">
        <v>62</v>
      </c>
      <c r="AT270" s="167"/>
      <c r="AU270" s="167"/>
      <c r="AV270" s="167" t="s">
        <v>515</v>
      </c>
      <c r="AW270" s="179"/>
      <c r="AX270" s="179"/>
      <c r="AY270" s="179" t="str">
        <f>CONCATENATE(BASE_DATOS[[#This Row],[Código_U]]&amp;BASE_DATOS[[#This Row],[Pos.]]&amp;BASE_DATOS[[#This Row],[Situación Actual]])</f>
        <v>TC-1525Rodando</v>
      </c>
    </row>
    <row r="271" spans="1:51" ht="12" x14ac:dyDescent="0.25">
      <c r="A271" s="227" t="s">
        <v>165</v>
      </c>
      <c r="B271" s="217" t="s">
        <v>166</v>
      </c>
      <c r="C271" s="228" t="s">
        <v>296</v>
      </c>
      <c r="D271" s="229" t="s">
        <v>61</v>
      </c>
      <c r="E271" s="255"/>
      <c r="F271" s="256" t="s">
        <v>273</v>
      </c>
      <c r="G271" s="256" t="s">
        <v>271</v>
      </c>
      <c r="H271" s="257" t="str">
        <f>IF(BASE_DATOS[[#This Row],[N-R]]="N",BASE_DATOS[[#This Row],[Diseño]],"Reencauche")</f>
        <v>XMULTI2D</v>
      </c>
      <c r="I271" s="256" t="s">
        <v>299</v>
      </c>
      <c r="J271" s="243" t="s">
        <v>72</v>
      </c>
      <c r="K271" s="258">
        <v>21.4</v>
      </c>
      <c r="L271" s="241">
        <v>110</v>
      </c>
      <c r="M271" s="259"/>
      <c r="N271" s="260"/>
      <c r="O271" s="277"/>
      <c r="P271" s="278"/>
      <c r="Q271" s="279"/>
      <c r="R271" s="309" t="s">
        <v>103</v>
      </c>
      <c r="S271" s="310">
        <v>45385</v>
      </c>
      <c r="T271" s="311"/>
      <c r="U271" s="312"/>
      <c r="V271" s="227">
        <v>20</v>
      </c>
      <c r="W271" s="281"/>
      <c r="X271" s="282">
        <v>20</v>
      </c>
      <c r="Y271" s="293">
        <f t="shared" si="12"/>
        <v>20</v>
      </c>
      <c r="Z271" s="175" t="s">
        <v>85</v>
      </c>
      <c r="AA271" s="342">
        <f>IFERROR(BASE_DATOS[[#This Row],[NSK Original]]-BASE_DATOS[[#This Row],[NSK]]," ")</f>
        <v>1.3999999999999986</v>
      </c>
      <c r="AB271" s="343">
        <f>'NSK-TRACTO'!$A$2</f>
        <v>6</v>
      </c>
      <c r="AC271" s="343">
        <f>IF(BASE_DATOS[[#This Row],[NSK]]&gt;=BASE_DATOS[[#This Row],[NSK Reen]],BASE_DATOS[[#This Row],[NSK Reen]],BASE_DATOS[[#This Row],[NSK]])</f>
        <v>6</v>
      </c>
      <c r="AD271" s="344">
        <f>IFERROR(100%-(BASE_DATOS[[#This Row],[NSK Reen]]/BASE_DATOS[[#This Row],[NSK Original]]),"")</f>
        <v>0.71962616822429903</v>
      </c>
      <c r="AE271" s="344">
        <f>IFERROR(100%-BASE_DATOS[[#This Row],[NSK]]/BASE_DATOS[[#This Row],[NSK Original]],"")</f>
        <v>6.5420560747663448E-2</v>
      </c>
      <c r="AF271" s="344">
        <f>IFERROR(BASE_DATOS[[#This Row],[% Max Des.]]-BASE_DATOS[[#This Row],[% Des]],"")</f>
        <v>0.65420560747663559</v>
      </c>
      <c r="AG271" s="287"/>
      <c r="AH271" s="273"/>
      <c r="AI271" s="363" t="str">
        <f>IF(OR(BASE_DATOS[[#This Row],[Hr.]]="",BASE_DATOS[[#This Row],[Hr. Actual]]=""),"",BASE_DATOS[[#This Row],[Hr. Actual]]-BASE_DATOS[[#This Row],[Hr.]]+BASE_DATOS[[#This Row],[Horas Acumuladas]])</f>
        <v/>
      </c>
      <c r="AJ271" s="364" t="str">
        <f>IFERROR(BASE_DATOS[[#This Row],[Precio US$]]/BASE_DATOS[[#This Row],[Horas Rodadas]],"")</f>
        <v/>
      </c>
      <c r="AK271" s="365" t="str">
        <f>IFERROR(BASE_DATOS[[#This Row],[Horas Rodadas]]/(BASE_DATOS[[#This Row],[NSK Original]]-BASE_DATOS[[#This Row],[NSK]]),"")</f>
        <v/>
      </c>
      <c r="AL27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71" s="366" t="str">
        <f>IFERROR(BASE_DATOS[[#This Row],[Precio US$]]/BASE_DATOS[[#This Row],[Horas Proy.]],"")</f>
        <v/>
      </c>
      <c r="AN271" s="176" t="str">
        <f>IF(OR(BASE_DATOS[[#This Row],[Km.]]="",BASE_DATOS[[#This Row],[Km. Actual]]=""),"",BASE_DATOS[[#This Row],[Km. Actual]]-BASE_DATOS[[#This Row],[Km.]]+BASE_DATOS[[#This Row],[Kilómetros Acumulados]])</f>
        <v/>
      </c>
      <c r="AO271" s="177" t="str">
        <f>IFERROR(BASE_DATOS[[#This Row],[Precio US$]]/BASE_DATOS[[#This Row],[Kilómetros Rodados]],"")</f>
        <v/>
      </c>
      <c r="AP271" s="176" t="str">
        <f>IFERROR(BASE_DATOS[[#This Row],[Kilómetros Rodados]]/(BASE_DATOS[[#This Row],[NSK Original]]-BASE_DATOS[[#This Row],[NSK]]),"")</f>
        <v/>
      </c>
      <c r="AQ27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71" s="177" t="str">
        <f>IFERROR(BASE_DATOS[[#This Row],[Precio US$]]/BASE_DATOS[[#This Row],[Kilómetros Proy.]],"")</f>
        <v/>
      </c>
      <c r="AS271" s="167" t="s">
        <v>62</v>
      </c>
      <c r="AT271" s="167"/>
      <c r="AU271" s="167"/>
      <c r="AV271" s="167" t="s">
        <v>515</v>
      </c>
      <c r="AW271" s="179"/>
      <c r="AX271" s="179"/>
      <c r="AY271" s="179" t="str">
        <f>CONCATENATE(BASE_DATOS[[#This Row],[Código_U]]&amp;BASE_DATOS[[#This Row],[Pos.]]&amp;BASE_DATOS[[#This Row],[Situación Actual]])</f>
        <v>TC-1526Rodando</v>
      </c>
    </row>
    <row r="272" spans="1:51" ht="12" x14ac:dyDescent="0.25">
      <c r="A272" s="227" t="s">
        <v>165</v>
      </c>
      <c r="B272" s="217" t="s">
        <v>166</v>
      </c>
      <c r="C272" s="228" t="s">
        <v>296</v>
      </c>
      <c r="D272" s="229" t="s">
        <v>61</v>
      </c>
      <c r="E272" s="255" t="s">
        <v>319</v>
      </c>
      <c r="F272" s="256" t="s">
        <v>71</v>
      </c>
      <c r="G272" s="256" t="s">
        <v>271</v>
      </c>
      <c r="H272" s="257" t="str">
        <f>IF(BASE_DATOS[[#This Row],[N-R]]="N",BASE_DATOS[[#This Row],[Diseño]],"Reencauche")</f>
        <v>KMAX EXTREME</v>
      </c>
      <c r="I272" s="256" t="s">
        <v>272</v>
      </c>
      <c r="J272" s="243" t="s">
        <v>72</v>
      </c>
      <c r="K272" s="258">
        <v>17.5</v>
      </c>
      <c r="L272" s="241">
        <v>110</v>
      </c>
      <c r="M272" s="259"/>
      <c r="N272" s="260"/>
      <c r="O272" s="277"/>
      <c r="P272" s="278"/>
      <c r="Q272" s="279"/>
      <c r="R272" s="309" t="s">
        <v>104</v>
      </c>
      <c r="S272" s="310">
        <v>45385</v>
      </c>
      <c r="T272" s="311"/>
      <c r="U272" s="312"/>
      <c r="V272" s="227">
        <v>10</v>
      </c>
      <c r="W272" s="281">
        <v>9</v>
      </c>
      <c r="X272" s="282">
        <v>10</v>
      </c>
      <c r="Y272" s="293">
        <f t="shared" si="12"/>
        <v>9</v>
      </c>
      <c r="Z272" s="175" t="s">
        <v>85</v>
      </c>
      <c r="AA272" s="342">
        <f>IFERROR(BASE_DATOS[[#This Row],[NSK Original]]-BASE_DATOS[[#This Row],[NSK]]," ")</f>
        <v>8.5</v>
      </c>
      <c r="AB272" s="343">
        <f>'NSK-TRACTO'!$A$2</f>
        <v>6</v>
      </c>
      <c r="AC272" s="343">
        <f>IF(BASE_DATOS[[#This Row],[NSK]]&gt;=BASE_DATOS[[#This Row],[NSK Reen]],BASE_DATOS[[#This Row],[NSK Reen]],BASE_DATOS[[#This Row],[NSK]])</f>
        <v>6</v>
      </c>
      <c r="AD272" s="344">
        <f>IFERROR(100%-(BASE_DATOS[[#This Row],[NSK Reen]]/BASE_DATOS[[#This Row],[NSK Original]]),"")</f>
        <v>0.65714285714285714</v>
      </c>
      <c r="AE272" s="344">
        <f>IFERROR(100%-BASE_DATOS[[#This Row],[NSK]]/BASE_DATOS[[#This Row],[NSK Original]],"")</f>
        <v>0.48571428571428577</v>
      </c>
      <c r="AF272" s="344">
        <f>IFERROR(BASE_DATOS[[#This Row],[% Max Des.]]-BASE_DATOS[[#This Row],[% Des]],"")</f>
        <v>0.17142857142857137</v>
      </c>
      <c r="AG272" s="287"/>
      <c r="AH272" s="273"/>
      <c r="AI272" s="363" t="str">
        <f>IF(OR(BASE_DATOS[[#This Row],[Hr.]]="",BASE_DATOS[[#This Row],[Hr. Actual]]=""),"",BASE_DATOS[[#This Row],[Hr. Actual]]-BASE_DATOS[[#This Row],[Hr.]]+BASE_DATOS[[#This Row],[Horas Acumuladas]])</f>
        <v/>
      </c>
      <c r="AJ272" s="364" t="str">
        <f>IFERROR(BASE_DATOS[[#This Row],[Precio US$]]/BASE_DATOS[[#This Row],[Horas Rodadas]],"")</f>
        <v/>
      </c>
      <c r="AK272" s="365" t="str">
        <f>IFERROR(BASE_DATOS[[#This Row],[Horas Rodadas]]/(BASE_DATOS[[#This Row],[NSK Original]]-BASE_DATOS[[#This Row],[NSK]]),"")</f>
        <v/>
      </c>
      <c r="AL27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72" s="366" t="str">
        <f>IFERROR(BASE_DATOS[[#This Row],[Precio US$]]/BASE_DATOS[[#This Row],[Horas Proy.]],"")</f>
        <v/>
      </c>
      <c r="AN272" s="176" t="str">
        <f>IF(OR(BASE_DATOS[[#This Row],[Km.]]="",BASE_DATOS[[#This Row],[Km. Actual]]=""),"",BASE_DATOS[[#This Row],[Km. Actual]]-BASE_DATOS[[#This Row],[Km.]]+BASE_DATOS[[#This Row],[Kilómetros Acumulados]])</f>
        <v/>
      </c>
      <c r="AO272" s="177" t="str">
        <f>IFERROR(BASE_DATOS[[#This Row],[Precio US$]]/BASE_DATOS[[#This Row],[Kilómetros Rodados]],"")</f>
        <v/>
      </c>
      <c r="AP272" s="176" t="str">
        <f>IFERROR(BASE_DATOS[[#This Row],[Kilómetros Rodados]]/(BASE_DATOS[[#This Row],[NSK Original]]-BASE_DATOS[[#This Row],[NSK]]),"")</f>
        <v/>
      </c>
      <c r="AQ27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72" s="177" t="str">
        <f>IFERROR(BASE_DATOS[[#This Row],[Precio US$]]/BASE_DATOS[[#This Row],[Kilómetros Proy.]],"")</f>
        <v/>
      </c>
      <c r="AS272" s="167" t="s">
        <v>62</v>
      </c>
      <c r="AT272" s="167"/>
      <c r="AU272" s="167"/>
      <c r="AV272" s="167" t="s">
        <v>515</v>
      </c>
      <c r="AW272" s="179"/>
      <c r="AX272" s="179"/>
      <c r="AY272" s="179" t="str">
        <f>CONCATENATE(BASE_DATOS[[#This Row],[Código_U]]&amp;BASE_DATOS[[#This Row],[Pos.]]&amp;BASE_DATOS[[#This Row],[Situación Actual]])</f>
        <v>TC-1527Rodando</v>
      </c>
    </row>
    <row r="273" spans="1:51" ht="12" x14ac:dyDescent="0.25">
      <c r="A273" s="227" t="s">
        <v>165</v>
      </c>
      <c r="B273" s="217" t="s">
        <v>166</v>
      </c>
      <c r="C273" s="228" t="s">
        <v>296</v>
      </c>
      <c r="D273" s="229" t="s">
        <v>61</v>
      </c>
      <c r="E273" s="255"/>
      <c r="F273" s="256" t="s">
        <v>71</v>
      </c>
      <c r="G273" s="256" t="s">
        <v>271</v>
      </c>
      <c r="H273" s="257" t="str">
        <f>IF(BASE_DATOS[[#This Row],[N-R]]="N",BASE_DATOS[[#This Row],[Diseño]],"Reencauche")</f>
        <v>KMAX EXTREME</v>
      </c>
      <c r="I273" s="256" t="s">
        <v>272</v>
      </c>
      <c r="J273" s="243" t="s">
        <v>72</v>
      </c>
      <c r="K273" s="258">
        <v>17.5</v>
      </c>
      <c r="L273" s="241">
        <v>110</v>
      </c>
      <c r="M273" s="259"/>
      <c r="N273" s="260"/>
      <c r="O273" s="277"/>
      <c r="P273" s="278"/>
      <c r="Q273" s="279"/>
      <c r="R273" s="309" t="s">
        <v>105</v>
      </c>
      <c r="S273" s="310">
        <v>45385</v>
      </c>
      <c r="T273" s="311"/>
      <c r="U273" s="312"/>
      <c r="V273" s="227">
        <v>10</v>
      </c>
      <c r="W273" s="281">
        <v>9</v>
      </c>
      <c r="X273" s="282">
        <v>9</v>
      </c>
      <c r="Y273" s="293">
        <f t="shared" si="12"/>
        <v>9</v>
      </c>
      <c r="Z273" s="175" t="s">
        <v>85</v>
      </c>
      <c r="AA273" s="342">
        <f>IFERROR(BASE_DATOS[[#This Row],[NSK Original]]-BASE_DATOS[[#This Row],[NSK]]," ")</f>
        <v>8.5</v>
      </c>
      <c r="AB273" s="343">
        <f>'NSK-TRACTO'!$A$2</f>
        <v>6</v>
      </c>
      <c r="AC273" s="343">
        <f>IF(BASE_DATOS[[#This Row],[NSK]]&gt;=BASE_DATOS[[#This Row],[NSK Reen]],BASE_DATOS[[#This Row],[NSK Reen]],BASE_DATOS[[#This Row],[NSK]])</f>
        <v>6</v>
      </c>
      <c r="AD273" s="344">
        <f>IFERROR(100%-(BASE_DATOS[[#This Row],[NSK Reen]]/BASE_DATOS[[#This Row],[NSK Original]]),"")</f>
        <v>0.65714285714285714</v>
      </c>
      <c r="AE273" s="344">
        <f>IFERROR(100%-BASE_DATOS[[#This Row],[NSK]]/BASE_DATOS[[#This Row],[NSK Original]],"")</f>
        <v>0.48571428571428577</v>
      </c>
      <c r="AF273" s="344">
        <f>IFERROR(BASE_DATOS[[#This Row],[% Max Des.]]-BASE_DATOS[[#This Row],[% Des]],"")</f>
        <v>0.17142857142857137</v>
      </c>
      <c r="AG273" s="287"/>
      <c r="AH273" s="273"/>
      <c r="AI273" s="363" t="str">
        <f>IF(OR(BASE_DATOS[[#This Row],[Hr.]]="",BASE_DATOS[[#This Row],[Hr. Actual]]=""),"",BASE_DATOS[[#This Row],[Hr. Actual]]-BASE_DATOS[[#This Row],[Hr.]]+BASE_DATOS[[#This Row],[Horas Acumuladas]])</f>
        <v/>
      </c>
      <c r="AJ273" s="364" t="str">
        <f>IFERROR(BASE_DATOS[[#This Row],[Precio US$]]/BASE_DATOS[[#This Row],[Horas Rodadas]],"")</f>
        <v/>
      </c>
      <c r="AK273" s="365" t="str">
        <f>IFERROR(BASE_DATOS[[#This Row],[Horas Rodadas]]/(BASE_DATOS[[#This Row],[NSK Original]]-BASE_DATOS[[#This Row],[NSK]]),"")</f>
        <v/>
      </c>
      <c r="AL27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73" s="366" t="str">
        <f>IFERROR(BASE_DATOS[[#This Row],[Precio US$]]/BASE_DATOS[[#This Row],[Horas Proy.]],"")</f>
        <v/>
      </c>
      <c r="AN273" s="176" t="str">
        <f>IF(OR(BASE_DATOS[[#This Row],[Km.]]="",BASE_DATOS[[#This Row],[Km. Actual]]=""),"",BASE_DATOS[[#This Row],[Km. Actual]]-BASE_DATOS[[#This Row],[Km.]]+BASE_DATOS[[#This Row],[Kilómetros Acumulados]])</f>
        <v/>
      </c>
      <c r="AO273" s="177" t="str">
        <f>IFERROR(BASE_DATOS[[#This Row],[Precio US$]]/BASE_DATOS[[#This Row],[Kilómetros Rodados]],"")</f>
        <v/>
      </c>
      <c r="AP273" s="176" t="str">
        <f>IFERROR(BASE_DATOS[[#This Row],[Kilómetros Rodados]]/(BASE_DATOS[[#This Row],[NSK Original]]-BASE_DATOS[[#This Row],[NSK]]),"")</f>
        <v/>
      </c>
      <c r="AQ27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73" s="177" t="str">
        <f>IFERROR(BASE_DATOS[[#This Row],[Precio US$]]/BASE_DATOS[[#This Row],[Kilómetros Proy.]],"")</f>
        <v/>
      </c>
      <c r="AS273" s="167" t="s">
        <v>62</v>
      </c>
      <c r="AT273" s="167"/>
      <c r="AU273" s="167"/>
      <c r="AV273" s="167" t="s">
        <v>515</v>
      </c>
      <c r="AW273" s="179"/>
      <c r="AX273" s="179"/>
      <c r="AY273" s="179" t="str">
        <f>CONCATENATE(BASE_DATOS[[#This Row],[Código_U]]&amp;BASE_DATOS[[#This Row],[Pos.]]&amp;BASE_DATOS[[#This Row],[Situación Actual]])</f>
        <v>TC-1528Rodando</v>
      </c>
    </row>
    <row r="274" spans="1:51" ht="12" x14ac:dyDescent="0.25">
      <c r="A274" s="227" t="s">
        <v>165</v>
      </c>
      <c r="B274" s="217" t="s">
        <v>166</v>
      </c>
      <c r="C274" s="228" t="s">
        <v>296</v>
      </c>
      <c r="D274" s="229" t="s">
        <v>61</v>
      </c>
      <c r="E274" s="255"/>
      <c r="F274" s="256" t="s">
        <v>71</v>
      </c>
      <c r="G274" s="256" t="s">
        <v>271</v>
      </c>
      <c r="H274" s="257" t="str">
        <f>IF(BASE_DATOS[[#This Row],[N-R]]="N",BASE_DATOS[[#This Row],[Diseño]],"Reencauche")</f>
        <v>KMAX EXTREME</v>
      </c>
      <c r="I274" s="256" t="s">
        <v>272</v>
      </c>
      <c r="J274" s="243" t="s">
        <v>72</v>
      </c>
      <c r="K274" s="258">
        <v>17.5</v>
      </c>
      <c r="L274" s="241">
        <v>110</v>
      </c>
      <c r="M274" s="259"/>
      <c r="N274" s="260"/>
      <c r="O274" s="277"/>
      <c r="P274" s="278"/>
      <c r="Q274" s="279"/>
      <c r="R274" s="309" t="s">
        <v>106</v>
      </c>
      <c r="S274" s="310">
        <v>45385</v>
      </c>
      <c r="T274" s="311"/>
      <c r="U274" s="312"/>
      <c r="V274" s="227">
        <v>11</v>
      </c>
      <c r="W274" s="281">
        <v>11</v>
      </c>
      <c r="X274" s="282">
        <v>10</v>
      </c>
      <c r="Y274" s="293">
        <f t="shared" si="12"/>
        <v>10</v>
      </c>
      <c r="Z274" s="175" t="s">
        <v>85</v>
      </c>
      <c r="AA274" s="342">
        <f>IFERROR(BASE_DATOS[[#This Row],[NSK Original]]-BASE_DATOS[[#This Row],[NSK]]," ")</f>
        <v>7.5</v>
      </c>
      <c r="AB274" s="343">
        <f>'NSK-TRACTO'!$A$2</f>
        <v>6</v>
      </c>
      <c r="AC274" s="343">
        <f>IF(BASE_DATOS[[#This Row],[NSK]]&gt;=BASE_DATOS[[#This Row],[NSK Reen]],BASE_DATOS[[#This Row],[NSK Reen]],BASE_DATOS[[#This Row],[NSK]])</f>
        <v>6</v>
      </c>
      <c r="AD274" s="344">
        <f>IFERROR(100%-(BASE_DATOS[[#This Row],[NSK Reen]]/BASE_DATOS[[#This Row],[NSK Original]]),"")</f>
        <v>0.65714285714285714</v>
      </c>
      <c r="AE274" s="344">
        <f>IFERROR(100%-BASE_DATOS[[#This Row],[NSK]]/BASE_DATOS[[#This Row],[NSK Original]],"")</f>
        <v>0.4285714285714286</v>
      </c>
      <c r="AF274" s="344">
        <f>IFERROR(BASE_DATOS[[#This Row],[% Max Des.]]-BASE_DATOS[[#This Row],[% Des]],"")</f>
        <v>0.22857142857142854</v>
      </c>
      <c r="AG274" s="287"/>
      <c r="AH274" s="273"/>
      <c r="AI274" s="363" t="str">
        <f>IF(OR(BASE_DATOS[[#This Row],[Hr.]]="",BASE_DATOS[[#This Row],[Hr. Actual]]=""),"",BASE_DATOS[[#This Row],[Hr. Actual]]-BASE_DATOS[[#This Row],[Hr.]]+BASE_DATOS[[#This Row],[Horas Acumuladas]])</f>
        <v/>
      </c>
      <c r="AJ274" s="364" t="str">
        <f>IFERROR(BASE_DATOS[[#This Row],[Precio US$]]/BASE_DATOS[[#This Row],[Horas Rodadas]],"")</f>
        <v/>
      </c>
      <c r="AK274" s="365" t="str">
        <f>IFERROR(BASE_DATOS[[#This Row],[Horas Rodadas]]/(BASE_DATOS[[#This Row],[NSK Original]]-BASE_DATOS[[#This Row],[NSK]]),"")</f>
        <v/>
      </c>
      <c r="AL27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74" s="366" t="str">
        <f>IFERROR(BASE_DATOS[[#This Row],[Precio US$]]/BASE_DATOS[[#This Row],[Horas Proy.]],"")</f>
        <v/>
      </c>
      <c r="AN274" s="176" t="str">
        <f>IF(OR(BASE_DATOS[[#This Row],[Km.]]="",BASE_DATOS[[#This Row],[Km. Actual]]=""),"",BASE_DATOS[[#This Row],[Km. Actual]]-BASE_DATOS[[#This Row],[Km.]]+BASE_DATOS[[#This Row],[Kilómetros Acumulados]])</f>
        <v/>
      </c>
      <c r="AO274" s="177" t="str">
        <f>IFERROR(BASE_DATOS[[#This Row],[Precio US$]]/BASE_DATOS[[#This Row],[Kilómetros Rodados]],"")</f>
        <v/>
      </c>
      <c r="AP274" s="176" t="str">
        <f>IFERROR(BASE_DATOS[[#This Row],[Kilómetros Rodados]]/(BASE_DATOS[[#This Row],[NSK Original]]-BASE_DATOS[[#This Row],[NSK]]),"")</f>
        <v/>
      </c>
      <c r="AQ27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74" s="177" t="str">
        <f>IFERROR(BASE_DATOS[[#This Row],[Precio US$]]/BASE_DATOS[[#This Row],[Kilómetros Proy.]],"")</f>
        <v/>
      </c>
      <c r="AS274" s="167" t="s">
        <v>62</v>
      </c>
      <c r="AT274" s="167"/>
      <c r="AU274" s="167"/>
      <c r="AV274" s="167" t="s">
        <v>515</v>
      </c>
      <c r="AW274" s="179"/>
      <c r="AX274" s="179"/>
      <c r="AY274" s="179" t="str">
        <f>CONCATENATE(BASE_DATOS[[#This Row],[Código_U]]&amp;BASE_DATOS[[#This Row],[Pos.]]&amp;BASE_DATOS[[#This Row],[Situación Actual]])</f>
        <v>TC-1529Rodando</v>
      </c>
    </row>
    <row r="275" spans="1:51" ht="12" x14ac:dyDescent="0.25">
      <c r="A275" s="227" t="s">
        <v>165</v>
      </c>
      <c r="B275" s="217" t="s">
        <v>166</v>
      </c>
      <c r="C275" s="228" t="s">
        <v>296</v>
      </c>
      <c r="D275" s="229" t="s">
        <v>61</v>
      </c>
      <c r="E275" s="255"/>
      <c r="F275" s="256" t="s">
        <v>71</v>
      </c>
      <c r="G275" s="256" t="s">
        <v>271</v>
      </c>
      <c r="H275" s="257" t="str">
        <f>IF(BASE_DATOS[[#This Row],[N-R]]="N",BASE_DATOS[[#This Row],[Diseño]],"Reencauche")</f>
        <v>KMAX EXTREME</v>
      </c>
      <c r="I275" s="256" t="s">
        <v>272</v>
      </c>
      <c r="J275" s="243" t="s">
        <v>72</v>
      </c>
      <c r="K275" s="258">
        <v>17.5</v>
      </c>
      <c r="L275" s="241">
        <v>110</v>
      </c>
      <c r="M275" s="259"/>
      <c r="N275" s="260"/>
      <c r="O275" s="277"/>
      <c r="P275" s="278"/>
      <c r="Q275" s="279"/>
      <c r="R275" s="309" t="s">
        <v>107</v>
      </c>
      <c r="S275" s="310">
        <v>45385</v>
      </c>
      <c r="T275" s="311"/>
      <c r="U275" s="312"/>
      <c r="V275" s="227">
        <v>11</v>
      </c>
      <c r="W275" s="281">
        <v>11</v>
      </c>
      <c r="X275" s="282">
        <v>10</v>
      </c>
      <c r="Y275" s="293">
        <f t="shared" si="12"/>
        <v>10</v>
      </c>
      <c r="Z275" s="175" t="s">
        <v>85</v>
      </c>
      <c r="AA275" s="342">
        <f>IFERROR(BASE_DATOS[[#This Row],[NSK Original]]-BASE_DATOS[[#This Row],[NSK]]," ")</f>
        <v>7.5</v>
      </c>
      <c r="AB275" s="343">
        <f>'NSK-TRACTO'!$A$2</f>
        <v>6</v>
      </c>
      <c r="AC275" s="343">
        <f>IF(BASE_DATOS[[#This Row],[NSK]]&gt;=BASE_DATOS[[#This Row],[NSK Reen]],BASE_DATOS[[#This Row],[NSK Reen]],BASE_DATOS[[#This Row],[NSK]])</f>
        <v>6</v>
      </c>
      <c r="AD275" s="344">
        <f>IFERROR(100%-(BASE_DATOS[[#This Row],[NSK Reen]]/BASE_DATOS[[#This Row],[NSK Original]]),"")</f>
        <v>0.65714285714285714</v>
      </c>
      <c r="AE275" s="344">
        <f>IFERROR(100%-BASE_DATOS[[#This Row],[NSK]]/BASE_DATOS[[#This Row],[NSK Original]],"")</f>
        <v>0.4285714285714286</v>
      </c>
      <c r="AF275" s="344">
        <f>IFERROR(BASE_DATOS[[#This Row],[% Max Des.]]-BASE_DATOS[[#This Row],[% Des]],"")</f>
        <v>0.22857142857142854</v>
      </c>
      <c r="AG275" s="287"/>
      <c r="AH275" s="273"/>
      <c r="AI275" s="363" t="str">
        <f>IF(OR(BASE_DATOS[[#This Row],[Hr.]]="",BASE_DATOS[[#This Row],[Hr. Actual]]=""),"",BASE_DATOS[[#This Row],[Hr. Actual]]-BASE_DATOS[[#This Row],[Hr.]]+BASE_DATOS[[#This Row],[Horas Acumuladas]])</f>
        <v/>
      </c>
      <c r="AJ275" s="364" t="str">
        <f>IFERROR(BASE_DATOS[[#This Row],[Precio US$]]/BASE_DATOS[[#This Row],[Horas Rodadas]],"")</f>
        <v/>
      </c>
      <c r="AK275" s="365" t="str">
        <f>IFERROR(BASE_DATOS[[#This Row],[Horas Rodadas]]/(BASE_DATOS[[#This Row],[NSK Original]]-BASE_DATOS[[#This Row],[NSK]]),"")</f>
        <v/>
      </c>
      <c r="AL27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75" s="366" t="str">
        <f>IFERROR(BASE_DATOS[[#This Row],[Precio US$]]/BASE_DATOS[[#This Row],[Horas Proy.]],"")</f>
        <v/>
      </c>
      <c r="AN275" s="176" t="str">
        <f>IF(OR(BASE_DATOS[[#This Row],[Km.]]="",BASE_DATOS[[#This Row],[Km. Actual]]=""),"",BASE_DATOS[[#This Row],[Km. Actual]]-BASE_DATOS[[#This Row],[Km.]]+BASE_DATOS[[#This Row],[Kilómetros Acumulados]])</f>
        <v/>
      </c>
      <c r="AO275" s="177" t="str">
        <f>IFERROR(BASE_DATOS[[#This Row],[Precio US$]]/BASE_DATOS[[#This Row],[Kilómetros Rodados]],"")</f>
        <v/>
      </c>
      <c r="AP275" s="176" t="str">
        <f>IFERROR(BASE_DATOS[[#This Row],[Kilómetros Rodados]]/(BASE_DATOS[[#This Row],[NSK Original]]-BASE_DATOS[[#This Row],[NSK]]),"")</f>
        <v/>
      </c>
      <c r="AQ27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75" s="177" t="str">
        <f>IFERROR(BASE_DATOS[[#This Row],[Precio US$]]/BASE_DATOS[[#This Row],[Kilómetros Proy.]],"")</f>
        <v/>
      </c>
      <c r="AS275" s="167" t="s">
        <v>62</v>
      </c>
      <c r="AT275" s="167"/>
      <c r="AU275" s="167"/>
      <c r="AV275" s="167" t="s">
        <v>515</v>
      </c>
      <c r="AW275" s="179"/>
      <c r="AX275" s="179"/>
      <c r="AY275" s="179" t="str">
        <f>CONCATENATE(BASE_DATOS[[#This Row],[Código_U]]&amp;BASE_DATOS[[#This Row],[Pos.]]&amp;BASE_DATOS[[#This Row],[Situación Actual]])</f>
        <v>TC-15210Rodando</v>
      </c>
    </row>
    <row r="276" spans="1:51" ht="12" x14ac:dyDescent="0.25">
      <c r="A276" s="224" t="s">
        <v>167</v>
      </c>
      <c r="B276" s="213" t="s">
        <v>168</v>
      </c>
      <c r="C276" s="225" t="s">
        <v>295</v>
      </c>
      <c r="D276" s="226" t="s">
        <v>87</v>
      </c>
      <c r="E276" s="249"/>
      <c r="F276" s="250" t="s">
        <v>97</v>
      </c>
      <c r="G276" s="250" t="s">
        <v>269</v>
      </c>
      <c r="H276" s="251" t="str">
        <f>IF(BASE_DATOS[[#This Row],[N-R]]="N",BASE_DATOS[[#This Row],[Diseño]],"Reencauche")</f>
        <v>AGC28</v>
      </c>
      <c r="I276" s="250" t="s">
        <v>270</v>
      </c>
      <c r="J276" s="235" t="s">
        <v>72</v>
      </c>
      <c r="K276" s="252">
        <v>16.5</v>
      </c>
      <c r="L276" s="250">
        <v>110</v>
      </c>
      <c r="M276" s="253"/>
      <c r="N276" s="254"/>
      <c r="O276" s="274"/>
      <c r="P276" s="275"/>
      <c r="Q276" s="276"/>
      <c r="R276" s="305" t="s">
        <v>98</v>
      </c>
      <c r="S276" s="306">
        <v>45384</v>
      </c>
      <c r="T276" s="314"/>
      <c r="U276" s="276"/>
      <c r="V276" s="224">
        <v>12</v>
      </c>
      <c r="W276" s="325">
        <v>12</v>
      </c>
      <c r="X276" s="326">
        <v>12</v>
      </c>
      <c r="Y276" s="292">
        <f t="shared" si="12"/>
        <v>12</v>
      </c>
      <c r="Z276" s="194" t="s">
        <v>85</v>
      </c>
      <c r="AA276" s="339">
        <f>IFERROR(BASE_DATOS[[#This Row],[NSK Original]]-BASE_DATOS[[#This Row],[NSK]]," ")</f>
        <v>4.5</v>
      </c>
      <c r="AB276" s="340">
        <f>'NSK-TRACTO'!$A$2</f>
        <v>6</v>
      </c>
      <c r="AC276" s="340">
        <f>IF(BASE_DATOS[[#This Row],[NSK]]&gt;=BASE_DATOS[[#This Row],[NSK Reen]],BASE_DATOS[[#This Row],[NSK Reen]],BASE_DATOS[[#This Row],[NSK]])</f>
        <v>6</v>
      </c>
      <c r="AD276" s="341">
        <f>IFERROR(100%-(BASE_DATOS[[#This Row],[NSK Reen]]/BASE_DATOS[[#This Row],[NSK Original]]),"")</f>
        <v>0.63636363636363635</v>
      </c>
      <c r="AE276" s="341">
        <f>IFERROR(100%-BASE_DATOS[[#This Row],[NSK]]/BASE_DATOS[[#This Row],[NSK Original]],"")</f>
        <v>0.27272727272727271</v>
      </c>
      <c r="AF276" s="341">
        <f>IFERROR(BASE_DATOS[[#This Row],[% Max Des.]]-BASE_DATOS[[#This Row],[% Des]],"")</f>
        <v>0.36363636363636365</v>
      </c>
      <c r="AG276" s="284"/>
      <c r="AH276" s="335"/>
      <c r="AI276" s="359" t="str">
        <f>IF(OR(BASE_DATOS[[#This Row],[Hr.]]="",BASE_DATOS[[#This Row],[Hr. Actual]]=""),"",BASE_DATOS[[#This Row],[Hr. Actual]]-BASE_DATOS[[#This Row],[Hr.]]+BASE_DATOS[[#This Row],[Horas Acumuladas]])</f>
        <v/>
      </c>
      <c r="AJ276" s="360" t="str">
        <f>IFERROR(BASE_DATOS[[#This Row],[Precio US$]]/BASE_DATOS[[#This Row],[Horas Rodadas]],"")</f>
        <v/>
      </c>
      <c r="AK276" s="361" t="str">
        <f>IFERROR(BASE_DATOS[[#This Row],[Horas Rodadas]]/(BASE_DATOS[[#This Row],[NSK Original]]-BASE_DATOS[[#This Row],[NSK]]),"")</f>
        <v/>
      </c>
      <c r="AL276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76" s="362" t="str">
        <f>IFERROR(BASE_DATOS[[#This Row],[Precio US$]]/BASE_DATOS[[#This Row],[Horas Proy.]],"")</f>
        <v/>
      </c>
      <c r="AN276" s="195" t="str">
        <f>IF(OR(BASE_DATOS[[#This Row],[Km.]]="",BASE_DATOS[[#This Row],[Km. Actual]]=""),"",BASE_DATOS[[#This Row],[Km. Actual]]-BASE_DATOS[[#This Row],[Km.]]+BASE_DATOS[[#This Row],[Kilómetros Acumulados]])</f>
        <v/>
      </c>
      <c r="AO276" s="196" t="str">
        <f>IFERROR(BASE_DATOS[[#This Row],[Precio US$]]/BASE_DATOS[[#This Row],[Kilómetros Rodados]],"")</f>
        <v/>
      </c>
      <c r="AP276" s="195" t="str">
        <f>IFERROR(BASE_DATOS[[#This Row],[Kilómetros Rodados]]/(BASE_DATOS[[#This Row],[NSK Original]]-BASE_DATOS[[#This Row],[NSK]]),"")</f>
        <v/>
      </c>
      <c r="AQ276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76" s="196" t="str">
        <f>IFERROR(BASE_DATOS[[#This Row],[Precio US$]]/BASE_DATOS[[#This Row],[Kilómetros Proy.]],"")</f>
        <v/>
      </c>
      <c r="AS276" s="191" t="s">
        <v>62</v>
      </c>
      <c r="AT276" s="191"/>
      <c r="AU276" s="191"/>
      <c r="AV276" s="191"/>
      <c r="AW276" s="198"/>
      <c r="AX276" s="198"/>
      <c r="AY276" s="198" t="str">
        <f>CONCATENATE(BASE_DATOS[[#This Row],[Código_U]]&amp;BASE_DATOS[[#This Row],[Pos.]]&amp;BASE_DATOS[[#This Row],[Situación Actual]])</f>
        <v>SR-1521Rodando</v>
      </c>
    </row>
    <row r="277" spans="1:51" ht="12" x14ac:dyDescent="0.25">
      <c r="A277" s="227" t="s">
        <v>167</v>
      </c>
      <c r="B277" s="217" t="s">
        <v>168</v>
      </c>
      <c r="C277" s="228" t="s">
        <v>295</v>
      </c>
      <c r="D277" s="229" t="s">
        <v>87</v>
      </c>
      <c r="E277" s="255"/>
      <c r="F277" s="256" t="s">
        <v>97</v>
      </c>
      <c r="G277" s="256" t="s">
        <v>269</v>
      </c>
      <c r="H277" s="257" t="str">
        <f>IF(BASE_DATOS[[#This Row],[N-R]]="N",BASE_DATOS[[#This Row],[Diseño]],"Reencauche")</f>
        <v>AGC28</v>
      </c>
      <c r="I277" s="256" t="s">
        <v>270</v>
      </c>
      <c r="J277" s="243" t="s">
        <v>72</v>
      </c>
      <c r="K277" s="258">
        <v>16.5</v>
      </c>
      <c r="L277" s="256">
        <v>110</v>
      </c>
      <c r="M277" s="259"/>
      <c r="N277" s="260"/>
      <c r="O277" s="277"/>
      <c r="P277" s="278"/>
      <c r="Q277" s="279"/>
      <c r="R277" s="309" t="s">
        <v>99</v>
      </c>
      <c r="S277" s="310">
        <v>45384</v>
      </c>
      <c r="T277" s="313"/>
      <c r="U277" s="279"/>
      <c r="V277" s="227">
        <v>13</v>
      </c>
      <c r="W277" s="281">
        <v>13</v>
      </c>
      <c r="X277" s="282">
        <v>13</v>
      </c>
      <c r="Y277" s="293">
        <f t="shared" si="12"/>
        <v>13</v>
      </c>
      <c r="Z277" s="175" t="s">
        <v>85</v>
      </c>
      <c r="AA277" s="342">
        <f>IFERROR(BASE_DATOS[[#This Row],[NSK Original]]-BASE_DATOS[[#This Row],[NSK]]," ")</f>
        <v>3.5</v>
      </c>
      <c r="AB277" s="343">
        <f>'NSK-TRACTO'!$A$2</f>
        <v>6</v>
      </c>
      <c r="AC277" s="343">
        <f>IF(BASE_DATOS[[#This Row],[NSK]]&gt;=BASE_DATOS[[#This Row],[NSK Reen]],BASE_DATOS[[#This Row],[NSK Reen]],BASE_DATOS[[#This Row],[NSK]])</f>
        <v>6</v>
      </c>
      <c r="AD277" s="344">
        <f>IFERROR(100%-(BASE_DATOS[[#This Row],[NSK Reen]]/BASE_DATOS[[#This Row],[NSK Original]]),"")</f>
        <v>0.63636363636363635</v>
      </c>
      <c r="AE277" s="344">
        <f>IFERROR(100%-BASE_DATOS[[#This Row],[NSK]]/BASE_DATOS[[#This Row],[NSK Original]],"")</f>
        <v>0.21212121212121215</v>
      </c>
      <c r="AF277" s="344">
        <f>IFERROR(BASE_DATOS[[#This Row],[% Max Des.]]-BASE_DATOS[[#This Row],[% Des]],"")</f>
        <v>0.4242424242424242</v>
      </c>
      <c r="AG277" s="287"/>
      <c r="AH277" s="273"/>
      <c r="AI277" s="363" t="str">
        <f>IF(OR(BASE_DATOS[[#This Row],[Hr.]]="",BASE_DATOS[[#This Row],[Hr. Actual]]=""),"",BASE_DATOS[[#This Row],[Hr. Actual]]-BASE_DATOS[[#This Row],[Hr.]]+BASE_DATOS[[#This Row],[Horas Acumuladas]])</f>
        <v/>
      </c>
      <c r="AJ277" s="364" t="str">
        <f>IFERROR(BASE_DATOS[[#This Row],[Precio US$]]/BASE_DATOS[[#This Row],[Horas Rodadas]],"")</f>
        <v/>
      </c>
      <c r="AK277" s="365" t="str">
        <f>IFERROR(BASE_DATOS[[#This Row],[Horas Rodadas]]/(BASE_DATOS[[#This Row],[NSK Original]]-BASE_DATOS[[#This Row],[NSK]]),"")</f>
        <v/>
      </c>
      <c r="AL27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77" s="366" t="str">
        <f>IFERROR(BASE_DATOS[[#This Row],[Precio US$]]/BASE_DATOS[[#This Row],[Horas Proy.]],"")</f>
        <v/>
      </c>
      <c r="AN277" s="176" t="str">
        <f>IF(OR(BASE_DATOS[[#This Row],[Km.]]="",BASE_DATOS[[#This Row],[Km. Actual]]=""),"",BASE_DATOS[[#This Row],[Km. Actual]]-BASE_DATOS[[#This Row],[Km.]]+BASE_DATOS[[#This Row],[Kilómetros Acumulados]])</f>
        <v/>
      </c>
      <c r="AO277" s="177" t="str">
        <f>IFERROR(BASE_DATOS[[#This Row],[Precio US$]]/BASE_DATOS[[#This Row],[Kilómetros Rodados]],"")</f>
        <v/>
      </c>
      <c r="AP277" s="176" t="str">
        <f>IFERROR(BASE_DATOS[[#This Row],[Kilómetros Rodados]]/(BASE_DATOS[[#This Row],[NSK Original]]-BASE_DATOS[[#This Row],[NSK]]),"")</f>
        <v/>
      </c>
      <c r="AQ27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77" s="177" t="str">
        <f>IFERROR(BASE_DATOS[[#This Row],[Precio US$]]/BASE_DATOS[[#This Row],[Kilómetros Proy.]],"")</f>
        <v/>
      </c>
      <c r="AS277" s="167" t="s">
        <v>62</v>
      </c>
      <c r="AT277" s="167"/>
      <c r="AU277" s="167"/>
      <c r="AV277" s="167"/>
      <c r="AW277" s="179"/>
      <c r="AX277" s="179"/>
      <c r="AY277" s="179" t="str">
        <f>CONCATENATE(BASE_DATOS[[#This Row],[Código_U]]&amp;BASE_DATOS[[#This Row],[Pos.]]&amp;BASE_DATOS[[#This Row],[Situación Actual]])</f>
        <v>SR-1522Rodando</v>
      </c>
    </row>
    <row r="278" spans="1:51" ht="12" x14ac:dyDescent="0.25">
      <c r="A278" s="227" t="s">
        <v>167</v>
      </c>
      <c r="B278" s="217" t="s">
        <v>168</v>
      </c>
      <c r="C278" s="228" t="s">
        <v>295</v>
      </c>
      <c r="D278" s="229" t="s">
        <v>87</v>
      </c>
      <c r="E278" s="255"/>
      <c r="F278" s="256" t="s">
        <v>97</v>
      </c>
      <c r="G278" s="256" t="s">
        <v>269</v>
      </c>
      <c r="H278" s="257" t="str">
        <f>IF(BASE_DATOS[[#This Row],[N-R]]="N",BASE_DATOS[[#This Row],[Diseño]],"Reencauche")</f>
        <v>AGC28</v>
      </c>
      <c r="I278" s="256" t="s">
        <v>270</v>
      </c>
      <c r="J278" s="243" t="s">
        <v>72</v>
      </c>
      <c r="K278" s="258">
        <v>16.5</v>
      </c>
      <c r="L278" s="256">
        <v>110</v>
      </c>
      <c r="M278" s="259"/>
      <c r="N278" s="260"/>
      <c r="O278" s="277"/>
      <c r="P278" s="278"/>
      <c r="Q278" s="279"/>
      <c r="R278" s="309" t="s">
        <v>100</v>
      </c>
      <c r="S278" s="310">
        <v>45384</v>
      </c>
      <c r="T278" s="313"/>
      <c r="U278" s="279"/>
      <c r="V278" s="227">
        <v>14</v>
      </c>
      <c r="W278" s="281">
        <v>14</v>
      </c>
      <c r="X278" s="282">
        <v>14</v>
      </c>
      <c r="Y278" s="293">
        <f t="shared" si="12"/>
        <v>14</v>
      </c>
      <c r="Z278" s="175" t="s">
        <v>85</v>
      </c>
      <c r="AA278" s="342">
        <f>IFERROR(BASE_DATOS[[#This Row],[NSK Original]]-BASE_DATOS[[#This Row],[NSK]]," ")</f>
        <v>2.5</v>
      </c>
      <c r="AB278" s="343">
        <f>'NSK-TRACTO'!$A$2</f>
        <v>6</v>
      </c>
      <c r="AC278" s="343">
        <f>IF(BASE_DATOS[[#This Row],[NSK]]&gt;=BASE_DATOS[[#This Row],[NSK Reen]],BASE_DATOS[[#This Row],[NSK Reen]],BASE_DATOS[[#This Row],[NSK]])</f>
        <v>6</v>
      </c>
      <c r="AD278" s="344">
        <f>IFERROR(100%-(BASE_DATOS[[#This Row],[NSK Reen]]/BASE_DATOS[[#This Row],[NSK Original]]),"")</f>
        <v>0.63636363636363635</v>
      </c>
      <c r="AE278" s="344">
        <f>IFERROR(100%-BASE_DATOS[[#This Row],[NSK]]/BASE_DATOS[[#This Row],[NSK Original]],"")</f>
        <v>0.15151515151515149</v>
      </c>
      <c r="AF278" s="344">
        <f>IFERROR(BASE_DATOS[[#This Row],[% Max Des.]]-BASE_DATOS[[#This Row],[% Des]],"")</f>
        <v>0.48484848484848486</v>
      </c>
      <c r="AG278" s="287"/>
      <c r="AH278" s="273"/>
      <c r="AI278" s="363" t="str">
        <f>IF(OR(BASE_DATOS[[#This Row],[Hr.]]="",BASE_DATOS[[#This Row],[Hr. Actual]]=""),"",BASE_DATOS[[#This Row],[Hr. Actual]]-BASE_DATOS[[#This Row],[Hr.]]+BASE_DATOS[[#This Row],[Horas Acumuladas]])</f>
        <v/>
      </c>
      <c r="AJ278" s="364" t="str">
        <f>IFERROR(BASE_DATOS[[#This Row],[Precio US$]]/BASE_DATOS[[#This Row],[Horas Rodadas]],"")</f>
        <v/>
      </c>
      <c r="AK278" s="365" t="str">
        <f>IFERROR(BASE_DATOS[[#This Row],[Horas Rodadas]]/(BASE_DATOS[[#This Row],[NSK Original]]-BASE_DATOS[[#This Row],[NSK]]),"")</f>
        <v/>
      </c>
      <c r="AL27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78" s="366" t="str">
        <f>IFERROR(BASE_DATOS[[#This Row],[Precio US$]]/BASE_DATOS[[#This Row],[Horas Proy.]],"")</f>
        <v/>
      </c>
      <c r="AN278" s="176" t="str">
        <f>IF(OR(BASE_DATOS[[#This Row],[Km.]]="",BASE_DATOS[[#This Row],[Km. Actual]]=""),"",BASE_DATOS[[#This Row],[Km. Actual]]-BASE_DATOS[[#This Row],[Km.]]+BASE_DATOS[[#This Row],[Kilómetros Acumulados]])</f>
        <v/>
      </c>
      <c r="AO278" s="177" t="str">
        <f>IFERROR(BASE_DATOS[[#This Row],[Precio US$]]/BASE_DATOS[[#This Row],[Kilómetros Rodados]],"")</f>
        <v/>
      </c>
      <c r="AP278" s="176" t="str">
        <f>IFERROR(BASE_DATOS[[#This Row],[Kilómetros Rodados]]/(BASE_DATOS[[#This Row],[NSK Original]]-BASE_DATOS[[#This Row],[NSK]]),"")</f>
        <v/>
      </c>
      <c r="AQ27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78" s="177" t="str">
        <f>IFERROR(BASE_DATOS[[#This Row],[Precio US$]]/BASE_DATOS[[#This Row],[Kilómetros Proy.]],"")</f>
        <v/>
      </c>
      <c r="AS278" s="167" t="s">
        <v>62</v>
      </c>
      <c r="AT278" s="167"/>
      <c r="AU278" s="167"/>
      <c r="AV278" s="167"/>
      <c r="AW278" s="179"/>
      <c r="AX278" s="179"/>
      <c r="AY278" s="179" t="str">
        <f>CONCATENATE(BASE_DATOS[[#This Row],[Código_U]]&amp;BASE_DATOS[[#This Row],[Pos.]]&amp;BASE_DATOS[[#This Row],[Situación Actual]])</f>
        <v>SR-1523Rodando</v>
      </c>
    </row>
    <row r="279" spans="1:51" ht="12" x14ac:dyDescent="0.25">
      <c r="A279" s="227" t="s">
        <v>167</v>
      </c>
      <c r="B279" s="217" t="s">
        <v>168</v>
      </c>
      <c r="C279" s="228" t="s">
        <v>295</v>
      </c>
      <c r="D279" s="229" t="s">
        <v>87</v>
      </c>
      <c r="E279" s="255"/>
      <c r="F279" s="256" t="s">
        <v>97</v>
      </c>
      <c r="G279" s="256" t="s">
        <v>269</v>
      </c>
      <c r="H279" s="257" t="str">
        <f>IF(BASE_DATOS[[#This Row],[N-R]]="N",BASE_DATOS[[#This Row],[Diseño]],"Reencauche")</f>
        <v>AGC28</v>
      </c>
      <c r="I279" s="256" t="s">
        <v>270</v>
      </c>
      <c r="J279" s="243" t="s">
        <v>72</v>
      </c>
      <c r="K279" s="258">
        <v>16.5</v>
      </c>
      <c r="L279" s="256">
        <v>110</v>
      </c>
      <c r="M279" s="259"/>
      <c r="N279" s="260"/>
      <c r="O279" s="277"/>
      <c r="P279" s="278"/>
      <c r="Q279" s="279"/>
      <c r="R279" s="309" t="s">
        <v>101</v>
      </c>
      <c r="S279" s="310">
        <v>45384</v>
      </c>
      <c r="T279" s="313"/>
      <c r="U279" s="279"/>
      <c r="V279" s="227">
        <v>16</v>
      </c>
      <c r="W279" s="281">
        <v>15</v>
      </c>
      <c r="X279" s="282">
        <v>15</v>
      </c>
      <c r="Y279" s="293">
        <f t="shared" si="12"/>
        <v>15</v>
      </c>
      <c r="Z279" s="175" t="s">
        <v>85</v>
      </c>
      <c r="AA279" s="342">
        <f>IFERROR(BASE_DATOS[[#This Row],[NSK Original]]-BASE_DATOS[[#This Row],[NSK]]," ")</f>
        <v>1.5</v>
      </c>
      <c r="AB279" s="343">
        <f>'NSK-TRACTO'!$A$2</f>
        <v>6</v>
      </c>
      <c r="AC279" s="343">
        <f>IF(BASE_DATOS[[#This Row],[NSK]]&gt;=BASE_DATOS[[#This Row],[NSK Reen]],BASE_DATOS[[#This Row],[NSK Reen]],BASE_DATOS[[#This Row],[NSK]])</f>
        <v>6</v>
      </c>
      <c r="AD279" s="344">
        <f>IFERROR(100%-(BASE_DATOS[[#This Row],[NSK Reen]]/BASE_DATOS[[#This Row],[NSK Original]]),"")</f>
        <v>0.63636363636363635</v>
      </c>
      <c r="AE279" s="344">
        <f>IFERROR(100%-BASE_DATOS[[#This Row],[NSK]]/BASE_DATOS[[#This Row],[NSK Original]],"")</f>
        <v>9.0909090909090939E-2</v>
      </c>
      <c r="AF279" s="344">
        <f>IFERROR(BASE_DATOS[[#This Row],[% Max Des.]]-BASE_DATOS[[#This Row],[% Des]],"")</f>
        <v>0.54545454545454541</v>
      </c>
      <c r="AG279" s="287"/>
      <c r="AH279" s="273"/>
      <c r="AI279" s="363" t="str">
        <f>IF(OR(BASE_DATOS[[#This Row],[Hr.]]="",BASE_DATOS[[#This Row],[Hr. Actual]]=""),"",BASE_DATOS[[#This Row],[Hr. Actual]]-BASE_DATOS[[#This Row],[Hr.]]+BASE_DATOS[[#This Row],[Horas Acumuladas]])</f>
        <v/>
      </c>
      <c r="AJ279" s="364" t="str">
        <f>IFERROR(BASE_DATOS[[#This Row],[Precio US$]]/BASE_DATOS[[#This Row],[Horas Rodadas]],"")</f>
        <v/>
      </c>
      <c r="AK279" s="365" t="str">
        <f>IFERROR(BASE_DATOS[[#This Row],[Horas Rodadas]]/(BASE_DATOS[[#This Row],[NSK Original]]-BASE_DATOS[[#This Row],[NSK]]),"")</f>
        <v/>
      </c>
      <c r="AL27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79" s="366" t="str">
        <f>IFERROR(BASE_DATOS[[#This Row],[Precio US$]]/BASE_DATOS[[#This Row],[Horas Proy.]],"")</f>
        <v/>
      </c>
      <c r="AN279" s="176" t="str">
        <f>IF(OR(BASE_DATOS[[#This Row],[Km.]]="",BASE_DATOS[[#This Row],[Km. Actual]]=""),"",BASE_DATOS[[#This Row],[Km. Actual]]-BASE_DATOS[[#This Row],[Km.]]+BASE_DATOS[[#This Row],[Kilómetros Acumulados]])</f>
        <v/>
      </c>
      <c r="AO279" s="177" t="str">
        <f>IFERROR(BASE_DATOS[[#This Row],[Precio US$]]/BASE_DATOS[[#This Row],[Kilómetros Rodados]],"")</f>
        <v/>
      </c>
      <c r="AP279" s="176" t="str">
        <f>IFERROR(BASE_DATOS[[#This Row],[Kilómetros Rodados]]/(BASE_DATOS[[#This Row],[NSK Original]]-BASE_DATOS[[#This Row],[NSK]]),"")</f>
        <v/>
      </c>
      <c r="AQ27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79" s="177" t="str">
        <f>IFERROR(BASE_DATOS[[#This Row],[Precio US$]]/BASE_DATOS[[#This Row],[Kilómetros Proy.]],"")</f>
        <v/>
      </c>
      <c r="AS279" s="167" t="s">
        <v>62</v>
      </c>
      <c r="AT279" s="167"/>
      <c r="AU279" s="167"/>
      <c r="AV279" s="167"/>
      <c r="AW279" s="179"/>
      <c r="AX279" s="179"/>
      <c r="AY279" s="179" t="str">
        <f>CONCATENATE(BASE_DATOS[[#This Row],[Código_U]]&amp;BASE_DATOS[[#This Row],[Pos.]]&amp;BASE_DATOS[[#This Row],[Situación Actual]])</f>
        <v>SR-1524Rodando</v>
      </c>
    </row>
    <row r="280" spans="1:51" ht="12" x14ac:dyDescent="0.25">
      <c r="A280" s="227" t="s">
        <v>167</v>
      </c>
      <c r="B280" s="217" t="s">
        <v>168</v>
      </c>
      <c r="C280" s="228" t="s">
        <v>295</v>
      </c>
      <c r="D280" s="229" t="s">
        <v>87</v>
      </c>
      <c r="E280" s="255"/>
      <c r="F280" s="256" t="s">
        <v>97</v>
      </c>
      <c r="G280" s="256" t="s">
        <v>269</v>
      </c>
      <c r="H280" s="257" t="str">
        <f>IF(BASE_DATOS[[#This Row],[N-R]]="N",BASE_DATOS[[#This Row],[Diseño]],"Reencauche")</f>
        <v>AGC28</v>
      </c>
      <c r="I280" s="256" t="s">
        <v>270</v>
      </c>
      <c r="J280" s="243" t="s">
        <v>72</v>
      </c>
      <c r="K280" s="258">
        <v>16.5</v>
      </c>
      <c r="L280" s="256">
        <v>110</v>
      </c>
      <c r="M280" s="259"/>
      <c r="N280" s="260"/>
      <c r="O280" s="277"/>
      <c r="P280" s="278"/>
      <c r="Q280" s="279"/>
      <c r="R280" s="309" t="s">
        <v>102</v>
      </c>
      <c r="S280" s="310">
        <v>45384</v>
      </c>
      <c r="T280" s="311"/>
      <c r="U280" s="312"/>
      <c r="V280" s="227">
        <v>15</v>
      </c>
      <c r="W280" s="281">
        <v>15</v>
      </c>
      <c r="X280" s="282">
        <v>15</v>
      </c>
      <c r="Y280" s="293">
        <f t="shared" si="12"/>
        <v>15</v>
      </c>
      <c r="Z280" s="175" t="s">
        <v>85</v>
      </c>
      <c r="AA280" s="342">
        <f>IFERROR(BASE_DATOS[[#This Row],[NSK Original]]-BASE_DATOS[[#This Row],[NSK]]," ")</f>
        <v>1.5</v>
      </c>
      <c r="AB280" s="343">
        <f>'NSK-TRACTO'!$A$2</f>
        <v>6</v>
      </c>
      <c r="AC280" s="343">
        <f>IF(BASE_DATOS[[#This Row],[NSK]]&gt;=BASE_DATOS[[#This Row],[NSK Reen]],BASE_DATOS[[#This Row],[NSK Reen]],BASE_DATOS[[#This Row],[NSK]])</f>
        <v>6</v>
      </c>
      <c r="AD280" s="344">
        <f>IFERROR(100%-(BASE_DATOS[[#This Row],[NSK Reen]]/BASE_DATOS[[#This Row],[NSK Original]]),"")</f>
        <v>0.63636363636363635</v>
      </c>
      <c r="AE280" s="344">
        <f>IFERROR(100%-BASE_DATOS[[#This Row],[NSK]]/BASE_DATOS[[#This Row],[NSK Original]],"")</f>
        <v>9.0909090909090939E-2</v>
      </c>
      <c r="AF280" s="344">
        <f>IFERROR(BASE_DATOS[[#This Row],[% Max Des.]]-BASE_DATOS[[#This Row],[% Des]],"")</f>
        <v>0.54545454545454541</v>
      </c>
      <c r="AG280" s="287"/>
      <c r="AH280" s="273"/>
      <c r="AI280" s="363" t="str">
        <f>IF(OR(BASE_DATOS[[#This Row],[Hr.]]="",BASE_DATOS[[#This Row],[Hr. Actual]]=""),"",BASE_DATOS[[#This Row],[Hr. Actual]]-BASE_DATOS[[#This Row],[Hr.]]+BASE_DATOS[[#This Row],[Horas Acumuladas]])</f>
        <v/>
      </c>
      <c r="AJ280" s="364" t="str">
        <f>IFERROR(BASE_DATOS[[#This Row],[Precio US$]]/BASE_DATOS[[#This Row],[Horas Rodadas]],"")</f>
        <v/>
      </c>
      <c r="AK280" s="365" t="str">
        <f>IFERROR(BASE_DATOS[[#This Row],[Horas Rodadas]]/(BASE_DATOS[[#This Row],[NSK Original]]-BASE_DATOS[[#This Row],[NSK]]),"")</f>
        <v/>
      </c>
      <c r="AL28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80" s="366" t="str">
        <f>IFERROR(BASE_DATOS[[#This Row],[Precio US$]]/BASE_DATOS[[#This Row],[Horas Proy.]],"")</f>
        <v/>
      </c>
      <c r="AN280" s="176" t="str">
        <f>IF(OR(BASE_DATOS[[#This Row],[Km.]]="",BASE_DATOS[[#This Row],[Km. Actual]]=""),"",BASE_DATOS[[#This Row],[Km. Actual]]-BASE_DATOS[[#This Row],[Km.]]+BASE_DATOS[[#This Row],[Kilómetros Acumulados]])</f>
        <v/>
      </c>
      <c r="AO280" s="177" t="str">
        <f>IFERROR(BASE_DATOS[[#This Row],[Precio US$]]/BASE_DATOS[[#This Row],[Kilómetros Rodados]],"")</f>
        <v/>
      </c>
      <c r="AP280" s="176" t="str">
        <f>IFERROR(BASE_DATOS[[#This Row],[Kilómetros Rodados]]/(BASE_DATOS[[#This Row],[NSK Original]]-BASE_DATOS[[#This Row],[NSK]]),"")</f>
        <v/>
      </c>
      <c r="AQ28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80" s="177" t="str">
        <f>IFERROR(BASE_DATOS[[#This Row],[Precio US$]]/BASE_DATOS[[#This Row],[Kilómetros Proy.]],"")</f>
        <v/>
      </c>
      <c r="AS280" s="167" t="s">
        <v>62</v>
      </c>
      <c r="AT280" s="167"/>
      <c r="AU280" s="167"/>
      <c r="AV280" s="167"/>
      <c r="AW280" s="179"/>
      <c r="AX280" s="179"/>
      <c r="AY280" s="179" t="str">
        <f>CONCATENATE(BASE_DATOS[[#This Row],[Código_U]]&amp;BASE_DATOS[[#This Row],[Pos.]]&amp;BASE_DATOS[[#This Row],[Situación Actual]])</f>
        <v>SR-1525Rodando</v>
      </c>
    </row>
    <row r="281" spans="1:51" ht="12" x14ac:dyDescent="0.25">
      <c r="A281" s="227" t="s">
        <v>167</v>
      </c>
      <c r="B281" s="217" t="s">
        <v>168</v>
      </c>
      <c r="C281" s="228" t="s">
        <v>295</v>
      </c>
      <c r="D281" s="229" t="s">
        <v>87</v>
      </c>
      <c r="E281" s="255"/>
      <c r="F281" s="256" t="s">
        <v>97</v>
      </c>
      <c r="G281" s="256" t="s">
        <v>269</v>
      </c>
      <c r="H281" s="257" t="str">
        <f>IF(BASE_DATOS[[#This Row],[N-R]]="N",BASE_DATOS[[#This Row],[Diseño]],"Reencauche")</f>
        <v>AGC28</v>
      </c>
      <c r="I281" s="256" t="s">
        <v>270</v>
      </c>
      <c r="J281" s="243" t="s">
        <v>72</v>
      </c>
      <c r="K281" s="258">
        <v>16.5</v>
      </c>
      <c r="L281" s="256">
        <v>110</v>
      </c>
      <c r="M281" s="259"/>
      <c r="N281" s="260"/>
      <c r="O281" s="277"/>
      <c r="P281" s="278"/>
      <c r="Q281" s="279"/>
      <c r="R281" s="309" t="s">
        <v>103</v>
      </c>
      <c r="S281" s="310">
        <v>45384</v>
      </c>
      <c r="T281" s="311"/>
      <c r="U281" s="312"/>
      <c r="V281" s="227">
        <v>14</v>
      </c>
      <c r="W281" s="281">
        <v>14</v>
      </c>
      <c r="X281" s="282">
        <v>14</v>
      </c>
      <c r="Y281" s="293">
        <f t="shared" si="12"/>
        <v>14</v>
      </c>
      <c r="Z281" s="175" t="s">
        <v>85</v>
      </c>
      <c r="AA281" s="342">
        <f>IFERROR(BASE_DATOS[[#This Row],[NSK Original]]-BASE_DATOS[[#This Row],[NSK]]," ")</f>
        <v>2.5</v>
      </c>
      <c r="AB281" s="343">
        <f>'NSK-TRACTO'!$A$2</f>
        <v>6</v>
      </c>
      <c r="AC281" s="343">
        <f>IF(BASE_DATOS[[#This Row],[NSK]]&gt;=BASE_DATOS[[#This Row],[NSK Reen]],BASE_DATOS[[#This Row],[NSK Reen]],BASE_DATOS[[#This Row],[NSK]])</f>
        <v>6</v>
      </c>
      <c r="AD281" s="344">
        <f>IFERROR(100%-(BASE_DATOS[[#This Row],[NSK Reen]]/BASE_DATOS[[#This Row],[NSK Original]]),"")</f>
        <v>0.63636363636363635</v>
      </c>
      <c r="AE281" s="344">
        <f>IFERROR(100%-BASE_DATOS[[#This Row],[NSK]]/BASE_DATOS[[#This Row],[NSK Original]],"")</f>
        <v>0.15151515151515149</v>
      </c>
      <c r="AF281" s="344">
        <f>IFERROR(BASE_DATOS[[#This Row],[% Max Des.]]-BASE_DATOS[[#This Row],[% Des]],"")</f>
        <v>0.48484848484848486</v>
      </c>
      <c r="AG281" s="287"/>
      <c r="AH281" s="273"/>
      <c r="AI281" s="363" t="str">
        <f>IF(OR(BASE_DATOS[[#This Row],[Hr.]]="",BASE_DATOS[[#This Row],[Hr. Actual]]=""),"",BASE_DATOS[[#This Row],[Hr. Actual]]-BASE_DATOS[[#This Row],[Hr.]]+BASE_DATOS[[#This Row],[Horas Acumuladas]])</f>
        <v/>
      </c>
      <c r="AJ281" s="364" t="str">
        <f>IFERROR(BASE_DATOS[[#This Row],[Precio US$]]/BASE_DATOS[[#This Row],[Horas Rodadas]],"")</f>
        <v/>
      </c>
      <c r="AK281" s="365" t="str">
        <f>IFERROR(BASE_DATOS[[#This Row],[Horas Rodadas]]/(BASE_DATOS[[#This Row],[NSK Original]]-BASE_DATOS[[#This Row],[NSK]]),"")</f>
        <v/>
      </c>
      <c r="AL28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81" s="366" t="str">
        <f>IFERROR(BASE_DATOS[[#This Row],[Precio US$]]/BASE_DATOS[[#This Row],[Horas Proy.]],"")</f>
        <v/>
      </c>
      <c r="AN281" s="176" t="str">
        <f>IF(OR(BASE_DATOS[[#This Row],[Km.]]="",BASE_DATOS[[#This Row],[Km. Actual]]=""),"",BASE_DATOS[[#This Row],[Km. Actual]]-BASE_DATOS[[#This Row],[Km.]]+BASE_DATOS[[#This Row],[Kilómetros Acumulados]])</f>
        <v/>
      </c>
      <c r="AO281" s="177" t="str">
        <f>IFERROR(BASE_DATOS[[#This Row],[Precio US$]]/BASE_DATOS[[#This Row],[Kilómetros Rodados]],"")</f>
        <v/>
      </c>
      <c r="AP281" s="176" t="str">
        <f>IFERROR(BASE_DATOS[[#This Row],[Kilómetros Rodados]]/(BASE_DATOS[[#This Row],[NSK Original]]-BASE_DATOS[[#This Row],[NSK]]),"")</f>
        <v/>
      </c>
      <c r="AQ28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81" s="177" t="str">
        <f>IFERROR(BASE_DATOS[[#This Row],[Precio US$]]/BASE_DATOS[[#This Row],[Kilómetros Proy.]],"")</f>
        <v/>
      </c>
      <c r="AS281" s="167" t="s">
        <v>62</v>
      </c>
      <c r="AT281" s="167"/>
      <c r="AU281" s="167"/>
      <c r="AV281" s="167"/>
      <c r="AW281" s="179"/>
      <c r="AX281" s="179"/>
      <c r="AY281" s="179" t="str">
        <f>CONCATENATE(BASE_DATOS[[#This Row],[Código_U]]&amp;BASE_DATOS[[#This Row],[Pos.]]&amp;BASE_DATOS[[#This Row],[Situación Actual]])</f>
        <v>SR-1526Rodando</v>
      </c>
    </row>
    <row r="282" spans="1:51" ht="12" x14ac:dyDescent="0.25">
      <c r="A282" s="227" t="s">
        <v>167</v>
      </c>
      <c r="B282" s="217" t="s">
        <v>168</v>
      </c>
      <c r="C282" s="228" t="s">
        <v>295</v>
      </c>
      <c r="D282" s="229" t="s">
        <v>384</v>
      </c>
      <c r="E282" s="255"/>
      <c r="F282" s="256" t="s">
        <v>71</v>
      </c>
      <c r="G282" s="256" t="s">
        <v>269</v>
      </c>
      <c r="H282" s="257" t="str">
        <f>IF(BASE_DATOS[[#This Row],[N-R]]="N",BASE_DATOS[[#This Row],[Diseño]],"Reencauche")</f>
        <v>OMNITRAC MST2</v>
      </c>
      <c r="I282" s="256" t="s">
        <v>281</v>
      </c>
      <c r="J282" s="243" t="s">
        <v>72</v>
      </c>
      <c r="K282" s="258">
        <v>15.6</v>
      </c>
      <c r="L282" s="256">
        <v>110</v>
      </c>
      <c r="M282" s="259"/>
      <c r="N282" s="260"/>
      <c r="O282" s="277"/>
      <c r="P282" s="278"/>
      <c r="Q282" s="279"/>
      <c r="R282" s="304" t="s">
        <v>509</v>
      </c>
      <c r="S282" s="310">
        <v>45384</v>
      </c>
      <c r="T282" s="313"/>
      <c r="U282" s="279"/>
      <c r="V282" s="227">
        <v>8</v>
      </c>
      <c r="W282" s="281">
        <v>5</v>
      </c>
      <c r="X282" s="282">
        <v>6</v>
      </c>
      <c r="Y282" s="293">
        <f t="shared" si="12"/>
        <v>5</v>
      </c>
      <c r="Z282" s="175" t="s">
        <v>85</v>
      </c>
      <c r="AA282" s="342">
        <f>IFERROR(BASE_DATOS[[#This Row],[NSK Original]]-BASE_DATOS[[#This Row],[NSK]]," ")</f>
        <v>10.6</v>
      </c>
      <c r="AB282" s="343">
        <f>'NSK-TRACTO'!$A$2</f>
        <v>6</v>
      </c>
      <c r="AC282" s="343">
        <f>IF(BASE_DATOS[[#This Row],[NSK]]&gt;=BASE_DATOS[[#This Row],[NSK Reen]],BASE_DATOS[[#This Row],[NSK Reen]],BASE_DATOS[[#This Row],[NSK]])</f>
        <v>5</v>
      </c>
      <c r="AD282" s="344">
        <f>IFERROR(100%-(BASE_DATOS[[#This Row],[NSK Reen]]/BASE_DATOS[[#This Row],[NSK Original]]),"")</f>
        <v>0.61538461538461542</v>
      </c>
      <c r="AE282" s="344">
        <f>IFERROR(100%-BASE_DATOS[[#This Row],[NSK]]/BASE_DATOS[[#This Row],[NSK Original]],"")</f>
        <v>0.67948717948717952</v>
      </c>
      <c r="AF282" s="344">
        <f>IFERROR(BASE_DATOS[[#This Row],[% Max Des.]]-BASE_DATOS[[#This Row],[% Des]],"")</f>
        <v>-6.4102564102564097E-2</v>
      </c>
      <c r="AG282" s="287"/>
      <c r="AH282" s="273"/>
      <c r="AI282" s="363" t="str">
        <f>IF(OR(BASE_DATOS[[#This Row],[Hr.]]="",BASE_DATOS[[#This Row],[Hr. Actual]]=""),"",BASE_DATOS[[#This Row],[Hr. Actual]]-BASE_DATOS[[#This Row],[Hr.]]+BASE_DATOS[[#This Row],[Horas Acumuladas]])</f>
        <v/>
      </c>
      <c r="AJ282" s="364" t="str">
        <f>IFERROR(BASE_DATOS[[#This Row],[Precio US$]]/BASE_DATOS[[#This Row],[Horas Rodadas]],"")</f>
        <v/>
      </c>
      <c r="AK282" s="365" t="str">
        <f>IFERROR(BASE_DATOS[[#This Row],[Horas Rodadas]]/(BASE_DATOS[[#This Row],[NSK Original]]-BASE_DATOS[[#This Row],[NSK]]),"")</f>
        <v/>
      </c>
      <c r="AL28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82" s="366" t="str">
        <f>IFERROR(BASE_DATOS[[#This Row],[Precio US$]]/BASE_DATOS[[#This Row],[Horas Proy.]],"")</f>
        <v/>
      </c>
      <c r="AN282" s="176" t="str">
        <f>IF(OR(BASE_DATOS[[#This Row],[Km.]]="",BASE_DATOS[[#This Row],[Km. Actual]]=""),"",BASE_DATOS[[#This Row],[Km. Actual]]-BASE_DATOS[[#This Row],[Km.]]+BASE_DATOS[[#This Row],[Kilómetros Acumulados]])</f>
        <v/>
      </c>
      <c r="AO282" s="177" t="str">
        <f>IFERROR(BASE_DATOS[[#This Row],[Precio US$]]/BASE_DATOS[[#This Row],[Kilómetros Rodados]],"")</f>
        <v/>
      </c>
      <c r="AP282" s="176" t="str">
        <f>IFERROR(BASE_DATOS[[#This Row],[Kilómetros Rodados]]/(BASE_DATOS[[#This Row],[NSK Original]]-BASE_DATOS[[#This Row],[NSK]]),"")</f>
        <v/>
      </c>
      <c r="AQ28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82" s="177" t="str">
        <f>IFERROR(BASE_DATOS[[#This Row],[Precio US$]]/BASE_DATOS[[#This Row],[Kilómetros Proy.]],"")</f>
        <v/>
      </c>
      <c r="AS282" s="167" t="s">
        <v>62</v>
      </c>
      <c r="AT282" s="167"/>
      <c r="AU282" s="167"/>
      <c r="AV282" s="167"/>
      <c r="AW282" s="179"/>
      <c r="AX282" s="179"/>
      <c r="AY282" s="179" t="str">
        <f>CONCATENATE(BASE_DATOS[[#This Row],[Código_U]]&amp;BASE_DATOS[[#This Row],[Pos.]]&amp;BASE_DATOS[[#This Row],[Situación Actual]])</f>
        <v>SR-152RERodando</v>
      </c>
    </row>
    <row r="283" spans="1:51" ht="12" x14ac:dyDescent="0.25">
      <c r="A283" s="227" t="s">
        <v>167</v>
      </c>
      <c r="B283" s="217" t="s">
        <v>168</v>
      </c>
      <c r="C283" s="228" t="s">
        <v>295</v>
      </c>
      <c r="D283" s="229" t="s">
        <v>108</v>
      </c>
      <c r="E283" s="255"/>
      <c r="F283" s="256" t="s">
        <v>273</v>
      </c>
      <c r="G283" s="256" t="s">
        <v>271</v>
      </c>
      <c r="H283" s="257" t="str">
        <f>IF(BASE_DATOS[[#This Row],[N-R]]="N",BASE_DATOS[[#This Row],[Diseño]],"Reencauche")</f>
        <v>Reencauche</v>
      </c>
      <c r="I283" s="256" t="s">
        <v>282</v>
      </c>
      <c r="J283" s="243" t="s">
        <v>82</v>
      </c>
      <c r="K283" s="258">
        <v>22</v>
      </c>
      <c r="L283" s="256">
        <v>110</v>
      </c>
      <c r="M283" s="259"/>
      <c r="N283" s="260"/>
      <c r="O283" s="277"/>
      <c r="P283" s="278"/>
      <c r="Q283" s="279"/>
      <c r="R283" s="304" t="s">
        <v>108</v>
      </c>
      <c r="S283" s="310">
        <v>45384</v>
      </c>
      <c r="T283" s="313"/>
      <c r="U283" s="279"/>
      <c r="V283" s="227">
        <v>7</v>
      </c>
      <c r="W283" s="281">
        <v>7</v>
      </c>
      <c r="X283" s="282">
        <v>8</v>
      </c>
      <c r="Y283" s="293">
        <f t="shared" si="12"/>
        <v>7</v>
      </c>
      <c r="Z283" s="175" t="s">
        <v>85</v>
      </c>
      <c r="AA283" s="342">
        <f>IFERROR(BASE_DATOS[[#This Row],[NSK Original]]-BASE_DATOS[[#This Row],[NSK]]," ")</f>
        <v>15</v>
      </c>
      <c r="AB283" s="343">
        <f>'NSK-TRACTO'!$A$2</f>
        <v>6</v>
      </c>
      <c r="AC283" s="343">
        <f>IF(BASE_DATOS[[#This Row],[NSK]]&gt;=BASE_DATOS[[#This Row],[NSK Reen]],BASE_DATOS[[#This Row],[NSK Reen]],BASE_DATOS[[#This Row],[NSK]])</f>
        <v>6</v>
      </c>
      <c r="AD283" s="344">
        <f>IFERROR(100%-(BASE_DATOS[[#This Row],[NSK Reen]]/BASE_DATOS[[#This Row],[NSK Original]]),"")</f>
        <v>0.72727272727272729</v>
      </c>
      <c r="AE283" s="344">
        <f>IFERROR(100%-BASE_DATOS[[#This Row],[NSK]]/BASE_DATOS[[#This Row],[NSK Original]],"")</f>
        <v>0.68181818181818188</v>
      </c>
      <c r="AF283" s="344">
        <f>IFERROR(BASE_DATOS[[#This Row],[% Max Des.]]-BASE_DATOS[[#This Row],[% Des]],"")</f>
        <v>4.5454545454545414E-2</v>
      </c>
      <c r="AG283" s="287"/>
      <c r="AH283" s="273"/>
      <c r="AI283" s="363" t="str">
        <f>IF(OR(BASE_DATOS[[#This Row],[Hr.]]="",BASE_DATOS[[#This Row],[Hr. Actual]]=""),"",BASE_DATOS[[#This Row],[Hr. Actual]]-BASE_DATOS[[#This Row],[Hr.]]+BASE_DATOS[[#This Row],[Horas Acumuladas]])</f>
        <v/>
      </c>
      <c r="AJ283" s="364" t="str">
        <f>IFERROR(BASE_DATOS[[#This Row],[Precio US$]]/BASE_DATOS[[#This Row],[Horas Rodadas]],"")</f>
        <v/>
      </c>
      <c r="AK283" s="365" t="str">
        <f>IFERROR(BASE_DATOS[[#This Row],[Horas Rodadas]]/(BASE_DATOS[[#This Row],[NSK Original]]-BASE_DATOS[[#This Row],[NSK]]),"")</f>
        <v/>
      </c>
      <c r="AL28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83" s="366" t="str">
        <f>IFERROR(BASE_DATOS[[#This Row],[Precio US$]]/BASE_DATOS[[#This Row],[Horas Proy.]],"")</f>
        <v/>
      </c>
      <c r="AN283" s="176" t="str">
        <f>IF(OR(BASE_DATOS[[#This Row],[Km.]]="",BASE_DATOS[[#This Row],[Km. Actual]]=""),"",BASE_DATOS[[#This Row],[Km. Actual]]-BASE_DATOS[[#This Row],[Km.]]+BASE_DATOS[[#This Row],[Kilómetros Acumulados]])</f>
        <v/>
      </c>
      <c r="AO283" s="177" t="str">
        <f>IFERROR(BASE_DATOS[[#This Row],[Precio US$]]/BASE_DATOS[[#This Row],[Kilómetros Rodados]],"")</f>
        <v/>
      </c>
      <c r="AP283" s="176" t="str">
        <f>IFERROR(BASE_DATOS[[#This Row],[Kilómetros Rodados]]/(BASE_DATOS[[#This Row],[NSK Original]]-BASE_DATOS[[#This Row],[NSK]]),"")</f>
        <v/>
      </c>
      <c r="AQ28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83" s="177" t="str">
        <f>IFERROR(BASE_DATOS[[#This Row],[Precio US$]]/BASE_DATOS[[#This Row],[Kilómetros Proy.]],"")</f>
        <v/>
      </c>
      <c r="AS283" s="167" t="s">
        <v>62</v>
      </c>
      <c r="AT283" s="167"/>
      <c r="AU283" s="167"/>
      <c r="AV283" s="167"/>
      <c r="AW283" s="179"/>
      <c r="AX283" s="179"/>
      <c r="AY283" s="179" t="str">
        <f>CONCATENATE(BASE_DATOS[[#This Row],[Código_U]]&amp;BASE_DATOS[[#This Row],[Pos.]]&amp;BASE_DATOS[[#This Row],[Situación Actual]])</f>
        <v>SR-152RTRodando</v>
      </c>
    </row>
    <row r="284" spans="1:51" ht="12" x14ac:dyDescent="0.25">
      <c r="A284" s="224" t="s">
        <v>169</v>
      </c>
      <c r="B284" s="213" t="s">
        <v>170</v>
      </c>
      <c r="C284" s="225" t="s">
        <v>296</v>
      </c>
      <c r="D284" s="226" t="s">
        <v>86</v>
      </c>
      <c r="E284" s="249"/>
      <c r="F284" s="250" t="s">
        <v>273</v>
      </c>
      <c r="G284" s="250" t="s">
        <v>271</v>
      </c>
      <c r="H284" s="251" t="str">
        <f>IF(BASE_DATOS[[#This Row],[N-R]]="N",BASE_DATOS[[#This Row],[Diseño]],"Reencauche")</f>
        <v>XMULTI+Z</v>
      </c>
      <c r="I284" s="250" t="s">
        <v>297</v>
      </c>
      <c r="J284" s="235" t="s">
        <v>72</v>
      </c>
      <c r="K284" s="252">
        <v>16</v>
      </c>
      <c r="L284" s="233">
        <v>100</v>
      </c>
      <c r="M284" s="253"/>
      <c r="N284" s="254"/>
      <c r="O284" s="274"/>
      <c r="P284" s="275"/>
      <c r="Q284" s="276"/>
      <c r="R284" s="305" t="s">
        <v>98</v>
      </c>
      <c r="S284" s="306">
        <v>45386</v>
      </c>
      <c r="T284" s="307"/>
      <c r="U284" s="308"/>
      <c r="V284" s="224">
        <v>15</v>
      </c>
      <c r="W284" s="325">
        <v>15</v>
      </c>
      <c r="X284" s="326">
        <v>15</v>
      </c>
      <c r="Y284" s="292">
        <f t="shared" si="12"/>
        <v>15</v>
      </c>
      <c r="Z284" s="185" t="s">
        <v>73</v>
      </c>
      <c r="AA284" s="339">
        <f>IFERROR(BASE_DATOS[[#This Row],[NSK Original]]-BASE_DATOS[[#This Row],[NSK]]," ")</f>
        <v>1</v>
      </c>
      <c r="AB284" s="340">
        <f>'NSK-TRACTO'!$A$2</f>
        <v>6</v>
      </c>
      <c r="AC284" s="340">
        <f>IF(BASE_DATOS[[#This Row],[NSK]]&gt;=BASE_DATOS[[#This Row],[NSK Reen]],BASE_DATOS[[#This Row],[NSK Reen]],BASE_DATOS[[#This Row],[NSK]])</f>
        <v>6</v>
      </c>
      <c r="AD284" s="341">
        <f>IFERROR(100%-(BASE_DATOS[[#This Row],[NSK Reen]]/BASE_DATOS[[#This Row],[NSK Original]]),"")</f>
        <v>0.625</v>
      </c>
      <c r="AE284" s="341">
        <f>IFERROR(100%-BASE_DATOS[[#This Row],[NSK]]/BASE_DATOS[[#This Row],[NSK Original]],"")</f>
        <v>6.25E-2</v>
      </c>
      <c r="AF284" s="341">
        <f>IFERROR(BASE_DATOS[[#This Row],[% Max Des.]]-BASE_DATOS[[#This Row],[% Des]],"")</f>
        <v>0.5625</v>
      </c>
      <c r="AG284" s="284"/>
      <c r="AH284" s="335"/>
      <c r="AI284" s="359" t="str">
        <f>IF(OR(BASE_DATOS[[#This Row],[Hr.]]="",BASE_DATOS[[#This Row],[Hr. Actual]]=""),"",BASE_DATOS[[#This Row],[Hr. Actual]]-BASE_DATOS[[#This Row],[Hr.]]+BASE_DATOS[[#This Row],[Horas Acumuladas]])</f>
        <v/>
      </c>
      <c r="AJ284" s="360" t="str">
        <f>IFERROR(BASE_DATOS[[#This Row],[Precio US$]]/BASE_DATOS[[#This Row],[Horas Rodadas]],"")</f>
        <v/>
      </c>
      <c r="AK284" s="361" t="str">
        <f>IFERROR(BASE_DATOS[[#This Row],[Horas Rodadas]]/(BASE_DATOS[[#This Row],[NSK Original]]-BASE_DATOS[[#This Row],[NSK]]),"")</f>
        <v/>
      </c>
      <c r="AL284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84" s="362" t="str">
        <f>IFERROR(BASE_DATOS[[#This Row],[Precio US$]]/BASE_DATOS[[#This Row],[Horas Proy.]],"")</f>
        <v/>
      </c>
      <c r="AN284" s="195" t="str">
        <f>IF(OR(BASE_DATOS[[#This Row],[Km.]]="",BASE_DATOS[[#This Row],[Km. Actual]]=""),"",BASE_DATOS[[#This Row],[Km. Actual]]-BASE_DATOS[[#This Row],[Km.]]+BASE_DATOS[[#This Row],[Kilómetros Acumulados]])</f>
        <v/>
      </c>
      <c r="AO284" s="196" t="str">
        <f>IFERROR(BASE_DATOS[[#This Row],[Precio US$]]/BASE_DATOS[[#This Row],[Kilómetros Rodados]],"")</f>
        <v/>
      </c>
      <c r="AP284" s="195" t="str">
        <f>IFERROR(BASE_DATOS[[#This Row],[Kilómetros Rodados]]/(BASE_DATOS[[#This Row],[NSK Original]]-BASE_DATOS[[#This Row],[NSK]]),"")</f>
        <v/>
      </c>
      <c r="AQ284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84" s="196" t="str">
        <f>IFERROR(BASE_DATOS[[#This Row],[Precio US$]]/BASE_DATOS[[#This Row],[Kilómetros Proy.]],"")</f>
        <v/>
      </c>
      <c r="AS284" s="191" t="s">
        <v>62</v>
      </c>
      <c r="AT284" s="191"/>
      <c r="AU284" s="191"/>
      <c r="AV284" s="191"/>
      <c r="AW284" s="198"/>
      <c r="AX284" s="198"/>
      <c r="AY284" s="198" t="str">
        <f>CONCATENATE(BASE_DATOS[[#This Row],[Código_U]]&amp;BASE_DATOS[[#This Row],[Pos.]]&amp;BASE_DATOS[[#This Row],[Situación Actual]])</f>
        <v>TC-1541Rodando</v>
      </c>
    </row>
    <row r="285" spans="1:51" ht="12" x14ac:dyDescent="0.25">
      <c r="A285" s="227" t="s">
        <v>169</v>
      </c>
      <c r="B285" s="217" t="s">
        <v>170</v>
      </c>
      <c r="C285" s="228" t="s">
        <v>296</v>
      </c>
      <c r="D285" s="229" t="s">
        <v>86</v>
      </c>
      <c r="E285" s="255"/>
      <c r="F285" s="256" t="s">
        <v>273</v>
      </c>
      <c r="G285" s="256" t="s">
        <v>271</v>
      </c>
      <c r="H285" s="257" t="str">
        <f>IF(BASE_DATOS[[#This Row],[N-R]]="N",BASE_DATOS[[#This Row],[Diseño]],"Reencauche")</f>
        <v>XMULTI+Z</v>
      </c>
      <c r="I285" s="256" t="s">
        <v>297</v>
      </c>
      <c r="J285" s="243" t="s">
        <v>72</v>
      </c>
      <c r="K285" s="258">
        <v>16</v>
      </c>
      <c r="L285" s="241">
        <v>100</v>
      </c>
      <c r="M285" s="259"/>
      <c r="N285" s="260"/>
      <c r="O285" s="277"/>
      <c r="P285" s="278"/>
      <c r="Q285" s="279"/>
      <c r="R285" s="309" t="s">
        <v>99</v>
      </c>
      <c r="S285" s="310">
        <v>45386</v>
      </c>
      <c r="T285" s="311"/>
      <c r="U285" s="312"/>
      <c r="V285" s="227">
        <v>15</v>
      </c>
      <c r="W285" s="281">
        <v>15</v>
      </c>
      <c r="X285" s="282">
        <v>15</v>
      </c>
      <c r="Y285" s="293">
        <f t="shared" si="12"/>
        <v>15</v>
      </c>
      <c r="Z285" s="161" t="s">
        <v>73</v>
      </c>
      <c r="AA285" s="342">
        <f>IFERROR(BASE_DATOS[[#This Row],[NSK Original]]-BASE_DATOS[[#This Row],[NSK]]," ")</f>
        <v>1</v>
      </c>
      <c r="AB285" s="343">
        <f>'NSK-TRACTO'!$A$2</f>
        <v>6</v>
      </c>
      <c r="AC285" s="343">
        <f>IF(BASE_DATOS[[#This Row],[NSK]]&gt;=BASE_DATOS[[#This Row],[NSK Reen]],BASE_DATOS[[#This Row],[NSK Reen]],BASE_DATOS[[#This Row],[NSK]])</f>
        <v>6</v>
      </c>
      <c r="AD285" s="344">
        <f>IFERROR(100%-(BASE_DATOS[[#This Row],[NSK Reen]]/BASE_DATOS[[#This Row],[NSK Original]]),"")</f>
        <v>0.625</v>
      </c>
      <c r="AE285" s="344">
        <f>IFERROR(100%-BASE_DATOS[[#This Row],[NSK]]/BASE_DATOS[[#This Row],[NSK Original]],"")</f>
        <v>6.25E-2</v>
      </c>
      <c r="AF285" s="344">
        <f>IFERROR(BASE_DATOS[[#This Row],[% Max Des.]]-BASE_DATOS[[#This Row],[% Des]],"")</f>
        <v>0.5625</v>
      </c>
      <c r="AG285" s="287"/>
      <c r="AH285" s="273"/>
      <c r="AI285" s="363" t="str">
        <f>IF(OR(BASE_DATOS[[#This Row],[Hr.]]="",BASE_DATOS[[#This Row],[Hr. Actual]]=""),"",BASE_DATOS[[#This Row],[Hr. Actual]]-BASE_DATOS[[#This Row],[Hr.]]+BASE_DATOS[[#This Row],[Horas Acumuladas]])</f>
        <v/>
      </c>
      <c r="AJ285" s="364" t="str">
        <f>IFERROR(BASE_DATOS[[#This Row],[Precio US$]]/BASE_DATOS[[#This Row],[Horas Rodadas]],"")</f>
        <v/>
      </c>
      <c r="AK285" s="365" t="str">
        <f>IFERROR(BASE_DATOS[[#This Row],[Horas Rodadas]]/(BASE_DATOS[[#This Row],[NSK Original]]-BASE_DATOS[[#This Row],[NSK]]),"")</f>
        <v/>
      </c>
      <c r="AL28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85" s="366" t="str">
        <f>IFERROR(BASE_DATOS[[#This Row],[Precio US$]]/BASE_DATOS[[#This Row],[Horas Proy.]],"")</f>
        <v/>
      </c>
      <c r="AN285" s="176" t="str">
        <f>IF(OR(BASE_DATOS[[#This Row],[Km.]]="",BASE_DATOS[[#This Row],[Km. Actual]]=""),"",BASE_DATOS[[#This Row],[Km. Actual]]-BASE_DATOS[[#This Row],[Km.]]+BASE_DATOS[[#This Row],[Kilómetros Acumulados]])</f>
        <v/>
      </c>
      <c r="AO285" s="177" t="str">
        <f>IFERROR(BASE_DATOS[[#This Row],[Precio US$]]/BASE_DATOS[[#This Row],[Kilómetros Rodados]],"")</f>
        <v/>
      </c>
      <c r="AP285" s="176" t="str">
        <f>IFERROR(BASE_DATOS[[#This Row],[Kilómetros Rodados]]/(BASE_DATOS[[#This Row],[NSK Original]]-BASE_DATOS[[#This Row],[NSK]]),"")</f>
        <v/>
      </c>
      <c r="AQ28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85" s="177" t="str">
        <f>IFERROR(BASE_DATOS[[#This Row],[Precio US$]]/BASE_DATOS[[#This Row],[Kilómetros Proy.]],"")</f>
        <v/>
      </c>
      <c r="AS285" s="167" t="s">
        <v>62</v>
      </c>
      <c r="AT285" s="167"/>
      <c r="AU285" s="167"/>
      <c r="AV285" s="167"/>
      <c r="AW285" s="179"/>
      <c r="AX285" s="179"/>
      <c r="AY285" s="179" t="str">
        <f>CONCATENATE(BASE_DATOS[[#This Row],[Código_U]]&amp;BASE_DATOS[[#This Row],[Pos.]]&amp;BASE_DATOS[[#This Row],[Situación Actual]])</f>
        <v>TC-1542Rodando</v>
      </c>
    </row>
    <row r="286" spans="1:51" ht="12" x14ac:dyDescent="0.25">
      <c r="A286" s="227" t="s">
        <v>169</v>
      </c>
      <c r="B286" s="217" t="s">
        <v>170</v>
      </c>
      <c r="C286" s="228" t="s">
        <v>296</v>
      </c>
      <c r="D286" s="229" t="s">
        <v>61</v>
      </c>
      <c r="E286" s="255"/>
      <c r="F286" s="256" t="s">
        <v>278</v>
      </c>
      <c r="G286" s="256" t="s">
        <v>271</v>
      </c>
      <c r="H286" s="257" t="str">
        <f>IF(BASE_DATOS[[#This Row],[N-R]]="N",BASE_DATOS[[#This Row],[Diseño]],"Reencauche")</f>
        <v>Reencauche</v>
      </c>
      <c r="I286" s="256" t="s">
        <v>282</v>
      </c>
      <c r="J286" s="243" t="s">
        <v>83</v>
      </c>
      <c r="K286" s="258">
        <v>22</v>
      </c>
      <c r="L286" s="241">
        <v>110</v>
      </c>
      <c r="M286" s="259"/>
      <c r="N286" s="260"/>
      <c r="O286" s="277"/>
      <c r="P286" s="278"/>
      <c r="Q286" s="279"/>
      <c r="R286" s="309" t="s">
        <v>100</v>
      </c>
      <c r="S286" s="310">
        <v>45386</v>
      </c>
      <c r="T286" s="311"/>
      <c r="U286" s="312"/>
      <c r="V286" s="227">
        <v>15</v>
      </c>
      <c r="W286" s="281">
        <v>15</v>
      </c>
      <c r="X286" s="282">
        <v>15</v>
      </c>
      <c r="Y286" s="293">
        <f t="shared" si="12"/>
        <v>15</v>
      </c>
      <c r="Z286" s="161" t="s">
        <v>73</v>
      </c>
      <c r="AA286" s="342">
        <f>IFERROR(BASE_DATOS[[#This Row],[NSK Original]]-BASE_DATOS[[#This Row],[NSK]]," ")</f>
        <v>7</v>
      </c>
      <c r="AB286" s="343">
        <f>'NSK-TRACTO'!$A$2</f>
        <v>6</v>
      </c>
      <c r="AC286" s="343">
        <f>IF(BASE_DATOS[[#This Row],[NSK]]&gt;=BASE_DATOS[[#This Row],[NSK Reen]],BASE_DATOS[[#This Row],[NSK Reen]],BASE_DATOS[[#This Row],[NSK]])</f>
        <v>6</v>
      </c>
      <c r="AD286" s="344">
        <f>IFERROR(100%-(BASE_DATOS[[#This Row],[NSK Reen]]/BASE_DATOS[[#This Row],[NSK Original]]),"")</f>
        <v>0.72727272727272729</v>
      </c>
      <c r="AE286" s="344">
        <f>IFERROR(100%-BASE_DATOS[[#This Row],[NSK]]/BASE_DATOS[[#This Row],[NSK Original]],"")</f>
        <v>0.31818181818181823</v>
      </c>
      <c r="AF286" s="344">
        <f>IFERROR(BASE_DATOS[[#This Row],[% Max Des.]]-BASE_DATOS[[#This Row],[% Des]],"")</f>
        <v>0.40909090909090906</v>
      </c>
      <c r="AG286" s="287"/>
      <c r="AH286" s="273"/>
      <c r="AI286" s="363" t="str">
        <f>IF(OR(BASE_DATOS[[#This Row],[Hr.]]="",BASE_DATOS[[#This Row],[Hr. Actual]]=""),"",BASE_DATOS[[#This Row],[Hr. Actual]]-BASE_DATOS[[#This Row],[Hr.]]+BASE_DATOS[[#This Row],[Horas Acumuladas]])</f>
        <v/>
      </c>
      <c r="AJ286" s="364" t="str">
        <f>IFERROR(BASE_DATOS[[#This Row],[Precio US$]]/BASE_DATOS[[#This Row],[Horas Rodadas]],"")</f>
        <v/>
      </c>
      <c r="AK286" s="365" t="str">
        <f>IFERROR(BASE_DATOS[[#This Row],[Horas Rodadas]]/(BASE_DATOS[[#This Row],[NSK Original]]-BASE_DATOS[[#This Row],[NSK]]),"")</f>
        <v/>
      </c>
      <c r="AL28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86" s="366" t="str">
        <f>IFERROR(BASE_DATOS[[#This Row],[Precio US$]]/BASE_DATOS[[#This Row],[Horas Proy.]],"")</f>
        <v/>
      </c>
      <c r="AN286" s="176" t="str">
        <f>IF(OR(BASE_DATOS[[#This Row],[Km.]]="",BASE_DATOS[[#This Row],[Km. Actual]]=""),"",BASE_DATOS[[#This Row],[Km. Actual]]-BASE_DATOS[[#This Row],[Km.]]+BASE_DATOS[[#This Row],[Kilómetros Acumulados]])</f>
        <v/>
      </c>
      <c r="AO286" s="177" t="str">
        <f>IFERROR(BASE_DATOS[[#This Row],[Precio US$]]/BASE_DATOS[[#This Row],[Kilómetros Rodados]],"")</f>
        <v/>
      </c>
      <c r="AP286" s="176" t="str">
        <f>IFERROR(BASE_DATOS[[#This Row],[Kilómetros Rodados]]/(BASE_DATOS[[#This Row],[NSK Original]]-BASE_DATOS[[#This Row],[NSK]]),"")</f>
        <v/>
      </c>
      <c r="AQ28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86" s="177" t="str">
        <f>IFERROR(BASE_DATOS[[#This Row],[Precio US$]]/BASE_DATOS[[#This Row],[Kilómetros Proy.]],"")</f>
        <v/>
      </c>
      <c r="AS286" s="167" t="s">
        <v>62</v>
      </c>
      <c r="AT286" s="167"/>
      <c r="AU286" s="167"/>
      <c r="AV286" s="167" t="s">
        <v>515</v>
      </c>
      <c r="AW286" s="179"/>
      <c r="AX286" s="179"/>
      <c r="AY286" s="179" t="str">
        <f>CONCATENATE(BASE_DATOS[[#This Row],[Código_U]]&amp;BASE_DATOS[[#This Row],[Pos.]]&amp;BASE_DATOS[[#This Row],[Situación Actual]])</f>
        <v>TC-1543Rodando</v>
      </c>
    </row>
    <row r="287" spans="1:51" ht="12" x14ac:dyDescent="0.25">
      <c r="A287" s="227" t="s">
        <v>169</v>
      </c>
      <c r="B287" s="217" t="s">
        <v>170</v>
      </c>
      <c r="C287" s="228" t="s">
        <v>296</v>
      </c>
      <c r="D287" s="229" t="s">
        <v>61</v>
      </c>
      <c r="E287" s="255"/>
      <c r="F287" s="256" t="s">
        <v>278</v>
      </c>
      <c r="G287" s="256" t="s">
        <v>271</v>
      </c>
      <c r="H287" s="257" t="str">
        <f>IF(BASE_DATOS[[#This Row],[N-R]]="N",BASE_DATOS[[#This Row],[Diseño]],"Reencauche")</f>
        <v>Reencauche</v>
      </c>
      <c r="I287" s="256" t="s">
        <v>282</v>
      </c>
      <c r="J287" s="243" t="s">
        <v>82</v>
      </c>
      <c r="K287" s="258">
        <v>22</v>
      </c>
      <c r="L287" s="241">
        <v>110</v>
      </c>
      <c r="M287" s="259"/>
      <c r="N287" s="260"/>
      <c r="O287" s="277"/>
      <c r="P287" s="278"/>
      <c r="Q287" s="279"/>
      <c r="R287" s="309" t="s">
        <v>101</v>
      </c>
      <c r="S287" s="310">
        <v>45386</v>
      </c>
      <c r="T287" s="311"/>
      <c r="U287" s="312"/>
      <c r="V287" s="227">
        <v>14</v>
      </c>
      <c r="W287" s="281">
        <v>14</v>
      </c>
      <c r="X287" s="282">
        <v>14</v>
      </c>
      <c r="Y287" s="293">
        <f t="shared" si="12"/>
        <v>14</v>
      </c>
      <c r="Z287" s="175" t="s">
        <v>85</v>
      </c>
      <c r="AA287" s="342">
        <f>IFERROR(BASE_DATOS[[#This Row],[NSK Original]]-BASE_DATOS[[#This Row],[NSK]]," ")</f>
        <v>8</v>
      </c>
      <c r="AB287" s="343">
        <f>'NSK-TRACTO'!$A$2</f>
        <v>6</v>
      </c>
      <c r="AC287" s="343">
        <f>IF(BASE_DATOS[[#This Row],[NSK]]&gt;=BASE_DATOS[[#This Row],[NSK Reen]],BASE_DATOS[[#This Row],[NSK Reen]],BASE_DATOS[[#This Row],[NSK]])</f>
        <v>6</v>
      </c>
      <c r="AD287" s="344">
        <f>IFERROR(100%-(BASE_DATOS[[#This Row],[NSK Reen]]/BASE_DATOS[[#This Row],[NSK Original]]),"")</f>
        <v>0.72727272727272729</v>
      </c>
      <c r="AE287" s="344">
        <f>IFERROR(100%-BASE_DATOS[[#This Row],[NSK]]/BASE_DATOS[[#This Row],[NSK Original]],"")</f>
        <v>0.36363636363636365</v>
      </c>
      <c r="AF287" s="344">
        <f>IFERROR(BASE_DATOS[[#This Row],[% Max Des.]]-BASE_DATOS[[#This Row],[% Des]],"")</f>
        <v>0.36363636363636365</v>
      </c>
      <c r="AG287" s="287"/>
      <c r="AH287" s="273"/>
      <c r="AI287" s="363" t="str">
        <f>IF(OR(BASE_DATOS[[#This Row],[Hr.]]="",BASE_DATOS[[#This Row],[Hr. Actual]]=""),"",BASE_DATOS[[#This Row],[Hr. Actual]]-BASE_DATOS[[#This Row],[Hr.]]+BASE_DATOS[[#This Row],[Horas Acumuladas]])</f>
        <v/>
      </c>
      <c r="AJ287" s="364" t="str">
        <f>IFERROR(BASE_DATOS[[#This Row],[Precio US$]]/BASE_DATOS[[#This Row],[Horas Rodadas]],"")</f>
        <v/>
      </c>
      <c r="AK287" s="365" t="str">
        <f>IFERROR(BASE_DATOS[[#This Row],[Horas Rodadas]]/(BASE_DATOS[[#This Row],[NSK Original]]-BASE_DATOS[[#This Row],[NSK]]),"")</f>
        <v/>
      </c>
      <c r="AL28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87" s="366" t="str">
        <f>IFERROR(BASE_DATOS[[#This Row],[Precio US$]]/BASE_DATOS[[#This Row],[Horas Proy.]],"")</f>
        <v/>
      </c>
      <c r="AN287" s="176" t="str">
        <f>IF(OR(BASE_DATOS[[#This Row],[Km.]]="",BASE_DATOS[[#This Row],[Km. Actual]]=""),"",BASE_DATOS[[#This Row],[Km. Actual]]-BASE_DATOS[[#This Row],[Km.]]+BASE_DATOS[[#This Row],[Kilómetros Acumulados]])</f>
        <v/>
      </c>
      <c r="AO287" s="177" t="str">
        <f>IFERROR(BASE_DATOS[[#This Row],[Precio US$]]/BASE_DATOS[[#This Row],[Kilómetros Rodados]],"")</f>
        <v/>
      </c>
      <c r="AP287" s="176" t="str">
        <f>IFERROR(BASE_DATOS[[#This Row],[Kilómetros Rodados]]/(BASE_DATOS[[#This Row],[NSK Original]]-BASE_DATOS[[#This Row],[NSK]]),"")</f>
        <v/>
      </c>
      <c r="AQ28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87" s="177" t="str">
        <f>IFERROR(BASE_DATOS[[#This Row],[Precio US$]]/BASE_DATOS[[#This Row],[Kilómetros Proy.]],"")</f>
        <v/>
      </c>
      <c r="AS287" s="167" t="s">
        <v>62</v>
      </c>
      <c r="AT287" s="167"/>
      <c r="AU287" s="167"/>
      <c r="AV287" s="167" t="s">
        <v>515</v>
      </c>
      <c r="AW287" s="179"/>
      <c r="AX287" s="179"/>
      <c r="AY287" s="179" t="str">
        <f>CONCATENATE(BASE_DATOS[[#This Row],[Código_U]]&amp;BASE_DATOS[[#This Row],[Pos.]]&amp;BASE_DATOS[[#This Row],[Situación Actual]])</f>
        <v>TC-1544Rodando</v>
      </c>
    </row>
    <row r="288" spans="1:51" ht="12" x14ac:dyDescent="0.25">
      <c r="A288" s="227" t="s">
        <v>169</v>
      </c>
      <c r="B288" s="217" t="s">
        <v>170</v>
      </c>
      <c r="C288" s="228" t="s">
        <v>296</v>
      </c>
      <c r="D288" s="229" t="s">
        <v>61</v>
      </c>
      <c r="E288" s="255"/>
      <c r="F288" s="256" t="s">
        <v>278</v>
      </c>
      <c r="G288" s="256" t="s">
        <v>271</v>
      </c>
      <c r="H288" s="257" t="str">
        <f>IF(BASE_DATOS[[#This Row],[N-R]]="N",BASE_DATOS[[#This Row],[Diseño]],"Reencauche")</f>
        <v>Reencauche</v>
      </c>
      <c r="I288" s="256" t="s">
        <v>282</v>
      </c>
      <c r="J288" s="243" t="s">
        <v>82</v>
      </c>
      <c r="K288" s="258">
        <v>22</v>
      </c>
      <c r="L288" s="241">
        <v>110</v>
      </c>
      <c r="M288" s="259"/>
      <c r="N288" s="260"/>
      <c r="O288" s="277"/>
      <c r="P288" s="278"/>
      <c r="Q288" s="279"/>
      <c r="R288" s="309" t="s">
        <v>102</v>
      </c>
      <c r="S288" s="310">
        <v>45386</v>
      </c>
      <c r="T288" s="311"/>
      <c r="U288" s="312"/>
      <c r="V288" s="227">
        <v>16</v>
      </c>
      <c r="W288" s="281">
        <v>16</v>
      </c>
      <c r="X288" s="282">
        <v>16</v>
      </c>
      <c r="Y288" s="293">
        <f t="shared" si="12"/>
        <v>16</v>
      </c>
      <c r="Z288" s="175" t="s">
        <v>85</v>
      </c>
      <c r="AA288" s="342">
        <f>IFERROR(BASE_DATOS[[#This Row],[NSK Original]]-BASE_DATOS[[#This Row],[NSK]]," ")</f>
        <v>6</v>
      </c>
      <c r="AB288" s="343">
        <f>'NSK-TRACTO'!$A$2</f>
        <v>6</v>
      </c>
      <c r="AC288" s="343">
        <f>IF(BASE_DATOS[[#This Row],[NSK]]&gt;=BASE_DATOS[[#This Row],[NSK Reen]],BASE_DATOS[[#This Row],[NSK Reen]],BASE_DATOS[[#This Row],[NSK]])</f>
        <v>6</v>
      </c>
      <c r="AD288" s="344">
        <f>IFERROR(100%-(BASE_DATOS[[#This Row],[NSK Reen]]/BASE_DATOS[[#This Row],[NSK Original]]),"")</f>
        <v>0.72727272727272729</v>
      </c>
      <c r="AE288" s="344">
        <f>IFERROR(100%-BASE_DATOS[[#This Row],[NSK]]/BASE_DATOS[[#This Row],[NSK Original]],"")</f>
        <v>0.27272727272727271</v>
      </c>
      <c r="AF288" s="344">
        <f>IFERROR(BASE_DATOS[[#This Row],[% Max Des.]]-BASE_DATOS[[#This Row],[% Des]],"")</f>
        <v>0.45454545454545459</v>
      </c>
      <c r="AG288" s="287"/>
      <c r="AH288" s="273"/>
      <c r="AI288" s="363" t="str">
        <f>IF(OR(BASE_DATOS[[#This Row],[Hr.]]="",BASE_DATOS[[#This Row],[Hr. Actual]]=""),"",BASE_DATOS[[#This Row],[Hr. Actual]]-BASE_DATOS[[#This Row],[Hr.]]+BASE_DATOS[[#This Row],[Horas Acumuladas]])</f>
        <v/>
      </c>
      <c r="AJ288" s="364" t="str">
        <f>IFERROR(BASE_DATOS[[#This Row],[Precio US$]]/BASE_DATOS[[#This Row],[Horas Rodadas]],"")</f>
        <v/>
      </c>
      <c r="AK288" s="365" t="str">
        <f>IFERROR(BASE_DATOS[[#This Row],[Horas Rodadas]]/(BASE_DATOS[[#This Row],[NSK Original]]-BASE_DATOS[[#This Row],[NSK]]),"")</f>
        <v/>
      </c>
      <c r="AL28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88" s="366" t="str">
        <f>IFERROR(BASE_DATOS[[#This Row],[Precio US$]]/BASE_DATOS[[#This Row],[Horas Proy.]],"")</f>
        <v/>
      </c>
      <c r="AN288" s="176" t="str">
        <f>IF(OR(BASE_DATOS[[#This Row],[Km.]]="",BASE_DATOS[[#This Row],[Km. Actual]]=""),"",BASE_DATOS[[#This Row],[Km. Actual]]-BASE_DATOS[[#This Row],[Km.]]+BASE_DATOS[[#This Row],[Kilómetros Acumulados]])</f>
        <v/>
      </c>
      <c r="AO288" s="177" t="str">
        <f>IFERROR(BASE_DATOS[[#This Row],[Precio US$]]/BASE_DATOS[[#This Row],[Kilómetros Rodados]],"")</f>
        <v/>
      </c>
      <c r="AP288" s="176" t="str">
        <f>IFERROR(BASE_DATOS[[#This Row],[Kilómetros Rodados]]/(BASE_DATOS[[#This Row],[NSK Original]]-BASE_DATOS[[#This Row],[NSK]]),"")</f>
        <v/>
      </c>
      <c r="AQ28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88" s="177" t="str">
        <f>IFERROR(BASE_DATOS[[#This Row],[Precio US$]]/BASE_DATOS[[#This Row],[Kilómetros Proy.]],"")</f>
        <v/>
      </c>
      <c r="AS288" s="167" t="s">
        <v>62</v>
      </c>
      <c r="AT288" s="167"/>
      <c r="AU288" s="167"/>
      <c r="AV288" s="167" t="s">
        <v>515</v>
      </c>
      <c r="AW288" s="179"/>
      <c r="AX288" s="179"/>
      <c r="AY288" s="179" t="str">
        <f>CONCATENATE(BASE_DATOS[[#This Row],[Código_U]]&amp;BASE_DATOS[[#This Row],[Pos.]]&amp;BASE_DATOS[[#This Row],[Situación Actual]])</f>
        <v>TC-1545Rodando</v>
      </c>
    </row>
    <row r="289" spans="1:51" ht="12" x14ac:dyDescent="0.25">
      <c r="A289" s="227" t="s">
        <v>169</v>
      </c>
      <c r="B289" s="217" t="s">
        <v>170</v>
      </c>
      <c r="C289" s="228" t="s">
        <v>296</v>
      </c>
      <c r="D289" s="229" t="s">
        <v>61</v>
      </c>
      <c r="E289" s="255"/>
      <c r="F289" s="256" t="s">
        <v>278</v>
      </c>
      <c r="G289" s="256" t="s">
        <v>271</v>
      </c>
      <c r="H289" s="257" t="str">
        <f>IF(BASE_DATOS[[#This Row],[N-R]]="N",BASE_DATOS[[#This Row],[Diseño]],"Reencauche")</f>
        <v>Reencauche</v>
      </c>
      <c r="I289" s="256" t="s">
        <v>282</v>
      </c>
      <c r="J289" s="243" t="s">
        <v>82</v>
      </c>
      <c r="K289" s="258">
        <v>22</v>
      </c>
      <c r="L289" s="241">
        <v>110</v>
      </c>
      <c r="M289" s="259"/>
      <c r="N289" s="260"/>
      <c r="O289" s="277"/>
      <c r="P289" s="278"/>
      <c r="Q289" s="279"/>
      <c r="R289" s="309" t="s">
        <v>103</v>
      </c>
      <c r="S289" s="310">
        <v>45386</v>
      </c>
      <c r="T289" s="311"/>
      <c r="U289" s="312"/>
      <c r="V289" s="227">
        <v>15</v>
      </c>
      <c r="W289" s="281">
        <v>15</v>
      </c>
      <c r="X289" s="282">
        <v>15</v>
      </c>
      <c r="Y289" s="293">
        <f t="shared" si="12"/>
        <v>15</v>
      </c>
      <c r="Z289" s="175" t="s">
        <v>85</v>
      </c>
      <c r="AA289" s="342">
        <f>IFERROR(BASE_DATOS[[#This Row],[NSK Original]]-BASE_DATOS[[#This Row],[NSK]]," ")</f>
        <v>7</v>
      </c>
      <c r="AB289" s="343">
        <f>'NSK-TRACTO'!$A$2</f>
        <v>6</v>
      </c>
      <c r="AC289" s="343">
        <f>IF(BASE_DATOS[[#This Row],[NSK]]&gt;=BASE_DATOS[[#This Row],[NSK Reen]],BASE_DATOS[[#This Row],[NSK Reen]],BASE_DATOS[[#This Row],[NSK]])</f>
        <v>6</v>
      </c>
      <c r="AD289" s="344">
        <f>IFERROR(100%-(BASE_DATOS[[#This Row],[NSK Reen]]/BASE_DATOS[[#This Row],[NSK Original]]),"")</f>
        <v>0.72727272727272729</v>
      </c>
      <c r="AE289" s="344">
        <f>IFERROR(100%-BASE_DATOS[[#This Row],[NSK]]/BASE_DATOS[[#This Row],[NSK Original]],"")</f>
        <v>0.31818181818181823</v>
      </c>
      <c r="AF289" s="344">
        <f>IFERROR(BASE_DATOS[[#This Row],[% Max Des.]]-BASE_DATOS[[#This Row],[% Des]],"")</f>
        <v>0.40909090909090906</v>
      </c>
      <c r="AG289" s="287"/>
      <c r="AH289" s="273"/>
      <c r="AI289" s="363" t="str">
        <f>IF(OR(BASE_DATOS[[#This Row],[Hr.]]="",BASE_DATOS[[#This Row],[Hr. Actual]]=""),"",BASE_DATOS[[#This Row],[Hr. Actual]]-BASE_DATOS[[#This Row],[Hr.]]+BASE_DATOS[[#This Row],[Horas Acumuladas]])</f>
        <v/>
      </c>
      <c r="AJ289" s="364" t="str">
        <f>IFERROR(BASE_DATOS[[#This Row],[Precio US$]]/BASE_DATOS[[#This Row],[Horas Rodadas]],"")</f>
        <v/>
      </c>
      <c r="AK289" s="365" t="str">
        <f>IFERROR(BASE_DATOS[[#This Row],[Horas Rodadas]]/(BASE_DATOS[[#This Row],[NSK Original]]-BASE_DATOS[[#This Row],[NSK]]),"")</f>
        <v/>
      </c>
      <c r="AL28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89" s="366" t="str">
        <f>IFERROR(BASE_DATOS[[#This Row],[Precio US$]]/BASE_DATOS[[#This Row],[Horas Proy.]],"")</f>
        <v/>
      </c>
      <c r="AN289" s="176" t="str">
        <f>IF(OR(BASE_DATOS[[#This Row],[Km.]]="",BASE_DATOS[[#This Row],[Km. Actual]]=""),"",BASE_DATOS[[#This Row],[Km. Actual]]-BASE_DATOS[[#This Row],[Km.]]+BASE_DATOS[[#This Row],[Kilómetros Acumulados]])</f>
        <v/>
      </c>
      <c r="AO289" s="177" t="str">
        <f>IFERROR(BASE_DATOS[[#This Row],[Precio US$]]/BASE_DATOS[[#This Row],[Kilómetros Rodados]],"")</f>
        <v/>
      </c>
      <c r="AP289" s="176" t="str">
        <f>IFERROR(BASE_DATOS[[#This Row],[Kilómetros Rodados]]/(BASE_DATOS[[#This Row],[NSK Original]]-BASE_DATOS[[#This Row],[NSK]]),"")</f>
        <v/>
      </c>
      <c r="AQ28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89" s="177" t="str">
        <f>IFERROR(BASE_DATOS[[#This Row],[Precio US$]]/BASE_DATOS[[#This Row],[Kilómetros Proy.]],"")</f>
        <v/>
      </c>
      <c r="AS289" s="167" t="s">
        <v>62</v>
      </c>
      <c r="AT289" s="167"/>
      <c r="AU289" s="167"/>
      <c r="AV289" s="167" t="s">
        <v>515</v>
      </c>
      <c r="AW289" s="179"/>
      <c r="AX289" s="179"/>
      <c r="AY289" s="179" t="str">
        <f>CONCATENATE(BASE_DATOS[[#This Row],[Código_U]]&amp;BASE_DATOS[[#This Row],[Pos.]]&amp;BASE_DATOS[[#This Row],[Situación Actual]])</f>
        <v>TC-1546Rodando</v>
      </c>
    </row>
    <row r="290" spans="1:51" ht="12" x14ac:dyDescent="0.25">
      <c r="A290" s="227" t="s">
        <v>169</v>
      </c>
      <c r="B290" s="217" t="s">
        <v>170</v>
      </c>
      <c r="C290" s="228" t="s">
        <v>296</v>
      </c>
      <c r="D290" s="229" t="s">
        <v>61</v>
      </c>
      <c r="E290" s="255" t="s">
        <v>351</v>
      </c>
      <c r="F290" s="256" t="s">
        <v>71</v>
      </c>
      <c r="G290" s="256" t="s">
        <v>271</v>
      </c>
      <c r="H290" s="257" t="str">
        <f>IF(BASE_DATOS[[#This Row],[N-R]]="N",BASE_DATOS[[#This Row],[Diseño]],"Reencauche")</f>
        <v>KMAXD</v>
      </c>
      <c r="I290" s="256" t="s">
        <v>294</v>
      </c>
      <c r="J290" s="243" t="s">
        <v>72</v>
      </c>
      <c r="K290" s="258">
        <v>22.2</v>
      </c>
      <c r="L290" s="241">
        <v>110</v>
      </c>
      <c r="M290" s="259"/>
      <c r="N290" s="260"/>
      <c r="O290" s="277"/>
      <c r="P290" s="278"/>
      <c r="Q290" s="279"/>
      <c r="R290" s="309" t="s">
        <v>104</v>
      </c>
      <c r="S290" s="310">
        <v>45386</v>
      </c>
      <c r="T290" s="311"/>
      <c r="U290" s="312"/>
      <c r="V290" s="227">
        <v>11</v>
      </c>
      <c r="W290" s="281"/>
      <c r="X290" s="282">
        <v>12</v>
      </c>
      <c r="Y290" s="293">
        <f t="shared" si="12"/>
        <v>11</v>
      </c>
      <c r="Z290" s="175" t="s">
        <v>85</v>
      </c>
      <c r="AA290" s="342">
        <f>IFERROR(BASE_DATOS[[#This Row],[NSK Original]]-BASE_DATOS[[#This Row],[NSK]]," ")</f>
        <v>11.2</v>
      </c>
      <c r="AB290" s="343">
        <f>'NSK-TRACTO'!$A$2</f>
        <v>6</v>
      </c>
      <c r="AC290" s="343">
        <f>IF(BASE_DATOS[[#This Row],[NSK]]&gt;=BASE_DATOS[[#This Row],[NSK Reen]],BASE_DATOS[[#This Row],[NSK Reen]],BASE_DATOS[[#This Row],[NSK]])</f>
        <v>6</v>
      </c>
      <c r="AD290" s="344">
        <f>IFERROR(100%-(BASE_DATOS[[#This Row],[NSK Reen]]/BASE_DATOS[[#This Row],[NSK Original]]),"")</f>
        <v>0.72972972972972971</v>
      </c>
      <c r="AE290" s="344">
        <f>IFERROR(100%-BASE_DATOS[[#This Row],[NSK]]/BASE_DATOS[[#This Row],[NSK Original]],"")</f>
        <v>0.50450450450450446</v>
      </c>
      <c r="AF290" s="344">
        <f>IFERROR(BASE_DATOS[[#This Row],[% Max Des.]]-BASE_DATOS[[#This Row],[% Des]],"")</f>
        <v>0.22522522522522526</v>
      </c>
      <c r="AG290" s="287"/>
      <c r="AH290" s="273"/>
      <c r="AI290" s="363" t="str">
        <f>IF(OR(BASE_DATOS[[#This Row],[Hr.]]="",BASE_DATOS[[#This Row],[Hr. Actual]]=""),"",BASE_DATOS[[#This Row],[Hr. Actual]]-BASE_DATOS[[#This Row],[Hr.]]+BASE_DATOS[[#This Row],[Horas Acumuladas]])</f>
        <v/>
      </c>
      <c r="AJ290" s="364" t="str">
        <f>IFERROR(BASE_DATOS[[#This Row],[Precio US$]]/BASE_DATOS[[#This Row],[Horas Rodadas]],"")</f>
        <v/>
      </c>
      <c r="AK290" s="365" t="str">
        <f>IFERROR(BASE_DATOS[[#This Row],[Horas Rodadas]]/(BASE_DATOS[[#This Row],[NSK Original]]-BASE_DATOS[[#This Row],[NSK]]),"")</f>
        <v/>
      </c>
      <c r="AL29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90" s="366" t="str">
        <f>IFERROR(BASE_DATOS[[#This Row],[Precio US$]]/BASE_DATOS[[#This Row],[Horas Proy.]],"")</f>
        <v/>
      </c>
      <c r="AN290" s="176" t="str">
        <f>IF(OR(BASE_DATOS[[#This Row],[Km.]]="",BASE_DATOS[[#This Row],[Km. Actual]]=""),"",BASE_DATOS[[#This Row],[Km. Actual]]-BASE_DATOS[[#This Row],[Km.]]+BASE_DATOS[[#This Row],[Kilómetros Acumulados]])</f>
        <v/>
      </c>
      <c r="AO290" s="177" t="str">
        <f>IFERROR(BASE_DATOS[[#This Row],[Precio US$]]/BASE_DATOS[[#This Row],[Kilómetros Rodados]],"")</f>
        <v/>
      </c>
      <c r="AP290" s="176" t="str">
        <f>IFERROR(BASE_DATOS[[#This Row],[Kilómetros Rodados]]/(BASE_DATOS[[#This Row],[NSK Original]]-BASE_DATOS[[#This Row],[NSK]]),"")</f>
        <v/>
      </c>
      <c r="AQ29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90" s="177" t="str">
        <f>IFERROR(BASE_DATOS[[#This Row],[Precio US$]]/BASE_DATOS[[#This Row],[Kilómetros Proy.]],"")</f>
        <v/>
      </c>
      <c r="AS290" s="167" t="s">
        <v>62</v>
      </c>
      <c r="AT290" s="167"/>
      <c r="AU290" s="167"/>
      <c r="AV290" s="167" t="s">
        <v>515</v>
      </c>
      <c r="AW290" s="179"/>
      <c r="AX290" s="179"/>
      <c r="AY290" s="179" t="str">
        <f>CONCATENATE(BASE_DATOS[[#This Row],[Código_U]]&amp;BASE_DATOS[[#This Row],[Pos.]]&amp;BASE_DATOS[[#This Row],[Situación Actual]])</f>
        <v>TC-1547Rodando</v>
      </c>
    </row>
    <row r="291" spans="1:51" ht="12" x14ac:dyDescent="0.25">
      <c r="A291" s="227" t="s">
        <v>169</v>
      </c>
      <c r="B291" s="217" t="s">
        <v>170</v>
      </c>
      <c r="C291" s="228" t="s">
        <v>296</v>
      </c>
      <c r="D291" s="229" t="s">
        <v>61</v>
      </c>
      <c r="E291" s="255"/>
      <c r="F291" s="256" t="s">
        <v>71</v>
      </c>
      <c r="G291" s="256" t="s">
        <v>271</v>
      </c>
      <c r="H291" s="257" t="str">
        <f>IF(BASE_DATOS[[#This Row],[N-R]]="N",BASE_DATOS[[#This Row],[Diseño]],"Reencauche")</f>
        <v>KMAXD</v>
      </c>
      <c r="I291" s="256" t="s">
        <v>294</v>
      </c>
      <c r="J291" s="243" t="s">
        <v>72</v>
      </c>
      <c r="K291" s="258">
        <v>22.2</v>
      </c>
      <c r="L291" s="241">
        <v>110</v>
      </c>
      <c r="M291" s="259"/>
      <c r="N291" s="260"/>
      <c r="O291" s="277"/>
      <c r="P291" s="278"/>
      <c r="Q291" s="279"/>
      <c r="R291" s="309" t="s">
        <v>105</v>
      </c>
      <c r="S291" s="310">
        <v>45386</v>
      </c>
      <c r="T291" s="311"/>
      <c r="U291" s="312"/>
      <c r="V291" s="227">
        <v>11</v>
      </c>
      <c r="W291" s="281"/>
      <c r="X291" s="282">
        <v>12</v>
      </c>
      <c r="Y291" s="293">
        <f t="shared" si="12"/>
        <v>11</v>
      </c>
      <c r="Z291" s="175" t="s">
        <v>85</v>
      </c>
      <c r="AA291" s="342">
        <f>IFERROR(BASE_DATOS[[#This Row],[NSK Original]]-BASE_DATOS[[#This Row],[NSK]]," ")</f>
        <v>11.2</v>
      </c>
      <c r="AB291" s="343">
        <f>'NSK-TRACTO'!$A$2</f>
        <v>6</v>
      </c>
      <c r="AC291" s="343">
        <f>IF(BASE_DATOS[[#This Row],[NSK]]&gt;=BASE_DATOS[[#This Row],[NSK Reen]],BASE_DATOS[[#This Row],[NSK Reen]],BASE_DATOS[[#This Row],[NSK]])</f>
        <v>6</v>
      </c>
      <c r="AD291" s="344">
        <f>IFERROR(100%-(BASE_DATOS[[#This Row],[NSK Reen]]/BASE_DATOS[[#This Row],[NSK Original]]),"")</f>
        <v>0.72972972972972971</v>
      </c>
      <c r="AE291" s="344">
        <f>IFERROR(100%-BASE_DATOS[[#This Row],[NSK]]/BASE_DATOS[[#This Row],[NSK Original]],"")</f>
        <v>0.50450450450450446</v>
      </c>
      <c r="AF291" s="344">
        <f>IFERROR(BASE_DATOS[[#This Row],[% Max Des.]]-BASE_DATOS[[#This Row],[% Des]],"")</f>
        <v>0.22522522522522526</v>
      </c>
      <c r="AG291" s="287"/>
      <c r="AH291" s="273"/>
      <c r="AI291" s="363" t="str">
        <f>IF(OR(BASE_DATOS[[#This Row],[Hr.]]="",BASE_DATOS[[#This Row],[Hr. Actual]]=""),"",BASE_DATOS[[#This Row],[Hr. Actual]]-BASE_DATOS[[#This Row],[Hr.]]+BASE_DATOS[[#This Row],[Horas Acumuladas]])</f>
        <v/>
      </c>
      <c r="AJ291" s="364" t="str">
        <f>IFERROR(BASE_DATOS[[#This Row],[Precio US$]]/BASE_DATOS[[#This Row],[Horas Rodadas]],"")</f>
        <v/>
      </c>
      <c r="AK291" s="365" t="str">
        <f>IFERROR(BASE_DATOS[[#This Row],[Horas Rodadas]]/(BASE_DATOS[[#This Row],[NSK Original]]-BASE_DATOS[[#This Row],[NSK]]),"")</f>
        <v/>
      </c>
      <c r="AL29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91" s="366" t="str">
        <f>IFERROR(BASE_DATOS[[#This Row],[Precio US$]]/BASE_DATOS[[#This Row],[Horas Proy.]],"")</f>
        <v/>
      </c>
      <c r="AN291" s="176" t="str">
        <f>IF(OR(BASE_DATOS[[#This Row],[Km.]]="",BASE_DATOS[[#This Row],[Km. Actual]]=""),"",BASE_DATOS[[#This Row],[Km. Actual]]-BASE_DATOS[[#This Row],[Km.]]+BASE_DATOS[[#This Row],[Kilómetros Acumulados]])</f>
        <v/>
      </c>
      <c r="AO291" s="177" t="str">
        <f>IFERROR(BASE_DATOS[[#This Row],[Precio US$]]/BASE_DATOS[[#This Row],[Kilómetros Rodados]],"")</f>
        <v/>
      </c>
      <c r="AP291" s="176" t="str">
        <f>IFERROR(BASE_DATOS[[#This Row],[Kilómetros Rodados]]/(BASE_DATOS[[#This Row],[NSK Original]]-BASE_DATOS[[#This Row],[NSK]]),"")</f>
        <v/>
      </c>
      <c r="AQ29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91" s="177" t="str">
        <f>IFERROR(BASE_DATOS[[#This Row],[Precio US$]]/BASE_DATOS[[#This Row],[Kilómetros Proy.]],"")</f>
        <v/>
      </c>
      <c r="AS291" s="167" t="s">
        <v>62</v>
      </c>
      <c r="AT291" s="167"/>
      <c r="AU291" s="167"/>
      <c r="AV291" s="167" t="s">
        <v>515</v>
      </c>
      <c r="AW291" s="179"/>
      <c r="AX291" s="179"/>
      <c r="AY291" s="179" t="str">
        <f>CONCATENATE(BASE_DATOS[[#This Row],[Código_U]]&amp;BASE_DATOS[[#This Row],[Pos.]]&amp;BASE_DATOS[[#This Row],[Situación Actual]])</f>
        <v>TC-1548Rodando</v>
      </c>
    </row>
    <row r="292" spans="1:51" ht="12" x14ac:dyDescent="0.25">
      <c r="A292" s="227" t="s">
        <v>169</v>
      </c>
      <c r="B292" s="217" t="s">
        <v>170</v>
      </c>
      <c r="C292" s="228" t="s">
        <v>296</v>
      </c>
      <c r="D292" s="229" t="s">
        <v>61</v>
      </c>
      <c r="E292" s="255"/>
      <c r="F292" s="256" t="s">
        <v>71</v>
      </c>
      <c r="G292" s="256" t="s">
        <v>271</v>
      </c>
      <c r="H292" s="257" t="str">
        <f>IF(BASE_DATOS[[#This Row],[N-R]]="N",BASE_DATOS[[#This Row],[Diseño]],"Reencauche")</f>
        <v>KMAXD</v>
      </c>
      <c r="I292" s="256" t="s">
        <v>294</v>
      </c>
      <c r="J292" s="243" t="s">
        <v>72</v>
      </c>
      <c r="K292" s="258">
        <v>22.2</v>
      </c>
      <c r="L292" s="241">
        <v>110</v>
      </c>
      <c r="M292" s="259"/>
      <c r="N292" s="260"/>
      <c r="O292" s="277"/>
      <c r="P292" s="278"/>
      <c r="Q292" s="279"/>
      <c r="R292" s="309" t="s">
        <v>106</v>
      </c>
      <c r="S292" s="310">
        <v>45386</v>
      </c>
      <c r="T292" s="311"/>
      <c r="U292" s="312"/>
      <c r="V292" s="227">
        <v>9</v>
      </c>
      <c r="W292" s="281"/>
      <c r="X292" s="282">
        <v>9</v>
      </c>
      <c r="Y292" s="293">
        <f t="shared" si="12"/>
        <v>9</v>
      </c>
      <c r="Z292" s="175" t="s">
        <v>85</v>
      </c>
      <c r="AA292" s="342">
        <f>IFERROR(BASE_DATOS[[#This Row],[NSK Original]]-BASE_DATOS[[#This Row],[NSK]]," ")</f>
        <v>13.2</v>
      </c>
      <c r="AB292" s="343">
        <f>'NSK-TRACTO'!$A$2</f>
        <v>6</v>
      </c>
      <c r="AC292" s="343">
        <f>IF(BASE_DATOS[[#This Row],[NSK]]&gt;=BASE_DATOS[[#This Row],[NSK Reen]],BASE_DATOS[[#This Row],[NSK Reen]],BASE_DATOS[[#This Row],[NSK]])</f>
        <v>6</v>
      </c>
      <c r="AD292" s="344">
        <f>IFERROR(100%-(BASE_DATOS[[#This Row],[NSK Reen]]/BASE_DATOS[[#This Row],[NSK Original]]),"")</f>
        <v>0.72972972972972971</v>
      </c>
      <c r="AE292" s="344">
        <f>IFERROR(100%-BASE_DATOS[[#This Row],[NSK]]/BASE_DATOS[[#This Row],[NSK Original]],"")</f>
        <v>0.59459459459459452</v>
      </c>
      <c r="AF292" s="344">
        <f>IFERROR(BASE_DATOS[[#This Row],[% Max Des.]]-BASE_DATOS[[#This Row],[% Des]],"")</f>
        <v>0.1351351351351352</v>
      </c>
      <c r="AG292" s="287"/>
      <c r="AH292" s="273"/>
      <c r="AI292" s="363" t="str">
        <f>IF(OR(BASE_DATOS[[#This Row],[Hr.]]="",BASE_DATOS[[#This Row],[Hr. Actual]]=""),"",BASE_DATOS[[#This Row],[Hr. Actual]]-BASE_DATOS[[#This Row],[Hr.]]+BASE_DATOS[[#This Row],[Horas Acumuladas]])</f>
        <v/>
      </c>
      <c r="AJ292" s="364" t="str">
        <f>IFERROR(BASE_DATOS[[#This Row],[Precio US$]]/BASE_DATOS[[#This Row],[Horas Rodadas]],"")</f>
        <v/>
      </c>
      <c r="AK292" s="365" t="str">
        <f>IFERROR(BASE_DATOS[[#This Row],[Horas Rodadas]]/(BASE_DATOS[[#This Row],[NSK Original]]-BASE_DATOS[[#This Row],[NSK]]),"")</f>
        <v/>
      </c>
      <c r="AL29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92" s="366" t="str">
        <f>IFERROR(BASE_DATOS[[#This Row],[Precio US$]]/BASE_DATOS[[#This Row],[Horas Proy.]],"")</f>
        <v/>
      </c>
      <c r="AN292" s="176" t="str">
        <f>IF(OR(BASE_DATOS[[#This Row],[Km.]]="",BASE_DATOS[[#This Row],[Km. Actual]]=""),"",BASE_DATOS[[#This Row],[Km. Actual]]-BASE_DATOS[[#This Row],[Km.]]+BASE_DATOS[[#This Row],[Kilómetros Acumulados]])</f>
        <v/>
      </c>
      <c r="AO292" s="177" t="str">
        <f>IFERROR(BASE_DATOS[[#This Row],[Precio US$]]/BASE_DATOS[[#This Row],[Kilómetros Rodados]],"")</f>
        <v/>
      </c>
      <c r="AP292" s="176" t="str">
        <f>IFERROR(BASE_DATOS[[#This Row],[Kilómetros Rodados]]/(BASE_DATOS[[#This Row],[NSK Original]]-BASE_DATOS[[#This Row],[NSK]]),"")</f>
        <v/>
      </c>
      <c r="AQ29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92" s="177" t="str">
        <f>IFERROR(BASE_DATOS[[#This Row],[Precio US$]]/BASE_DATOS[[#This Row],[Kilómetros Proy.]],"")</f>
        <v/>
      </c>
      <c r="AS292" s="167" t="s">
        <v>62</v>
      </c>
      <c r="AT292" s="167"/>
      <c r="AU292" s="167"/>
      <c r="AV292" s="167" t="s">
        <v>515</v>
      </c>
      <c r="AW292" s="179"/>
      <c r="AX292" s="179"/>
      <c r="AY292" s="179" t="str">
        <f>CONCATENATE(BASE_DATOS[[#This Row],[Código_U]]&amp;BASE_DATOS[[#This Row],[Pos.]]&amp;BASE_DATOS[[#This Row],[Situación Actual]])</f>
        <v>TC-1549Rodando</v>
      </c>
    </row>
    <row r="293" spans="1:51" ht="12" x14ac:dyDescent="0.25">
      <c r="A293" s="227" t="s">
        <v>169</v>
      </c>
      <c r="B293" s="217" t="s">
        <v>170</v>
      </c>
      <c r="C293" s="228" t="s">
        <v>296</v>
      </c>
      <c r="D293" s="229" t="s">
        <v>61</v>
      </c>
      <c r="E293" s="255" t="s">
        <v>352</v>
      </c>
      <c r="F293" s="256" t="s">
        <v>71</v>
      </c>
      <c r="G293" s="256" t="s">
        <v>271</v>
      </c>
      <c r="H293" s="257" t="str">
        <f>IF(BASE_DATOS[[#This Row],[N-R]]="N",BASE_DATOS[[#This Row],[Diseño]],"Reencauche")</f>
        <v>KMAXD</v>
      </c>
      <c r="I293" s="256" t="s">
        <v>294</v>
      </c>
      <c r="J293" s="243" t="s">
        <v>72</v>
      </c>
      <c r="K293" s="258">
        <v>22.2</v>
      </c>
      <c r="L293" s="241">
        <v>110</v>
      </c>
      <c r="M293" s="259"/>
      <c r="N293" s="260"/>
      <c r="O293" s="277"/>
      <c r="P293" s="278"/>
      <c r="Q293" s="279"/>
      <c r="R293" s="309" t="s">
        <v>107</v>
      </c>
      <c r="S293" s="310">
        <v>45386</v>
      </c>
      <c r="T293" s="311"/>
      <c r="U293" s="312"/>
      <c r="V293" s="227">
        <v>10</v>
      </c>
      <c r="W293" s="281"/>
      <c r="X293" s="282">
        <v>10</v>
      </c>
      <c r="Y293" s="293">
        <f t="shared" si="12"/>
        <v>10</v>
      </c>
      <c r="Z293" s="175" t="s">
        <v>85</v>
      </c>
      <c r="AA293" s="342">
        <f>IFERROR(BASE_DATOS[[#This Row],[NSK Original]]-BASE_DATOS[[#This Row],[NSK]]," ")</f>
        <v>12.2</v>
      </c>
      <c r="AB293" s="343">
        <f>'NSK-TRACTO'!$A$2</f>
        <v>6</v>
      </c>
      <c r="AC293" s="343">
        <f>IF(BASE_DATOS[[#This Row],[NSK]]&gt;=BASE_DATOS[[#This Row],[NSK Reen]],BASE_DATOS[[#This Row],[NSK Reen]],BASE_DATOS[[#This Row],[NSK]])</f>
        <v>6</v>
      </c>
      <c r="AD293" s="344">
        <f>IFERROR(100%-(BASE_DATOS[[#This Row],[NSK Reen]]/BASE_DATOS[[#This Row],[NSK Original]]),"")</f>
        <v>0.72972972972972971</v>
      </c>
      <c r="AE293" s="344">
        <f>IFERROR(100%-BASE_DATOS[[#This Row],[NSK]]/BASE_DATOS[[#This Row],[NSK Original]],"")</f>
        <v>0.54954954954954949</v>
      </c>
      <c r="AF293" s="344">
        <f>IFERROR(BASE_DATOS[[#This Row],[% Max Des.]]-BASE_DATOS[[#This Row],[% Des]],"")</f>
        <v>0.18018018018018023</v>
      </c>
      <c r="AG293" s="287"/>
      <c r="AH293" s="273"/>
      <c r="AI293" s="363" t="str">
        <f>IF(OR(BASE_DATOS[[#This Row],[Hr.]]="",BASE_DATOS[[#This Row],[Hr. Actual]]=""),"",BASE_DATOS[[#This Row],[Hr. Actual]]-BASE_DATOS[[#This Row],[Hr.]]+BASE_DATOS[[#This Row],[Horas Acumuladas]])</f>
        <v/>
      </c>
      <c r="AJ293" s="364" t="str">
        <f>IFERROR(BASE_DATOS[[#This Row],[Precio US$]]/BASE_DATOS[[#This Row],[Horas Rodadas]],"")</f>
        <v/>
      </c>
      <c r="AK293" s="365" t="str">
        <f>IFERROR(BASE_DATOS[[#This Row],[Horas Rodadas]]/(BASE_DATOS[[#This Row],[NSK Original]]-BASE_DATOS[[#This Row],[NSK]]),"")</f>
        <v/>
      </c>
      <c r="AL29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93" s="366" t="str">
        <f>IFERROR(BASE_DATOS[[#This Row],[Precio US$]]/BASE_DATOS[[#This Row],[Horas Proy.]],"")</f>
        <v/>
      </c>
      <c r="AN293" s="176" t="str">
        <f>IF(OR(BASE_DATOS[[#This Row],[Km.]]="",BASE_DATOS[[#This Row],[Km. Actual]]=""),"",BASE_DATOS[[#This Row],[Km. Actual]]-BASE_DATOS[[#This Row],[Km.]]+BASE_DATOS[[#This Row],[Kilómetros Acumulados]])</f>
        <v/>
      </c>
      <c r="AO293" s="177" t="str">
        <f>IFERROR(BASE_DATOS[[#This Row],[Precio US$]]/BASE_DATOS[[#This Row],[Kilómetros Rodados]],"")</f>
        <v/>
      </c>
      <c r="AP293" s="176" t="str">
        <f>IFERROR(BASE_DATOS[[#This Row],[Kilómetros Rodados]]/(BASE_DATOS[[#This Row],[NSK Original]]-BASE_DATOS[[#This Row],[NSK]]),"")</f>
        <v/>
      </c>
      <c r="AQ29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93" s="177" t="str">
        <f>IFERROR(BASE_DATOS[[#This Row],[Precio US$]]/BASE_DATOS[[#This Row],[Kilómetros Proy.]],"")</f>
        <v/>
      </c>
      <c r="AS293" s="167" t="s">
        <v>62</v>
      </c>
      <c r="AT293" s="167"/>
      <c r="AU293" s="167"/>
      <c r="AV293" s="167" t="s">
        <v>515</v>
      </c>
      <c r="AW293" s="179"/>
      <c r="AX293" s="179"/>
      <c r="AY293" s="179" t="str">
        <f>CONCATENATE(BASE_DATOS[[#This Row],[Código_U]]&amp;BASE_DATOS[[#This Row],[Pos.]]&amp;BASE_DATOS[[#This Row],[Situación Actual]])</f>
        <v>TC-15410Rodando</v>
      </c>
    </row>
    <row r="294" spans="1:51" ht="12" x14ac:dyDescent="0.25">
      <c r="A294" s="224" t="s">
        <v>171</v>
      </c>
      <c r="B294" s="213" t="s">
        <v>172</v>
      </c>
      <c r="C294" s="225" t="s">
        <v>295</v>
      </c>
      <c r="D294" s="226" t="s">
        <v>87</v>
      </c>
      <c r="E294" s="249"/>
      <c r="F294" s="250" t="s">
        <v>97</v>
      </c>
      <c r="G294" s="250" t="s">
        <v>269</v>
      </c>
      <c r="H294" s="251" t="str">
        <f>IF(BASE_DATOS[[#This Row],[N-R]]="N",BASE_DATOS[[#This Row],[Diseño]],"Reencauche")</f>
        <v>AGC28</v>
      </c>
      <c r="I294" s="250" t="s">
        <v>270</v>
      </c>
      <c r="J294" s="235" t="s">
        <v>72</v>
      </c>
      <c r="K294" s="252">
        <v>16.5</v>
      </c>
      <c r="L294" s="250">
        <v>110</v>
      </c>
      <c r="M294" s="253"/>
      <c r="N294" s="254"/>
      <c r="O294" s="274"/>
      <c r="P294" s="275"/>
      <c r="Q294" s="276"/>
      <c r="R294" s="305" t="s">
        <v>98</v>
      </c>
      <c r="S294" s="306">
        <v>45386</v>
      </c>
      <c r="T294" s="314"/>
      <c r="U294" s="276"/>
      <c r="V294" s="224">
        <v>9</v>
      </c>
      <c r="W294" s="325">
        <v>9</v>
      </c>
      <c r="X294" s="326">
        <v>9</v>
      </c>
      <c r="Y294" s="292">
        <f t="shared" si="12"/>
        <v>9</v>
      </c>
      <c r="Z294" s="185" t="s">
        <v>85</v>
      </c>
      <c r="AA294" s="339">
        <f>IFERROR(BASE_DATOS[[#This Row],[NSK Original]]-BASE_DATOS[[#This Row],[NSK]]," ")</f>
        <v>7.5</v>
      </c>
      <c r="AB294" s="340">
        <f>'NSK-TRACTO'!$A$2</f>
        <v>6</v>
      </c>
      <c r="AC294" s="340">
        <f>IF(BASE_DATOS[[#This Row],[NSK]]&gt;=BASE_DATOS[[#This Row],[NSK Reen]],BASE_DATOS[[#This Row],[NSK Reen]],BASE_DATOS[[#This Row],[NSK]])</f>
        <v>6</v>
      </c>
      <c r="AD294" s="341">
        <f>IFERROR(100%-(BASE_DATOS[[#This Row],[NSK Reen]]/BASE_DATOS[[#This Row],[NSK Original]]),"")</f>
        <v>0.63636363636363635</v>
      </c>
      <c r="AE294" s="341">
        <f>IFERROR(100%-BASE_DATOS[[#This Row],[NSK]]/BASE_DATOS[[#This Row],[NSK Original]],"")</f>
        <v>0.45454545454545459</v>
      </c>
      <c r="AF294" s="341">
        <f>IFERROR(BASE_DATOS[[#This Row],[% Max Des.]]-BASE_DATOS[[#This Row],[% Des]],"")</f>
        <v>0.18181818181818177</v>
      </c>
      <c r="AG294" s="284"/>
      <c r="AH294" s="335"/>
      <c r="AI294" s="359" t="str">
        <f>IF(OR(BASE_DATOS[[#This Row],[Hr.]]="",BASE_DATOS[[#This Row],[Hr. Actual]]=""),"",BASE_DATOS[[#This Row],[Hr. Actual]]-BASE_DATOS[[#This Row],[Hr.]]+BASE_DATOS[[#This Row],[Horas Acumuladas]])</f>
        <v/>
      </c>
      <c r="AJ294" s="360" t="str">
        <f>IFERROR(BASE_DATOS[[#This Row],[Precio US$]]/BASE_DATOS[[#This Row],[Horas Rodadas]],"")</f>
        <v/>
      </c>
      <c r="AK294" s="361" t="str">
        <f>IFERROR(BASE_DATOS[[#This Row],[Horas Rodadas]]/(BASE_DATOS[[#This Row],[NSK Original]]-BASE_DATOS[[#This Row],[NSK]]),"")</f>
        <v/>
      </c>
      <c r="AL294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94" s="362" t="str">
        <f>IFERROR(BASE_DATOS[[#This Row],[Precio US$]]/BASE_DATOS[[#This Row],[Horas Proy.]],"")</f>
        <v/>
      </c>
      <c r="AN294" s="195" t="str">
        <f>IF(OR(BASE_DATOS[[#This Row],[Km.]]="",BASE_DATOS[[#This Row],[Km. Actual]]=""),"",BASE_DATOS[[#This Row],[Km. Actual]]-BASE_DATOS[[#This Row],[Km.]]+BASE_DATOS[[#This Row],[Kilómetros Acumulados]])</f>
        <v/>
      </c>
      <c r="AO294" s="196" t="str">
        <f>IFERROR(BASE_DATOS[[#This Row],[Precio US$]]/BASE_DATOS[[#This Row],[Kilómetros Rodados]],"")</f>
        <v/>
      </c>
      <c r="AP294" s="195" t="str">
        <f>IFERROR(BASE_DATOS[[#This Row],[Kilómetros Rodados]]/(BASE_DATOS[[#This Row],[NSK Original]]-BASE_DATOS[[#This Row],[NSK]]),"")</f>
        <v/>
      </c>
      <c r="AQ294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94" s="196" t="str">
        <f>IFERROR(BASE_DATOS[[#This Row],[Precio US$]]/BASE_DATOS[[#This Row],[Kilómetros Proy.]],"")</f>
        <v/>
      </c>
      <c r="AS294" s="191" t="s">
        <v>62</v>
      </c>
      <c r="AT294" s="191"/>
      <c r="AU294" s="191"/>
      <c r="AV294" s="191"/>
      <c r="AW294" s="198"/>
      <c r="AX294" s="198"/>
      <c r="AY294" s="198" t="str">
        <f>CONCATENATE(BASE_DATOS[[#This Row],[Código_U]]&amp;BASE_DATOS[[#This Row],[Pos.]]&amp;BASE_DATOS[[#This Row],[Situación Actual]])</f>
        <v>SR-1541Rodando</v>
      </c>
    </row>
    <row r="295" spans="1:51" ht="12" x14ac:dyDescent="0.25">
      <c r="A295" s="227" t="s">
        <v>171</v>
      </c>
      <c r="B295" s="217" t="s">
        <v>172</v>
      </c>
      <c r="C295" s="228" t="s">
        <v>295</v>
      </c>
      <c r="D295" s="229" t="s">
        <v>87</v>
      </c>
      <c r="E295" s="255"/>
      <c r="F295" s="256" t="s">
        <v>71</v>
      </c>
      <c r="G295" s="256" t="s">
        <v>269</v>
      </c>
      <c r="H295" s="257" t="str">
        <f>IF(BASE_DATOS[[#This Row],[N-R]]="N",BASE_DATOS[[#This Row],[Diseño]],"Reencauche")</f>
        <v>Reencauche</v>
      </c>
      <c r="I295" s="256" t="s">
        <v>275</v>
      </c>
      <c r="J295" s="243" t="s">
        <v>82</v>
      </c>
      <c r="K295" s="258">
        <v>19</v>
      </c>
      <c r="L295" s="256">
        <v>110</v>
      </c>
      <c r="M295" s="259"/>
      <c r="N295" s="260"/>
      <c r="O295" s="277"/>
      <c r="P295" s="278"/>
      <c r="Q295" s="279"/>
      <c r="R295" s="309" t="s">
        <v>99</v>
      </c>
      <c r="S295" s="310">
        <v>45386</v>
      </c>
      <c r="T295" s="313"/>
      <c r="U295" s="279"/>
      <c r="V295" s="227">
        <v>12</v>
      </c>
      <c r="W295" s="281">
        <v>12</v>
      </c>
      <c r="X295" s="282">
        <v>12</v>
      </c>
      <c r="Y295" s="293">
        <f t="shared" si="12"/>
        <v>12</v>
      </c>
      <c r="Z295" s="161" t="s">
        <v>85</v>
      </c>
      <c r="AA295" s="342">
        <f>IFERROR(BASE_DATOS[[#This Row],[NSK Original]]-BASE_DATOS[[#This Row],[NSK]]," ")</f>
        <v>7</v>
      </c>
      <c r="AB295" s="343">
        <f>'NSK-TRACTO'!$A$2</f>
        <v>6</v>
      </c>
      <c r="AC295" s="343">
        <f>IF(BASE_DATOS[[#This Row],[NSK]]&gt;=BASE_DATOS[[#This Row],[NSK Reen]],BASE_DATOS[[#This Row],[NSK Reen]],BASE_DATOS[[#This Row],[NSK]])</f>
        <v>6</v>
      </c>
      <c r="AD295" s="344">
        <f>IFERROR(100%-(BASE_DATOS[[#This Row],[NSK Reen]]/BASE_DATOS[[#This Row],[NSK Original]]),"")</f>
        <v>0.68421052631578949</v>
      </c>
      <c r="AE295" s="344">
        <f>IFERROR(100%-BASE_DATOS[[#This Row],[NSK]]/BASE_DATOS[[#This Row],[NSK Original]],"")</f>
        <v>0.36842105263157898</v>
      </c>
      <c r="AF295" s="344">
        <f>IFERROR(BASE_DATOS[[#This Row],[% Max Des.]]-BASE_DATOS[[#This Row],[% Des]],"")</f>
        <v>0.31578947368421051</v>
      </c>
      <c r="AG295" s="287"/>
      <c r="AH295" s="273"/>
      <c r="AI295" s="363" t="str">
        <f>IF(OR(BASE_DATOS[[#This Row],[Hr.]]="",BASE_DATOS[[#This Row],[Hr. Actual]]=""),"",BASE_DATOS[[#This Row],[Hr. Actual]]-BASE_DATOS[[#This Row],[Hr.]]+BASE_DATOS[[#This Row],[Horas Acumuladas]])</f>
        <v/>
      </c>
      <c r="AJ295" s="364" t="str">
        <f>IFERROR(BASE_DATOS[[#This Row],[Precio US$]]/BASE_DATOS[[#This Row],[Horas Rodadas]],"")</f>
        <v/>
      </c>
      <c r="AK295" s="365" t="str">
        <f>IFERROR(BASE_DATOS[[#This Row],[Horas Rodadas]]/(BASE_DATOS[[#This Row],[NSK Original]]-BASE_DATOS[[#This Row],[NSK]]),"")</f>
        <v/>
      </c>
      <c r="AL29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95" s="366" t="str">
        <f>IFERROR(BASE_DATOS[[#This Row],[Precio US$]]/BASE_DATOS[[#This Row],[Horas Proy.]],"")</f>
        <v/>
      </c>
      <c r="AN295" s="176" t="str">
        <f>IF(OR(BASE_DATOS[[#This Row],[Km.]]="",BASE_DATOS[[#This Row],[Km. Actual]]=""),"",BASE_DATOS[[#This Row],[Km. Actual]]-BASE_DATOS[[#This Row],[Km.]]+BASE_DATOS[[#This Row],[Kilómetros Acumulados]])</f>
        <v/>
      </c>
      <c r="AO295" s="177" t="str">
        <f>IFERROR(BASE_DATOS[[#This Row],[Precio US$]]/BASE_DATOS[[#This Row],[Kilómetros Rodados]],"")</f>
        <v/>
      </c>
      <c r="AP295" s="176" t="str">
        <f>IFERROR(BASE_DATOS[[#This Row],[Kilómetros Rodados]]/(BASE_DATOS[[#This Row],[NSK Original]]-BASE_DATOS[[#This Row],[NSK]]),"")</f>
        <v/>
      </c>
      <c r="AQ29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95" s="177" t="str">
        <f>IFERROR(BASE_DATOS[[#This Row],[Precio US$]]/BASE_DATOS[[#This Row],[Kilómetros Proy.]],"")</f>
        <v/>
      </c>
      <c r="AS295" s="167" t="s">
        <v>62</v>
      </c>
      <c r="AT295" s="167"/>
      <c r="AU295" s="167"/>
      <c r="AV295" s="167"/>
      <c r="AW295" s="179"/>
      <c r="AX295" s="179"/>
      <c r="AY295" s="179" t="str">
        <f>CONCATENATE(BASE_DATOS[[#This Row],[Código_U]]&amp;BASE_DATOS[[#This Row],[Pos.]]&amp;BASE_DATOS[[#This Row],[Situación Actual]])</f>
        <v>SR-1542Rodando</v>
      </c>
    </row>
    <row r="296" spans="1:51" ht="12" x14ac:dyDescent="0.25">
      <c r="A296" s="227" t="s">
        <v>171</v>
      </c>
      <c r="B296" s="217" t="s">
        <v>172</v>
      </c>
      <c r="C296" s="228" t="s">
        <v>295</v>
      </c>
      <c r="D296" s="229" t="s">
        <v>87</v>
      </c>
      <c r="E296" s="255"/>
      <c r="F296" s="256" t="s">
        <v>97</v>
      </c>
      <c r="G296" s="256" t="s">
        <v>269</v>
      </c>
      <c r="H296" s="257" t="str">
        <f>IF(BASE_DATOS[[#This Row],[N-R]]="N",BASE_DATOS[[#This Row],[Diseño]],"Reencauche")</f>
        <v>AGC28</v>
      </c>
      <c r="I296" s="256" t="s">
        <v>270</v>
      </c>
      <c r="J296" s="243" t="s">
        <v>72</v>
      </c>
      <c r="K296" s="258">
        <v>16.5</v>
      </c>
      <c r="L296" s="256">
        <v>110</v>
      </c>
      <c r="M296" s="259"/>
      <c r="N296" s="260"/>
      <c r="O296" s="277"/>
      <c r="P296" s="278"/>
      <c r="Q296" s="279"/>
      <c r="R296" s="309" t="s">
        <v>100</v>
      </c>
      <c r="S296" s="310">
        <v>45386</v>
      </c>
      <c r="T296" s="313"/>
      <c r="U296" s="279"/>
      <c r="V296" s="227">
        <v>10</v>
      </c>
      <c r="W296" s="281">
        <v>10</v>
      </c>
      <c r="X296" s="282">
        <v>10</v>
      </c>
      <c r="Y296" s="293">
        <f t="shared" si="12"/>
        <v>10</v>
      </c>
      <c r="Z296" s="161" t="s">
        <v>85</v>
      </c>
      <c r="AA296" s="342">
        <f>IFERROR(BASE_DATOS[[#This Row],[NSK Original]]-BASE_DATOS[[#This Row],[NSK]]," ")</f>
        <v>6.5</v>
      </c>
      <c r="AB296" s="343">
        <f>'NSK-TRACTO'!$A$2</f>
        <v>6</v>
      </c>
      <c r="AC296" s="343">
        <f>IF(BASE_DATOS[[#This Row],[NSK]]&gt;=BASE_DATOS[[#This Row],[NSK Reen]],BASE_DATOS[[#This Row],[NSK Reen]],BASE_DATOS[[#This Row],[NSK]])</f>
        <v>6</v>
      </c>
      <c r="AD296" s="344">
        <f>IFERROR(100%-(BASE_DATOS[[#This Row],[NSK Reen]]/BASE_DATOS[[#This Row],[NSK Original]]),"")</f>
        <v>0.63636363636363635</v>
      </c>
      <c r="AE296" s="344">
        <f>IFERROR(100%-BASE_DATOS[[#This Row],[NSK]]/BASE_DATOS[[#This Row],[NSK Original]],"")</f>
        <v>0.39393939393939392</v>
      </c>
      <c r="AF296" s="344">
        <f>IFERROR(BASE_DATOS[[#This Row],[% Max Des.]]-BASE_DATOS[[#This Row],[% Des]],"")</f>
        <v>0.24242424242424243</v>
      </c>
      <c r="AG296" s="287"/>
      <c r="AH296" s="273"/>
      <c r="AI296" s="363" t="str">
        <f>IF(OR(BASE_DATOS[[#This Row],[Hr.]]="",BASE_DATOS[[#This Row],[Hr. Actual]]=""),"",BASE_DATOS[[#This Row],[Hr. Actual]]-BASE_DATOS[[#This Row],[Hr.]]+BASE_DATOS[[#This Row],[Horas Acumuladas]])</f>
        <v/>
      </c>
      <c r="AJ296" s="364" t="str">
        <f>IFERROR(BASE_DATOS[[#This Row],[Precio US$]]/BASE_DATOS[[#This Row],[Horas Rodadas]],"")</f>
        <v/>
      </c>
      <c r="AK296" s="365" t="str">
        <f>IFERROR(BASE_DATOS[[#This Row],[Horas Rodadas]]/(BASE_DATOS[[#This Row],[NSK Original]]-BASE_DATOS[[#This Row],[NSK]]),"")</f>
        <v/>
      </c>
      <c r="AL29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96" s="366" t="str">
        <f>IFERROR(BASE_DATOS[[#This Row],[Precio US$]]/BASE_DATOS[[#This Row],[Horas Proy.]],"")</f>
        <v/>
      </c>
      <c r="AN296" s="176" t="str">
        <f>IF(OR(BASE_DATOS[[#This Row],[Km.]]="",BASE_DATOS[[#This Row],[Km. Actual]]=""),"",BASE_DATOS[[#This Row],[Km. Actual]]-BASE_DATOS[[#This Row],[Km.]]+BASE_DATOS[[#This Row],[Kilómetros Acumulados]])</f>
        <v/>
      </c>
      <c r="AO296" s="177" t="str">
        <f>IFERROR(BASE_DATOS[[#This Row],[Precio US$]]/BASE_DATOS[[#This Row],[Kilómetros Rodados]],"")</f>
        <v/>
      </c>
      <c r="AP296" s="176" t="str">
        <f>IFERROR(BASE_DATOS[[#This Row],[Kilómetros Rodados]]/(BASE_DATOS[[#This Row],[NSK Original]]-BASE_DATOS[[#This Row],[NSK]]),"")</f>
        <v/>
      </c>
      <c r="AQ29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96" s="177" t="str">
        <f>IFERROR(BASE_DATOS[[#This Row],[Precio US$]]/BASE_DATOS[[#This Row],[Kilómetros Proy.]],"")</f>
        <v/>
      </c>
      <c r="AS296" s="167" t="s">
        <v>62</v>
      </c>
      <c r="AT296" s="167"/>
      <c r="AU296" s="167"/>
      <c r="AV296" s="167"/>
      <c r="AW296" s="179"/>
      <c r="AX296" s="179"/>
      <c r="AY296" s="179" t="str">
        <f>CONCATENATE(BASE_DATOS[[#This Row],[Código_U]]&amp;BASE_DATOS[[#This Row],[Pos.]]&amp;BASE_DATOS[[#This Row],[Situación Actual]])</f>
        <v>SR-1543Rodando</v>
      </c>
    </row>
    <row r="297" spans="1:51" ht="12" x14ac:dyDescent="0.25">
      <c r="A297" s="227" t="s">
        <v>171</v>
      </c>
      <c r="B297" s="217" t="s">
        <v>172</v>
      </c>
      <c r="C297" s="228" t="s">
        <v>295</v>
      </c>
      <c r="D297" s="229" t="s">
        <v>87</v>
      </c>
      <c r="E297" s="255"/>
      <c r="F297" s="256" t="s">
        <v>97</v>
      </c>
      <c r="G297" s="256" t="s">
        <v>269</v>
      </c>
      <c r="H297" s="257" t="str">
        <f>IF(BASE_DATOS[[#This Row],[N-R]]="N",BASE_DATOS[[#This Row],[Diseño]],"Reencauche")</f>
        <v>AGC28</v>
      </c>
      <c r="I297" s="256" t="s">
        <v>270</v>
      </c>
      <c r="J297" s="243" t="s">
        <v>72</v>
      </c>
      <c r="K297" s="258">
        <v>16.5</v>
      </c>
      <c r="L297" s="256">
        <v>110</v>
      </c>
      <c r="M297" s="259"/>
      <c r="N297" s="260"/>
      <c r="O297" s="277"/>
      <c r="P297" s="278"/>
      <c r="Q297" s="279"/>
      <c r="R297" s="309" t="s">
        <v>101</v>
      </c>
      <c r="S297" s="310">
        <v>45386</v>
      </c>
      <c r="T297" s="313"/>
      <c r="U297" s="279"/>
      <c r="V297" s="227">
        <v>12</v>
      </c>
      <c r="W297" s="281">
        <v>10</v>
      </c>
      <c r="X297" s="282">
        <v>10</v>
      </c>
      <c r="Y297" s="293">
        <f t="shared" si="12"/>
        <v>10</v>
      </c>
      <c r="Z297" s="161" t="s">
        <v>85</v>
      </c>
      <c r="AA297" s="342">
        <f>IFERROR(BASE_DATOS[[#This Row],[NSK Original]]-BASE_DATOS[[#This Row],[NSK]]," ")</f>
        <v>6.5</v>
      </c>
      <c r="AB297" s="343">
        <f>'NSK-TRACTO'!$A$2</f>
        <v>6</v>
      </c>
      <c r="AC297" s="343">
        <f>IF(BASE_DATOS[[#This Row],[NSK]]&gt;=BASE_DATOS[[#This Row],[NSK Reen]],BASE_DATOS[[#This Row],[NSK Reen]],BASE_DATOS[[#This Row],[NSK]])</f>
        <v>6</v>
      </c>
      <c r="AD297" s="344">
        <f>IFERROR(100%-(BASE_DATOS[[#This Row],[NSK Reen]]/BASE_DATOS[[#This Row],[NSK Original]]),"")</f>
        <v>0.63636363636363635</v>
      </c>
      <c r="AE297" s="344">
        <f>IFERROR(100%-BASE_DATOS[[#This Row],[NSK]]/BASE_DATOS[[#This Row],[NSK Original]],"")</f>
        <v>0.39393939393939392</v>
      </c>
      <c r="AF297" s="344">
        <f>IFERROR(BASE_DATOS[[#This Row],[% Max Des.]]-BASE_DATOS[[#This Row],[% Des]],"")</f>
        <v>0.24242424242424243</v>
      </c>
      <c r="AG297" s="287"/>
      <c r="AH297" s="273"/>
      <c r="AI297" s="363" t="str">
        <f>IF(OR(BASE_DATOS[[#This Row],[Hr.]]="",BASE_DATOS[[#This Row],[Hr. Actual]]=""),"",BASE_DATOS[[#This Row],[Hr. Actual]]-BASE_DATOS[[#This Row],[Hr.]]+BASE_DATOS[[#This Row],[Horas Acumuladas]])</f>
        <v/>
      </c>
      <c r="AJ297" s="364" t="str">
        <f>IFERROR(BASE_DATOS[[#This Row],[Precio US$]]/BASE_DATOS[[#This Row],[Horas Rodadas]],"")</f>
        <v/>
      </c>
      <c r="AK297" s="365" t="str">
        <f>IFERROR(BASE_DATOS[[#This Row],[Horas Rodadas]]/(BASE_DATOS[[#This Row],[NSK Original]]-BASE_DATOS[[#This Row],[NSK]]),"")</f>
        <v/>
      </c>
      <c r="AL29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97" s="366" t="str">
        <f>IFERROR(BASE_DATOS[[#This Row],[Precio US$]]/BASE_DATOS[[#This Row],[Horas Proy.]],"")</f>
        <v/>
      </c>
      <c r="AN297" s="176" t="str">
        <f>IF(OR(BASE_DATOS[[#This Row],[Km.]]="",BASE_DATOS[[#This Row],[Km. Actual]]=""),"",BASE_DATOS[[#This Row],[Km. Actual]]-BASE_DATOS[[#This Row],[Km.]]+BASE_DATOS[[#This Row],[Kilómetros Acumulados]])</f>
        <v/>
      </c>
      <c r="AO297" s="177" t="str">
        <f>IFERROR(BASE_DATOS[[#This Row],[Precio US$]]/BASE_DATOS[[#This Row],[Kilómetros Rodados]],"")</f>
        <v/>
      </c>
      <c r="AP297" s="176" t="str">
        <f>IFERROR(BASE_DATOS[[#This Row],[Kilómetros Rodados]]/(BASE_DATOS[[#This Row],[NSK Original]]-BASE_DATOS[[#This Row],[NSK]]),"")</f>
        <v/>
      </c>
      <c r="AQ29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97" s="177" t="str">
        <f>IFERROR(BASE_DATOS[[#This Row],[Precio US$]]/BASE_DATOS[[#This Row],[Kilómetros Proy.]],"")</f>
        <v/>
      </c>
      <c r="AS297" s="167" t="s">
        <v>62</v>
      </c>
      <c r="AT297" s="167"/>
      <c r="AU297" s="167"/>
      <c r="AV297" s="167"/>
      <c r="AW297" s="169"/>
      <c r="AX297" s="179"/>
      <c r="AY297" s="179" t="str">
        <f>CONCATENATE(BASE_DATOS[[#This Row],[Código_U]]&amp;BASE_DATOS[[#This Row],[Pos.]]&amp;BASE_DATOS[[#This Row],[Situación Actual]])</f>
        <v>SR-1544Rodando</v>
      </c>
    </row>
    <row r="298" spans="1:51" ht="12" x14ac:dyDescent="0.25">
      <c r="A298" s="227" t="s">
        <v>171</v>
      </c>
      <c r="B298" s="217" t="s">
        <v>172</v>
      </c>
      <c r="C298" s="228" t="s">
        <v>295</v>
      </c>
      <c r="D298" s="229" t="s">
        <v>87</v>
      </c>
      <c r="E298" s="255"/>
      <c r="F298" s="256" t="s">
        <v>97</v>
      </c>
      <c r="G298" s="256" t="s">
        <v>269</v>
      </c>
      <c r="H298" s="257" t="str">
        <f>IF(BASE_DATOS[[#This Row],[N-R]]="N",BASE_DATOS[[#This Row],[Diseño]],"Reencauche")</f>
        <v>AGC28</v>
      </c>
      <c r="I298" s="256" t="s">
        <v>270</v>
      </c>
      <c r="J298" s="243" t="s">
        <v>72</v>
      </c>
      <c r="K298" s="258">
        <v>16.5</v>
      </c>
      <c r="L298" s="256">
        <v>110</v>
      </c>
      <c r="M298" s="259"/>
      <c r="N298" s="260"/>
      <c r="O298" s="277"/>
      <c r="P298" s="278"/>
      <c r="Q298" s="279"/>
      <c r="R298" s="309" t="s">
        <v>102</v>
      </c>
      <c r="S298" s="310">
        <v>45386</v>
      </c>
      <c r="T298" s="313"/>
      <c r="U298" s="279"/>
      <c r="V298" s="227">
        <v>13</v>
      </c>
      <c r="W298" s="281">
        <v>13</v>
      </c>
      <c r="X298" s="282">
        <v>13</v>
      </c>
      <c r="Y298" s="293">
        <f t="shared" si="12"/>
        <v>13</v>
      </c>
      <c r="Z298" s="161" t="s">
        <v>85</v>
      </c>
      <c r="AA298" s="342">
        <f>IFERROR(BASE_DATOS[[#This Row],[NSK Original]]-BASE_DATOS[[#This Row],[NSK]]," ")</f>
        <v>3.5</v>
      </c>
      <c r="AB298" s="343">
        <f>'NSK-TRACTO'!$A$2</f>
        <v>6</v>
      </c>
      <c r="AC298" s="343">
        <f>IF(BASE_DATOS[[#This Row],[NSK]]&gt;=BASE_DATOS[[#This Row],[NSK Reen]],BASE_DATOS[[#This Row],[NSK Reen]],BASE_DATOS[[#This Row],[NSK]])</f>
        <v>6</v>
      </c>
      <c r="AD298" s="344">
        <f>IFERROR(100%-(BASE_DATOS[[#This Row],[NSK Reen]]/BASE_DATOS[[#This Row],[NSK Original]]),"")</f>
        <v>0.63636363636363635</v>
      </c>
      <c r="AE298" s="344">
        <f>IFERROR(100%-BASE_DATOS[[#This Row],[NSK]]/BASE_DATOS[[#This Row],[NSK Original]],"")</f>
        <v>0.21212121212121215</v>
      </c>
      <c r="AF298" s="344">
        <f>IFERROR(BASE_DATOS[[#This Row],[% Max Des.]]-BASE_DATOS[[#This Row],[% Des]],"")</f>
        <v>0.4242424242424242</v>
      </c>
      <c r="AG298" s="287"/>
      <c r="AH298" s="273"/>
      <c r="AI298" s="363" t="str">
        <f>IF(OR(BASE_DATOS[[#This Row],[Hr.]]="",BASE_DATOS[[#This Row],[Hr. Actual]]=""),"",BASE_DATOS[[#This Row],[Hr. Actual]]-BASE_DATOS[[#This Row],[Hr.]]+BASE_DATOS[[#This Row],[Horas Acumuladas]])</f>
        <v/>
      </c>
      <c r="AJ298" s="364" t="str">
        <f>IFERROR(BASE_DATOS[[#This Row],[Precio US$]]/BASE_DATOS[[#This Row],[Horas Rodadas]],"")</f>
        <v/>
      </c>
      <c r="AK298" s="365" t="str">
        <f>IFERROR(BASE_DATOS[[#This Row],[Horas Rodadas]]/(BASE_DATOS[[#This Row],[NSK Original]]-BASE_DATOS[[#This Row],[NSK]]),"")</f>
        <v/>
      </c>
      <c r="AL29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98" s="366" t="str">
        <f>IFERROR(BASE_DATOS[[#This Row],[Precio US$]]/BASE_DATOS[[#This Row],[Horas Proy.]],"")</f>
        <v/>
      </c>
      <c r="AN298" s="176" t="str">
        <f>IF(OR(BASE_DATOS[[#This Row],[Km.]]="",BASE_DATOS[[#This Row],[Km. Actual]]=""),"",BASE_DATOS[[#This Row],[Km. Actual]]-BASE_DATOS[[#This Row],[Km.]]+BASE_DATOS[[#This Row],[Kilómetros Acumulados]])</f>
        <v/>
      </c>
      <c r="AO298" s="177" t="str">
        <f>IFERROR(BASE_DATOS[[#This Row],[Precio US$]]/BASE_DATOS[[#This Row],[Kilómetros Rodados]],"")</f>
        <v/>
      </c>
      <c r="AP298" s="176" t="str">
        <f>IFERROR(BASE_DATOS[[#This Row],[Kilómetros Rodados]]/(BASE_DATOS[[#This Row],[NSK Original]]-BASE_DATOS[[#This Row],[NSK]]),"")</f>
        <v/>
      </c>
      <c r="AQ29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98" s="177" t="str">
        <f>IFERROR(BASE_DATOS[[#This Row],[Precio US$]]/BASE_DATOS[[#This Row],[Kilómetros Proy.]],"")</f>
        <v/>
      </c>
      <c r="AS298" s="167" t="s">
        <v>62</v>
      </c>
      <c r="AT298" s="167"/>
      <c r="AU298" s="167"/>
      <c r="AV298" s="167"/>
      <c r="AW298" s="179"/>
      <c r="AX298" s="179"/>
      <c r="AY298" s="179" t="str">
        <f>CONCATENATE(BASE_DATOS[[#This Row],[Código_U]]&amp;BASE_DATOS[[#This Row],[Pos.]]&amp;BASE_DATOS[[#This Row],[Situación Actual]])</f>
        <v>SR-1545Rodando</v>
      </c>
    </row>
    <row r="299" spans="1:51" ht="12" x14ac:dyDescent="0.25">
      <c r="A299" s="227" t="s">
        <v>171</v>
      </c>
      <c r="B299" s="217" t="s">
        <v>172</v>
      </c>
      <c r="C299" s="228" t="s">
        <v>295</v>
      </c>
      <c r="D299" s="229" t="s">
        <v>87</v>
      </c>
      <c r="E299" s="255"/>
      <c r="F299" s="256" t="s">
        <v>97</v>
      </c>
      <c r="G299" s="256" t="s">
        <v>269</v>
      </c>
      <c r="H299" s="257" t="str">
        <f>IF(BASE_DATOS[[#This Row],[N-R]]="N",BASE_DATOS[[#This Row],[Diseño]],"Reencauche")</f>
        <v>AGC28</v>
      </c>
      <c r="I299" s="256" t="s">
        <v>270</v>
      </c>
      <c r="J299" s="243" t="s">
        <v>72</v>
      </c>
      <c r="K299" s="258">
        <v>16.5</v>
      </c>
      <c r="L299" s="256">
        <v>110</v>
      </c>
      <c r="M299" s="259"/>
      <c r="N299" s="260"/>
      <c r="O299" s="277"/>
      <c r="P299" s="278"/>
      <c r="Q299" s="279"/>
      <c r="R299" s="309" t="s">
        <v>103</v>
      </c>
      <c r="S299" s="310">
        <v>45386</v>
      </c>
      <c r="T299" s="313"/>
      <c r="U299" s="279"/>
      <c r="V299" s="227">
        <v>13</v>
      </c>
      <c r="W299" s="281">
        <v>13</v>
      </c>
      <c r="X299" s="282">
        <v>13</v>
      </c>
      <c r="Y299" s="293">
        <f t="shared" si="12"/>
        <v>13</v>
      </c>
      <c r="Z299" s="161" t="s">
        <v>85</v>
      </c>
      <c r="AA299" s="342">
        <f>IFERROR(BASE_DATOS[[#This Row],[NSK Original]]-BASE_DATOS[[#This Row],[NSK]]," ")</f>
        <v>3.5</v>
      </c>
      <c r="AB299" s="343">
        <f>'NSK-TRACTO'!$A$2</f>
        <v>6</v>
      </c>
      <c r="AC299" s="343">
        <f>IF(BASE_DATOS[[#This Row],[NSK]]&gt;=BASE_DATOS[[#This Row],[NSK Reen]],BASE_DATOS[[#This Row],[NSK Reen]],BASE_DATOS[[#This Row],[NSK]])</f>
        <v>6</v>
      </c>
      <c r="AD299" s="344">
        <f>IFERROR(100%-(BASE_DATOS[[#This Row],[NSK Reen]]/BASE_DATOS[[#This Row],[NSK Original]]),"")</f>
        <v>0.63636363636363635</v>
      </c>
      <c r="AE299" s="344">
        <f>IFERROR(100%-BASE_DATOS[[#This Row],[NSK]]/BASE_DATOS[[#This Row],[NSK Original]],"")</f>
        <v>0.21212121212121215</v>
      </c>
      <c r="AF299" s="344">
        <f>IFERROR(BASE_DATOS[[#This Row],[% Max Des.]]-BASE_DATOS[[#This Row],[% Des]],"")</f>
        <v>0.4242424242424242</v>
      </c>
      <c r="AG299" s="287"/>
      <c r="AH299" s="273"/>
      <c r="AI299" s="363" t="str">
        <f>IF(OR(BASE_DATOS[[#This Row],[Hr.]]="",BASE_DATOS[[#This Row],[Hr. Actual]]=""),"",BASE_DATOS[[#This Row],[Hr. Actual]]-BASE_DATOS[[#This Row],[Hr.]]+BASE_DATOS[[#This Row],[Horas Acumuladas]])</f>
        <v/>
      </c>
      <c r="AJ299" s="364" t="str">
        <f>IFERROR(BASE_DATOS[[#This Row],[Precio US$]]/BASE_DATOS[[#This Row],[Horas Rodadas]],"")</f>
        <v/>
      </c>
      <c r="AK299" s="365" t="str">
        <f>IFERROR(BASE_DATOS[[#This Row],[Horas Rodadas]]/(BASE_DATOS[[#This Row],[NSK Original]]-BASE_DATOS[[#This Row],[NSK]]),"")</f>
        <v/>
      </c>
      <c r="AL29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299" s="366" t="str">
        <f>IFERROR(BASE_DATOS[[#This Row],[Precio US$]]/BASE_DATOS[[#This Row],[Horas Proy.]],"")</f>
        <v/>
      </c>
      <c r="AN299" s="176" t="str">
        <f>IF(OR(BASE_DATOS[[#This Row],[Km.]]="",BASE_DATOS[[#This Row],[Km. Actual]]=""),"",BASE_DATOS[[#This Row],[Km. Actual]]-BASE_DATOS[[#This Row],[Km.]]+BASE_DATOS[[#This Row],[Kilómetros Acumulados]])</f>
        <v/>
      </c>
      <c r="AO299" s="177" t="str">
        <f>IFERROR(BASE_DATOS[[#This Row],[Precio US$]]/BASE_DATOS[[#This Row],[Kilómetros Rodados]],"")</f>
        <v/>
      </c>
      <c r="AP299" s="176" t="str">
        <f>IFERROR(BASE_DATOS[[#This Row],[Kilómetros Rodados]]/(BASE_DATOS[[#This Row],[NSK Original]]-BASE_DATOS[[#This Row],[NSK]]),"")</f>
        <v/>
      </c>
      <c r="AQ29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299" s="177" t="str">
        <f>IFERROR(BASE_DATOS[[#This Row],[Precio US$]]/BASE_DATOS[[#This Row],[Kilómetros Proy.]],"")</f>
        <v/>
      </c>
      <c r="AS299" s="167" t="s">
        <v>62</v>
      </c>
      <c r="AT299" s="167"/>
      <c r="AU299" s="167"/>
      <c r="AV299" s="167"/>
      <c r="AW299" s="179"/>
      <c r="AX299" s="179"/>
      <c r="AY299" s="179" t="str">
        <f>CONCATENATE(BASE_DATOS[[#This Row],[Código_U]]&amp;BASE_DATOS[[#This Row],[Pos.]]&amp;BASE_DATOS[[#This Row],[Situación Actual]])</f>
        <v>SR-1546Rodando</v>
      </c>
    </row>
    <row r="300" spans="1:51" ht="12" x14ac:dyDescent="0.25">
      <c r="A300" s="227" t="s">
        <v>171</v>
      </c>
      <c r="B300" s="217" t="s">
        <v>172</v>
      </c>
      <c r="C300" s="228" t="s">
        <v>295</v>
      </c>
      <c r="D300" s="229" t="s">
        <v>384</v>
      </c>
      <c r="E300" s="255"/>
      <c r="F300" s="256" t="s">
        <v>97</v>
      </c>
      <c r="G300" s="256" t="s">
        <v>269</v>
      </c>
      <c r="H300" s="257" t="str">
        <f>IF(BASE_DATOS[[#This Row],[N-R]]="N",BASE_DATOS[[#This Row],[Diseño]],"Reencauche")</f>
        <v>AGC28</v>
      </c>
      <c r="I300" s="256" t="s">
        <v>270</v>
      </c>
      <c r="J300" s="243" t="s">
        <v>72</v>
      </c>
      <c r="K300" s="258">
        <v>16.5</v>
      </c>
      <c r="L300" s="256">
        <v>110</v>
      </c>
      <c r="M300" s="259"/>
      <c r="N300" s="260"/>
      <c r="O300" s="277"/>
      <c r="P300" s="278"/>
      <c r="Q300" s="279"/>
      <c r="R300" s="309" t="s">
        <v>509</v>
      </c>
      <c r="S300" s="310">
        <v>45386</v>
      </c>
      <c r="T300" s="313"/>
      <c r="U300" s="279"/>
      <c r="V300" s="227">
        <v>10</v>
      </c>
      <c r="W300" s="281">
        <v>10</v>
      </c>
      <c r="X300" s="282">
        <v>10</v>
      </c>
      <c r="Y300" s="293">
        <f t="shared" si="12"/>
        <v>10</v>
      </c>
      <c r="Z300" s="161" t="s">
        <v>385</v>
      </c>
      <c r="AA300" s="342">
        <f>IFERROR(BASE_DATOS[[#This Row],[NSK Original]]-BASE_DATOS[[#This Row],[NSK]]," ")</f>
        <v>6.5</v>
      </c>
      <c r="AB300" s="343">
        <f>'NSK-TRACTO'!$A$2</f>
        <v>6</v>
      </c>
      <c r="AC300" s="343">
        <f>IF(BASE_DATOS[[#This Row],[NSK]]&gt;=BASE_DATOS[[#This Row],[NSK Reen]],BASE_DATOS[[#This Row],[NSK Reen]],BASE_DATOS[[#This Row],[NSK]])</f>
        <v>6</v>
      </c>
      <c r="AD300" s="344">
        <f>IFERROR(100%-(BASE_DATOS[[#This Row],[NSK Reen]]/BASE_DATOS[[#This Row],[NSK Original]]),"")</f>
        <v>0.63636363636363635</v>
      </c>
      <c r="AE300" s="344">
        <f>IFERROR(100%-BASE_DATOS[[#This Row],[NSK]]/BASE_DATOS[[#This Row],[NSK Original]],"")</f>
        <v>0.39393939393939392</v>
      </c>
      <c r="AF300" s="344">
        <f>IFERROR(BASE_DATOS[[#This Row],[% Max Des.]]-BASE_DATOS[[#This Row],[% Des]],"")</f>
        <v>0.24242424242424243</v>
      </c>
      <c r="AG300" s="287"/>
      <c r="AH300" s="273"/>
      <c r="AI300" s="363" t="str">
        <f>IF(OR(BASE_DATOS[[#This Row],[Hr.]]="",BASE_DATOS[[#This Row],[Hr. Actual]]=""),"",BASE_DATOS[[#This Row],[Hr. Actual]]-BASE_DATOS[[#This Row],[Hr.]]+BASE_DATOS[[#This Row],[Horas Acumuladas]])</f>
        <v/>
      </c>
      <c r="AJ300" s="364" t="str">
        <f>IFERROR(BASE_DATOS[[#This Row],[Precio US$]]/BASE_DATOS[[#This Row],[Horas Rodadas]],"")</f>
        <v/>
      </c>
      <c r="AK300" s="365" t="str">
        <f>IFERROR(BASE_DATOS[[#This Row],[Horas Rodadas]]/(BASE_DATOS[[#This Row],[NSK Original]]-BASE_DATOS[[#This Row],[NSK]]),"")</f>
        <v/>
      </c>
      <c r="AL30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00" s="366" t="str">
        <f>IFERROR(BASE_DATOS[[#This Row],[Precio US$]]/BASE_DATOS[[#This Row],[Horas Proy.]],"")</f>
        <v/>
      </c>
      <c r="AN300" s="176" t="str">
        <f>IF(OR(BASE_DATOS[[#This Row],[Km.]]="",BASE_DATOS[[#This Row],[Km. Actual]]=""),"",BASE_DATOS[[#This Row],[Km. Actual]]-BASE_DATOS[[#This Row],[Km.]]+BASE_DATOS[[#This Row],[Kilómetros Acumulados]])</f>
        <v/>
      </c>
      <c r="AO300" s="177" t="str">
        <f>IFERROR(BASE_DATOS[[#This Row],[Precio US$]]/BASE_DATOS[[#This Row],[Kilómetros Rodados]],"")</f>
        <v/>
      </c>
      <c r="AP300" s="176" t="str">
        <f>IFERROR(BASE_DATOS[[#This Row],[Kilómetros Rodados]]/(BASE_DATOS[[#This Row],[NSK Original]]-BASE_DATOS[[#This Row],[NSK]]),"")</f>
        <v/>
      </c>
      <c r="AQ30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00" s="177" t="str">
        <f>IFERROR(BASE_DATOS[[#This Row],[Precio US$]]/BASE_DATOS[[#This Row],[Kilómetros Proy.]],"")</f>
        <v/>
      </c>
      <c r="AS300" s="167" t="s">
        <v>62</v>
      </c>
      <c r="AT300" s="167"/>
      <c r="AU300" s="167"/>
      <c r="AV300" s="167"/>
      <c r="AW300" s="179"/>
      <c r="AX300" s="179"/>
      <c r="AY300" s="179" t="str">
        <f>CONCATENATE(BASE_DATOS[[#This Row],[Código_U]]&amp;BASE_DATOS[[#This Row],[Pos.]]&amp;BASE_DATOS[[#This Row],[Situación Actual]])</f>
        <v>SR-154RERodando</v>
      </c>
    </row>
    <row r="301" spans="1:51" ht="12" x14ac:dyDescent="0.25">
      <c r="A301" s="227" t="s">
        <v>171</v>
      </c>
      <c r="B301" s="217" t="s">
        <v>172</v>
      </c>
      <c r="C301" s="228" t="s">
        <v>295</v>
      </c>
      <c r="D301" s="229" t="s">
        <v>108</v>
      </c>
      <c r="E301" s="255"/>
      <c r="F301" s="256" t="s">
        <v>273</v>
      </c>
      <c r="G301" s="256" t="s">
        <v>271</v>
      </c>
      <c r="H301" s="257" t="str">
        <f>IF(BASE_DATOS[[#This Row],[N-R]]="N",BASE_DATOS[[#This Row],[Diseño]],"Reencauche")</f>
        <v>Reencauche</v>
      </c>
      <c r="I301" s="256" t="s">
        <v>282</v>
      </c>
      <c r="J301" s="243" t="s">
        <v>82</v>
      </c>
      <c r="K301" s="258">
        <v>22</v>
      </c>
      <c r="L301" s="256">
        <v>110</v>
      </c>
      <c r="M301" s="259"/>
      <c r="N301" s="260"/>
      <c r="O301" s="277"/>
      <c r="P301" s="278"/>
      <c r="Q301" s="279"/>
      <c r="R301" s="309" t="s">
        <v>108</v>
      </c>
      <c r="S301" s="310">
        <v>45386</v>
      </c>
      <c r="T301" s="313"/>
      <c r="U301" s="279"/>
      <c r="V301" s="227">
        <v>8</v>
      </c>
      <c r="W301" s="281">
        <v>8</v>
      </c>
      <c r="X301" s="282">
        <v>8</v>
      </c>
      <c r="Y301" s="293">
        <f t="shared" si="12"/>
        <v>8</v>
      </c>
      <c r="Z301" s="175" t="s">
        <v>73</v>
      </c>
      <c r="AA301" s="342">
        <f>IFERROR(BASE_DATOS[[#This Row],[NSK Original]]-BASE_DATOS[[#This Row],[NSK]]," ")</f>
        <v>14</v>
      </c>
      <c r="AB301" s="343">
        <f>'NSK-TRACTO'!$A$2</f>
        <v>6</v>
      </c>
      <c r="AC301" s="343">
        <f>IF(BASE_DATOS[[#This Row],[NSK]]&gt;=BASE_DATOS[[#This Row],[NSK Reen]],BASE_DATOS[[#This Row],[NSK Reen]],BASE_DATOS[[#This Row],[NSK]])</f>
        <v>6</v>
      </c>
      <c r="AD301" s="344">
        <f>IFERROR(100%-(BASE_DATOS[[#This Row],[NSK Reen]]/BASE_DATOS[[#This Row],[NSK Original]]),"")</f>
        <v>0.72727272727272729</v>
      </c>
      <c r="AE301" s="344">
        <f>IFERROR(100%-BASE_DATOS[[#This Row],[NSK]]/BASE_DATOS[[#This Row],[NSK Original]],"")</f>
        <v>0.63636363636363635</v>
      </c>
      <c r="AF301" s="344">
        <f>IFERROR(BASE_DATOS[[#This Row],[% Max Des.]]-BASE_DATOS[[#This Row],[% Des]],"")</f>
        <v>9.0909090909090939E-2</v>
      </c>
      <c r="AG301" s="287"/>
      <c r="AH301" s="273"/>
      <c r="AI301" s="363" t="str">
        <f>IF(OR(BASE_DATOS[[#This Row],[Hr.]]="",BASE_DATOS[[#This Row],[Hr. Actual]]=""),"",BASE_DATOS[[#This Row],[Hr. Actual]]-BASE_DATOS[[#This Row],[Hr.]]+BASE_DATOS[[#This Row],[Horas Acumuladas]])</f>
        <v/>
      </c>
      <c r="AJ301" s="364" t="str">
        <f>IFERROR(BASE_DATOS[[#This Row],[Precio US$]]/BASE_DATOS[[#This Row],[Horas Rodadas]],"")</f>
        <v/>
      </c>
      <c r="AK301" s="365" t="str">
        <f>IFERROR(BASE_DATOS[[#This Row],[Horas Rodadas]]/(BASE_DATOS[[#This Row],[NSK Original]]-BASE_DATOS[[#This Row],[NSK]]),"")</f>
        <v/>
      </c>
      <c r="AL30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01" s="366" t="str">
        <f>IFERROR(BASE_DATOS[[#This Row],[Precio US$]]/BASE_DATOS[[#This Row],[Horas Proy.]],"")</f>
        <v/>
      </c>
      <c r="AN301" s="176" t="str">
        <f>IF(OR(BASE_DATOS[[#This Row],[Km.]]="",BASE_DATOS[[#This Row],[Km. Actual]]=""),"",BASE_DATOS[[#This Row],[Km. Actual]]-BASE_DATOS[[#This Row],[Km.]]+BASE_DATOS[[#This Row],[Kilómetros Acumulados]])</f>
        <v/>
      </c>
      <c r="AO301" s="177" t="str">
        <f>IFERROR(BASE_DATOS[[#This Row],[Precio US$]]/BASE_DATOS[[#This Row],[Kilómetros Rodados]],"")</f>
        <v/>
      </c>
      <c r="AP301" s="176" t="str">
        <f>IFERROR(BASE_DATOS[[#This Row],[Kilómetros Rodados]]/(BASE_DATOS[[#This Row],[NSK Original]]-BASE_DATOS[[#This Row],[NSK]]),"")</f>
        <v/>
      </c>
      <c r="AQ30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01" s="177" t="str">
        <f>IFERROR(BASE_DATOS[[#This Row],[Precio US$]]/BASE_DATOS[[#This Row],[Kilómetros Proy.]],"")</f>
        <v/>
      </c>
      <c r="AS301" s="167" t="s">
        <v>62</v>
      </c>
      <c r="AT301" s="167"/>
      <c r="AU301" s="167"/>
      <c r="AV301" s="167"/>
      <c r="AW301" s="179"/>
      <c r="AX301" s="179"/>
      <c r="AY301" s="179" t="str">
        <f>CONCATENATE(BASE_DATOS[[#This Row],[Código_U]]&amp;BASE_DATOS[[#This Row],[Pos.]]&amp;BASE_DATOS[[#This Row],[Situación Actual]])</f>
        <v>SR-154RTRodando</v>
      </c>
    </row>
    <row r="302" spans="1:51" ht="12" x14ac:dyDescent="0.25">
      <c r="A302" s="224" t="s">
        <v>173</v>
      </c>
      <c r="B302" s="213" t="s">
        <v>174</v>
      </c>
      <c r="C302" s="225" t="s">
        <v>296</v>
      </c>
      <c r="D302" s="226" t="s">
        <v>86</v>
      </c>
      <c r="E302" s="249"/>
      <c r="F302" s="250" t="s">
        <v>71</v>
      </c>
      <c r="G302" s="250" t="s">
        <v>271</v>
      </c>
      <c r="H302" s="251" t="str">
        <f>IF(BASE_DATOS[[#This Row],[N-R]]="N",BASE_DATOS[[#This Row],[Diseño]],"Reencauche")</f>
        <v>KMAX S</v>
      </c>
      <c r="I302" s="250" t="s">
        <v>287</v>
      </c>
      <c r="J302" s="235" t="s">
        <v>72</v>
      </c>
      <c r="K302" s="252">
        <v>15.8</v>
      </c>
      <c r="L302" s="233">
        <v>100</v>
      </c>
      <c r="M302" s="253"/>
      <c r="N302" s="254"/>
      <c r="O302" s="274"/>
      <c r="P302" s="275"/>
      <c r="Q302" s="276"/>
      <c r="R302" s="305" t="s">
        <v>98</v>
      </c>
      <c r="S302" s="306">
        <v>45385</v>
      </c>
      <c r="T302" s="314"/>
      <c r="U302" s="276"/>
      <c r="V302" s="224">
        <v>14</v>
      </c>
      <c r="W302" s="325">
        <v>15</v>
      </c>
      <c r="X302" s="326">
        <v>14</v>
      </c>
      <c r="Y302" s="292">
        <f t="shared" si="12"/>
        <v>14</v>
      </c>
      <c r="Z302" s="185" t="s">
        <v>73</v>
      </c>
      <c r="AA302" s="339">
        <f>IFERROR(BASE_DATOS[[#This Row],[NSK Original]]-BASE_DATOS[[#This Row],[NSK]]," ")</f>
        <v>1.8000000000000007</v>
      </c>
      <c r="AB302" s="340">
        <f>'NSK-TRACTO'!$A$2</f>
        <v>6</v>
      </c>
      <c r="AC302" s="340">
        <f>IF(BASE_DATOS[[#This Row],[NSK]]&gt;=BASE_DATOS[[#This Row],[NSK Reen]],BASE_DATOS[[#This Row],[NSK Reen]],BASE_DATOS[[#This Row],[NSK]])</f>
        <v>6</v>
      </c>
      <c r="AD302" s="341">
        <f>IFERROR(100%-(BASE_DATOS[[#This Row],[NSK Reen]]/BASE_DATOS[[#This Row],[NSK Original]]),"")</f>
        <v>0.620253164556962</v>
      </c>
      <c r="AE302" s="341">
        <f>IFERROR(100%-BASE_DATOS[[#This Row],[NSK]]/BASE_DATOS[[#This Row],[NSK Original]],"")</f>
        <v>0.11392405063291144</v>
      </c>
      <c r="AF302" s="341">
        <f>IFERROR(BASE_DATOS[[#This Row],[% Max Des.]]-BASE_DATOS[[#This Row],[% Des]],"")</f>
        <v>0.50632911392405056</v>
      </c>
      <c r="AG302" s="284"/>
      <c r="AH302" s="335"/>
      <c r="AI302" s="359" t="str">
        <f>IF(OR(BASE_DATOS[[#This Row],[Hr.]]="",BASE_DATOS[[#This Row],[Hr. Actual]]=""),"",BASE_DATOS[[#This Row],[Hr. Actual]]-BASE_DATOS[[#This Row],[Hr.]]+BASE_DATOS[[#This Row],[Horas Acumuladas]])</f>
        <v/>
      </c>
      <c r="AJ302" s="360" t="str">
        <f>IFERROR(BASE_DATOS[[#This Row],[Precio US$]]/BASE_DATOS[[#This Row],[Horas Rodadas]],"")</f>
        <v/>
      </c>
      <c r="AK302" s="361" t="str">
        <f>IFERROR(BASE_DATOS[[#This Row],[Horas Rodadas]]/(BASE_DATOS[[#This Row],[NSK Original]]-BASE_DATOS[[#This Row],[NSK]]),"")</f>
        <v/>
      </c>
      <c r="AL302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02" s="362" t="str">
        <f>IFERROR(BASE_DATOS[[#This Row],[Precio US$]]/BASE_DATOS[[#This Row],[Horas Proy.]],"")</f>
        <v/>
      </c>
      <c r="AN302" s="195" t="str">
        <f>IF(OR(BASE_DATOS[[#This Row],[Km.]]="",BASE_DATOS[[#This Row],[Km. Actual]]=""),"",BASE_DATOS[[#This Row],[Km. Actual]]-BASE_DATOS[[#This Row],[Km.]]+BASE_DATOS[[#This Row],[Kilómetros Acumulados]])</f>
        <v/>
      </c>
      <c r="AO302" s="196" t="str">
        <f>IFERROR(BASE_DATOS[[#This Row],[Precio US$]]/BASE_DATOS[[#This Row],[Kilómetros Rodados]],"")</f>
        <v/>
      </c>
      <c r="AP302" s="195" t="str">
        <f>IFERROR(BASE_DATOS[[#This Row],[Kilómetros Rodados]]/(BASE_DATOS[[#This Row],[NSK Original]]-BASE_DATOS[[#This Row],[NSK]]),"")</f>
        <v/>
      </c>
      <c r="AQ302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02" s="196" t="str">
        <f>IFERROR(BASE_DATOS[[#This Row],[Precio US$]]/BASE_DATOS[[#This Row],[Kilómetros Proy.]],"")</f>
        <v/>
      </c>
      <c r="AS302" s="191" t="s">
        <v>62</v>
      </c>
      <c r="AT302" s="191"/>
      <c r="AU302" s="191" t="s">
        <v>515</v>
      </c>
      <c r="AV302" s="191"/>
      <c r="AW302" s="198"/>
      <c r="AX302" s="192" t="s">
        <v>371</v>
      </c>
      <c r="AY302" s="192" t="str">
        <f>CONCATENATE(BASE_DATOS[[#This Row],[Código_U]]&amp;BASE_DATOS[[#This Row],[Pos.]]&amp;BASE_DATOS[[#This Row],[Situación Actual]])</f>
        <v>TC-1561Rodando</v>
      </c>
    </row>
    <row r="303" spans="1:51" ht="12" x14ac:dyDescent="0.25">
      <c r="A303" s="227" t="s">
        <v>173</v>
      </c>
      <c r="B303" s="217" t="s">
        <v>174</v>
      </c>
      <c r="C303" s="228" t="s">
        <v>296</v>
      </c>
      <c r="D303" s="229" t="s">
        <v>86</v>
      </c>
      <c r="E303" s="255"/>
      <c r="F303" s="256" t="s">
        <v>71</v>
      </c>
      <c r="G303" s="256" t="s">
        <v>271</v>
      </c>
      <c r="H303" s="257" t="str">
        <f>IF(BASE_DATOS[[#This Row],[N-R]]="N",BASE_DATOS[[#This Row],[Diseño]],"Reencauche")</f>
        <v>KMAX S</v>
      </c>
      <c r="I303" s="256" t="s">
        <v>287</v>
      </c>
      <c r="J303" s="243" t="s">
        <v>72</v>
      </c>
      <c r="K303" s="258">
        <v>15.8</v>
      </c>
      <c r="L303" s="241">
        <v>100</v>
      </c>
      <c r="M303" s="259"/>
      <c r="N303" s="260"/>
      <c r="O303" s="277"/>
      <c r="P303" s="278"/>
      <c r="Q303" s="279"/>
      <c r="R303" s="309" t="s">
        <v>99</v>
      </c>
      <c r="S303" s="310">
        <v>45385</v>
      </c>
      <c r="T303" s="313"/>
      <c r="U303" s="279"/>
      <c r="V303" s="227">
        <v>13</v>
      </c>
      <c r="W303" s="281">
        <v>14</v>
      </c>
      <c r="X303" s="282">
        <v>14</v>
      </c>
      <c r="Y303" s="293">
        <f t="shared" si="12"/>
        <v>13</v>
      </c>
      <c r="Z303" s="161" t="s">
        <v>73</v>
      </c>
      <c r="AA303" s="342">
        <f>IFERROR(BASE_DATOS[[#This Row],[NSK Original]]-BASE_DATOS[[#This Row],[NSK]]," ")</f>
        <v>2.8000000000000007</v>
      </c>
      <c r="AB303" s="343">
        <f>'NSK-TRACTO'!$A$2</f>
        <v>6</v>
      </c>
      <c r="AC303" s="343">
        <f>IF(BASE_DATOS[[#This Row],[NSK]]&gt;=BASE_DATOS[[#This Row],[NSK Reen]],BASE_DATOS[[#This Row],[NSK Reen]],BASE_DATOS[[#This Row],[NSK]])</f>
        <v>6</v>
      </c>
      <c r="AD303" s="344">
        <f>IFERROR(100%-(BASE_DATOS[[#This Row],[NSK Reen]]/BASE_DATOS[[#This Row],[NSK Original]]),"")</f>
        <v>0.620253164556962</v>
      </c>
      <c r="AE303" s="344">
        <f>IFERROR(100%-BASE_DATOS[[#This Row],[NSK]]/BASE_DATOS[[#This Row],[NSK Original]],"")</f>
        <v>0.17721518987341778</v>
      </c>
      <c r="AF303" s="344">
        <f>IFERROR(BASE_DATOS[[#This Row],[% Max Des.]]-BASE_DATOS[[#This Row],[% Des]],"")</f>
        <v>0.44303797468354422</v>
      </c>
      <c r="AG303" s="287"/>
      <c r="AH303" s="273"/>
      <c r="AI303" s="363" t="str">
        <f>IF(OR(BASE_DATOS[[#This Row],[Hr.]]="",BASE_DATOS[[#This Row],[Hr. Actual]]=""),"",BASE_DATOS[[#This Row],[Hr. Actual]]-BASE_DATOS[[#This Row],[Hr.]]+BASE_DATOS[[#This Row],[Horas Acumuladas]])</f>
        <v/>
      </c>
      <c r="AJ303" s="364" t="str">
        <f>IFERROR(BASE_DATOS[[#This Row],[Precio US$]]/BASE_DATOS[[#This Row],[Horas Rodadas]],"")</f>
        <v/>
      </c>
      <c r="AK303" s="365" t="str">
        <f>IFERROR(BASE_DATOS[[#This Row],[Horas Rodadas]]/(BASE_DATOS[[#This Row],[NSK Original]]-BASE_DATOS[[#This Row],[NSK]]),"")</f>
        <v/>
      </c>
      <c r="AL30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03" s="366" t="str">
        <f>IFERROR(BASE_DATOS[[#This Row],[Precio US$]]/BASE_DATOS[[#This Row],[Horas Proy.]],"")</f>
        <v/>
      </c>
      <c r="AN303" s="176" t="str">
        <f>IF(OR(BASE_DATOS[[#This Row],[Km.]]="",BASE_DATOS[[#This Row],[Km. Actual]]=""),"",BASE_DATOS[[#This Row],[Km. Actual]]-BASE_DATOS[[#This Row],[Km.]]+BASE_DATOS[[#This Row],[Kilómetros Acumulados]])</f>
        <v/>
      </c>
      <c r="AO303" s="177" t="str">
        <f>IFERROR(BASE_DATOS[[#This Row],[Precio US$]]/BASE_DATOS[[#This Row],[Kilómetros Rodados]],"")</f>
        <v/>
      </c>
      <c r="AP303" s="176" t="str">
        <f>IFERROR(BASE_DATOS[[#This Row],[Kilómetros Rodados]]/(BASE_DATOS[[#This Row],[NSK Original]]-BASE_DATOS[[#This Row],[NSK]]),"")</f>
        <v/>
      </c>
      <c r="AQ30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03" s="177" t="str">
        <f>IFERROR(BASE_DATOS[[#This Row],[Precio US$]]/BASE_DATOS[[#This Row],[Kilómetros Proy.]],"")</f>
        <v/>
      </c>
      <c r="AS303" s="167" t="s">
        <v>62</v>
      </c>
      <c r="AT303" s="167"/>
      <c r="AU303" s="167" t="s">
        <v>515</v>
      </c>
      <c r="AV303" s="167"/>
      <c r="AW303" s="179"/>
      <c r="AX303" s="169" t="s">
        <v>371</v>
      </c>
      <c r="AY303" s="169" t="str">
        <f>CONCATENATE(BASE_DATOS[[#This Row],[Código_U]]&amp;BASE_DATOS[[#This Row],[Pos.]]&amp;BASE_DATOS[[#This Row],[Situación Actual]])</f>
        <v>TC-1562Rodando</v>
      </c>
    </row>
    <row r="304" spans="1:51" ht="12" x14ac:dyDescent="0.25">
      <c r="A304" s="227" t="s">
        <v>173</v>
      </c>
      <c r="B304" s="217" t="s">
        <v>174</v>
      </c>
      <c r="C304" s="228" t="s">
        <v>296</v>
      </c>
      <c r="D304" s="229" t="s">
        <v>61</v>
      </c>
      <c r="E304" s="255" t="s">
        <v>320</v>
      </c>
      <c r="F304" s="256" t="s">
        <v>71</v>
      </c>
      <c r="G304" s="256" t="s">
        <v>271</v>
      </c>
      <c r="H304" s="257" t="str">
        <f>IF(BASE_DATOS[[#This Row],[N-R]]="N",BASE_DATOS[[#This Row],[Diseño]],"Reencauche")</f>
        <v>KMAXD</v>
      </c>
      <c r="I304" s="256" t="s">
        <v>294</v>
      </c>
      <c r="J304" s="243" t="s">
        <v>72</v>
      </c>
      <c r="K304" s="258">
        <v>22.2</v>
      </c>
      <c r="L304" s="241">
        <v>110</v>
      </c>
      <c r="M304" s="259"/>
      <c r="N304" s="260"/>
      <c r="O304" s="277"/>
      <c r="P304" s="278"/>
      <c r="Q304" s="279"/>
      <c r="R304" s="309" t="s">
        <v>100</v>
      </c>
      <c r="S304" s="310">
        <v>45385</v>
      </c>
      <c r="T304" s="313"/>
      <c r="U304" s="279"/>
      <c r="V304" s="227">
        <v>19</v>
      </c>
      <c r="W304" s="281"/>
      <c r="X304" s="282">
        <v>19</v>
      </c>
      <c r="Y304" s="293">
        <f t="shared" si="12"/>
        <v>19</v>
      </c>
      <c r="Z304" s="161" t="s">
        <v>385</v>
      </c>
      <c r="AA304" s="342">
        <f>IFERROR(BASE_DATOS[[#This Row],[NSK Original]]-BASE_DATOS[[#This Row],[NSK]]," ")</f>
        <v>3.1999999999999993</v>
      </c>
      <c r="AB304" s="343">
        <f>'NSK-TRACTO'!$A$2</f>
        <v>6</v>
      </c>
      <c r="AC304" s="343">
        <f>IF(BASE_DATOS[[#This Row],[NSK]]&gt;=BASE_DATOS[[#This Row],[NSK Reen]],BASE_DATOS[[#This Row],[NSK Reen]],BASE_DATOS[[#This Row],[NSK]])</f>
        <v>6</v>
      </c>
      <c r="AD304" s="344">
        <f>IFERROR(100%-(BASE_DATOS[[#This Row],[NSK Reen]]/BASE_DATOS[[#This Row],[NSK Original]]),"")</f>
        <v>0.72972972972972971</v>
      </c>
      <c r="AE304" s="344">
        <f>IFERROR(100%-BASE_DATOS[[#This Row],[NSK]]/BASE_DATOS[[#This Row],[NSK Original]],"")</f>
        <v>0.14414414414414412</v>
      </c>
      <c r="AF304" s="344">
        <f>IFERROR(BASE_DATOS[[#This Row],[% Max Des.]]-BASE_DATOS[[#This Row],[% Des]],"")</f>
        <v>0.5855855855855856</v>
      </c>
      <c r="AG304" s="287"/>
      <c r="AH304" s="273"/>
      <c r="AI304" s="363" t="str">
        <f>IF(OR(BASE_DATOS[[#This Row],[Hr.]]="",BASE_DATOS[[#This Row],[Hr. Actual]]=""),"",BASE_DATOS[[#This Row],[Hr. Actual]]-BASE_DATOS[[#This Row],[Hr.]]+BASE_DATOS[[#This Row],[Horas Acumuladas]])</f>
        <v/>
      </c>
      <c r="AJ304" s="364" t="str">
        <f>IFERROR(BASE_DATOS[[#This Row],[Precio US$]]/BASE_DATOS[[#This Row],[Horas Rodadas]],"")</f>
        <v/>
      </c>
      <c r="AK304" s="365" t="str">
        <f>IFERROR(BASE_DATOS[[#This Row],[Horas Rodadas]]/(BASE_DATOS[[#This Row],[NSK Original]]-BASE_DATOS[[#This Row],[NSK]]),"")</f>
        <v/>
      </c>
      <c r="AL30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04" s="366" t="str">
        <f>IFERROR(BASE_DATOS[[#This Row],[Precio US$]]/BASE_DATOS[[#This Row],[Horas Proy.]],"")</f>
        <v/>
      </c>
      <c r="AN304" s="176" t="str">
        <f>IF(OR(BASE_DATOS[[#This Row],[Km.]]="",BASE_DATOS[[#This Row],[Km. Actual]]=""),"",BASE_DATOS[[#This Row],[Km. Actual]]-BASE_DATOS[[#This Row],[Km.]]+BASE_DATOS[[#This Row],[Kilómetros Acumulados]])</f>
        <v/>
      </c>
      <c r="AO304" s="177" t="str">
        <f>IFERROR(BASE_DATOS[[#This Row],[Precio US$]]/BASE_DATOS[[#This Row],[Kilómetros Rodados]],"")</f>
        <v/>
      </c>
      <c r="AP304" s="176" t="str">
        <f>IFERROR(BASE_DATOS[[#This Row],[Kilómetros Rodados]]/(BASE_DATOS[[#This Row],[NSK Original]]-BASE_DATOS[[#This Row],[NSK]]),"")</f>
        <v/>
      </c>
      <c r="AQ30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04" s="177" t="str">
        <f>IFERROR(BASE_DATOS[[#This Row],[Precio US$]]/BASE_DATOS[[#This Row],[Kilómetros Proy.]],"")</f>
        <v/>
      </c>
      <c r="AS304" s="167" t="s">
        <v>62</v>
      </c>
      <c r="AT304" s="167"/>
      <c r="AU304" s="167"/>
      <c r="AV304" s="167" t="s">
        <v>515</v>
      </c>
      <c r="AW304" s="179"/>
      <c r="AX304" s="179"/>
      <c r="AY304" s="179" t="str">
        <f>CONCATENATE(BASE_DATOS[[#This Row],[Código_U]]&amp;BASE_DATOS[[#This Row],[Pos.]]&amp;BASE_DATOS[[#This Row],[Situación Actual]])</f>
        <v>TC-1563Rodando</v>
      </c>
    </row>
    <row r="305" spans="1:51" ht="12" x14ac:dyDescent="0.25">
      <c r="A305" s="227" t="s">
        <v>173</v>
      </c>
      <c r="B305" s="217" t="s">
        <v>174</v>
      </c>
      <c r="C305" s="228" t="s">
        <v>296</v>
      </c>
      <c r="D305" s="229" t="s">
        <v>61</v>
      </c>
      <c r="E305" s="255"/>
      <c r="F305" s="256" t="s">
        <v>71</v>
      </c>
      <c r="G305" s="256" t="s">
        <v>271</v>
      </c>
      <c r="H305" s="257" t="str">
        <f>IF(BASE_DATOS[[#This Row],[N-R]]="N",BASE_DATOS[[#This Row],[Diseño]],"Reencauche")</f>
        <v>KMAXD</v>
      </c>
      <c r="I305" s="256" t="s">
        <v>294</v>
      </c>
      <c r="J305" s="243" t="s">
        <v>72</v>
      </c>
      <c r="K305" s="258">
        <v>22.2</v>
      </c>
      <c r="L305" s="241">
        <v>110</v>
      </c>
      <c r="M305" s="259"/>
      <c r="N305" s="260"/>
      <c r="O305" s="277"/>
      <c r="P305" s="278"/>
      <c r="Q305" s="279"/>
      <c r="R305" s="309" t="s">
        <v>101</v>
      </c>
      <c r="S305" s="310">
        <v>45385</v>
      </c>
      <c r="T305" s="313"/>
      <c r="U305" s="279"/>
      <c r="V305" s="227">
        <v>19</v>
      </c>
      <c r="W305" s="281"/>
      <c r="X305" s="282">
        <v>19</v>
      </c>
      <c r="Y305" s="293">
        <f t="shared" si="12"/>
        <v>19</v>
      </c>
      <c r="Z305" s="161" t="s">
        <v>385</v>
      </c>
      <c r="AA305" s="342">
        <f>IFERROR(BASE_DATOS[[#This Row],[NSK Original]]-BASE_DATOS[[#This Row],[NSK]]," ")</f>
        <v>3.1999999999999993</v>
      </c>
      <c r="AB305" s="343">
        <f>'NSK-TRACTO'!$A$2</f>
        <v>6</v>
      </c>
      <c r="AC305" s="343">
        <f>IF(BASE_DATOS[[#This Row],[NSK]]&gt;=BASE_DATOS[[#This Row],[NSK Reen]],BASE_DATOS[[#This Row],[NSK Reen]],BASE_DATOS[[#This Row],[NSK]])</f>
        <v>6</v>
      </c>
      <c r="AD305" s="344">
        <f>IFERROR(100%-(BASE_DATOS[[#This Row],[NSK Reen]]/BASE_DATOS[[#This Row],[NSK Original]]),"")</f>
        <v>0.72972972972972971</v>
      </c>
      <c r="AE305" s="344">
        <f>IFERROR(100%-BASE_DATOS[[#This Row],[NSK]]/BASE_DATOS[[#This Row],[NSK Original]],"")</f>
        <v>0.14414414414414412</v>
      </c>
      <c r="AF305" s="344">
        <f>IFERROR(BASE_DATOS[[#This Row],[% Max Des.]]-BASE_DATOS[[#This Row],[% Des]],"")</f>
        <v>0.5855855855855856</v>
      </c>
      <c r="AG305" s="287"/>
      <c r="AH305" s="273"/>
      <c r="AI305" s="363" t="str">
        <f>IF(OR(BASE_DATOS[[#This Row],[Hr.]]="",BASE_DATOS[[#This Row],[Hr. Actual]]=""),"",BASE_DATOS[[#This Row],[Hr. Actual]]-BASE_DATOS[[#This Row],[Hr.]]+BASE_DATOS[[#This Row],[Horas Acumuladas]])</f>
        <v/>
      </c>
      <c r="AJ305" s="364" t="str">
        <f>IFERROR(BASE_DATOS[[#This Row],[Precio US$]]/BASE_DATOS[[#This Row],[Horas Rodadas]],"")</f>
        <v/>
      </c>
      <c r="AK305" s="365" t="str">
        <f>IFERROR(BASE_DATOS[[#This Row],[Horas Rodadas]]/(BASE_DATOS[[#This Row],[NSK Original]]-BASE_DATOS[[#This Row],[NSK]]),"")</f>
        <v/>
      </c>
      <c r="AL30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05" s="366" t="str">
        <f>IFERROR(BASE_DATOS[[#This Row],[Precio US$]]/BASE_DATOS[[#This Row],[Horas Proy.]],"")</f>
        <v/>
      </c>
      <c r="AN305" s="176" t="str">
        <f>IF(OR(BASE_DATOS[[#This Row],[Km.]]="",BASE_DATOS[[#This Row],[Km. Actual]]=""),"",BASE_DATOS[[#This Row],[Km. Actual]]-BASE_DATOS[[#This Row],[Km.]]+BASE_DATOS[[#This Row],[Kilómetros Acumulados]])</f>
        <v/>
      </c>
      <c r="AO305" s="177" t="str">
        <f>IFERROR(BASE_DATOS[[#This Row],[Precio US$]]/BASE_DATOS[[#This Row],[Kilómetros Rodados]],"")</f>
        <v/>
      </c>
      <c r="AP305" s="176" t="str">
        <f>IFERROR(BASE_DATOS[[#This Row],[Kilómetros Rodados]]/(BASE_DATOS[[#This Row],[NSK Original]]-BASE_DATOS[[#This Row],[NSK]]),"")</f>
        <v/>
      </c>
      <c r="AQ30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05" s="177" t="str">
        <f>IFERROR(BASE_DATOS[[#This Row],[Precio US$]]/BASE_DATOS[[#This Row],[Kilómetros Proy.]],"")</f>
        <v/>
      </c>
      <c r="AS305" s="167" t="s">
        <v>62</v>
      </c>
      <c r="AT305" s="167"/>
      <c r="AU305" s="167"/>
      <c r="AV305" s="167" t="s">
        <v>515</v>
      </c>
      <c r="AW305" s="179"/>
      <c r="AX305" s="179"/>
      <c r="AY305" s="179" t="str">
        <f>CONCATENATE(BASE_DATOS[[#This Row],[Código_U]]&amp;BASE_DATOS[[#This Row],[Pos.]]&amp;BASE_DATOS[[#This Row],[Situación Actual]])</f>
        <v>TC-1564Rodando</v>
      </c>
    </row>
    <row r="306" spans="1:51" ht="12" x14ac:dyDescent="0.25">
      <c r="A306" s="227" t="s">
        <v>173</v>
      </c>
      <c r="B306" s="217" t="s">
        <v>174</v>
      </c>
      <c r="C306" s="228" t="s">
        <v>296</v>
      </c>
      <c r="D306" s="229" t="s">
        <v>61</v>
      </c>
      <c r="E306" s="255"/>
      <c r="F306" s="256" t="s">
        <v>71</v>
      </c>
      <c r="G306" s="256" t="s">
        <v>271</v>
      </c>
      <c r="H306" s="257" t="str">
        <f>IF(BASE_DATOS[[#This Row],[N-R]]="N",BASE_DATOS[[#This Row],[Diseño]],"Reencauche")</f>
        <v>KMAXD</v>
      </c>
      <c r="I306" s="256" t="s">
        <v>294</v>
      </c>
      <c r="J306" s="243" t="s">
        <v>72</v>
      </c>
      <c r="K306" s="258">
        <v>22.2</v>
      </c>
      <c r="L306" s="241">
        <v>110</v>
      </c>
      <c r="M306" s="259"/>
      <c r="N306" s="260"/>
      <c r="O306" s="277"/>
      <c r="P306" s="278"/>
      <c r="Q306" s="279"/>
      <c r="R306" s="309" t="s">
        <v>102</v>
      </c>
      <c r="S306" s="310">
        <v>45385</v>
      </c>
      <c r="T306" s="313"/>
      <c r="U306" s="279"/>
      <c r="V306" s="227">
        <v>19</v>
      </c>
      <c r="W306" s="281"/>
      <c r="X306" s="282">
        <v>19</v>
      </c>
      <c r="Y306" s="293">
        <f t="shared" si="12"/>
        <v>19</v>
      </c>
      <c r="Z306" s="161" t="s">
        <v>73</v>
      </c>
      <c r="AA306" s="342">
        <f>IFERROR(BASE_DATOS[[#This Row],[NSK Original]]-BASE_DATOS[[#This Row],[NSK]]," ")</f>
        <v>3.1999999999999993</v>
      </c>
      <c r="AB306" s="343">
        <f>'NSK-TRACTO'!$A$2</f>
        <v>6</v>
      </c>
      <c r="AC306" s="343">
        <f>IF(BASE_DATOS[[#This Row],[NSK]]&gt;=BASE_DATOS[[#This Row],[NSK Reen]],BASE_DATOS[[#This Row],[NSK Reen]],BASE_DATOS[[#This Row],[NSK]])</f>
        <v>6</v>
      </c>
      <c r="AD306" s="344">
        <f>IFERROR(100%-(BASE_DATOS[[#This Row],[NSK Reen]]/BASE_DATOS[[#This Row],[NSK Original]]),"")</f>
        <v>0.72972972972972971</v>
      </c>
      <c r="AE306" s="344">
        <f>IFERROR(100%-BASE_DATOS[[#This Row],[NSK]]/BASE_DATOS[[#This Row],[NSK Original]],"")</f>
        <v>0.14414414414414412</v>
      </c>
      <c r="AF306" s="344">
        <f>IFERROR(BASE_DATOS[[#This Row],[% Max Des.]]-BASE_DATOS[[#This Row],[% Des]],"")</f>
        <v>0.5855855855855856</v>
      </c>
      <c r="AG306" s="287"/>
      <c r="AH306" s="273"/>
      <c r="AI306" s="363" t="str">
        <f>IF(OR(BASE_DATOS[[#This Row],[Hr.]]="",BASE_DATOS[[#This Row],[Hr. Actual]]=""),"",BASE_DATOS[[#This Row],[Hr. Actual]]-BASE_DATOS[[#This Row],[Hr.]]+BASE_DATOS[[#This Row],[Horas Acumuladas]])</f>
        <v/>
      </c>
      <c r="AJ306" s="364" t="str">
        <f>IFERROR(BASE_DATOS[[#This Row],[Precio US$]]/BASE_DATOS[[#This Row],[Horas Rodadas]],"")</f>
        <v/>
      </c>
      <c r="AK306" s="365" t="str">
        <f>IFERROR(BASE_DATOS[[#This Row],[Horas Rodadas]]/(BASE_DATOS[[#This Row],[NSK Original]]-BASE_DATOS[[#This Row],[NSK]]),"")</f>
        <v/>
      </c>
      <c r="AL30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06" s="366" t="str">
        <f>IFERROR(BASE_DATOS[[#This Row],[Precio US$]]/BASE_DATOS[[#This Row],[Horas Proy.]],"")</f>
        <v/>
      </c>
      <c r="AN306" s="176" t="str">
        <f>IF(OR(BASE_DATOS[[#This Row],[Km.]]="",BASE_DATOS[[#This Row],[Km. Actual]]=""),"",BASE_DATOS[[#This Row],[Km. Actual]]-BASE_DATOS[[#This Row],[Km.]]+BASE_DATOS[[#This Row],[Kilómetros Acumulados]])</f>
        <v/>
      </c>
      <c r="AO306" s="177" t="str">
        <f>IFERROR(BASE_DATOS[[#This Row],[Precio US$]]/BASE_DATOS[[#This Row],[Kilómetros Rodados]],"")</f>
        <v/>
      </c>
      <c r="AP306" s="176" t="str">
        <f>IFERROR(BASE_DATOS[[#This Row],[Kilómetros Rodados]]/(BASE_DATOS[[#This Row],[NSK Original]]-BASE_DATOS[[#This Row],[NSK]]),"")</f>
        <v/>
      </c>
      <c r="AQ30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06" s="177" t="str">
        <f>IFERROR(BASE_DATOS[[#This Row],[Precio US$]]/BASE_DATOS[[#This Row],[Kilómetros Proy.]],"")</f>
        <v/>
      </c>
      <c r="AS306" s="167" t="s">
        <v>62</v>
      </c>
      <c r="AT306" s="167"/>
      <c r="AU306" s="167"/>
      <c r="AV306" s="167" t="s">
        <v>515</v>
      </c>
      <c r="AW306" s="179"/>
      <c r="AX306" s="179"/>
      <c r="AY306" s="179" t="str">
        <f>CONCATENATE(BASE_DATOS[[#This Row],[Código_U]]&amp;BASE_DATOS[[#This Row],[Pos.]]&amp;BASE_DATOS[[#This Row],[Situación Actual]])</f>
        <v>TC-1565Rodando</v>
      </c>
    </row>
    <row r="307" spans="1:51" ht="12" x14ac:dyDescent="0.25">
      <c r="A307" s="227" t="s">
        <v>173</v>
      </c>
      <c r="B307" s="217" t="s">
        <v>174</v>
      </c>
      <c r="C307" s="228" t="s">
        <v>296</v>
      </c>
      <c r="D307" s="229" t="s">
        <v>61</v>
      </c>
      <c r="E307" s="255"/>
      <c r="F307" s="256" t="s">
        <v>71</v>
      </c>
      <c r="G307" s="256" t="s">
        <v>271</v>
      </c>
      <c r="H307" s="257" t="str">
        <f>IF(BASE_DATOS[[#This Row],[N-R]]="N",BASE_DATOS[[#This Row],[Diseño]],"Reencauche")</f>
        <v>KMAXD</v>
      </c>
      <c r="I307" s="256" t="s">
        <v>294</v>
      </c>
      <c r="J307" s="243" t="s">
        <v>72</v>
      </c>
      <c r="K307" s="258">
        <v>22.2</v>
      </c>
      <c r="L307" s="241">
        <v>110</v>
      </c>
      <c r="M307" s="259"/>
      <c r="N307" s="260"/>
      <c r="O307" s="277"/>
      <c r="P307" s="278"/>
      <c r="Q307" s="279"/>
      <c r="R307" s="309" t="s">
        <v>103</v>
      </c>
      <c r="S307" s="310">
        <v>45385</v>
      </c>
      <c r="T307" s="313"/>
      <c r="U307" s="279"/>
      <c r="V307" s="227">
        <v>19</v>
      </c>
      <c r="W307" s="281"/>
      <c r="X307" s="282">
        <v>19</v>
      </c>
      <c r="Y307" s="293">
        <f t="shared" si="12"/>
        <v>19</v>
      </c>
      <c r="Z307" s="161" t="s">
        <v>73</v>
      </c>
      <c r="AA307" s="342">
        <f>IFERROR(BASE_DATOS[[#This Row],[NSK Original]]-BASE_DATOS[[#This Row],[NSK]]," ")</f>
        <v>3.1999999999999993</v>
      </c>
      <c r="AB307" s="343">
        <f>'NSK-TRACTO'!$A$2</f>
        <v>6</v>
      </c>
      <c r="AC307" s="343">
        <f>IF(BASE_DATOS[[#This Row],[NSK]]&gt;=BASE_DATOS[[#This Row],[NSK Reen]],BASE_DATOS[[#This Row],[NSK Reen]],BASE_DATOS[[#This Row],[NSK]])</f>
        <v>6</v>
      </c>
      <c r="AD307" s="344">
        <f>IFERROR(100%-(BASE_DATOS[[#This Row],[NSK Reen]]/BASE_DATOS[[#This Row],[NSK Original]]),"")</f>
        <v>0.72972972972972971</v>
      </c>
      <c r="AE307" s="344">
        <f>IFERROR(100%-BASE_DATOS[[#This Row],[NSK]]/BASE_DATOS[[#This Row],[NSK Original]],"")</f>
        <v>0.14414414414414412</v>
      </c>
      <c r="AF307" s="344">
        <f>IFERROR(BASE_DATOS[[#This Row],[% Max Des.]]-BASE_DATOS[[#This Row],[% Des]],"")</f>
        <v>0.5855855855855856</v>
      </c>
      <c r="AG307" s="287"/>
      <c r="AH307" s="273"/>
      <c r="AI307" s="363" t="str">
        <f>IF(OR(BASE_DATOS[[#This Row],[Hr.]]="",BASE_DATOS[[#This Row],[Hr. Actual]]=""),"",BASE_DATOS[[#This Row],[Hr. Actual]]-BASE_DATOS[[#This Row],[Hr.]]+BASE_DATOS[[#This Row],[Horas Acumuladas]])</f>
        <v/>
      </c>
      <c r="AJ307" s="364" t="str">
        <f>IFERROR(BASE_DATOS[[#This Row],[Precio US$]]/BASE_DATOS[[#This Row],[Horas Rodadas]],"")</f>
        <v/>
      </c>
      <c r="AK307" s="365" t="str">
        <f>IFERROR(BASE_DATOS[[#This Row],[Horas Rodadas]]/(BASE_DATOS[[#This Row],[NSK Original]]-BASE_DATOS[[#This Row],[NSK]]),"")</f>
        <v/>
      </c>
      <c r="AL30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07" s="366" t="str">
        <f>IFERROR(BASE_DATOS[[#This Row],[Precio US$]]/BASE_DATOS[[#This Row],[Horas Proy.]],"")</f>
        <v/>
      </c>
      <c r="AN307" s="176" t="str">
        <f>IF(OR(BASE_DATOS[[#This Row],[Km.]]="",BASE_DATOS[[#This Row],[Km. Actual]]=""),"",BASE_DATOS[[#This Row],[Km. Actual]]-BASE_DATOS[[#This Row],[Km.]]+BASE_DATOS[[#This Row],[Kilómetros Acumulados]])</f>
        <v/>
      </c>
      <c r="AO307" s="177" t="str">
        <f>IFERROR(BASE_DATOS[[#This Row],[Precio US$]]/BASE_DATOS[[#This Row],[Kilómetros Rodados]],"")</f>
        <v/>
      </c>
      <c r="AP307" s="176" t="str">
        <f>IFERROR(BASE_DATOS[[#This Row],[Kilómetros Rodados]]/(BASE_DATOS[[#This Row],[NSK Original]]-BASE_DATOS[[#This Row],[NSK]]),"")</f>
        <v/>
      </c>
      <c r="AQ30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07" s="177" t="str">
        <f>IFERROR(BASE_DATOS[[#This Row],[Precio US$]]/BASE_DATOS[[#This Row],[Kilómetros Proy.]],"")</f>
        <v/>
      </c>
      <c r="AS307" s="167" t="s">
        <v>62</v>
      </c>
      <c r="AT307" s="167"/>
      <c r="AU307" s="167"/>
      <c r="AV307" s="167" t="s">
        <v>515</v>
      </c>
      <c r="AW307" s="179"/>
      <c r="AX307" s="179"/>
      <c r="AY307" s="179" t="str">
        <f>CONCATENATE(BASE_DATOS[[#This Row],[Código_U]]&amp;BASE_DATOS[[#This Row],[Pos.]]&amp;BASE_DATOS[[#This Row],[Situación Actual]])</f>
        <v>TC-1566Rodando</v>
      </c>
    </row>
    <row r="308" spans="1:51" ht="12" x14ac:dyDescent="0.25">
      <c r="A308" s="227" t="s">
        <v>173</v>
      </c>
      <c r="B308" s="217" t="s">
        <v>174</v>
      </c>
      <c r="C308" s="228" t="s">
        <v>296</v>
      </c>
      <c r="D308" s="229" t="s">
        <v>61</v>
      </c>
      <c r="E308" s="255"/>
      <c r="F308" s="256" t="s">
        <v>273</v>
      </c>
      <c r="G308" s="256" t="s">
        <v>271</v>
      </c>
      <c r="H308" s="257" t="str">
        <f>IF(BASE_DATOS[[#This Row],[N-R]]="N",BASE_DATOS[[#This Row],[Diseño]],"Reencauche")</f>
        <v>XMULTI+Z</v>
      </c>
      <c r="I308" s="256" t="s">
        <v>297</v>
      </c>
      <c r="J308" s="243" t="s">
        <v>72</v>
      </c>
      <c r="K308" s="258">
        <v>16</v>
      </c>
      <c r="L308" s="241">
        <v>110</v>
      </c>
      <c r="M308" s="259"/>
      <c r="N308" s="260"/>
      <c r="O308" s="277"/>
      <c r="P308" s="278"/>
      <c r="Q308" s="279"/>
      <c r="R308" s="309" t="s">
        <v>104</v>
      </c>
      <c r="S308" s="310">
        <v>45385</v>
      </c>
      <c r="T308" s="313"/>
      <c r="U308" s="279"/>
      <c r="V308" s="227">
        <v>10</v>
      </c>
      <c r="W308" s="281">
        <v>9</v>
      </c>
      <c r="X308" s="282">
        <v>10</v>
      </c>
      <c r="Y308" s="293">
        <f t="shared" si="12"/>
        <v>9</v>
      </c>
      <c r="Z308" s="161" t="s">
        <v>73</v>
      </c>
      <c r="AA308" s="342">
        <f>IFERROR(BASE_DATOS[[#This Row],[NSK Original]]-BASE_DATOS[[#This Row],[NSK]]," ")</f>
        <v>7</v>
      </c>
      <c r="AB308" s="343">
        <f>'NSK-TRACTO'!$A$2</f>
        <v>6</v>
      </c>
      <c r="AC308" s="343">
        <f>IF(BASE_DATOS[[#This Row],[NSK]]&gt;=BASE_DATOS[[#This Row],[NSK Reen]],BASE_DATOS[[#This Row],[NSK Reen]],BASE_DATOS[[#This Row],[NSK]])</f>
        <v>6</v>
      </c>
      <c r="AD308" s="344">
        <f>IFERROR(100%-(BASE_DATOS[[#This Row],[NSK Reen]]/BASE_DATOS[[#This Row],[NSK Original]]),"")</f>
        <v>0.625</v>
      </c>
      <c r="AE308" s="344">
        <f>IFERROR(100%-BASE_DATOS[[#This Row],[NSK]]/BASE_DATOS[[#This Row],[NSK Original]],"")</f>
        <v>0.4375</v>
      </c>
      <c r="AF308" s="344">
        <f>IFERROR(BASE_DATOS[[#This Row],[% Max Des.]]-BASE_DATOS[[#This Row],[% Des]],"")</f>
        <v>0.1875</v>
      </c>
      <c r="AG308" s="287"/>
      <c r="AH308" s="273"/>
      <c r="AI308" s="363" t="str">
        <f>IF(OR(BASE_DATOS[[#This Row],[Hr.]]="",BASE_DATOS[[#This Row],[Hr. Actual]]=""),"",BASE_DATOS[[#This Row],[Hr. Actual]]-BASE_DATOS[[#This Row],[Hr.]]+BASE_DATOS[[#This Row],[Horas Acumuladas]])</f>
        <v/>
      </c>
      <c r="AJ308" s="364" t="str">
        <f>IFERROR(BASE_DATOS[[#This Row],[Precio US$]]/BASE_DATOS[[#This Row],[Horas Rodadas]],"")</f>
        <v/>
      </c>
      <c r="AK308" s="365" t="str">
        <f>IFERROR(BASE_DATOS[[#This Row],[Horas Rodadas]]/(BASE_DATOS[[#This Row],[NSK Original]]-BASE_DATOS[[#This Row],[NSK]]),"")</f>
        <v/>
      </c>
      <c r="AL30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08" s="366" t="str">
        <f>IFERROR(BASE_DATOS[[#This Row],[Precio US$]]/BASE_DATOS[[#This Row],[Horas Proy.]],"")</f>
        <v/>
      </c>
      <c r="AN308" s="176" t="str">
        <f>IF(OR(BASE_DATOS[[#This Row],[Km.]]="",BASE_DATOS[[#This Row],[Km. Actual]]=""),"",BASE_DATOS[[#This Row],[Km. Actual]]-BASE_DATOS[[#This Row],[Km.]]+BASE_DATOS[[#This Row],[Kilómetros Acumulados]])</f>
        <v/>
      </c>
      <c r="AO308" s="177" t="str">
        <f>IFERROR(BASE_DATOS[[#This Row],[Precio US$]]/BASE_DATOS[[#This Row],[Kilómetros Rodados]],"")</f>
        <v/>
      </c>
      <c r="AP308" s="176" t="str">
        <f>IFERROR(BASE_DATOS[[#This Row],[Kilómetros Rodados]]/(BASE_DATOS[[#This Row],[NSK Original]]-BASE_DATOS[[#This Row],[NSK]]),"")</f>
        <v/>
      </c>
      <c r="AQ30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08" s="177" t="str">
        <f>IFERROR(BASE_DATOS[[#This Row],[Precio US$]]/BASE_DATOS[[#This Row],[Kilómetros Proy.]],"")</f>
        <v/>
      </c>
      <c r="AS308" s="167" t="s">
        <v>62</v>
      </c>
      <c r="AT308" s="167"/>
      <c r="AU308" s="167"/>
      <c r="AV308" s="167" t="s">
        <v>515</v>
      </c>
      <c r="AW308" s="179"/>
      <c r="AX308" s="179"/>
      <c r="AY308" s="179" t="str">
        <f>CONCATENATE(BASE_DATOS[[#This Row],[Código_U]]&amp;BASE_DATOS[[#This Row],[Pos.]]&amp;BASE_DATOS[[#This Row],[Situación Actual]])</f>
        <v>TC-1567Rodando</v>
      </c>
    </row>
    <row r="309" spans="1:51" ht="12" x14ac:dyDescent="0.25">
      <c r="A309" s="227" t="s">
        <v>173</v>
      </c>
      <c r="B309" s="217" t="s">
        <v>174</v>
      </c>
      <c r="C309" s="228" t="s">
        <v>296</v>
      </c>
      <c r="D309" s="229" t="s">
        <v>61</v>
      </c>
      <c r="E309" s="255"/>
      <c r="F309" s="256" t="s">
        <v>273</v>
      </c>
      <c r="G309" s="256" t="s">
        <v>271</v>
      </c>
      <c r="H309" s="257" t="str">
        <f>IF(BASE_DATOS[[#This Row],[N-R]]="N",BASE_DATOS[[#This Row],[Diseño]],"Reencauche")</f>
        <v>XMULTI+Z</v>
      </c>
      <c r="I309" s="256" t="s">
        <v>297</v>
      </c>
      <c r="J309" s="243" t="s">
        <v>72</v>
      </c>
      <c r="K309" s="258">
        <v>16</v>
      </c>
      <c r="L309" s="241">
        <v>110</v>
      </c>
      <c r="M309" s="259"/>
      <c r="N309" s="260"/>
      <c r="O309" s="277"/>
      <c r="P309" s="278"/>
      <c r="Q309" s="279"/>
      <c r="R309" s="309" t="s">
        <v>105</v>
      </c>
      <c r="S309" s="310">
        <v>45385</v>
      </c>
      <c r="T309" s="313"/>
      <c r="U309" s="279"/>
      <c r="V309" s="227">
        <v>10</v>
      </c>
      <c r="W309" s="281">
        <v>9</v>
      </c>
      <c r="X309" s="282">
        <v>10</v>
      </c>
      <c r="Y309" s="293">
        <f t="shared" si="12"/>
        <v>9</v>
      </c>
      <c r="Z309" s="161" t="s">
        <v>73</v>
      </c>
      <c r="AA309" s="342">
        <f>IFERROR(BASE_DATOS[[#This Row],[NSK Original]]-BASE_DATOS[[#This Row],[NSK]]," ")</f>
        <v>7</v>
      </c>
      <c r="AB309" s="343">
        <f>'NSK-TRACTO'!$A$2</f>
        <v>6</v>
      </c>
      <c r="AC309" s="343">
        <f>IF(BASE_DATOS[[#This Row],[NSK]]&gt;=BASE_DATOS[[#This Row],[NSK Reen]],BASE_DATOS[[#This Row],[NSK Reen]],BASE_DATOS[[#This Row],[NSK]])</f>
        <v>6</v>
      </c>
      <c r="AD309" s="344">
        <f>IFERROR(100%-(BASE_DATOS[[#This Row],[NSK Reen]]/BASE_DATOS[[#This Row],[NSK Original]]),"")</f>
        <v>0.625</v>
      </c>
      <c r="AE309" s="344">
        <f>IFERROR(100%-BASE_DATOS[[#This Row],[NSK]]/BASE_DATOS[[#This Row],[NSK Original]],"")</f>
        <v>0.4375</v>
      </c>
      <c r="AF309" s="344">
        <f>IFERROR(BASE_DATOS[[#This Row],[% Max Des.]]-BASE_DATOS[[#This Row],[% Des]],"")</f>
        <v>0.1875</v>
      </c>
      <c r="AG309" s="287"/>
      <c r="AH309" s="273"/>
      <c r="AI309" s="363" t="str">
        <f>IF(OR(BASE_DATOS[[#This Row],[Hr.]]="",BASE_DATOS[[#This Row],[Hr. Actual]]=""),"",BASE_DATOS[[#This Row],[Hr. Actual]]-BASE_DATOS[[#This Row],[Hr.]]+BASE_DATOS[[#This Row],[Horas Acumuladas]])</f>
        <v/>
      </c>
      <c r="AJ309" s="364" t="str">
        <f>IFERROR(BASE_DATOS[[#This Row],[Precio US$]]/BASE_DATOS[[#This Row],[Horas Rodadas]],"")</f>
        <v/>
      </c>
      <c r="AK309" s="365" t="str">
        <f>IFERROR(BASE_DATOS[[#This Row],[Horas Rodadas]]/(BASE_DATOS[[#This Row],[NSK Original]]-BASE_DATOS[[#This Row],[NSK]]),"")</f>
        <v/>
      </c>
      <c r="AL30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09" s="366" t="str">
        <f>IFERROR(BASE_DATOS[[#This Row],[Precio US$]]/BASE_DATOS[[#This Row],[Horas Proy.]],"")</f>
        <v/>
      </c>
      <c r="AN309" s="176" t="str">
        <f>IF(OR(BASE_DATOS[[#This Row],[Km.]]="",BASE_DATOS[[#This Row],[Km. Actual]]=""),"",BASE_DATOS[[#This Row],[Km. Actual]]-BASE_DATOS[[#This Row],[Km.]]+BASE_DATOS[[#This Row],[Kilómetros Acumulados]])</f>
        <v/>
      </c>
      <c r="AO309" s="177" t="str">
        <f>IFERROR(BASE_DATOS[[#This Row],[Precio US$]]/BASE_DATOS[[#This Row],[Kilómetros Rodados]],"")</f>
        <v/>
      </c>
      <c r="AP309" s="176" t="str">
        <f>IFERROR(BASE_DATOS[[#This Row],[Kilómetros Rodados]]/(BASE_DATOS[[#This Row],[NSK Original]]-BASE_DATOS[[#This Row],[NSK]]),"")</f>
        <v/>
      </c>
      <c r="AQ30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09" s="177" t="str">
        <f>IFERROR(BASE_DATOS[[#This Row],[Precio US$]]/BASE_DATOS[[#This Row],[Kilómetros Proy.]],"")</f>
        <v/>
      </c>
      <c r="AS309" s="167" t="s">
        <v>62</v>
      </c>
      <c r="AT309" s="167"/>
      <c r="AU309" s="167"/>
      <c r="AV309" s="167" t="s">
        <v>515</v>
      </c>
      <c r="AW309" s="179"/>
      <c r="AX309" s="179"/>
      <c r="AY309" s="179" t="str">
        <f>CONCATENATE(BASE_DATOS[[#This Row],[Código_U]]&amp;BASE_DATOS[[#This Row],[Pos.]]&amp;BASE_DATOS[[#This Row],[Situación Actual]])</f>
        <v>TC-1568Rodando</v>
      </c>
    </row>
    <row r="310" spans="1:51" ht="12" x14ac:dyDescent="0.25">
      <c r="A310" s="227" t="s">
        <v>173</v>
      </c>
      <c r="B310" s="217" t="s">
        <v>174</v>
      </c>
      <c r="C310" s="228" t="s">
        <v>296</v>
      </c>
      <c r="D310" s="229" t="s">
        <v>61</v>
      </c>
      <c r="E310" s="255"/>
      <c r="F310" s="256" t="s">
        <v>273</v>
      </c>
      <c r="G310" s="256" t="s">
        <v>271</v>
      </c>
      <c r="H310" s="257" t="str">
        <f>IF(BASE_DATOS[[#This Row],[N-R]]="N",BASE_DATOS[[#This Row],[Diseño]],"Reencauche")</f>
        <v>XMULTI+Z</v>
      </c>
      <c r="I310" s="256" t="s">
        <v>297</v>
      </c>
      <c r="J310" s="243" t="s">
        <v>72</v>
      </c>
      <c r="K310" s="258">
        <v>16</v>
      </c>
      <c r="L310" s="241">
        <v>110</v>
      </c>
      <c r="M310" s="259"/>
      <c r="N310" s="260"/>
      <c r="O310" s="277"/>
      <c r="P310" s="278"/>
      <c r="Q310" s="279"/>
      <c r="R310" s="309" t="s">
        <v>106</v>
      </c>
      <c r="S310" s="310">
        <v>45385</v>
      </c>
      <c r="T310" s="313"/>
      <c r="U310" s="279"/>
      <c r="V310" s="227">
        <v>10</v>
      </c>
      <c r="W310" s="281">
        <v>9</v>
      </c>
      <c r="X310" s="282">
        <v>9</v>
      </c>
      <c r="Y310" s="293">
        <f t="shared" si="12"/>
        <v>9</v>
      </c>
      <c r="Z310" s="175" t="s">
        <v>85</v>
      </c>
      <c r="AA310" s="342">
        <f>IFERROR(BASE_DATOS[[#This Row],[NSK Original]]-BASE_DATOS[[#This Row],[NSK]]," ")</f>
        <v>7</v>
      </c>
      <c r="AB310" s="343">
        <f>'NSK-TRACTO'!$A$2</f>
        <v>6</v>
      </c>
      <c r="AC310" s="343">
        <f>IF(BASE_DATOS[[#This Row],[NSK]]&gt;=BASE_DATOS[[#This Row],[NSK Reen]],BASE_DATOS[[#This Row],[NSK Reen]],BASE_DATOS[[#This Row],[NSK]])</f>
        <v>6</v>
      </c>
      <c r="AD310" s="344">
        <f>IFERROR(100%-(BASE_DATOS[[#This Row],[NSK Reen]]/BASE_DATOS[[#This Row],[NSK Original]]),"")</f>
        <v>0.625</v>
      </c>
      <c r="AE310" s="344">
        <f>IFERROR(100%-BASE_DATOS[[#This Row],[NSK]]/BASE_DATOS[[#This Row],[NSK Original]],"")</f>
        <v>0.4375</v>
      </c>
      <c r="AF310" s="344">
        <f>IFERROR(BASE_DATOS[[#This Row],[% Max Des.]]-BASE_DATOS[[#This Row],[% Des]],"")</f>
        <v>0.1875</v>
      </c>
      <c r="AG310" s="287"/>
      <c r="AH310" s="273"/>
      <c r="AI310" s="363" t="str">
        <f>IF(OR(BASE_DATOS[[#This Row],[Hr.]]="",BASE_DATOS[[#This Row],[Hr. Actual]]=""),"",BASE_DATOS[[#This Row],[Hr. Actual]]-BASE_DATOS[[#This Row],[Hr.]]+BASE_DATOS[[#This Row],[Horas Acumuladas]])</f>
        <v/>
      </c>
      <c r="AJ310" s="364" t="str">
        <f>IFERROR(BASE_DATOS[[#This Row],[Precio US$]]/BASE_DATOS[[#This Row],[Horas Rodadas]],"")</f>
        <v/>
      </c>
      <c r="AK310" s="365" t="str">
        <f>IFERROR(BASE_DATOS[[#This Row],[Horas Rodadas]]/(BASE_DATOS[[#This Row],[NSK Original]]-BASE_DATOS[[#This Row],[NSK]]),"")</f>
        <v/>
      </c>
      <c r="AL31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10" s="366" t="str">
        <f>IFERROR(BASE_DATOS[[#This Row],[Precio US$]]/BASE_DATOS[[#This Row],[Horas Proy.]],"")</f>
        <v/>
      </c>
      <c r="AN310" s="176" t="str">
        <f>IF(OR(BASE_DATOS[[#This Row],[Km.]]="",BASE_DATOS[[#This Row],[Km. Actual]]=""),"",BASE_DATOS[[#This Row],[Km. Actual]]-BASE_DATOS[[#This Row],[Km.]]+BASE_DATOS[[#This Row],[Kilómetros Acumulados]])</f>
        <v/>
      </c>
      <c r="AO310" s="177" t="str">
        <f>IFERROR(BASE_DATOS[[#This Row],[Precio US$]]/BASE_DATOS[[#This Row],[Kilómetros Rodados]],"")</f>
        <v/>
      </c>
      <c r="AP310" s="176" t="str">
        <f>IFERROR(BASE_DATOS[[#This Row],[Kilómetros Rodados]]/(BASE_DATOS[[#This Row],[NSK Original]]-BASE_DATOS[[#This Row],[NSK]]),"")</f>
        <v/>
      </c>
      <c r="AQ31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10" s="177" t="str">
        <f>IFERROR(BASE_DATOS[[#This Row],[Precio US$]]/BASE_DATOS[[#This Row],[Kilómetros Proy.]],"")</f>
        <v/>
      </c>
      <c r="AS310" s="167" t="s">
        <v>62</v>
      </c>
      <c r="AT310" s="167"/>
      <c r="AU310" s="167"/>
      <c r="AV310" s="167" t="s">
        <v>515</v>
      </c>
      <c r="AW310" s="179"/>
      <c r="AX310" s="179"/>
      <c r="AY310" s="179" t="str">
        <f>CONCATENATE(BASE_DATOS[[#This Row],[Código_U]]&amp;BASE_DATOS[[#This Row],[Pos.]]&amp;BASE_DATOS[[#This Row],[Situación Actual]])</f>
        <v>TC-1569Rodando</v>
      </c>
    </row>
    <row r="311" spans="1:51" ht="12" x14ac:dyDescent="0.25">
      <c r="A311" s="227" t="s">
        <v>173</v>
      </c>
      <c r="B311" s="217" t="s">
        <v>174</v>
      </c>
      <c r="C311" s="228" t="s">
        <v>296</v>
      </c>
      <c r="D311" s="229" t="s">
        <v>61</v>
      </c>
      <c r="E311" s="255"/>
      <c r="F311" s="256" t="s">
        <v>273</v>
      </c>
      <c r="G311" s="256" t="s">
        <v>271</v>
      </c>
      <c r="H311" s="257" t="str">
        <f>IF(BASE_DATOS[[#This Row],[N-R]]="N",BASE_DATOS[[#This Row],[Diseño]],"Reencauche")</f>
        <v>XMULTI+Z</v>
      </c>
      <c r="I311" s="256" t="s">
        <v>297</v>
      </c>
      <c r="J311" s="243" t="s">
        <v>72</v>
      </c>
      <c r="K311" s="258">
        <v>16</v>
      </c>
      <c r="L311" s="241">
        <v>110</v>
      </c>
      <c r="M311" s="259"/>
      <c r="N311" s="260"/>
      <c r="O311" s="277"/>
      <c r="P311" s="278"/>
      <c r="Q311" s="279"/>
      <c r="R311" s="309" t="s">
        <v>107</v>
      </c>
      <c r="S311" s="310">
        <v>45385</v>
      </c>
      <c r="T311" s="313"/>
      <c r="U311" s="279"/>
      <c r="V311" s="227">
        <v>8</v>
      </c>
      <c r="W311" s="281">
        <v>8</v>
      </c>
      <c r="X311" s="282">
        <v>8</v>
      </c>
      <c r="Y311" s="293">
        <f t="shared" si="12"/>
        <v>8</v>
      </c>
      <c r="Z311" s="175" t="s">
        <v>85</v>
      </c>
      <c r="AA311" s="342">
        <f>IFERROR(BASE_DATOS[[#This Row],[NSK Original]]-BASE_DATOS[[#This Row],[NSK]]," ")</f>
        <v>8</v>
      </c>
      <c r="AB311" s="343">
        <f>'NSK-TRACTO'!$A$2</f>
        <v>6</v>
      </c>
      <c r="AC311" s="343">
        <f>IF(BASE_DATOS[[#This Row],[NSK]]&gt;=BASE_DATOS[[#This Row],[NSK Reen]],BASE_DATOS[[#This Row],[NSK Reen]],BASE_DATOS[[#This Row],[NSK]])</f>
        <v>6</v>
      </c>
      <c r="AD311" s="344">
        <f>IFERROR(100%-(BASE_DATOS[[#This Row],[NSK Reen]]/BASE_DATOS[[#This Row],[NSK Original]]),"")</f>
        <v>0.625</v>
      </c>
      <c r="AE311" s="344">
        <f>IFERROR(100%-BASE_DATOS[[#This Row],[NSK]]/BASE_DATOS[[#This Row],[NSK Original]],"")</f>
        <v>0.5</v>
      </c>
      <c r="AF311" s="344">
        <f>IFERROR(BASE_DATOS[[#This Row],[% Max Des.]]-BASE_DATOS[[#This Row],[% Des]],"")</f>
        <v>0.125</v>
      </c>
      <c r="AG311" s="287"/>
      <c r="AH311" s="273"/>
      <c r="AI311" s="363" t="str">
        <f>IF(OR(BASE_DATOS[[#This Row],[Hr.]]="",BASE_DATOS[[#This Row],[Hr. Actual]]=""),"",BASE_DATOS[[#This Row],[Hr. Actual]]-BASE_DATOS[[#This Row],[Hr.]]+BASE_DATOS[[#This Row],[Horas Acumuladas]])</f>
        <v/>
      </c>
      <c r="AJ311" s="364" t="str">
        <f>IFERROR(BASE_DATOS[[#This Row],[Precio US$]]/BASE_DATOS[[#This Row],[Horas Rodadas]],"")</f>
        <v/>
      </c>
      <c r="AK311" s="365" t="str">
        <f>IFERROR(BASE_DATOS[[#This Row],[Horas Rodadas]]/(BASE_DATOS[[#This Row],[NSK Original]]-BASE_DATOS[[#This Row],[NSK]]),"")</f>
        <v/>
      </c>
      <c r="AL31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11" s="366" t="str">
        <f>IFERROR(BASE_DATOS[[#This Row],[Precio US$]]/BASE_DATOS[[#This Row],[Horas Proy.]],"")</f>
        <v/>
      </c>
      <c r="AN311" s="176" t="str">
        <f>IF(OR(BASE_DATOS[[#This Row],[Km.]]="",BASE_DATOS[[#This Row],[Km. Actual]]=""),"",BASE_DATOS[[#This Row],[Km. Actual]]-BASE_DATOS[[#This Row],[Km.]]+BASE_DATOS[[#This Row],[Kilómetros Acumulados]])</f>
        <v/>
      </c>
      <c r="AO311" s="177" t="str">
        <f>IFERROR(BASE_DATOS[[#This Row],[Precio US$]]/BASE_DATOS[[#This Row],[Kilómetros Rodados]],"")</f>
        <v/>
      </c>
      <c r="AP311" s="176" t="str">
        <f>IFERROR(BASE_DATOS[[#This Row],[Kilómetros Rodados]]/(BASE_DATOS[[#This Row],[NSK Original]]-BASE_DATOS[[#This Row],[NSK]]),"")</f>
        <v/>
      </c>
      <c r="AQ31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11" s="177" t="str">
        <f>IFERROR(BASE_DATOS[[#This Row],[Precio US$]]/BASE_DATOS[[#This Row],[Kilómetros Proy.]],"")</f>
        <v/>
      </c>
      <c r="AS311" s="167" t="s">
        <v>62</v>
      </c>
      <c r="AT311" s="167"/>
      <c r="AU311" s="167"/>
      <c r="AV311" s="167" t="s">
        <v>515</v>
      </c>
      <c r="AW311" s="179"/>
      <c r="AX311" s="179"/>
      <c r="AY311" s="179" t="str">
        <f>CONCATENATE(BASE_DATOS[[#This Row],[Código_U]]&amp;BASE_DATOS[[#This Row],[Pos.]]&amp;BASE_DATOS[[#This Row],[Situación Actual]])</f>
        <v>TC-15610Rodando</v>
      </c>
    </row>
    <row r="312" spans="1:51" ht="12" x14ac:dyDescent="0.25">
      <c r="A312" s="224" t="s">
        <v>175</v>
      </c>
      <c r="B312" s="213" t="s">
        <v>176</v>
      </c>
      <c r="C312" s="225" t="s">
        <v>295</v>
      </c>
      <c r="D312" s="226" t="s">
        <v>87</v>
      </c>
      <c r="E312" s="249"/>
      <c r="F312" s="250" t="s">
        <v>97</v>
      </c>
      <c r="G312" s="250" t="s">
        <v>269</v>
      </c>
      <c r="H312" s="251" t="str">
        <f>IF(BASE_DATOS[[#This Row],[N-R]]="N",BASE_DATOS[[#This Row],[Diseño]],"Reencauche")</f>
        <v>AGC28</v>
      </c>
      <c r="I312" s="250" t="s">
        <v>270</v>
      </c>
      <c r="J312" s="235" t="s">
        <v>72</v>
      </c>
      <c r="K312" s="252">
        <v>16.5</v>
      </c>
      <c r="L312" s="250">
        <v>110</v>
      </c>
      <c r="M312" s="253"/>
      <c r="N312" s="254"/>
      <c r="O312" s="274"/>
      <c r="P312" s="275"/>
      <c r="Q312" s="276"/>
      <c r="R312" s="305" t="s">
        <v>98</v>
      </c>
      <c r="S312" s="306">
        <v>45385</v>
      </c>
      <c r="T312" s="314"/>
      <c r="U312" s="276"/>
      <c r="V312" s="224">
        <v>10</v>
      </c>
      <c r="W312" s="325">
        <v>8</v>
      </c>
      <c r="X312" s="326">
        <v>9</v>
      </c>
      <c r="Y312" s="292">
        <f t="shared" si="12"/>
        <v>8</v>
      </c>
      <c r="Z312" s="194" t="s">
        <v>85</v>
      </c>
      <c r="AA312" s="339">
        <f>IFERROR(BASE_DATOS[[#This Row],[NSK Original]]-BASE_DATOS[[#This Row],[NSK]]," ")</f>
        <v>8.5</v>
      </c>
      <c r="AB312" s="340">
        <f>'NSK-TRACTO'!$A$2</f>
        <v>6</v>
      </c>
      <c r="AC312" s="340">
        <f>IF(BASE_DATOS[[#This Row],[NSK]]&gt;=BASE_DATOS[[#This Row],[NSK Reen]],BASE_DATOS[[#This Row],[NSK Reen]],BASE_DATOS[[#This Row],[NSK]])</f>
        <v>6</v>
      </c>
      <c r="AD312" s="341">
        <f>IFERROR(100%-(BASE_DATOS[[#This Row],[NSK Reen]]/BASE_DATOS[[#This Row],[NSK Original]]),"")</f>
        <v>0.63636363636363635</v>
      </c>
      <c r="AE312" s="341">
        <f>IFERROR(100%-BASE_DATOS[[#This Row],[NSK]]/BASE_DATOS[[#This Row],[NSK Original]],"")</f>
        <v>0.51515151515151514</v>
      </c>
      <c r="AF312" s="341">
        <f>IFERROR(BASE_DATOS[[#This Row],[% Max Des.]]-BASE_DATOS[[#This Row],[% Des]],"")</f>
        <v>0.12121212121212122</v>
      </c>
      <c r="AG312" s="284"/>
      <c r="AH312" s="335"/>
      <c r="AI312" s="359" t="str">
        <f>IF(OR(BASE_DATOS[[#This Row],[Hr.]]="",BASE_DATOS[[#This Row],[Hr. Actual]]=""),"",BASE_DATOS[[#This Row],[Hr. Actual]]-BASE_DATOS[[#This Row],[Hr.]]+BASE_DATOS[[#This Row],[Horas Acumuladas]])</f>
        <v/>
      </c>
      <c r="AJ312" s="360" t="str">
        <f>IFERROR(BASE_DATOS[[#This Row],[Precio US$]]/BASE_DATOS[[#This Row],[Horas Rodadas]],"")</f>
        <v/>
      </c>
      <c r="AK312" s="361" t="str">
        <f>IFERROR(BASE_DATOS[[#This Row],[Horas Rodadas]]/(BASE_DATOS[[#This Row],[NSK Original]]-BASE_DATOS[[#This Row],[NSK]]),"")</f>
        <v/>
      </c>
      <c r="AL312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12" s="362" t="str">
        <f>IFERROR(BASE_DATOS[[#This Row],[Precio US$]]/BASE_DATOS[[#This Row],[Horas Proy.]],"")</f>
        <v/>
      </c>
      <c r="AN312" s="195" t="str">
        <f>IF(OR(BASE_DATOS[[#This Row],[Km.]]="",BASE_DATOS[[#This Row],[Km. Actual]]=""),"",BASE_DATOS[[#This Row],[Km. Actual]]-BASE_DATOS[[#This Row],[Km.]]+BASE_DATOS[[#This Row],[Kilómetros Acumulados]])</f>
        <v/>
      </c>
      <c r="AO312" s="196" t="str">
        <f>IFERROR(BASE_DATOS[[#This Row],[Precio US$]]/BASE_DATOS[[#This Row],[Kilómetros Rodados]],"")</f>
        <v/>
      </c>
      <c r="AP312" s="195" t="str">
        <f>IFERROR(BASE_DATOS[[#This Row],[Kilómetros Rodados]]/(BASE_DATOS[[#This Row],[NSK Original]]-BASE_DATOS[[#This Row],[NSK]]),"")</f>
        <v/>
      </c>
      <c r="AQ312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12" s="196" t="str">
        <f>IFERROR(BASE_DATOS[[#This Row],[Precio US$]]/BASE_DATOS[[#This Row],[Kilómetros Proy.]],"")</f>
        <v/>
      </c>
      <c r="AS312" s="191" t="s">
        <v>62</v>
      </c>
      <c r="AT312" s="191"/>
      <c r="AU312" s="191"/>
      <c r="AV312" s="191"/>
      <c r="AW312" s="198"/>
      <c r="AX312" s="198"/>
      <c r="AY312" s="198" t="str">
        <f>CONCATENATE(BASE_DATOS[[#This Row],[Código_U]]&amp;BASE_DATOS[[#This Row],[Pos.]]&amp;BASE_DATOS[[#This Row],[Situación Actual]])</f>
        <v>SR-1561Rodando</v>
      </c>
    </row>
    <row r="313" spans="1:51" ht="12" x14ac:dyDescent="0.25">
      <c r="A313" s="227" t="s">
        <v>175</v>
      </c>
      <c r="B313" s="217" t="s">
        <v>176</v>
      </c>
      <c r="C313" s="228" t="s">
        <v>295</v>
      </c>
      <c r="D313" s="229" t="s">
        <v>87</v>
      </c>
      <c r="E313" s="255"/>
      <c r="F313" s="256" t="s">
        <v>97</v>
      </c>
      <c r="G313" s="256" t="s">
        <v>269</v>
      </c>
      <c r="H313" s="257" t="str">
        <f>IF(BASE_DATOS[[#This Row],[N-R]]="N",BASE_DATOS[[#This Row],[Diseño]],"Reencauche")</f>
        <v>AGC28</v>
      </c>
      <c r="I313" s="256" t="s">
        <v>270</v>
      </c>
      <c r="J313" s="243" t="s">
        <v>72</v>
      </c>
      <c r="K313" s="258">
        <v>16.5</v>
      </c>
      <c r="L313" s="256">
        <v>110</v>
      </c>
      <c r="M313" s="259"/>
      <c r="N313" s="260"/>
      <c r="O313" s="277"/>
      <c r="P313" s="278"/>
      <c r="Q313" s="279"/>
      <c r="R313" s="309" t="s">
        <v>99</v>
      </c>
      <c r="S313" s="310">
        <v>45385</v>
      </c>
      <c r="T313" s="313"/>
      <c r="U313" s="279"/>
      <c r="V313" s="227">
        <v>10</v>
      </c>
      <c r="W313" s="281">
        <v>9</v>
      </c>
      <c r="X313" s="282">
        <v>10</v>
      </c>
      <c r="Y313" s="293">
        <f t="shared" si="12"/>
        <v>9</v>
      </c>
      <c r="Z313" s="175" t="s">
        <v>85</v>
      </c>
      <c r="AA313" s="342">
        <f>IFERROR(BASE_DATOS[[#This Row],[NSK Original]]-BASE_DATOS[[#This Row],[NSK]]," ")</f>
        <v>7.5</v>
      </c>
      <c r="AB313" s="343">
        <f>'NSK-TRACTO'!$A$2</f>
        <v>6</v>
      </c>
      <c r="AC313" s="343">
        <f>IF(BASE_DATOS[[#This Row],[NSK]]&gt;=BASE_DATOS[[#This Row],[NSK Reen]],BASE_DATOS[[#This Row],[NSK Reen]],BASE_DATOS[[#This Row],[NSK]])</f>
        <v>6</v>
      </c>
      <c r="AD313" s="344">
        <f>IFERROR(100%-(BASE_DATOS[[#This Row],[NSK Reen]]/BASE_DATOS[[#This Row],[NSK Original]]),"")</f>
        <v>0.63636363636363635</v>
      </c>
      <c r="AE313" s="344">
        <f>IFERROR(100%-BASE_DATOS[[#This Row],[NSK]]/BASE_DATOS[[#This Row],[NSK Original]],"")</f>
        <v>0.45454545454545459</v>
      </c>
      <c r="AF313" s="344">
        <f>IFERROR(BASE_DATOS[[#This Row],[% Max Des.]]-BASE_DATOS[[#This Row],[% Des]],"")</f>
        <v>0.18181818181818177</v>
      </c>
      <c r="AG313" s="287"/>
      <c r="AH313" s="273"/>
      <c r="AI313" s="363" t="str">
        <f>IF(OR(BASE_DATOS[[#This Row],[Hr.]]="",BASE_DATOS[[#This Row],[Hr. Actual]]=""),"",BASE_DATOS[[#This Row],[Hr. Actual]]-BASE_DATOS[[#This Row],[Hr.]]+BASE_DATOS[[#This Row],[Horas Acumuladas]])</f>
        <v/>
      </c>
      <c r="AJ313" s="364" t="str">
        <f>IFERROR(BASE_DATOS[[#This Row],[Precio US$]]/BASE_DATOS[[#This Row],[Horas Rodadas]],"")</f>
        <v/>
      </c>
      <c r="AK313" s="365" t="str">
        <f>IFERROR(BASE_DATOS[[#This Row],[Horas Rodadas]]/(BASE_DATOS[[#This Row],[NSK Original]]-BASE_DATOS[[#This Row],[NSK]]),"")</f>
        <v/>
      </c>
      <c r="AL31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13" s="366" t="str">
        <f>IFERROR(BASE_DATOS[[#This Row],[Precio US$]]/BASE_DATOS[[#This Row],[Horas Proy.]],"")</f>
        <v/>
      </c>
      <c r="AN313" s="176" t="str">
        <f>IF(OR(BASE_DATOS[[#This Row],[Km.]]="",BASE_DATOS[[#This Row],[Km. Actual]]=""),"",BASE_DATOS[[#This Row],[Km. Actual]]-BASE_DATOS[[#This Row],[Km.]]+BASE_DATOS[[#This Row],[Kilómetros Acumulados]])</f>
        <v/>
      </c>
      <c r="AO313" s="177" t="str">
        <f>IFERROR(BASE_DATOS[[#This Row],[Precio US$]]/BASE_DATOS[[#This Row],[Kilómetros Rodados]],"")</f>
        <v/>
      </c>
      <c r="AP313" s="176" t="str">
        <f>IFERROR(BASE_DATOS[[#This Row],[Kilómetros Rodados]]/(BASE_DATOS[[#This Row],[NSK Original]]-BASE_DATOS[[#This Row],[NSK]]),"")</f>
        <v/>
      </c>
      <c r="AQ31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13" s="177" t="str">
        <f>IFERROR(BASE_DATOS[[#This Row],[Precio US$]]/BASE_DATOS[[#This Row],[Kilómetros Proy.]],"")</f>
        <v/>
      </c>
      <c r="AS313" s="167" t="s">
        <v>62</v>
      </c>
      <c r="AT313" s="167"/>
      <c r="AU313" s="167"/>
      <c r="AV313" s="167"/>
      <c r="AW313" s="179"/>
      <c r="AX313" s="179"/>
      <c r="AY313" s="179" t="str">
        <f>CONCATENATE(BASE_DATOS[[#This Row],[Código_U]]&amp;BASE_DATOS[[#This Row],[Pos.]]&amp;BASE_DATOS[[#This Row],[Situación Actual]])</f>
        <v>SR-1562Rodando</v>
      </c>
    </row>
    <row r="314" spans="1:51" ht="12" x14ac:dyDescent="0.25">
      <c r="A314" s="227" t="s">
        <v>175</v>
      </c>
      <c r="B314" s="217" t="s">
        <v>176</v>
      </c>
      <c r="C314" s="228" t="s">
        <v>295</v>
      </c>
      <c r="D314" s="229" t="s">
        <v>87</v>
      </c>
      <c r="E314" s="255"/>
      <c r="F314" s="256" t="s">
        <v>97</v>
      </c>
      <c r="G314" s="256" t="s">
        <v>269</v>
      </c>
      <c r="H314" s="257" t="str">
        <f>IF(BASE_DATOS[[#This Row],[N-R]]="N",BASE_DATOS[[#This Row],[Diseño]],"Reencauche")</f>
        <v>AGC28</v>
      </c>
      <c r="I314" s="256" t="s">
        <v>270</v>
      </c>
      <c r="J314" s="243" t="s">
        <v>72</v>
      </c>
      <c r="K314" s="258">
        <v>16.5</v>
      </c>
      <c r="L314" s="256">
        <v>110</v>
      </c>
      <c r="M314" s="259"/>
      <c r="N314" s="260"/>
      <c r="O314" s="277"/>
      <c r="P314" s="278"/>
      <c r="Q314" s="279"/>
      <c r="R314" s="309" t="s">
        <v>100</v>
      </c>
      <c r="S314" s="310">
        <v>45385</v>
      </c>
      <c r="T314" s="313"/>
      <c r="U314" s="279"/>
      <c r="V314" s="227">
        <v>12</v>
      </c>
      <c r="W314" s="281">
        <v>11</v>
      </c>
      <c r="X314" s="282">
        <v>11</v>
      </c>
      <c r="Y314" s="293">
        <f t="shared" si="12"/>
        <v>11</v>
      </c>
      <c r="Z314" s="175" t="s">
        <v>85</v>
      </c>
      <c r="AA314" s="342">
        <f>IFERROR(BASE_DATOS[[#This Row],[NSK Original]]-BASE_DATOS[[#This Row],[NSK]]," ")</f>
        <v>5.5</v>
      </c>
      <c r="AB314" s="343">
        <f>'NSK-TRACTO'!$A$2</f>
        <v>6</v>
      </c>
      <c r="AC314" s="343">
        <f>IF(BASE_DATOS[[#This Row],[NSK]]&gt;=BASE_DATOS[[#This Row],[NSK Reen]],BASE_DATOS[[#This Row],[NSK Reen]],BASE_DATOS[[#This Row],[NSK]])</f>
        <v>6</v>
      </c>
      <c r="AD314" s="344">
        <f>IFERROR(100%-(BASE_DATOS[[#This Row],[NSK Reen]]/BASE_DATOS[[#This Row],[NSK Original]]),"")</f>
        <v>0.63636363636363635</v>
      </c>
      <c r="AE314" s="344">
        <f>IFERROR(100%-BASE_DATOS[[#This Row],[NSK]]/BASE_DATOS[[#This Row],[NSK Original]],"")</f>
        <v>0.33333333333333337</v>
      </c>
      <c r="AF314" s="344">
        <f>IFERROR(BASE_DATOS[[#This Row],[% Max Des.]]-BASE_DATOS[[#This Row],[% Des]],"")</f>
        <v>0.30303030303030298</v>
      </c>
      <c r="AG314" s="287"/>
      <c r="AH314" s="273"/>
      <c r="AI314" s="363" t="str">
        <f>IF(OR(BASE_DATOS[[#This Row],[Hr.]]="",BASE_DATOS[[#This Row],[Hr. Actual]]=""),"",BASE_DATOS[[#This Row],[Hr. Actual]]-BASE_DATOS[[#This Row],[Hr.]]+BASE_DATOS[[#This Row],[Horas Acumuladas]])</f>
        <v/>
      </c>
      <c r="AJ314" s="364" t="str">
        <f>IFERROR(BASE_DATOS[[#This Row],[Precio US$]]/BASE_DATOS[[#This Row],[Horas Rodadas]],"")</f>
        <v/>
      </c>
      <c r="AK314" s="365" t="str">
        <f>IFERROR(BASE_DATOS[[#This Row],[Horas Rodadas]]/(BASE_DATOS[[#This Row],[NSK Original]]-BASE_DATOS[[#This Row],[NSK]]),"")</f>
        <v/>
      </c>
      <c r="AL31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14" s="366" t="str">
        <f>IFERROR(BASE_DATOS[[#This Row],[Precio US$]]/BASE_DATOS[[#This Row],[Horas Proy.]],"")</f>
        <v/>
      </c>
      <c r="AN314" s="176" t="str">
        <f>IF(OR(BASE_DATOS[[#This Row],[Km.]]="",BASE_DATOS[[#This Row],[Km. Actual]]=""),"",BASE_DATOS[[#This Row],[Km. Actual]]-BASE_DATOS[[#This Row],[Km.]]+BASE_DATOS[[#This Row],[Kilómetros Acumulados]])</f>
        <v/>
      </c>
      <c r="AO314" s="177" t="str">
        <f>IFERROR(BASE_DATOS[[#This Row],[Precio US$]]/BASE_DATOS[[#This Row],[Kilómetros Rodados]],"")</f>
        <v/>
      </c>
      <c r="AP314" s="176" t="str">
        <f>IFERROR(BASE_DATOS[[#This Row],[Kilómetros Rodados]]/(BASE_DATOS[[#This Row],[NSK Original]]-BASE_DATOS[[#This Row],[NSK]]),"")</f>
        <v/>
      </c>
      <c r="AQ31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14" s="177" t="str">
        <f>IFERROR(BASE_DATOS[[#This Row],[Precio US$]]/BASE_DATOS[[#This Row],[Kilómetros Proy.]],"")</f>
        <v/>
      </c>
      <c r="AS314" s="167" t="s">
        <v>62</v>
      </c>
      <c r="AT314" s="167"/>
      <c r="AU314" s="167"/>
      <c r="AV314" s="167"/>
      <c r="AW314" s="179"/>
      <c r="AX314" s="179"/>
      <c r="AY314" s="179" t="str">
        <f>CONCATENATE(BASE_DATOS[[#This Row],[Código_U]]&amp;BASE_DATOS[[#This Row],[Pos.]]&amp;BASE_DATOS[[#This Row],[Situación Actual]])</f>
        <v>SR-1563Rodando</v>
      </c>
    </row>
    <row r="315" spans="1:51" ht="12" x14ac:dyDescent="0.25">
      <c r="A315" s="227" t="s">
        <v>175</v>
      </c>
      <c r="B315" s="217" t="s">
        <v>176</v>
      </c>
      <c r="C315" s="228" t="s">
        <v>295</v>
      </c>
      <c r="D315" s="229" t="s">
        <v>87</v>
      </c>
      <c r="E315" s="255"/>
      <c r="F315" s="256" t="s">
        <v>97</v>
      </c>
      <c r="G315" s="256" t="s">
        <v>269</v>
      </c>
      <c r="H315" s="257" t="str">
        <f>IF(BASE_DATOS[[#This Row],[N-R]]="N",BASE_DATOS[[#This Row],[Diseño]],"Reencauche")</f>
        <v>AGC28</v>
      </c>
      <c r="I315" s="256" t="s">
        <v>270</v>
      </c>
      <c r="J315" s="243" t="s">
        <v>72</v>
      </c>
      <c r="K315" s="258">
        <v>16.5</v>
      </c>
      <c r="L315" s="256">
        <v>110</v>
      </c>
      <c r="M315" s="259"/>
      <c r="N315" s="260"/>
      <c r="O315" s="277"/>
      <c r="P315" s="278"/>
      <c r="Q315" s="279"/>
      <c r="R315" s="309" t="s">
        <v>101</v>
      </c>
      <c r="S315" s="310">
        <v>45385</v>
      </c>
      <c r="T315" s="313"/>
      <c r="U315" s="279"/>
      <c r="V315" s="227">
        <v>11</v>
      </c>
      <c r="W315" s="281">
        <v>11</v>
      </c>
      <c r="X315" s="282">
        <v>11</v>
      </c>
      <c r="Y315" s="293">
        <f t="shared" si="12"/>
        <v>11</v>
      </c>
      <c r="Z315" s="175" t="s">
        <v>85</v>
      </c>
      <c r="AA315" s="342">
        <f>IFERROR(BASE_DATOS[[#This Row],[NSK Original]]-BASE_DATOS[[#This Row],[NSK]]," ")</f>
        <v>5.5</v>
      </c>
      <c r="AB315" s="343">
        <f>'NSK-TRACTO'!$A$2</f>
        <v>6</v>
      </c>
      <c r="AC315" s="343">
        <f>IF(BASE_DATOS[[#This Row],[NSK]]&gt;=BASE_DATOS[[#This Row],[NSK Reen]],BASE_DATOS[[#This Row],[NSK Reen]],BASE_DATOS[[#This Row],[NSK]])</f>
        <v>6</v>
      </c>
      <c r="AD315" s="344">
        <f>IFERROR(100%-(BASE_DATOS[[#This Row],[NSK Reen]]/BASE_DATOS[[#This Row],[NSK Original]]),"")</f>
        <v>0.63636363636363635</v>
      </c>
      <c r="AE315" s="344">
        <f>IFERROR(100%-BASE_DATOS[[#This Row],[NSK]]/BASE_DATOS[[#This Row],[NSK Original]],"")</f>
        <v>0.33333333333333337</v>
      </c>
      <c r="AF315" s="344">
        <f>IFERROR(BASE_DATOS[[#This Row],[% Max Des.]]-BASE_DATOS[[#This Row],[% Des]],"")</f>
        <v>0.30303030303030298</v>
      </c>
      <c r="AG315" s="287"/>
      <c r="AH315" s="273"/>
      <c r="AI315" s="363" t="str">
        <f>IF(OR(BASE_DATOS[[#This Row],[Hr.]]="",BASE_DATOS[[#This Row],[Hr. Actual]]=""),"",BASE_DATOS[[#This Row],[Hr. Actual]]-BASE_DATOS[[#This Row],[Hr.]]+BASE_DATOS[[#This Row],[Horas Acumuladas]])</f>
        <v/>
      </c>
      <c r="AJ315" s="364" t="str">
        <f>IFERROR(BASE_DATOS[[#This Row],[Precio US$]]/BASE_DATOS[[#This Row],[Horas Rodadas]],"")</f>
        <v/>
      </c>
      <c r="AK315" s="365" t="str">
        <f>IFERROR(BASE_DATOS[[#This Row],[Horas Rodadas]]/(BASE_DATOS[[#This Row],[NSK Original]]-BASE_DATOS[[#This Row],[NSK]]),"")</f>
        <v/>
      </c>
      <c r="AL31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15" s="366" t="str">
        <f>IFERROR(BASE_DATOS[[#This Row],[Precio US$]]/BASE_DATOS[[#This Row],[Horas Proy.]],"")</f>
        <v/>
      </c>
      <c r="AN315" s="176" t="str">
        <f>IF(OR(BASE_DATOS[[#This Row],[Km.]]="",BASE_DATOS[[#This Row],[Km. Actual]]=""),"",BASE_DATOS[[#This Row],[Km. Actual]]-BASE_DATOS[[#This Row],[Km.]]+BASE_DATOS[[#This Row],[Kilómetros Acumulados]])</f>
        <v/>
      </c>
      <c r="AO315" s="177" t="str">
        <f>IFERROR(BASE_DATOS[[#This Row],[Precio US$]]/BASE_DATOS[[#This Row],[Kilómetros Rodados]],"")</f>
        <v/>
      </c>
      <c r="AP315" s="176" t="str">
        <f>IFERROR(BASE_DATOS[[#This Row],[Kilómetros Rodados]]/(BASE_DATOS[[#This Row],[NSK Original]]-BASE_DATOS[[#This Row],[NSK]]),"")</f>
        <v/>
      </c>
      <c r="AQ31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15" s="177" t="str">
        <f>IFERROR(BASE_DATOS[[#This Row],[Precio US$]]/BASE_DATOS[[#This Row],[Kilómetros Proy.]],"")</f>
        <v/>
      </c>
      <c r="AS315" s="167" t="s">
        <v>62</v>
      </c>
      <c r="AT315" s="167"/>
      <c r="AU315" s="167"/>
      <c r="AV315" s="167"/>
      <c r="AW315" s="179"/>
      <c r="AX315" s="179"/>
      <c r="AY315" s="179" t="str">
        <f>CONCATENATE(BASE_DATOS[[#This Row],[Código_U]]&amp;BASE_DATOS[[#This Row],[Pos.]]&amp;BASE_DATOS[[#This Row],[Situación Actual]])</f>
        <v>SR-1564Rodando</v>
      </c>
    </row>
    <row r="316" spans="1:51" ht="12" x14ac:dyDescent="0.25">
      <c r="A316" s="227" t="s">
        <v>175</v>
      </c>
      <c r="B316" s="217" t="s">
        <v>176</v>
      </c>
      <c r="C316" s="228" t="s">
        <v>295</v>
      </c>
      <c r="D316" s="229" t="s">
        <v>87</v>
      </c>
      <c r="E316" s="255"/>
      <c r="F316" s="256" t="s">
        <v>97</v>
      </c>
      <c r="G316" s="256" t="s">
        <v>269</v>
      </c>
      <c r="H316" s="257" t="str">
        <f>IF(BASE_DATOS[[#This Row],[N-R]]="N",BASE_DATOS[[#This Row],[Diseño]],"Reencauche")</f>
        <v>AGC28</v>
      </c>
      <c r="I316" s="256" t="s">
        <v>270</v>
      </c>
      <c r="J316" s="243" t="s">
        <v>72</v>
      </c>
      <c r="K316" s="258">
        <v>16.5</v>
      </c>
      <c r="L316" s="256">
        <v>110</v>
      </c>
      <c r="M316" s="259"/>
      <c r="N316" s="260"/>
      <c r="O316" s="277"/>
      <c r="P316" s="278"/>
      <c r="Q316" s="279"/>
      <c r="R316" s="309" t="s">
        <v>102</v>
      </c>
      <c r="S316" s="310">
        <v>45385</v>
      </c>
      <c r="T316" s="313"/>
      <c r="U316" s="279"/>
      <c r="V316" s="227">
        <v>10</v>
      </c>
      <c r="W316" s="281">
        <v>10</v>
      </c>
      <c r="X316" s="282">
        <v>10</v>
      </c>
      <c r="Y316" s="293">
        <f t="shared" si="12"/>
        <v>10</v>
      </c>
      <c r="Z316" s="175" t="s">
        <v>85</v>
      </c>
      <c r="AA316" s="342">
        <f>IFERROR(BASE_DATOS[[#This Row],[NSK Original]]-BASE_DATOS[[#This Row],[NSK]]," ")</f>
        <v>6.5</v>
      </c>
      <c r="AB316" s="343">
        <f>'NSK-TRACTO'!$A$2</f>
        <v>6</v>
      </c>
      <c r="AC316" s="343">
        <f>IF(BASE_DATOS[[#This Row],[NSK]]&gt;=BASE_DATOS[[#This Row],[NSK Reen]],BASE_DATOS[[#This Row],[NSK Reen]],BASE_DATOS[[#This Row],[NSK]])</f>
        <v>6</v>
      </c>
      <c r="AD316" s="344">
        <f>IFERROR(100%-(BASE_DATOS[[#This Row],[NSK Reen]]/BASE_DATOS[[#This Row],[NSK Original]]),"")</f>
        <v>0.63636363636363635</v>
      </c>
      <c r="AE316" s="344">
        <f>IFERROR(100%-BASE_DATOS[[#This Row],[NSK]]/BASE_DATOS[[#This Row],[NSK Original]],"")</f>
        <v>0.39393939393939392</v>
      </c>
      <c r="AF316" s="344">
        <f>IFERROR(BASE_DATOS[[#This Row],[% Max Des.]]-BASE_DATOS[[#This Row],[% Des]],"")</f>
        <v>0.24242424242424243</v>
      </c>
      <c r="AG316" s="287"/>
      <c r="AH316" s="273"/>
      <c r="AI316" s="363" t="str">
        <f>IF(OR(BASE_DATOS[[#This Row],[Hr.]]="",BASE_DATOS[[#This Row],[Hr. Actual]]=""),"",BASE_DATOS[[#This Row],[Hr. Actual]]-BASE_DATOS[[#This Row],[Hr.]]+BASE_DATOS[[#This Row],[Horas Acumuladas]])</f>
        <v/>
      </c>
      <c r="AJ316" s="364" t="str">
        <f>IFERROR(BASE_DATOS[[#This Row],[Precio US$]]/BASE_DATOS[[#This Row],[Horas Rodadas]],"")</f>
        <v/>
      </c>
      <c r="AK316" s="365" t="str">
        <f>IFERROR(BASE_DATOS[[#This Row],[Horas Rodadas]]/(BASE_DATOS[[#This Row],[NSK Original]]-BASE_DATOS[[#This Row],[NSK]]),"")</f>
        <v/>
      </c>
      <c r="AL31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16" s="366" t="str">
        <f>IFERROR(BASE_DATOS[[#This Row],[Precio US$]]/BASE_DATOS[[#This Row],[Horas Proy.]],"")</f>
        <v/>
      </c>
      <c r="AN316" s="176" t="str">
        <f>IF(OR(BASE_DATOS[[#This Row],[Km.]]="",BASE_DATOS[[#This Row],[Km. Actual]]=""),"",BASE_DATOS[[#This Row],[Km. Actual]]-BASE_DATOS[[#This Row],[Km.]]+BASE_DATOS[[#This Row],[Kilómetros Acumulados]])</f>
        <v/>
      </c>
      <c r="AO316" s="177" t="str">
        <f>IFERROR(BASE_DATOS[[#This Row],[Precio US$]]/BASE_DATOS[[#This Row],[Kilómetros Rodados]],"")</f>
        <v/>
      </c>
      <c r="AP316" s="176" t="str">
        <f>IFERROR(BASE_DATOS[[#This Row],[Kilómetros Rodados]]/(BASE_DATOS[[#This Row],[NSK Original]]-BASE_DATOS[[#This Row],[NSK]]),"")</f>
        <v/>
      </c>
      <c r="AQ31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16" s="177" t="str">
        <f>IFERROR(BASE_DATOS[[#This Row],[Precio US$]]/BASE_DATOS[[#This Row],[Kilómetros Proy.]],"")</f>
        <v/>
      </c>
      <c r="AS316" s="167" t="s">
        <v>62</v>
      </c>
      <c r="AT316" s="167"/>
      <c r="AU316" s="167"/>
      <c r="AV316" s="167"/>
      <c r="AW316" s="179"/>
      <c r="AX316" s="179"/>
      <c r="AY316" s="179" t="str">
        <f>CONCATENATE(BASE_DATOS[[#This Row],[Código_U]]&amp;BASE_DATOS[[#This Row],[Pos.]]&amp;BASE_DATOS[[#This Row],[Situación Actual]])</f>
        <v>SR-1565Rodando</v>
      </c>
    </row>
    <row r="317" spans="1:51" ht="12" x14ac:dyDescent="0.25">
      <c r="A317" s="227" t="s">
        <v>175</v>
      </c>
      <c r="B317" s="217" t="s">
        <v>176</v>
      </c>
      <c r="C317" s="228" t="s">
        <v>295</v>
      </c>
      <c r="D317" s="229" t="s">
        <v>87</v>
      </c>
      <c r="E317" s="255"/>
      <c r="F317" s="256" t="s">
        <v>97</v>
      </c>
      <c r="G317" s="256" t="s">
        <v>269</v>
      </c>
      <c r="H317" s="257" t="str">
        <f>IF(BASE_DATOS[[#This Row],[N-R]]="N",BASE_DATOS[[#This Row],[Diseño]],"Reencauche")</f>
        <v>AGC28</v>
      </c>
      <c r="I317" s="256" t="s">
        <v>270</v>
      </c>
      <c r="J317" s="243" t="s">
        <v>72</v>
      </c>
      <c r="K317" s="258">
        <v>16.5</v>
      </c>
      <c r="L317" s="256">
        <v>110</v>
      </c>
      <c r="M317" s="259"/>
      <c r="N317" s="260"/>
      <c r="O317" s="277"/>
      <c r="P317" s="278"/>
      <c r="Q317" s="279"/>
      <c r="R317" s="309" t="s">
        <v>103</v>
      </c>
      <c r="S317" s="310">
        <v>45385</v>
      </c>
      <c r="T317" s="313"/>
      <c r="U317" s="279"/>
      <c r="V317" s="227">
        <v>11</v>
      </c>
      <c r="W317" s="281">
        <v>11</v>
      </c>
      <c r="X317" s="282">
        <v>11</v>
      </c>
      <c r="Y317" s="293">
        <f t="shared" si="12"/>
        <v>11</v>
      </c>
      <c r="Z317" s="175" t="s">
        <v>85</v>
      </c>
      <c r="AA317" s="342">
        <f>IFERROR(BASE_DATOS[[#This Row],[NSK Original]]-BASE_DATOS[[#This Row],[NSK]]," ")</f>
        <v>5.5</v>
      </c>
      <c r="AB317" s="343">
        <f>'NSK-TRACTO'!$A$2</f>
        <v>6</v>
      </c>
      <c r="AC317" s="343">
        <f>IF(BASE_DATOS[[#This Row],[NSK]]&gt;=BASE_DATOS[[#This Row],[NSK Reen]],BASE_DATOS[[#This Row],[NSK Reen]],BASE_DATOS[[#This Row],[NSK]])</f>
        <v>6</v>
      </c>
      <c r="AD317" s="344">
        <f>IFERROR(100%-(BASE_DATOS[[#This Row],[NSK Reen]]/BASE_DATOS[[#This Row],[NSK Original]]),"")</f>
        <v>0.63636363636363635</v>
      </c>
      <c r="AE317" s="344">
        <f>IFERROR(100%-BASE_DATOS[[#This Row],[NSK]]/BASE_DATOS[[#This Row],[NSK Original]],"")</f>
        <v>0.33333333333333337</v>
      </c>
      <c r="AF317" s="344">
        <f>IFERROR(BASE_DATOS[[#This Row],[% Max Des.]]-BASE_DATOS[[#This Row],[% Des]],"")</f>
        <v>0.30303030303030298</v>
      </c>
      <c r="AG317" s="287"/>
      <c r="AH317" s="273"/>
      <c r="AI317" s="363" t="str">
        <f>IF(OR(BASE_DATOS[[#This Row],[Hr.]]="",BASE_DATOS[[#This Row],[Hr. Actual]]=""),"",BASE_DATOS[[#This Row],[Hr. Actual]]-BASE_DATOS[[#This Row],[Hr.]]+BASE_DATOS[[#This Row],[Horas Acumuladas]])</f>
        <v/>
      </c>
      <c r="AJ317" s="364" t="str">
        <f>IFERROR(BASE_DATOS[[#This Row],[Precio US$]]/BASE_DATOS[[#This Row],[Horas Rodadas]],"")</f>
        <v/>
      </c>
      <c r="AK317" s="365" t="str">
        <f>IFERROR(BASE_DATOS[[#This Row],[Horas Rodadas]]/(BASE_DATOS[[#This Row],[NSK Original]]-BASE_DATOS[[#This Row],[NSK]]),"")</f>
        <v/>
      </c>
      <c r="AL31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17" s="366" t="str">
        <f>IFERROR(BASE_DATOS[[#This Row],[Precio US$]]/BASE_DATOS[[#This Row],[Horas Proy.]],"")</f>
        <v/>
      </c>
      <c r="AN317" s="176" t="str">
        <f>IF(OR(BASE_DATOS[[#This Row],[Km.]]="",BASE_DATOS[[#This Row],[Km. Actual]]=""),"",BASE_DATOS[[#This Row],[Km. Actual]]-BASE_DATOS[[#This Row],[Km.]]+BASE_DATOS[[#This Row],[Kilómetros Acumulados]])</f>
        <v/>
      </c>
      <c r="AO317" s="177" t="str">
        <f>IFERROR(BASE_DATOS[[#This Row],[Precio US$]]/BASE_DATOS[[#This Row],[Kilómetros Rodados]],"")</f>
        <v/>
      </c>
      <c r="AP317" s="176" t="str">
        <f>IFERROR(BASE_DATOS[[#This Row],[Kilómetros Rodados]]/(BASE_DATOS[[#This Row],[NSK Original]]-BASE_DATOS[[#This Row],[NSK]]),"")</f>
        <v/>
      </c>
      <c r="AQ31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17" s="177" t="str">
        <f>IFERROR(BASE_DATOS[[#This Row],[Precio US$]]/BASE_DATOS[[#This Row],[Kilómetros Proy.]],"")</f>
        <v/>
      </c>
      <c r="AS317" s="167" t="s">
        <v>62</v>
      </c>
      <c r="AT317" s="167"/>
      <c r="AU317" s="167"/>
      <c r="AV317" s="167"/>
      <c r="AW317" s="179"/>
      <c r="AX317" s="179"/>
      <c r="AY317" s="179" t="str">
        <f>CONCATENATE(BASE_DATOS[[#This Row],[Código_U]]&amp;BASE_DATOS[[#This Row],[Pos.]]&amp;BASE_DATOS[[#This Row],[Situación Actual]])</f>
        <v>SR-1566Rodando</v>
      </c>
    </row>
    <row r="318" spans="1:51" ht="12" x14ac:dyDescent="0.25">
      <c r="A318" s="227" t="s">
        <v>175</v>
      </c>
      <c r="B318" s="217" t="s">
        <v>176</v>
      </c>
      <c r="C318" s="228" t="s">
        <v>295</v>
      </c>
      <c r="D318" s="229" t="s">
        <v>384</v>
      </c>
      <c r="E318" s="255"/>
      <c r="F318" s="256" t="s">
        <v>97</v>
      </c>
      <c r="G318" s="256" t="s">
        <v>269</v>
      </c>
      <c r="H318" s="257" t="str">
        <f>IF(BASE_DATOS[[#This Row],[N-R]]="N",BASE_DATOS[[#This Row],[Diseño]],"Reencauche")</f>
        <v>AGC28</v>
      </c>
      <c r="I318" s="256" t="s">
        <v>270</v>
      </c>
      <c r="J318" s="243" t="s">
        <v>72</v>
      </c>
      <c r="K318" s="258">
        <v>16.5</v>
      </c>
      <c r="L318" s="256">
        <v>110</v>
      </c>
      <c r="M318" s="259"/>
      <c r="N318" s="260"/>
      <c r="O318" s="277"/>
      <c r="P318" s="278"/>
      <c r="Q318" s="279"/>
      <c r="R318" s="304" t="s">
        <v>509</v>
      </c>
      <c r="S318" s="310">
        <v>45385</v>
      </c>
      <c r="T318" s="313"/>
      <c r="U318" s="279"/>
      <c r="V318" s="227">
        <v>7</v>
      </c>
      <c r="W318" s="281">
        <v>5</v>
      </c>
      <c r="X318" s="282">
        <v>7</v>
      </c>
      <c r="Y318" s="293">
        <f t="shared" si="12"/>
        <v>5</v>
      </c>
      <c r="Z318" s="175" t="s">
        <v>85</v>
      </c>
      <c r="AA318" s="342">
        <f>IFERROR(BASE_DATOS[[#This Row],[NSK Original]]-BASE_DATOS[[#This Row],[NSK]]," ")</f>
        <v>11.5</v>
      </c>
      <c r="AB318" s="343">
        <f>'NSK-TRACTO'!$A$2</f>
        <v>6</v>
      </c>
      <c r="AC318" s="343">
        <f>IF(BASE_DATOS[[#This Row],[NSK]]&gt;=BASE_DATOS[[#This Row],[NSK Reen]],BASE_DATOS[[#This Row],[NSK Reen]],BASE_DATOS[[#This Row],[NSK]])</f>
        <v>5</v>
      </c>
      <c r="AD318" s="344">
        <f>IFERROR(100%-(BASE_DATOS[[#This Row],[NSK Reen]]/BASE_DATOS[[#This Row],[NSK Original]]),"")</f>
        <v>0.63636363636363635</v>
      </c>
      <c r="AE318" s="344">
        <f>IFERROR(100%-BASE_DATOS[[#This Row],[NSK]]/BASE_DATOS[[#This Row],[NSK Original]],"")</f>
        <v>0.69696969696969702</v>
      </c>
      <c r="AF318" s="344">
        <f>IFERROR(BASE_DATOS[[#This Row],[% Max Des.]]-BASE_DATOS[[#This Row],[% Des]],"")</f>
        <v>-6.0606060606060663E-2</v>
      </c>
      <c r="AG318" s="287"/>
      <c r="AH318" s="273"/>
      <c r="AI318" s="363" t="str">
        <f>IF(OR(BASE_DATOS[[#This Row],[Hr.]]="",BASE_DATOS[[#This Row],[Hr. Actual]]=""),"",BASE_DATOS[[#This Row],[Hr. Actual]]-BASE_DATOS[[#This Row],[Hr.]]+BASE_DATOS[[#This Row],[Horas Acumuladas]])</f>
        <v/>
      </c>
      <c r="AJ318" s="364" t="str">
        <f>IFERROR(BASE_DATOS[[#This Row],[Precio US$]]/BASE_DATOS[[#This Row],[Horas Rodadas]],"")</f>
        <v/>
      </c>
      <c r="AK318" s="365" t="str">
        <f>IFERROR(BASE_DATOS[[#This Row],[Horas Rodadas]]/(BASE_DATOS[[#This Row],[NSK Original]]-BASE_DATOS[[#This Row],[NSK]]),"")</f>
        <v/>
      </c>
      <c r="AL31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18" s="366" t="str">
        <f>IFERROR(BASE_DATOS[[#This Row],[Precio US$]]/BASE_DATOS[[#This Row],[Horas Proy.]],"")</f>
        <v/>
      </c>
      <c r="AN318" s="176" t="str">
        <f>IF(OR(BASE_DATOS[[#This Row],[Km.]]="",BASE_DATOS[[#This Row],[Km. Actual]]=""),"",BASE_DATOS[[#This Row],[Km. Actual]]-BASE_DATOS[[#This Row],[Km.]]+BASE_DATOS[[#This Row],[Kilómetros Acumulados]])</f>
        <v/>
      </c>
      <c r="AO318" s="177" t="str">
        <f>IFERROR(BASE_DATOS[[#This Row],[Precio US$]]/BASE_DATOS[[#This Row],[Kilómetros Rodados]],"")</f>
        <v/>
      </c>
      <c r="AP318" s="176" t="str">
        <f>IFERROR(BASE_DATOS[[#This Row],[Kilómetros Rodados]]/(BASE_DATOS[[#This Row],[NSK Original]]-BASE_DATOS[[#This Row],[NSK]]),"")</f>
        <v/>
      </c>
      <c r="AQ31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18" s="177" t="str">
        <f>IFERROR(BASE_DATOS[[#This Row],[Precio US$]]/BASE_DATOS[[#This Row],[Kilómetros Proy.]],"")</f>
        <v/>
      </c>
      <c r="AS318" s="167" t="s">
        <v>62</v>
      </c>
      <c r="AT318" s="167"/>
      <c r="AU318" s="167"/>
      <c r="AV318" s="167"/>
      <c r="AW318" s="179"/>
      <c r="AX318" s="179"/>
      <c r="AY318" s="179" t="str">
        <f>CONCATENATE(BASE_DATOS[[#This Row],[Código_U]]&amp;BASE_DATOS[[#This Row],[Pos.]]&amp;BASE_DATOS[[#This Row],[Situación Actual]])</f>
        <v>SR-156RERodando</v>
      </c>
    </row>
    <row r="319" spans="1:51" ht="12" x14ac:dyDescent="0.25">
      <c r="A319" s="227" t="s">
        <v>175</v>
      </c>
      <c r="B319" s="217" t="s">
        <v>176</v>
      </c>
      <c r="C319" s="228" t="s">
        <v>295</v>
      </c>
      <c r="D319" s="229" t="s">
        <v>108</v>
      </c>
      <c r="E319" s="255"/>
      <c r="F319" s="256" t="s">
        <v>278</v>
      </c>
      <c r="G319" s="256" t="s">
        <v>271</v>
      </c>
      <c r="H319" s="257" t="str">
        <f>IF(BASE_DATOS[[#This Row],[N-R]]="N",BASE_DATOS[[#This Row],[Diseño]],"Reencauche")</f>
        <v>HD3</v>
      </c>
      <c r="I319" s="256" t="s">
        <v>286</v>
      </c>
      <c r="J319" s="243" t="s">
        <v>72</v>
      </c>
      <c r="K319" s="258">
        <v>0</v>
      </c>
      <c r="L319" s="256">
        <v>110</v>
      </c>
      <c r="M319" s="259"/>
      <c r="N319" s="260"/>
      <c r="O319" s="277"/>
      <c r="P319" s="278"/>
      <c r="Q319" s="279"/>
      <c r="R319" s="304" t="s">
        <v>108</v>
      </c>
      <c r="S319" s="310">
        <v>45385</v>
      </c>
      <c r="T319" s="313"/>
      <c r="U319" s="279"/>
      <c r="V319" s="227">
        <v>10</v>
      </c>
      <c r="W319" s="281"/>
      <c r="X319" s="282">
        <v>10</v>
      </c>
      <c r="Y319" s="293">
        <f t="shared" ref="Y319" si="13">IFERROR(MIN(V319:X319),"")</f>
        <v>10</v>
      </c>
      <c r="Z319" s="175" t="s">
        <v>85</v>
      </c>
      <c r="AA319" s="342">
        <f>IFERROR(BASE_DATOS[[#This Row],[NSK Original]]-BASE_DATOS[[#This Row],[NSK]]," ")</f>
        <v>-10</v>
      </c>
      <c r="AB319" s="343">
        <f>'NSK-TRACTO'!$A$2</f>
        <v>6</v>
      </c>
      <c r="AC319" s="343">
        <f>IF(BASE_DATOS[[#This Row],[NSK]]&gt;=BASE_DATOS[[#This Row],[NSK Reen]],BASE_DATOS[[#This Row],[NSK Reen]],BASE_DATOS[[#This Row],[NSK]])</f>
        <v>6</v>
      </c>
      <c r="AD319" s="344" t="str">
        <f>IFERROR(100%-(BASE_DATOS[[#This Row],[NSK Reen]]/BASE_DATOS[[#This Row],[NSK Original]]),"")</f>
        <v/>
      </c>
      <c r="AE319" s="344" t="str">
        <f>IFERROR(100%-BASE_DATOS[[#This Row],[NSK]]/BASE_DATOS[[#This Row],[NSK Original]],"")</f>
        <v/>
      </c>
      <c r="AF319" s="344" t="str">
        <f>IFERROR(BASE_DATOS[[#This Row],[% Max Des.]]-BASE_DATOS[[#This Row],[% Des]],"")</f>
        <v/>
      </c>
      <c r="AG319" s="287"/>
      <c r="AH319" s="273"/>
      <c r="AI319" s="363" t="str">
        <f>IF(OR(BASE_DATOS[[#This Row],[Hr.]]="",BASE_DATOS[[#This Row],[Hr. Actual]]=""),"",BASE_DATOS[[#This Row],[Hr. Actual]]-BASE_DATOS[[#This Row],[Hr.]]+BASE_DATOS[[#This Row],[Horas Acumuladas]])</f>
        <v/>
      </c>
      <c r="AJ319" s="364" t="str">
        <f>IFERROR(BASE_DATOS[[#This Row],[Precio US$]]/BASE_DATOS[[#This Row],[Horas Rodadas]],"")</f>
        <v/>
      </c>
      <c r="AK319" s="365" t="str">
        <f>IFERROR(BASE_DATOS[[#This Row],[Horas Rodadas]]/(BASE_DATOS[[#This Row],[NSK Original]]-BASE_DATOS[[#This Row],[NSK]]),"")</f>
        <v/>
      </c>
      <c r="AL31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19" s="366" t="str">
        <f>IFERROR(BASE_DATOS[[#This Row],[Precio US$]]/BASE_DATOS[[#This Row],[Horas Proy.]],"")</f>
        <v/>
      </c>
      <c r="AN319" s="176" t="str">
        <f>IF(OR(BASE_DATOS[[#This Row],[Km.]]="",BASE_DATOS[[#This Row],[Km. Actual]]=""),"",BASE_DATOS[[#This Row],[Km. Actual]]-BASE_DATOS[[#This Row],[Km.]]+BASE_DATOS[[#This Row],[Kilómetros Acumulados]])</f>
        <v/>
      </c>
      <c r="AO319" s="177" t="str">
        <f>IFERROR(BASE_DATOS[[#This Row],[Precio US$]]/BASE_DATOS[[#This Row],[Kilómetros Rodados]],"")</f>
        <v/>
      </c>
      <c r="AP319" s="176" t="str">
        <f>IFERROR(BASE_DATOS[[#This Row],[Kilómetros Rodados]]/(BASE_DATOS[[#This Row],[NSK Original]]-BASE_DATOS[[#This Row],[NSK]]),"")</f>
        <v/>
      </c>
      <c r="AQ31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19" s="177" t="str">
        <f>IFERROR(BASE_DATOS[[#This Row],[Precio US$]]/BASE_DATOS[[#This Row],[Kilómetros Proy.]],"")</f>
        <v/>
      </c>
      <c r="AS319" s="167" t="s">
        <v>62</v>
      </c>
      <c r="AT319" s="167"/>
      <c r="AU319" s="167"/>
      <c r="AV319" s="167"/>
      <c r="AW319" s="179"/>
      <c r="AX319" s="179"/>
      <c r="AY319" s="179" t="str">
        <f>CONCATENATE(BASE_DATOS[[#This Row],[Código_U]]&amp;BASE_DATOS[[#This Row],[Pos.]]&amp;BASE_DATOS[[#This Row],[Situación Actual]])</f>
        <v>SR-156RTRodando</v>
      </c>
    </row>
    <row r="320" spans="1:51" ht="12" x14ac:dyDescent="0.25">
      <c r="A320" s="224" t="s">
        <v>177</v>
      </c>
      <c r="B320" s="213" t="s">
        <v>178</v>
      </c>
      <c r="C320" s="225" t="s">
        <v>296</v>
      </c>
      <c r="D320" s="226" t="s">
        <v>86</v>
      </c>
      <c r="E320" s="249" t="s">
        <v>363</v>
      </c>
      <c r="F320" s="250" t="s">
        <v>71</v>
      </c>
      <c r="G320" s="250" t="s">
        <v>271</v>
      </c>
      <c r="H320" s="251" t="str">
        <f>IF(BASE_DATOS[[#This Row],[N-R]]="N",BASE_DATOS[[#This Row],[Diseño]],"Reencauche")</f>
        <v>KMAX S</v>
      </c>
      <c r="I320" s="250" t="s">
        <v>287</v>
      </c>
      <c r="J320" s="235" t="s">
        <v>72</v>
      </c>
      <c r="K320" s="252">
        <v>15.8</v>
      </c>
      <c r="L320" s="233">
        <v>100</v>
      </c>
      <c r="M320" s="253"/>
      <c r="N320" s="254"/>
      <c r="O320" s="274"/>
      <c r="P320" s="275"/>
      <c r="Q320" s="276"/>
      <c r="R320" s="305" t="s">
        <v>98</v>
      </c>
      <c r="S320" s="306">
        <v>45385</v>
      </c>
      <c r="T320" s="307"/>
      <c r="U320" s="308"/>
      <c r="V320" s="224">
        <v>12</v>
      </c>
      <c r="W320" s="325">
        <v>13</v>
      </c>
      <c r="X320" s="326">
        <v>13</v>
      </c>
      <c r="Y320" s="292">
        <f t="shared" ref="Y320:Y337" si="14">IFERROR(MIN(V320:X320),"")</f>
        <v>12</v>
      </c>
      <c r="Z320" s="185" t="s">
        <v>73</v>
      </c>
      <c r="AA320" s="339">
        <f>IFERROR(BASE_DATOS[[#This Row],[NSK Original]]-BASE_DATOS[[#This Row],[NSK]]," ")</f>
        <v>3.8000000000000007</v>
      </c>
      <c r="AB320" s="340">
        <f>'NSK-TRACTO'!$A$2</f>
        <v>6</v>
      </c>
      <c r="AC320" s="340">
        <f>IF(BASE_DATOS[[#This Row],[NSK]]&gt;=BASE_DATOS[[#This Row],[NSK Reen]],BASE_DATOS[[#This Row],[NSK Reen]],BASE_DATOS[[#This Row],[NSK]])</f>
        <v>6</v>
      </c>
      <c r="AD320" s="341">
        <f>IFERROR(100%-(BASE_DATOS[[#This Row],[NSK Reen]]/BASE_DATOS[[#This Row],[NSK Original]]),"")</f>
        <v>0.620253164556962</v>
      </c>
      <c r="AE320" s="341">
        <f>IFERROR(100%-BASE_DATOS[[#This Row],[NSK]]/BASE_DATOS[[#This Row],[NSK Original]],"")</f>
        <v>0.24050632911392411</v>
      </c>
      <c r="AF320" s="341">
        <f>IFERROR(BASE_DATOS[[#This Row],[% Max Des.]]-BASE_DATOS[[#This Row],[% Des]],"")</f>
        <v>0.37974683544303789</v>
      </c>
      <c r="AG320" s="284"/>
      <c r="AH320" s="335"/>
      <c r="AI320" s="359" t="str">
        <f>IF(OR(BASE_DATOS[[#This Row],[Hr.]]="",BASE_DATOS[[#This Row],[Hr. Actual]]=""),"",BASE_DATOS[[#This Row],[Hr. Actual]]-BASE_DATOS[[#This Row],[Hr.]]+BASE_DATOS[[#This Row],[Horas Acumuladas]])</f>
        <v/>
      </c>
      <c r="AJ320" s="360" t="str">
        <f>IFERROR(BASE_DATOS[[#This Row],[Precio US$]]/BASE_DATOS[[#This Row],[Horas Rodadas]],"")</f>
        <v/>
      </c>
      <c r="AK320" s="361" t="str">
        <f>IFERROR(BASE_DATOS[[#This Row],[Horas Rodadas]]/(BASE_DATOS[[#This Row],[NSK Original]]-BASE_DATOS[[#This Row],[NSK]]),"")</f>
        <v/>
      </c>
      <c r="AL320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20" s="362" t="str">
        <f>IFERROR(BASE_DATOS[[#This Row],[Precio US$]]/BASE_DATOS[[#This Row],[Horas Proy.]],"")</f>
        <v/>
      </c>
      <c r="AN320" s="195" t="str">
        <f>IF(OR(BASE_DATOS[[#This Row],[Km.]]="",BASE_DATOS[[#This Row],[Km. Actual]]=""),"",BASE_DATOS[[#This Row],[Km. Actual]]-BASE_DATOS[[#This Row],[Km.]]+BASE_DATOS[[#This Row],[Kilómetros Acumulados]])</f>
        <v/>
      </c>
      <c r="AO320" s="196" t="str">
        <f>IFERROR(BASE_DATOS[[#This Row],[Precio US$]]/BASE_DATOS[[#This Row],[Kilómetros Rodados]],"")</f>
        <v/>
      </c>
      <c r="AP320" s="195" t="str">
        <f>IFERROR(BASE_DATOS[[#This Row],[Kilómetros Rodados]]/(BASE_DATOS[[#This Row],[NSK Original]]-BASE_DATOS[[#This Row],[NSK]]),"")</f>
        <v/>
      </c>
      <c r="AQ320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20" s="196" t="str">
        <f>IFERROR(BASE_DATOS[[#This Row],[Precio US$]]/BASE_DATOS[[#This Row],[Kilómetros Proy.]],"")</f>
        <v/>
      </c>
      <c r="AS320" s="191" t="s">
        <v>62</v>
      </c>
      <c r="AT320" s="191"/>
      <c r="AU320" s="191"/>
      <c r="AV320" s="191"/>
      <c r="AW320" s="198"/>
      <c r="AX320" s="198"/>
      <c r="AY320" s="198" t="str">
        <f>CONCATENATE(BASE_DATOS[[#This Row],[Código_U]]&amp;BASE_DATOS[[#This Row],[Pos.]]&amp;BASE_DATOS[[#This Row],[Situación Actual]])</f>
        <v>TC-1601Rodando</v>
      </c>
    </row>
    <row r="321" spans="1:51" ht="12" x14ac:dyDescent="0.25">
      <c r="A321" s="227" t="s">
        <v>177</v>
      </c>
      <c r="B321" s="217" t="s">
        <v>178</v>
      </c>
      <c r="C321" s="228" t="s">
        <v>296</v>
      </c>
      <c r="D321" s="229" t="s">
        <v>86</v>
      </c>
      <c r="E321" s="255" t="s">
        <v>364</v>
      </c>
      <c r="F321" s="256" t="s">
        <v>71</v>
      </c>
      <c r="G321" s="256" t="s">
        <v>271</v>
      </c>
      <c r="H321" s="257" t="str">
        <f>IF(BASE_DATOS[[#This Row],[N-R]]="N",BASE_DATOS[[#This Row],[Diseño]],"Reencauche")</f>
        <v>KMAX S</v>
      </c>
      <c r="I321" s="256" t="s">
        <v>287</v>
      </c>
      <c r="J321" s="243" t="s">
        <v>72</v>
      </c>
      <c r="K321" s="258">
        <v>15.8</v>
      </c>
      <c r="L321" s="241">
        <v>100</v>
      </c>
      <c r="M321" s="259"/>
      <c r="N321" s="260"/>
      <c r="O321" s="277"/>
      <c r="P321" s="278"/>
      <c r="Q321" s="279"/>
      <c r="R321" s="309" t="s">
        <v>99</v>
      </c>
      <c r="S321" s="310">
        <v>45385</v>
      </c>
      <c r="T321" s="311"/>
      <c r="U321" s="312"/>
      <c r="V321" s="227">
        <v>12</v>
      </c>
      <c r="W321" s="281">
        <v>13</v>
      </c>
      <c r="X321" s="282">
        <v>12</v>
      </c>
      <c r="Y321" s="293">
        <f t="shared" si="14"/>
        <v>12</v>
      </c>
      <c r="Z321" s="175" t="s">
        <v>73</v>
      </c>
      <c r="AA321" s="342">
        <f>IFERROR(BASE_DATOS[[#This Row],[NSK Original]]-BASE_DATOS[[#This Row],[NSK]]," ")</f>
        <v>3.8000000000000007</v>
      </c>
      <c r="AB321" s="343">
        <f>'NSK-TRACTO'!$A$2</f>
        <v>6</v>
      </c>
      <c r="AC321" s="343">
        <f>IF(BASE_DATOS[[#This Row],[NSK]]&gt;=BASE_DATOS[[#This Row],[NSK Reen]],BASE_DATOS[[#This Row],[NSK Reen]],BASE_DATOS[[#This Row],[NSK]])</f>
        <v>6</v>
      </c>
      <c r="AD321" s="344">
        <f>IFERROR(100%-(BASE_DATOS[[#This Row],[NSK Reen]]/BASE_DATOS[[#This Row],[NSK Original]]),"")</f>
        <v>0.620253164556962</v>
      </c>
      <c r="AE321" s="344">
        <f>IFERROR(100%-BASE_DATOS[[#This Row],[NSK]]/BASE_DATOS[[#This Row],[NSK Original]],"")</f>
        <v>0.24050632911392411</v>
      </c>
      <c r="AF321" s="344">
        <f>IFERROR(BASE_DATOS[[#This Row],[% Max Des.]]-BASE_DATOS[[#This Row],[% Des]],"")</f>
        <v>0.37974683544303789</v>
      </c>
      <c r="AG321" s="287"/>
      <c r="AH321" s="273"/>
      <c r="AI321" s="363" t="str">
        <f>IF(OR(BASE_DATOS[[#This Row],[Hr.]]="",BASE_DATOS[[#This Row],[Hr. Actual]]=""),"",BASE_DATOS[[#This Row],[Hr. Actual]]-BASE_DATOS[[#This Row],[Hr.]]+BASE_DATOS[[#This Row],[Horas Acumuladas]])</f>
        <v/>
      </c>
      <c r="AJ321" s="364" t="str">
        <f>IFERROR(BASE_DATOS[[#This Row],[Precio US$]]/BASE_DATOS[[#This Row],[Horas Rodadas]],"")</f>
        <v/>
      </c>
      <c r="AK321" s="365" t="str">
        <f>IFERROR(BASE_DATOS[[#This Row],[Horas Rodadas]]/(BASE_DATOS[[#This Row],[NSK Original]]-BASE_DATOS[[#This Row],[NSK]]),"")</f>
        <v/>
      </c>
      <c r="AL32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21" s="366" t="str">
        <f>IFERROR(BASE_DATOS[[#This Row],[Precio US$]]/BASE_DATOS[[#This Row],[Horas Proy.]],"")</f>
        <v/>
      </c>
      <c r="AN321" s="176" t="str">
        <f>IF(OR(BASE_DATOS[[#This Row],[Km.]]="",BASE_DATOS[[#This Row],[Km. Actual]]=""),"",BASE_DATOS[[#This Row],[Km. Actual]]-BASE_DATOS[[#This Row],[Km.]]+BASE_DATOS[[#This Row],[Kilómetros Acumulados]])</f>
        <v/>
      </c>
      <c r="AO321" s="177" t="str">
        <f>IFERROR(BASE_DATOS[[#This Row],[Precio US$]]/BASE_DATOS[[#This Row],[Kilómetros Rodados]],"")</f>
        <v/>
      </c>
      <c r="AP321" s="176" t="str">
        <f>IFERROR(BASE_DATOS[[#This Row],[Kilómetros Rodados]]/(BASE_DATOS[[#This Row],[NSK Original]]-BASE_DATOS[[#This Row],[NSK]]),"")</f>
        <v/>
      </c>
      <c r="AQ32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21" s="177" t="str">
        <f>IFERROR(BASE_DATOS[[#This Row],[Precio US$]]/BASE_DATOS[[#This Row],[Kilómetros Proy.]],"")</f>
        <v/>
      </c>
      <c r="AS321" s="167" t="s">
        <v>62</v>
      </c>
      <c r="AT321" s="167"/>
      <c r="AU321" s="167"/>
      <c r="AV321" s="167"/>
      <c r="AW321" s="179"/>
      <c r="AX321" s="179"/>
      <c r="AY321" s="179" t="str">
        <f>CONCATENATE(BASE_DATOS[[#This Row],[Código_U]]&amp;BASE_DATOS[[#This Row],[Pos.]]&amp;BASE_DATOS[[#This Row],[Situación Actual]])</f>
        <v>TC-1602Rodando</v>
      </c>
    </row>
    <row r="322" spans="1:51" ht="12" x14ac:dyDescent="0.25">
      <c r="A322" s="227" t="s">
        <v>177</v>
      </c>
      <c r="B322" s="217" t="s">
        <v>178</v>
      </c>
      <c r="C322" s="228" t="s">
        <v>296</v>
      </c>
      <c r="D322" s="229" t="s">
        <v>61</v>
      </c>
      <c r="E322" s="255"/>
      <c r="F322" s="256" t="s">
        <v>273</v>
      </c>
      <c r="G322" s="256" t="s">
        <v>271</v>
      </c>
      <c r="H322" s="257" t="str">
        <f>IF(BASE_DATOS[[#This Row],[N-R]]="N",BASE_DATOS[[#This Row],[Diseño]],"Reencauche")</f>
        <v>XMULTI2D</v>
      </c>
      <c r="I322" s="256" t="s">
        <v>299</v>
      </c>
      <c r="J322" s="243" t="s">
        <v>72</v>
      </c>
      <c r="K322" s="258">
        <v>21.4</v>
      </c>
      <c r="L322" s="241">
        <v>110</v>
      </c>
      <c r="M322" s="259"/>
      <c r="N322" s="260"/>
      <c r="O322" s="277"/>
      <c r="P322" s="278"/>
      <c r="Q322" s="279"/>
      <c r="R322" s="309" t="s">
        <v>100</v>
      </c>
      <c r="S322" s="310">
        <v>45385</v>
      </c>
      <c r="T322" s="311"/>
      <c r="U322" s="312"/>
      <c r="V322" s="227">
        <v>10</v>
      </c>
      <c r="W322" s="281"/>
      <c r="X322" s="282">
        <v>11</v>
      </c>
      <c r="Y322" s="293">
        <f t="shared" si="14"/>
        <v>10</v>
      </c>
      <c r="Z322" s="161" t="s">
        <v>85</v>
      </c>
      <c r="AA322" s="342">
        <f>IFERROR(BASE_DATOS[[#This Row],[NSK Original]]-BASE_DATOS[[#This Row],[NSK]]," ")</f>
        <v>11.399999999999999</v>
      </c>
      <c r="AB322" s="343">
        <f>'NSK-TRACTO'!$A$2</f>
        <v>6</v>
      </c>
      <c r="AC322" s="343">
        <f>IF(BASE_DATOS[[#This Row],[NSK]]&gt;=BASE_DATOS[[#This Row],[NSK Reen]],BASE_DATOS[[#This Row],[NSK Reen]],BASE_DATOS[[#This Row],[NSK]])</f>
        <v>6</v>
      </c>
      <c r="AD322" s="344">
        <f>IFERROR(100%-(BASE_DATOS[[#This Row],[NSK Reen]]/BASE_DATOS[[#This Row],[NSK Original]]),"")</f>
        <v>0.71962616822429903</v>
      </c>
      <c r="AE322" s="344">
        <f>IFERROR(100%-BASE_DATOS[[#This Row],[NSK]]/BASE_DATOS[[#This Row],[NSK Original]],"")</f>
        <v>0.53271028037383172</v>
      </c>
      <c r="AF322" s="344">
        <f>IFERROR(BASE_DATOS[[#This Row],[% Max Des.]]-BASE_DATOS[[#This Row],[% Des]],"")</f>
        <v>0.18691588785046731</v>
      </c>
      <c r="AG322" s="287"/>
      <c r="AH322" s="273"/>
      <c r="AI322" s="363" t="str">
        <f>IF(OR(BASE_DATOS[[#This Row],[Hr.]]="",BASE_DATOS[[#This Row],[Hr. Actual]]=""),"",BASE_DATOS[[#This Row],[Hr. Actual]]-BASE_DATOS[[#This Row],[Hr.]]+BASE_DATOS[[#This Row],[Horas Acumuladas]])</f>
        <v/>
      </c>
      <c r="AJ322" s="364" t="str">
        <f>IFERROR(BASE_DATOS[[#This Row],[Precio US$]]/BASE_DATOS[[#This Row],[Horas Rodadas]],"")</f>
        <v/>
      </c>
      <c r="AK322" s="365" t="str">
        <f>IFERROR(BASE_DATOS[[#This Row],[Horas Rodadas]]/(BASE_DATOS[[#This Row],[NSK Original]]-BASE_DATOS[[#This Row],[NSK]]),"")</f>
        <v/>
      </c>
      <c r="AL32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22" s="366" t="str">
        <f>IFERROR(BASE_DATOS[[#This Row],[Precio US$]]/BASE_DATOS[[#This Row],[Horas Proy.]],"")</f>
        <v/>
      </c>
      <c r="AN322" s="176" t="str">
        <f>IF(OR(BASE_DATOS[[#This Row],[Km.]]="",BASE_DATOS[[#This Row],[Km. Actual]]=""),"",BASE_DATOS[[#This Row],[Km. Actual]]-BASE_DATOS[[#This Row],[Km.]]+BASE_DATOS[[#This Row],[Kilómetros Acumulados]])</f>
        <v/>
      </c>
      <c r="AO322" s="177" t="str">
        <f>IFERROR(BASE_DATOS[[#This Row],[Precio US$]]/BASE_DATOS[[#This Row],[Kilómetros Rodados]],"")</f>
        <v/>
      </c>
      <c r="AP322" s="176" t="str">
        <f>IFERROR(BASE_DATOS[[#This Row],[Kilómetros Rodados]]/(BASE_DATOS[[#This Row],[NSK Original]]-BASE_DATOS[[#This Row],[NSK]]),"")</f>
        <v/>
      </c>
      <c r="AQ32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22" s="177" t="str">
        <f>IFERROR(BASE_DATOS[[#This Row],[Precio US$]]/BASE_DATOS[[#This Row],[Kilómetros Proy.]],"")</f>
        <v/>
      </c>
      <c r="AS322" s="167" t="s">
        <v>62</v>
      </c>
      <c r="AT322" s="167"/>
      <c r="AU322" s="167"/>
      <c r="AV322" s="167"/>
      <c r="AW322" s="179"/>
      <c r="AX322" s="179"/>
      <c r="AY322" s="179" t="str">
        <f>CONCATENATE(BASE_DATOS[[#This Row],[Código_U]]&amp;BASE_DATOS[[#This Row],[Pos.]]&amp;BASE_DATOS[[#This Row],[Situación Actual]])</f>
        <v>TC-1603Rodando</v>
      </c>
    </row>
    <row r="323" spans="1:51" ht="12" x14ac:dyDescent="0.25">
      <c r="A323" s="227" t="s">
        <v>177</v>
      </c>
      <c r="B323" s="217" t="s">
        <v>178</v>
      </c>
      <c r="C323" s="228" t="s">
        <v>296</v>
      </c>
      <c r="D323" s="229" t="s">
        <v>61</v>
      </c>
      <c r="E323" s="255"/>
      <c r="F323" s="256" t="s">
        <v>273</v>
      </c>
      <c r="G323" s="256" t="s">
        <v>271</v>
      </c>
      <c r="H323" s="257" t="str">
        <f>IF(BASE_DATOS[[#This Row],[N-R]]="N",BASE_DATOS[[#This Row],[Diseño]],"Reencauche")</f>
        <v>XMULTI2D</v>
      </c>
      <c r="I323" s="256" t="s">
        <v>299</v>
      </c>
      <c r="J323" s="243" t="s">
        <v>72</v>
      </c>
      <c r="K323" s="258">
        <v>21.4</v>
      </c>
      <c r="L323" s="241">
        <v>110</v>
      </c>
      <c r="M323" s="259"/>
      <c r="N323" s="260"/>
      <c r="O323" s="277"/>
      <c r="P323" s="278"/>
      <c r="Q323" s="279"/>
      <c r="R323" s="309" t="s">
        <v>101</v>
      </c>
      <c r="S323" s="310">
        <v>45385</v>
      </c>
      <c r="T323" s="311"/>
      <c r="U323" s="312"/>
      <c r="V323" s="227">
        <v>8</v>
      </c>
      <c r="W323" s="281"/>
      <c r="X323" s="282">
        <v>9</v>
      </c>
      <c r="Y323" s="293">
        <f t="shared" si="14"/>
        <v>8</v>
      </c>
      <c r="Z323" s="161" t="s">
        <v>85</v>
      </c>
      <c r="AA323" s="342">
        <f>IFERROR(BASE_DATOS[[#This Row],[NSK Original]]-BASE_DATOS[[#This Row],[NSK]]," ")</f>
        <v>13.399999999999999</v>
      </c>
      <c r="AB323" s="343">
        <f>'NSK-TRACTO'!$A$2</f>
        <v>6</v>
      </c>
      <c r="AC323" s="343">
        <f>IF(BASE_DATOS[[#This Row],[NSK]]&gt;=BASE_DATOS[[#This Row],[NSK Reen]],BASE_DATOS[[#This Row],[NSK Reen]],BASE_DATOS[[#This Row],[NSK]])</f>
        <v>6</v>
      </c>
      <c r="AD323" s="344">
        <f>IFERROR(100%-(BASE_DATOS[[#This Row],[NSK Reen]]/BASE_DATOS[[#This Row],[NSK Original]]),"")</f>
        <v>0.71962616822429903</v>
      </c>
      <c r="AE323" s="344">
        <f>IFERROR(100%-BASE_DATOS[[#This Row],[NSK]]/BASE_DATOS[[#This Row],[NSK Original]],"")</f>
        <v>0.62616822429906538</v>
      </c>
      <c r="AF323" s="344">
        <f>IFERROR(BASE_DATOS[[#This Row],[% Max Des.]]-BASE_DATOS[[#This Row],[% Des]],"")</f>
        <v>9.3457943925233655E-2</v>
      </c>
      <c r="AG323" s="287"/>
      <c r="AH323" s="273"/>
      <c r="AI323" s="363" t="str">
        <f>IF(OR(BASE_DATOS[[#This Row],[Hr.]]="",BASE_DATOS[[#This Row],[Hr. Actual]]=""),"",BASE_DATOS[[#This Row],[Hr. Actual]]-BASE_DATOS[[#This Row],[Hr.]]+BASE_DATOS[[#This Row],[Horas Acumuladas]])</f>
        <v/>
      </c>
      <c r="AJ323" s="364" t="str">
        <f>IFERROR(BASE_DATOS[[#This Row],[Precio US$]]/BASE_DATOS[[#This Row],[Horas Rodadas]],"")</f>
        <v/>
      </c>
      <c r="AK323" s="365" t="str">
        <f>IFERROR(BASE_DATOS[[#This Row],[Horas Rodadas]]/(BASE_DATOS[[#This Row],[NSK Original]]-BASE_DATOS[[#This Row],[NSK]]),"")</f>
        <v/>
      </c>
      <c r="AL32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23" s="366" t="str">
        <f>IFERROR(BASE_DATOS[[#This Row],[Precio US$]]/BASE_DATOS[[#This Row],[Horas Proy.]],"")</f>
        <v/>
      </c>
      <c r="AN323" s="176" t="str">
        <f>IF(OR(BASE_DATOS[[#This Row],[Km.]]="",BASE_DATOS[[#This Row],[Km. Actual]]=""),"",BASE_DATOS[[#This Row],[Km. Actual]]-BASE_DATOS[[#This Row],[Km.]]+BASE_DATOS[[#This Row],[Kilómetros Acumulados]])</f>
        <v/>
      </c>
      <c r="AO323" s="177" t="str">
        <f>IFERROR(BASE_DATOS[[#This Row],[Precio US$]]/BASE_DATOS[[#This Row],[Kilómetros Rodados]],"")</f>
        <v/>
      </c>
      <c r="AP323" s="176" t="str">
        <f>IFERROR(BASE_DATOS[[#This Row],[Kilómetros Rodados]]/(BASE_DATOS[[#This Row],[NSK Original]]-BASE_DATOS[[#This Row],[NSK]]),"")</f>
        <v/>
      </c>
      <c r="AQ32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23" s="177" t="str">
        <f>IFERROR(BASE_DATOS[[#This Row],[Precio US$]]/BASE_DATOS[[#This Row],[Kilómetros Proy.]],"")</f>
        <v/>
      </c>
      <c r="AS323" s="167" t="s">
        <v>62</v>
      </c>
      <c r="AT323" s="167"/>
      <c r="AU323" s="167"/>
      <c r="AV323" s="167"/>
      <c r="AW323" s="179"/>
      <c r="AX323" s="179"/>
      <c r="AY323" s="179" t="str">
        <f>CONCATENATE(BASE_DATOS[[#This Row],[Código_U]]&amp;BASE_DATOS[[#This Row],[Pos.]]&amp;BASE_DATOS[[#This Row],[Situación Actual]])</f>
        <v>TC-1604Rodando</v>
      </c>
    </row>
    <row r="324" spans="1:51" ht="12" x14ac:dyDescent="0.25">
      <c r="A324" s="227" t="s">
        <v>177</v>
      </c>
      <c r="B324" s="217" t="s">
        <v>178</v>
      </c>
      <c r="C324" s="228" t="s">
        <v>296</v>
      </c>
      <c r="D324" s="229" t="s">
        <v>61</v>
      </c>
      <c r="E324" s="255"/>
      <c r="F324" s="256" t="s">
        <v>273</v>
      </c>
      <c r="G324" s="256" t="s">
        <v>271</v>
      </c>
      <c r="H324" s="257" t="str">
        <f>IF(BASE_DATOS[[#This Row],[N-R]]="N",BASE_DATOS[[#This Row],[Diseño]],"Reencauche")</f>
        <v>XMULTI2D</v>
      </c>
      <c r="I324" s="256" t="s">
        <v>299</v>
      </c>
      <c r="J324" s="243" t="s">
        <v>72</v>
      </c>
      <c r="K324" s="258">
        <v>21.4</v>
      </c>
      <c r="L324" s="241">
        <v>110</v>
      </c>
      <c r="M324" s="259"/>
      <c r="N324" s="260"/>
      <c r="O324" s="277"/>
      <c r="P324" s="278"/>
      <c r="Q324" s="279"/>
      <c r="R324" s="309" t="s">
        <v>102</v>
      </c>
      <c r="S324" s="310">
        <v>45385</v>
      </c>
      <c r="T324" s="311"/>
      <c r="U324" s="312"/>
      <c r="V324" s="227">
        <v>12</v>
      </c>
      <c r="W324" s="281"/>
      <c r="X324" s="282">
        <v>13</v>
      </c>
      <c r="Y324" s="293">
        <f t="shared" si="14"/>
        <v>12</v>
      </c>
      <c r="Z324" s="161" t="s">
        <v>85</v>
      </c>
      <c r="AA324" s="342">
        <f>IFERROR(BASE_DATOS[[#This Row],[NSK Original]]-BASE_DATOS[[#This Row],[NSK]]," ")</f>
        <v>9.3999999999999986</v>
      </c>
      <c r="AB324" s="343">
        <f>'NSK-TRACTO'!$A$2</f>
        <v>6</v>
      </c>
      <c r="AC324" s="343">
        <f>IF(BASE_DATOS[[#This Row],[NSK]]&gt;=BASE_DATOS[[#This Row],[NSK Reen]],BASE_DATOS[[#This Row],[NSK Reen]],BASE_DATOS[[#This Row],[NSK]])</f>
        <v>6</v>
      </c>
      <c r="AD324" s="344">
        <f>IFERROR(100%-(BASE_DATOS[[#This Row],[NSK Reen]]/BASE_DATOS[[#This Row],[NSK Original]]),"")</f>
        <v>0.71962616822429903</v>
      </c>
      <c r="AE324" s="344">
        <f>IFERROR(100%-BASE_DATOS[[#This Row],[NSK]]/BASE_DATOS[[#This Row],[NSK Original]],"")</f>
        <v>0.43925233644859807</v>
      </c>
      <c r="AF324" s="344">
        <f>IFERROR(BASE_DATOS[[#This Row],[% Max Des.]]-BASE_DATOS[[#This Row],[% Des]],"")</f>
        <v>0.28037383177570097</v>
      </c>
      <c r="AG324" s="287"/>
      <c r="AH324" s="273"/>
      <c r="AI324" s="363" t="str">
        <f>IF(OR(BASE_DATOS[[#This Row],[Hr.]]="",BASE_DATOS[[#This Row],[Hr. Actual]]=""),"",BASE_DATOS[[#This Row],[Hr. Actual]]-BASE_DATOS[[#This Row],[Hr.]]+BASE_DATOS[[#This Row],[Horas Acumuladas]])</f>
        <v/>
      </c>
      <c r="AJ324" s="364" t="str">
        <f>IFERROR(BASE_DATOS[[#This Row],[Precio US$]]/BASE_DATOS[[#This Row],[Horas Rodadas]],"")</f>
        <v/>
      </c>
      <c r="AK324" s="365" t="str">
        <f>IFERROR(BASE_DATOS[[#This Row],[Horas Rodadas]]/(BASE_DATOS[[#This Row],[NSK Original]]-BASE_DATOS[[#This Row],[NSK]]),"")</f>
        <v/>
      </c>
      <c r="AL32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24" s="366" t="str">
        <f>IFERROR(BASE_DATOS[[#This Row],[Precio US$]]/BASE_DATOS[[#This Row],[Horas Proy.]],"")</f>
        <v/>
      </c>
      <c r="AN324" s="176" t="str">
        <f>IF(OR(BASE_DATOS[[#This Row],[Km.]]="",BASE_DATOS[[#This Row],[Km. Actual]]=""),"",BASE_DATOS[[#This Row],[Km. Actual]]-BASE_DATOS[[#This Row],[Km.]]+BASE_DATOS[[#This Row],[Kilómetros Acumulados]])</f>
        <v/>
      </c>
      <c r="AO324" s="177" t="str">
        <f>IFERROR(BASE_DATOS[[#This Row],[Precio US$]]/BASE_DATOS[[#This Row],[Kilómetros Rodados]],"")</f>
        <v/>
      </c>
      <c r="AP324" s="176" t="str">
        <f>IFERROR(BASE_DATOS[[#This Row],[Kilómetros Rodados]]/(BASE_DATOS[[#This Row],[NSK Original]]-BASE_DATOS[[#This Row],[NSK]]),"")</f>
        <v/>
      </c>
      <c r="AQ32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24" s="177" t="str">
        <f>IFERROR(BASE_DATOS[[#This Row],[Precio US$]]/BASE_DATOS[[#This Row],[Kilómetros Proy.]],"")</f>
        <v/>
      </c>
      <c r="AS324" s="167" t="s">
        <v>62</v>
      </c>
      <c r="AT324" s="167"/>
      <c r="AU324" s="167"/>
      <c r="AV324" s="167"/>
      <c r="AW324" s="179"/>
      <c r="AX324" s="179"/>
      <c r="AY324" s="179" t="str">
        <f>CONCATENATE(BASE_DATOS[[#This Row],[Código_U]]&amp;BASE_DATOS[[#This Row],[Pos.]]&amp;BASE_DATOS[[#This Row],[Situación Actual]])</f>
        <v>TC-1605Rodando</v>
      </c>
    </row>
    <row r="325" spans="1:51" ht="12" x14ac:dyDescent="0.25">
      <c r="A325" s="227" t="s">
        <v>177</v>
      </c>
      <c r="B325" s="217" t="s">
        <v>178</v>
      </c>
      <c r="C325" s="228" t="s">
        <v>296</v>
      </c>
      <c r="D325" s="229" t="s">
        <v>61</v>
      </c>
      <c r="E325" s="255"/>
      <c r="F325" s="256" t="s">
        <v>273</v>
      </c>
      <c r="G325" s="256" t="s">
        <v>271</v>
      </c>
      <c r="H325" s="257" t="str">
        <f>IF(BASE_DATOS[[#This Row],[N-R]]="N",BASE_DATOS[[#This Row],[Diseño]],"Reencauche")</f>
        <v>XMULTI2D</v>
      </c>
      <c r="I325" s="256" t="s">
        <v>299</v>
      </c>
      <c r="J325" s="243" t="s">
        <v>72</v>
      </c>
      <c r="K325" s="258">
        <v>21.4</v>
      </c>
      <c r="L325" s="241">
        <v>110</v>
      </c>
      <c r="M325" s="259"/>
      <c r="N325" s="260"/>
      <c r="O325" s="277"/>
      <c r="P325" s="278"/>
      <c r="Q325" s="279"/>
      <c r="R325" s="309" t="s">
        <v>103</v>
      </c>
      <c r="S325" s="310">
        <v>45385</v>
      </c>
      <c r="T325" s="311"/>
      <c r="U325" s="312"/>
      <c r="V325" s="227">
        <v>12</v>
      </c>
      <c r="W325" s="281"/>
      <c r="X325" s="282">
        <v>12</v>
      </c>
      <c r="Y325" s="293">
        <f t="shared" si="14"/>
        <v>12</v>
      </c>
      <c r="Z325" s="161" t="s">
        <v>85</v>
      </c>
      <c r="AA325" s="342">
        <f>IFERROR(BASE_DATOS[[#This Row],[NSK Original]]-BASE_DATOS[[#This Row],[NSK]]," ")</f>
        <v>9.3999999999999986</v>
      </c>
      <c r="AB325" s="343">
        <f>'NSK-TRACTO'!$A$2</f>
        <v>6</v>
      </c>
      <c r="AC325" s="343">
        <f>IF(BASE_DATOS[[#This Row],[NSK]]&gt;=BASE_DATOS[[#This Row],[NSK Reen]],BASE_DATOS[[#This Row],[NSK Reen]],BASE_DATOS[[#This Row],[NSK]])</f>
        <v>6</v>
      </c>
      <c r="AD325" s="344">
        <f>IFERROR(100%-(BASE_DATOS[[#This Row],[NSK Reen]]/BASE_DATOS[[#This Row],[NSK Original]]),"")</f>
        <v>0.71962616822429903</v>
      </c>
      <c r="AE325" s="344">
        <f>IFERROR(100%-BASE_DATOS[[#This Row],[NSK]]/BASE_DATOS[[#This Row],[NSK Original]],"")</f>
        <v>0.43925233644859807</v>
      </c>
      <c r="AF325" s="344">
        <f>IFERROR(BASE_DATOS[[#This Row],[% Max Des.]]-BASE_DATOS[[#This Row],[% Des]],"")</f>
        <v>0.28037383177570097</v>
      </c>
      <c r="AG325" s="287"/>
      <c r="AH325" s="273"/>
      <c r="AI325" s="363" t="str">
        <f>IF(OR(BASE_DATOS[[#This Row],[Hr.]]="",BASE_DATOS[[#This Row],[Hr. Actual]]=""),"",BASE_DATOS[[#This Row],[Hr. Actual]]-BASE_DATOS[[#This Row],[Hr.]]+BASE_DATOS[[#This Row],[Horas Acumuladas]])</f>
        <v/>
      </c>
      <c r="AJ325" s="364" t="str">
        <f>IFERROR(BASE_DATOS[[#This Row],[Precio US$]]/BASE_DATOS[[#This Row],[Horas Rodadas]],"")</f>
        <v/>
      </c>
      <c r="AK325" s="365" t="str">
        <f>IFERROR(BASE_DATOS[[#This Row],[Horas Rodadas]]/(BASE_DATOS[[#This Row],[NSK Original]]-BASE_DATOS[[#This Row],[NSK]]),"")</f>
        <v/>
      </c>
      <c r="AL32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25" s="366" t="str">
        <f>IFERROR(BASE_DATOS[[#This Row],[Precio US$]]/BASE_DATOS[[#This Row],[Horas Proy.]],"")</f>
        <v/>
      </c>
      <c r="AN325" s="176" t="str">
        <f>IF(OR(BASE_DATOS[[#This Row],[Km.]]="",BASE_DATOS[[#This Row],[Km. Actual]]=""),"",BASE_DATOS[[#This Row],[Km. Actual]]-BASE_DATOS[[#This Row],[Km.]]+BASE_DATOS[[#This Row],[Kilómetros Acumulados]])</f>
        <v/>
      </c>
      <c r="AO325" s="177" t="str">
        <f>IFERROR(BASE_DATOS[[#This Row],[Precio US$]]/BASE_DATOS[[#This Row],[Kilómetros Rodados]],"")</f>
        <v/>
      </c>
      <c r="AP325" s="176" t="str">
        <f>IFERROR(BASE_DATOS[[#This Row],[Kilómetros Rodados]]/(BASE_DATOS[[#This Row],[NSK Original]]-BASE_DATOS[[#This Row],[NSK]]),"")</f>
        <v/>
      </c>
      <c r="AQ32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25" s="177" t="str">
        <f>IFERROR(BASE_DATOS[[#This Row],[Precio US$]]/BASE_DATOS[[#This Row],[Kilómetros Proy.]],"")</f>
        <v/>
      </c>
      <c r="AS325" s="167" t="s">
        <v>62</v>
      </c>
      <c r="AT325" s="167"/>
      <c r="AU325" s="167"/>
      <c r="AV325" s="167"/>
      <c r="AW325" s="179"/>
      <c r="AX325" s="179"/>
      <c r="AY325" s="179" t="str">
        <f>CONCATENATE(BASE_DATOS[[#This Row],[Código_U]]&amp;BASE_DATOS[[#This Row],[Pos.]]&amp;BASE_DATOS[[#This Row],[Situación Actual]])</f>
        <v>TC-1606Rodando</v>
      </c>
    </row>
    <row r="326" spans="1:51" ht="12" x14ac:dyDescent="0.25">
      <c r="A326" s="227" t="s">
        <v>177</v>
      </c>
      <c r="B326" s="217" t="s">
        <v>178</v>
      </c>
      <c r="C326" s="228" t="s">
        <v>296</v>
      </c>
      <c r="D326" s="229" t="s">
        <v>61</v>
      </c>
      <c r="E326" s="248" t="s">
        <v>331</v>
      </c>
      <c r="F326" s="256" t="s">
        <v>71</v>
      </c>
      <c r="G326" s="256" t="s">
        <v>271</v>
      </c>
      <c r="H326" s="257" t="str">
        <f>IF(BASE_DATOS[[#This Row],[N-R]]="N",BASE_DATOS[[#This Row],[Diseño]],"Reencauche")</f>
        <v>KMAXD</v>
      </c>
      <c r="I326" s="256" t="s">
        <v>294</v>
      </c>
      <c r="J326" s="243" t="s">
        <v>72</v>
      </c>
      <c r="K326" s="258">
        <v>22.2</v>
      </c>
      <c r="L326" s="241">
        <v>110</v>
      </c>
      <c r="M326" s="259"/>
      <c r="N326" s="260"/>
      <c r="O326" s="277"/>
      <c r="P326" s="278"/>
      <c r="Q326" s="279"/>
      <c r="R326" s="309" t="s">
        <v>104</v>
      </c>
      <c r="S326" s="310">
        <v>45385</v>
      </c>
      <c r="T326" s="311"/>
      <c r="U326" s="312"/>
      <c r="V326" s="227">
        <v>11</v>
      </c>
      <c r="W326" s="281"/>
      <c r="X326" s="282">
        <v>11</v>
      </c>
      <c r="Y326" s="293">
        <f t="shared" si="14"/>
        <v>11</v>
      </c>
      <c r="Z326" s="161" t="s">
        <v>85</v>
      </c>
      <c r="AA326" s="342">
        <f>IFERROR(BASE_DATOS[[#This Row],[NSK Original]]-BASE_DATOS[[#This Row],[NSK]]," ")</f>
        <v>11.2</v>
      </c>
      <c r="AB326" s="343">
        <f>'NSK-TRACTO'!$A$2</f>
        <v>6</v>
      </c>
      <c r="AC326" s="343">
        <f>IF(BASE_DATOS[[#This Row],[NSK]]&gt;=BASE_DATOS[[#This Row],[NSK Reen]],BASE_DATOS[[#This Row],[NSK Reen]],BASE_DATOS[[#This Row],[NSK]])</f>
        <v>6</v>
      </c>
      <c r="AD326" s="344">
        <f>IFERROR(100%-(BASE_DATOS[[#This Row],[NSK Reen]]/BASE_DATOS[[#This Row],[NSK Original]]),"")</f>
        <v>0.72972972972972971</v>
      </c>
      <c r="AE326" s="344">
        <f>IFERROR(100%-BASE_DATOS[[#This Row],[NSK]]/BASE_DATOS[[#This Row],[NSK Original]],"")</f>
        <v>0.50450450450450446</v>
      </c>
      <c r="AF326" s="344">
        <f>IFERROR(BASE_DATOS[[#This Row],[% Max Des.]]-BASE_DATOS[[#This Row],[% Des]],"")</f>
        <v>0.22522522522522526</v>
      </c>
      <c r="AG326" s="287"/>
      <c r="AH326" s="273"/>
      <c r="AI326" s="363" t="str">
        <f>IF(OR(BASE_DATOS[[#This Row],[Hr.]]="",BASE_DATOS[[#This Row],[Hr. Actual]]=""),"",BASE_DATOS[[#This Row],[Hr. Actual]]-BASE_DATOS[[#This Row],[Hr.]]+BASE_DATOS[[#This Row],[Horas Acumuladas]])</f>
        <v/>
      </c>
      <c r="AJ326" s="364" t="str">
        <f>IFERROR(BASE_DATOS[[#This Row],[Precio US$]]/BASE_DATOS[[#This Row],[Horas Rodadas]],"")</f>
        <v/>
      </c>
      <c r="AK326" s="365" t="str">
        <f>IFERROR(BASE_DATOS[[#This Row],[Horas Rodadas]]/(BASE_DATOS[[#This Row],[NSK Original]]-BASE_DATOS[[#This Row],[NSK]]),"")</f>
        <v/>
      </c>
      <c r="AL32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26" s="366" t="str">
        <f>IFERROR(BASE_DATOS[[#This Row],[Precio US$]]/BASE_DATOS[[#This Row],[Horas Proy.]],"")</f>
        <v/>
      </c>
      <c r="AN326" s="176" t="str">
        <f>IF(OR(BASE_DATOS[[#This Row],[Km.]]="",BASE_DATOS[[#This Row],[Km. Actual]]=""),"",BASE_DATOS[[#This Row],[Km. Actual]]-BASE_DATOS[[#This Row],[Km.]]+BASE_DATOS[[#This Row],[Kilómetros Acumulados]])</f>
        <v/>
      </c>
      <c r="AO326" s="177" t="str">
        <f>IFERROR(BASE_DATOS[[#This Row],[Precio US$]]/BASE_DATOS[[#This Row],[Kilómetros Rodados]],"")</f>
        <v/>
      </c>
      <c r="AP326" s="176" t="str">
        <f>IFERROR(BASE_DATOS[[#This Row],[Kilómetros Rodados]]/(BASE_DATOS[[#This Row],[NSK Original]]-BASE_DATOS[[#This Row],[NSK]]),"")</f>
        <v/>
      </c>
      <c r="AQ32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26" s="177" t="str">
        <f>IFERROR(BASE_DATOS[[#This Row],[Precio US$]]/BASE_DATOS[[#This Row],[Kilómetros Proy.]],"")</f>
        <v/>
      </c>
      <c r="AS326" s="167" t="s">
        <v>62</v>
      </c>
      <c r="AT326" s="167"/>
      <c r="AU326" s="167"/>
      <c r="AV326" s="167"/>
      <c r="AW326" s="179"/>
      <c r="AX326" s="179"/>
      <c r="AY326" s="179" t="str">
        <f>CONCATENATE(BASE_DATOS[[#This Row],[Código_U]]&amp;BASE_DATOS[[#This Row],[Pos.]]&amp;BASE_DATOS[[#This Row],[Situación Actual]])</f>
        <v>TC-1607Rodando</v>
      </c>
    </row>
    <row r="327" spans="1:51" ht="12" x14ac:dyDescent="0.25">
      <c r="A327" s="227" t="s">
        <v>177</v>
      </c>
      <c r="B327" s="217" t="s">
        <v>178</v>
      </c>
      <c r="C327" s="228" t="s">
        <v>296</v>
      </c>
      <c r="D327" s="229" t="s">
        <v>61</v>
      </c>
      <c r="E327" s="255" t="s">
        <v>338</v>
      </c>
      <c r="F327" s="256" t="s">
        <v>71</v>
      </c>
      <c r="G327" s="256" t="s">
        <v>271</v>
      </c>
      <c r="H327" s="257" t="str">
        <f>IF(BASE_DATOS[[#This Row],[N-R]]="N",BASE_DATOS[[#This Row],[Diseño]],"Reencauche")</f>
        <v>KMAXD</v>
      </c>
      <c r="I327" s="256" t="s">
        <v>294</v>
      </c>
      <c r="J327" s="243" t="s">
        <v>72</v>
      </c>
      <c r="K327" s="258">
        <v>22.2</v>
      </c>
      <c r="L327" s="241">
        <v>110</v>
      </c>
      <c r="M327" s="259"/>
      <c r="N327" s="260"/>
      <c r="O327" s="277"/>
      <c r="P327" s="278"/>
      <c r="Q327" s="279"/>
      <c r="R327" s="309" t="s">
        <v>105</v>
      </c>
      <c r="S327" s="310">
        <v>45385</v>
      </c>
      <c r="T327" s="311"/>
      <c r="U327" s="312"/>
      <c r="V327" s="227">
        <v>9</v>
      </c>
      <c r="W327" s="281"/>
      <c r="X327" s="282">
        <v>11</v>
      </c>
      <c r="Y327" s="293">
        <f t="shared" si="14"/>
        <v>9</v>
      </c>
      <c r="Z327" s="161" t="s">
        <v>85</v>
      </c>
      <c r="AA327" s="342">
        <f>IFERROR(BASE_DATOS[[#This Row],[NSK Original]]-BASE_DATOS[[#This Row],[NSK]]," ")</f>
        <v>13.2</v>
      </c>
      <c r="AB327" s="343">
        <f>'NSK-TRACTO'!$A$2</f>
        <v>6</v>
      </c>
      <c r="AC327" s="343">
        <f>IF(BASE_DATOS[[#This Row],[NSK]]&gt;=BASE_DATOS[[#This Row],[NSK Reen]],BASE_DATOS[[#This Row],[NSK Reen]],BASE_DATOS[[#This Row],[NSK]])</f>
        <v>6</v>
      </c>
      <c r="AD327" s="344">
        <f>IFERROR(100%-(BASE_DATOS[[#This Row],[NSK Reen]]/BASE_DATOS[[#This Row],[NSK Original]]),"")</f>
        <v>0.72972972972972971</v>
      </c>
      <c r="AE327" s="344">
        <f>IFERROR(100%-BASE_DATOS[[#This Row],[NSK]]/BASE_DATOS[[#This Row],[NSK Original]],"")</f>
        <v>0.59459459459459452</v>
      </c>
      <c r="AF327" s="344">
        <f>IFERROR(BASE_DATOS[[#This Row],[% Max Des.]]-BASE_DATOS[[#This Row],[% Des]],"")</f>
        <v>0.1351351351351352</v>
      </c>
      <c r="AG327" s="287"/>
      <c r="AH327" s="273"/>
      <c r="AI327" s="363" t="str">
        <f>IF(OR(BASE_DATOS[[#This Row],[Hr.]]="",BASE_DATOS[[#This Row],[Hr. Actual]]=""),"",BASE_DATOS[[#This Row],[Hr. Actual]]-BASE_DATOS[[#This Row],[Hr.]]+BASE_DATOS[[#This Row],[Horas Acumuladas]])</f>
        <v/>
      </c>
      <c r="AJ327" s="364" t="str">
        <f>IFERROR(BASE_DATOS[[#This Row],[Precio US$]]/BASE_DATOS[[#This Row],[Horas Rodadas]],"")</f>
        <v/>
      </c>
      <c r="AK327" s="365" t="str">
        <f>IFERROR(BASE_DATOS[[#This Row],[Horas Rodadas]]/(BASE_DATOS[[#This Row],[NSK Original]]-BASE_DATOS[[#This Row],[NSK]]),"")</f>
        <v/>
      </c>
      <c r="AL32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27" s="366" t="str">
        <f>IFERROR(BASE_DATOS[[#This Row],[Precio US$]]/BASE_DATOS[[#This Row],[Horas Proy.]],"")</f>
        <v/>
      </c>
      <c r="AN327" s="176" t="str">
        <f>IF(OR(BASE_DATOS[[#This Row],[Km.]]="",BASE_DATOS[[#This Row],[Km. Actual]]=""),"",BASE_DATOS[[#This Row],[Km. Actual]]-BASE_DATOS[[#This Row],[Km.]]+BASE_DATOS[[#This Row],[Kilómetros Acumulados]])</f>
        <v/>
      </c>
      <c r="AO327" s="177" t="str">
        <f>IFERROR(BASE_DATOS[[#This Row],[Precio US$]]/BASE_DATOS[[#This Row],[Kilómetros Rodados]],"")</f>
        <v/>
      </c>
      <c r="AP327" s="176" t="str">
        <f>IFERROR(BASE_DATOS[[#This Row],[Kilómetros Rodados]]/(BASE_DATOS[[#This Row],[NSK Original]]-BASE_DATOS[[#This Row],[NSK]]),"")</f>
        <v/>
      </c>
      <c r="AQ32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27" s="177" t="str">
        <f>IFERROR(BASE_DATOS[[#This Row],[Precio US$]]/BASE_DATOS[[#This Row],[Kilómetros Proy.]],"")</f>
        <v/>
      </c>
      <c r="AS327" s="167" t="s">
        <v>62</v>
      </c>
      <c r="AT327" s="167"/>
      <c r="AU327" s="167"/>
      <c r="AV327" s="167"/>
      <c r="AW327" s="179"/>
      <c r="AX327" s="179"/>
      <c r="AY327" s="179" t="str">
        <f>CONCATENATE(BASE_DATOS[[#This Row],[Código_U]]&amp;BASE_DATOS[[#This Row],[Pos.]]&amp;BASE_DATOS[[#This Row],[Situación Actual]])</f>
        <v>TC-1608Rodando</v>
      </c>
    </row>
    <row r="328" spans="1:51" ht="12" x14ac:dyDescent="0.25">
      <c r="A328" s="227" t="s">
        <v>177</v>
      </c>
      <c r="B328" s="217" t="s">
        <v>178</v>
      </c>
      <c r="C328" s="228" t="s">
        <v>296</v>
      </c>
      <c r="D328" s="229" t="s">
        <v>61</v>
      </c>
      <c r="E328" s="255" t="s">
        <v>339</v>
      </c>
      <c r="F328" s="256" t="s">
        <v>71</v>
      </c>
      <c r="G328" s="256" t="s">
        <v>271</v>
      </c>
      <c r="H328" s="257" t="str">
        <f>IF(BASE_DATOS[[#This Row],[N-R]]="N",BASE_DATOS[[#This Row],[Diseño]],"Reencauche")</f>
        <v>KMAXD</v>
      </c>
      <c r="I328" s="256" t="s">
        <v>294</v>
      </c>
      <c r="J328" s="243" t="s">
        <v>72</v>
      </c>
      <c r="K328" s="258">
        <v>22.2</v>
      </c>
      <c r="L328" s="241">
        <v>110</v>
      </c>
      <c r="M328" s="259"/>
      <c r="N328" s="260"/>
      <c r="O328" s="277"/>
      <c r="P328" s="278"/>
      <c r="Q328" s="279"/>
      <c r="R328" s="309" t="s">
        <v>106</v>
      </c>
      <c r="S328" s="310">
        <v>45385</v>
      </c>
      <c r="T328" s="311"/>
      <c r="U328" s="312"/>
      <c r="V328" s="227">
        <v>9</v>
      </c>
      <c r="W328" s="281"/>
      <c r="X328" s="282">
        <v>11</v>
      </c>
      <c r="Y328" s="293">
        <f t="shared" si="14"/>
        <v>9</v>
      </c>
      <c r="Z328" s="161" t="s">
        <v>85</v>
      </c>
      <c r="AA328" s="342">
        <f>IFERROR(BASE_DATOS[[#This Row],[NSK Original]]-BASE_DATOS[[#This Row],[NSK]]," ")</f>
        <v>13.2</v>
      </c>
      <c r="AB328" s="343">
        <f>'NSK-TRACTO'!$A$2</f>
        <v>6</v>
      </c>
      <c r="AC328" s="343">
        <f>IF(BASE_DATOS[[#This Row],[NSK]]&gt;=BASE_DATOS[[#This Row],[NSK Reen]],BASE_DATOS[[#This Row],[NSK Reen]],BASE_DATOS[[#This Row],[NSK]])</f>
        <v>6</v>
      </c>
      <c r="AD328" s="344">
        <f>IFERROR(100%-(BASE_DATOS[[#This Row],[NSK Reen]]/BASE_DATOS[[#This Row],[NSK Original]]),"")</f>
        <v>0.72972972972972971</v>
      </c>
      <c r="AE328" s="344">
        <f>IFERROR(100%-BASE_DATOS[[#This Row],[NSK]]/BASE_DATOS[[#This Row],[NSK Original]],"")</f>
        <v>0.59459459459459452</v>
      </c>
      <c r="AF328" s="344">
        <f>IFERROR(BASE_DATOS[[#This Row],[% Max Des.]]-BASE_DATOS[[#This Row],[% Des]],"")</f>
        <v>0.1351351351351352</v>
      </c>
      <c r="AG328" s="287"/>
      <c r="AH328" s="273"/>
      <c r="AI328" s="363" t="str">
        <f>IF(OR(BASE_DATOS[[#This Row],[Hr.]]="",BASE_DATOS[[#This Row],[Hr. Actual]]=""),"",BASE_DATOS[[#This Row],[Hr. Actual]]-BASE_DATOS[[#This Row],[Hr.]]+BASE_DATOS[[#This Row],[Horas Acumuladas]])</f>
        <v/>
      </c>
      <c r="AJ328" s="364" t="str">
        <f>IFERROR(BASE_DATOS[[#This Row],[Precio US$]]/BASE_DATOS[[#This Row],[Horas Rodadas]],"")</f>
        <v/>
      </c>
      <c r="AK328" s="365" t="str">
        <f>IFERROR(BASE_DATOS[[#This Row],[Horas Rodadas]]/(BASE_DATOS[[#This Row],[NSK Original]]-BASE_DATOS[[#This Row],[NSK]]),"")</f>
        <v/>
      </c>
      <c r="AL32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28" s="366" t="str">
        <f>IFERROR(BASE_DATOS[[#This Row],[Precio US$]]/BASE_DATOS[[#This Row],[Horas Proy.]],"")</f>
        <v/>
      </c>
      <c r="AN328" s="176" t="str">
        <f>IF(OR(BASE_DATOS[[#This Row],[Km.]]="",BASE_DATOS[[#This Row],[Km. Actual]]=""),"",BASE_DATOS[[#This Row],[Km. Actual]]-BASE_DATOS[[#This Row],[Km.]]+BASE_DATOS[[#This Row],[Kilómetros Acumulados]])</f>
        <v/>
      </c>
      <c r="AO328" s="177" t="str">
        <f>IFERROR(BASE_DATOS[[#This Row],[Precio US$]]/BASE_DATOS[[#This Row],[Kilómetros Rodados]],"")</f>
        <v/>
      </c>
      <c r="AP328" s="176" t="str">
        <f>IFERROR(BASE_DATOS[[#This Row],[Kilómetros Rodados]]/(BASE_DATOS[[#This Row],[NSK Original]]-BASE_DATOS[[#This Row],[NSK]]),"")</f>
        <v/>
      </c>
      <c r="AQ32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28" s="177" t="str">
        <f>IFERROR(BASE_DATOS[[#This Row],[Precio US$]]/BASE_DATOS[[#This Row],[Kilómetros Proy.]],"")</f>
        <v/>
      </c>
      <c r="AS328" s="167" t="s">
        <v>62</v>
      </c>
      <c r="AT328" s="167"/>
      <c r="AU328" s="167"/>
      <c r="AV328" s="167"/>
      <c r="AW328" s="179"/>
      <c r="AX328" s="179"/>
      <c r="AY328" s="179" t="str">
        <f>CONCATENATE(BASE_DATOS[[#This Row],[Código_U]]&amp;BASE_DATOS[[#This Row],[Pos.]]&amp;BASE_DATOS[[#This Row],[Situación Actual]])</f>
        <v>TC-1609Rodando</v>
      </c>
    </row>
    <row r="329" spans="1:51" ht="12" x14ac:dyDescent="0.25">
      <c r="A329" s="227" t="s">
        <v>177</v>
      </c>
      <c r="B329" s="217" t="s">
        <v>178</v>
      </c>
      <c r="C329" s="228" t="s">
        <v>296</v>
      </c>
      <c r="D329" s="229" t="s">
        <v>61</v>
      </c>
      <c r="E329" s="255" t="s">
        <v>340</v>
      </c>
      <c r="F329" s="256" t="s">
        <v>71</v>
      </c>
      <c r="G329" s="256" t="s">
        <v>271</v>
      </c>
      <c r="H329" s="257" t="str">
        <f>IF(BASE_DATOS[[#This Row],[N-R]]="N",BASE_DATOS[[#This Row],[Diseño]],"Reencauche")</f>
        <v>KMAXD</v>
      </c>
      <c r="I329" s="256" t="s">
        <v>294</v>
      </c>
      <c r="J329" s="243" t="s">
        <v>72</v>
      </c>
      <c r="K329" s="258">
        <v>22.2</v>
      </c>
      <c r="L329" s="241">
        <v>110</v>
      </c>
      <c r="M329" s="259"/>
      <c r="N329" s="260"/>
      <c r="O329" s="277"/>
      <c r="P329" s="278"/>
      <c r="Q329" s="279"/>
      <c r="R329" s="309" t="s">
        <v>107</v>
      </c>
      <c r="S329" s="310">
        <v>45385</v>
      </c>
      <c r="T329" s="311"/>
      <c r="U329" s="312"/>
      <c r="V329" s="227">
        <v>10</v>
      </c>
      <c r="W329" s="281"/>
      <c r="X329" s="282">
        <v>10</v>
      </c>
      <c r="Y329" s="293">
        <f t="shared" si="14"/>
        <v>10</v>
      </c>
      <c r="Z329" s="161" t="s">
        <v>85</v>
      </c>
      <c r="AA329" s="342">
        <f>IFERROR(BASE_DATOS[[#This Row],[NSK Original]]-BASE_DATOS[[#This Row],[NSK]]," ")</f>
        <v>12.2</v>
      </c>
      <c r="AB329" s="343">
        <f>'NSK-TRACTO'!$A$2</f>
        <v>6</v>
      </c>
      <c r="AC329" s="343">
        <f>IF(BASE_DATOS[[#This Row],[NSK]]&gt;=BASE_DATOS[[#This Row],[NSK Reen]],BASE_DATOS[[#This Row],[NSK Reen]],BASE_DATOS[[#This Row],[NSK]])</f>
        <v>6</v>
      </c>
      <c r="AD329" s="344">
        <f>IFERROR(100%-(BASE_DATOS[[#This Row],[NSK Reen]]/BASE_DATOS[[#This Row],[NSK Original]]),"")</f>
        <v>0.72972972972972971</v>
      </c>
      <c r="AE329" s="344">
        <f>IFERROR(100%-BASE_DATOS[[#This Row],[NSK]]/BASE_DATOS[[#This Row],[NSK Original]],"")</f>
        <v>0.54954954954954949</v>
      </c>
      <c r="AF329" s="344">
        <f>IFERROR(BASE_DATOS[[#This Row],[% Max Des.]]-BASE_DATOS[[#This Row],[% Des]],"")</f>
        <v>0.18018018018018023</v>
      </c>
      <c r="AG329" s="287"/>
      <c r="AH329" s="273"/>
      <c r="AI329" s="363" t="str">
        <f>IF(OR(BASE_DATOS[[#This Row],[Hr.]]="",BASE_DATOS[[#This Row],[Hr. Actual]]=""),"",BASE_DATOS[[#This Row],[Hr. Actual]]-BASE_DATOS[[#This Row],[Hr.]]+BASE_DATOS[[#This Row],[Horas Acumuladas]])</f>
        <v/>
      </c>
      <c r="AJ329" s="364" t="str">
        <f>IFERROR(BASE_DATOS[[#This Row],[Precio US$]]/BASE_DATOS[[#This Row],[Horas Rodadas]],"")</f>
        <v/>
      </c>
      <c r="AK329" s="365" t="str">
        <f>IFERROR(BASE_DATOS[[#This Row],[Horas Rodadas]]/(BASE_DATOS[[#This Row],[NSK Original]]-BASE_DATOS[[#This Row],[NSK]]),"")</f>
        <v/>
      </c>
      <c r="AL32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29" s="366" t="str">
        <f>IFERROR(BASE_DATOS[[#This Row],[Precio US$]]/BASE_DATOS[[#This Row],[Horas Proy.]],"")</f>
        <v/>
      </c>
      <c r="AN329" s="176" t="str">
        <f>IF(OR(BASE_DATOS[[#This Row],[Km.]]="",BASE_DATOS[[#This Row],[Km. Actual]]=""),"",BASE_DATOS[[#This Row],[Km. Actual]]-BASE_DATOS[[#This Row],[Km.]]+BASE_DATOS[[#This Row],[Kilómetros Acumulados]])</f>
        <v/>
      </c>
      <c r="AO329" s="177" t="str">
        <f>IFERROR(BASE_DATOS[[#This Row],[Precio US$]]/BASE_DATOS[[#This Row],[Kilómetros Rodados]],"")</f>
        <v/>
      </c>
      <c r="AP329" s="176" t="str">
        <f>IFERROR(BASE_DATOS[[#This Row],[Kilómetros Rodados]]/(BASE_DATOS[[#This Row],[NSK Original]]-BASE_DATOS[[#This Row],[NSK]]),"")</f>
        <v/>
      </c>
      <c r="AQ32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29" s="177" t="str">
        <f>IFERROR(BASE_DATOS[[#This Row],[Precio US$]]/BASE_DATOS[[#This Row],[Kilómetros Proy.]],"")</f>
        <v/>
      </c>
      <c r="AS329" s="167" t="s">
        <v>62</v>
      </c>
      <c r="AT329" s="167"/>
      <c r="AU329" s="167"/>
      <c r="AV329" s="167"/>
      <c r="AW329" s="179"/>
      <c r="AX329" s="179"/>
      <c r="AY329" s="179" t="str">
        <f>CONCATENATE(BASE_DATOS[[#This Row],[Código_U]]&amp;BASE_DATOS[[#This Row],[Pos.]]&amp;BASE_DATOS[[#This Row],[Situación Actual]])</f>
        <v>TC-16010Rodando</v>
      </c>
    </row>
    <row r="330" spans="1:51" ht="12" x14ac:dyDescent="0.25">
      <c r="A330" s="224" t="s">
        <v>179</v>
      </c>
      <c r="B330" s="213" t="s">
        <v>180</v>
      </c>
      <c r="C330" s="225" t="s">
        <v>295</v>
      </c>
      <c r="D330" s="226" t="s">
        <v>87</v>
      </c>
      <c r="E330" s="249"/>
      <c r="F330" s="250" t="s">
        <v>97</v>
      </c>
      <c r="G330" s="250" t="s">
        <v>269</v>
      </c>
      <c r="H330" s="251" t="str">
        <f>IF(BASE_DATOS[[#This Row],[N-R]]="N",BASE_DATOS[[#This Row],[Diseño]],"Reencauche")</f>
        <v>AGC28</v>
      </c>
      <c r="I330" s="250" t="s">
        <v>270</v>
      </c>
      <c r="J330" s="235" t="s">
        <v>72</v>
      </c>
      <c r="K330" s="252">
        <v>16.5</v>
      </c>
      <c r="L330" s="250">
        <v>110</v>
      </c>
      <c r="M330" s="253"/>
      <c r="N330" s="254"/>
      <c r="O330" s="274"/>
      <c r="P330" s="275"/>
      <c r="Q330" s="276"/>
      <c r="R330" s="305" t="s">
        <v>98</v>
      </c>
      <c r="S330" s="306">
        <v>45385</v>
      </c>
      <c r="T330" s="314"/>
      <c r="U330" s="276"/>
      <c r="V330" s="224">
        <v>15</v>
      </c>
      <c r="W330" s="325">
        <v>15</v>
      </c>
      <c r="X330" s="326">
        <v>15</v>
      </c>
      <c r="Y330" s="292">
        <f t="shared" si="14"/>
        <v>15</v>
      </c>
      <c r="Z330" s="185" t="s">
        <v>385</v>
      </c>
      <c r="AA330" s="339">
        <f>IFERROR(BASE_DATOS[[#This Row],[NSK Original]]-BASE_DATOS[[#This Row],[NSK]]," ")</f>
        <v>1.5</v>
      </c>
      <c r="AB330" s="340">
        <f>'NSK-TRACTO'!$A$2</f>
        <v>6</v>
      </c>
      <c r="AC330" s="340">
        <f>IF(BASE_DATOS[[#This Row],[NSK]]&gt;=BASE_DATOS[[#This Row],[NSK Reen]],BASE_DATOS[[#This Row],[NSK Reen]],BASE_DATOS[[#This Row],[NSK]])</f>
        <v>6</v>
      </c>
      <c r="AD330" s="341">
        <f>IFERROR(100%-(BASE_DATOS[[#This Row],[NSK Reen]]/BASE_DATOS[[#This Row],[NSK Original]]),"")</f>
        <v>0.63636363636363635</v>
      </c>
      <c r="AE330" s="341">
        <f>IFERROR(100%-BASE_DATOS[[#This Row],[NSK]]/BASE_DATOS[[#This Row],[NSK Original]],"")</f>
        <v>9.0909090909090939E-2</v>
      </c>
      <c r="AF330" s="341">
        <f>IFERROR(BASE_DATOS[[#This Row],[% Max Des.]]-BASE_DATOS[[#This Row],[% Des]],"")</f>
        <v>0.54545454545454541</v>
      </c>
      <c r="AG330" s="284"/>
      <c r="AH330" s="335"/>
      <c r="AI330" s="359" t="str">
        <f>IF(OR(BASE_DATOS[[#This Row],[Hr.]]="",BASE_DATOS[[#This Row],[Hr. Actual]]=""),"",BASE_DATOS[[#This Row],[Hr. Actual]]-BASE_DATOS[[#This Row],[Hr.]]+BASE_DATOS[[#This Row],[Horas Acumuladas]])</f>
        <v/>
      </c>
      <c r="AJ330" s="360" t="str">
        <f>IFERROR(BASE_DATOS[[#This Row],[Precio US$]]/BASE_DATOS[[#This Row],[Horas Rodadas]],"")</f>
        <v/>
      </c>
      <c r="AK330" s="361" t="str">
        <f>IFERROR(BASE_DATOS[[#This Row],[Horas Rodadas]]/(BASE_DATOS[[#This Row],[NSK Original]]-BASE_DATOS[[#This Row],[NSK]]),"")</f>
        <v/>
      </c>
      <c r="AL330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30" s="362" t="str">
        <f>IFERROR(BASE_DATOS[[#This Row],[Precio US$]]/BASE_DATOS[[#This Row],[Horas Proy.]],"")</f>
        <v/>
      </c>
      <c r="AN330" s="195" t="str">
        <f>IF(OR(BASE_DATOS[[#This Row],[Km.]]="",BASE_DATOS[[#This Row],[Km. Actual]]=""),"",BASE_DATOS[[#This Row],[Km. Actual]]-BASE_DATOS[[#This Row],[Km.]]+BASE_DATOS[[#This Row],[Kilómetros Acumulados]])</f>
        <v/>
      </c>
      <c r="AO330" s="196" t="str">
        <f>IFERROR(BASE_DATOS[[#This Row],[Precio US$]]/BASE_DATOS[[#This Row],[Kilómetros Rodados]],"")</f>
        <v/>
      </c>
      <c r="AP330" s="195" t="str">
        <f>IFERROR(BASE_DATOS[[#This Row],[Kilómetros Rodados]]/(BASE_DATOS[[#This Row],[NSK Original]]-BASE_DATOS[[#This Row],[NSK]]),"")</f>
        <v/>
      </c>
      <c r="AQ330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30" s="196" t="str">
        <f>IFERROR(BASE_DATOS[[#This Row],[Precio US$]]/BASE_DATOS[[#This Row],[Kilómetros Proy.]],"")</f>
        <v/>
      </c>
      <c r="AS330" s="191" t="s">
        <v>62</v>
      </c>
      <c r="AT330" s="191"/>
      <c r="AU330" s="191"/>
      <c r="AV330" s="191"/>
      <c r="AW330" s="198"/>
      <c r="AX330" s="198"/>
      <c r="AY330" s="198" t="str">
        <f>CONCATENATE(BASE_DATOS[[#This Row],[Código_U]]&amp;BASE_DATOS[[#This Row],[Pos.]]&amp;BASE_DATOS[[#This Row],[Situación Actual]])</f>
        <v>SR-1601Rodando</v>
      </c>
    </row>
    <row r="331" spans="1:51" ht="12" x14ac:dyDescent="0.25">
      <c r="A331" s="227" t="s">
        <v>179</v>
      </c>
      <c r="B331" s="217" t="s">
        <v>180</v>
      </c>
      <c r="C331" s="228" t="s">
        <v>295</v>
      </c>
      <c r="D331" s="229" t="s">
        <v>87</v>
      </c>
      <c r="E331" s="255"/>
      <c r="F331" s="256" t="s">
        <v>97</v>
      </c>
      <c r="G331" s="256" t="s">
        <v>269</v>
      </c>
      <c r="H331" s="257" t="str">
        <f>IF(BASE_DATOS[[#This Row],[N-R]]="N",BASE_DATOS[[#This Row],[Diseño]],"Reencauche")</f>
        <v>AGC28</v>
      </c>
      <c r="I331" s="256" t="s">
        <v>270</v>
      </c>
      <c r="J331" s="243" t="s">
        <v>72</v>
      </c>
      <c r="K331" s="258">
        <v>16.5</v>
      </c>
      <c r="L331" s="256">
        <v>110</v>
      </c>
      <c r="M331" s="259"/>
      <c r="N331" s="260"/>
      <c r="O331" s="277"/>
      <c r="P331" s="278"/>
      <c r="Q331" s="279"/>
      <c r="R331" s="309" t="s">
        <v>99</v>
      </c>
      <c r="S331" s="310">
        <v>45385</v>
      </c>
      <c r="T331" s="313"/>
      <c r="U331" s="279"/>
      <c r="V331" s="227">
        <v>14</v>
      </c>
      <c r="W331" s="281">
        <v>14</v>
      </c>
      <c r="X331" s="282">
        <v>14</v>
      </c>
      <c r="Y331" s="293">
        <f t="shared" si="14"/>
        <v>14</v>
      </c>
      <c r="Z331" s="175" t="s">
        <v>73</v>
      </c>
      <c r="AA331" s="342">
        <f>IFERROR(BASE_DATOS[[#This Row],[NSK Original]]-BASE_DATOS[[#This Row],[NSK]]," ")</f>
        <v>2.5</v>
      </c>
      <c r="AB331" s="343">
        <f>'NSK-TRACTO'!$A$2</f>
        <v>6</v>
      </c>
      <c r="AC331" s="343">
        <f>IF(BASE_DATOS[[#This Row],[NSK]]&gt;=BASE_DATOS[[#This Row],[NSK Reen]],BASE_DATOS[[#This Row],[NSK Reen]],BASE_DATOS[[#This Row],[NSK]])</f>
        <v>6</v>
      </c>
      <c r="AD331" s="344">
        <f>IFERROR(100%-(BASE_DATOS[[#This Row],[NSK Reen]]/BASE_DATOS[[#This Row],[NSK Original]]),"")</f>
        <v>0.63636363636363635</v>
      </c>
      <c r="AE331" s="344">
        <f>IFERROR(100%-BASE_DATOS[[#This Row],[NSK]]/BASE_DATOS[[#This Row],[NSK Original]],"")</f>
        <v>0.15151515151515149</v>
      </c>
      <c r="AF331" s="344">
        <f>IFERROR(BASE_DATOS[[#This Row],[% Max Des.]]-BASE_DATOS[[#This Row],[% Des]],"")</f>
        <v>0.48484848484848486</v>
      </c>
      <c r="AG331" s="287"/>
      <c r="AH331" s="273"/>
      <c r="AI331" s="363" t="str">
        <f>IF(OR(BASE_DATOS[[#This Row],[Hr.]]="",BASE_DATOS[[#This Row],[Hr. Actual]]=""),"",BASE_DATOS[[#This Row],[Hr. Actual]]-BASE_DATOS[[#This Row],[Hr.]]+BASE_DATOS[[#This Row],[Horas Acumuladas]])</f>
        <v/>
      </c>
      <c r="AJ331" s="364" t="str">
        <f>IFERROR(BASE_DATOS[[#This Row],[Precio US$]]/BASE_DATOS[[#This Row],[Horas Rodadas]],"")</f>
        <v/>
      </c>
      <c r="AK331" s="365" t="str">
        <f>IFERROR(BASE_DATOS[[#This Row],[Horas Rodadas]]/(BASE_DATOS[[#This Row],[NSK Original]]-BASE_DATOS[[#This Row],[NSK]]),"")</f>
        <v/>
      </c>
      <c r="AL33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31" s="366" t="str">
        <f>IFERROR(BASE_DATOS[[#This Row],[Precio US$]]/BASE_DATOS[[#This Row],[Horas Proy.]],"")</f>
        <v/>
      </c>
      <c r="AN331" s="176" t="str">
        <f>IF(OR(BASE_DATOS[[#This Row],[Km.]]="",BASE_DATOS[[#This Row],[Km. Actual]]=""),"",BASE_DATOS[[#This Row],[Km. Actual]]-BASE_DATOS[[#This Row],[Km.]]+BASE_DATOS[[#This Row],[Kilómetros Acumulados]])</f>
        <v/>
      </c>
      <c r="AO331" s="177" t="str">
        <f>IFERROR(BASE_DATOS[[#This Row],[Precio US$]]/BASE_DATOS[[#This Row],[Kilómetros Rodados]],"")</f>
        <v/>
      </c>
      <c r="AP331" s="176" t="str">
        <f>IFERROR(BASE_DATOS[[#This Row],[Kilómetros Rodados]]/(BASE_DATOS[[#This Row],[NSK Original]]-BASE_DATOS[[#This Row],[NSK]]),"")</f>
        <v/>
      </c>
      <c r="AQ33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31" s="177" t="str">
        <f>IFERROR(BASE_DATOS[[#This Row],[Precio US$]]/BASE_DATOS[[#This Row],[Kilómetros Proy.]],"")</f>
        <v/>
      </c>
      <c r="AS331" s="167" t="s">
        <v>62</v>
      </c>
      <c r="AT331" s="167"/>
      <c r="AU331" s="167"/>
      <c r="AV331" s="167"/>
      <c r="AW331" s="179"/>
      <c r="AX331" s="179"/>
      <c r="AY331" s="179" t="str">
        <f>CONCATENATE(BASE_DATOS[[#This Row],[Código_U]]&amp;BASE_DATOS[[#This Row],[Pos.]]&amp;BASE_DATOS[[#This Row],[Situación Actual]])</f>
        <v>SR-1602Rodando</v>
      </c>
    </row>
    <row r="332" spans="1:51" ht="12" x14ac:dyDescent="0.25">
      <c r="A332" s="227" t="s">
        <v>179</v>
      </c>
      <c r="B332" s="217" t="s">
        <v>180</v>
      </c>
      <c r="C332" s="228" t="s">
        <v>295</v>
      </c>
      <c r="D332" s="229" t="s">
        <v>87</v>
      </c>
      <c r="E332" s="255"/>
      <c r="F332" s="256" t="s">
        <v>97</v>
      </c>
      <c r="G332" s="256" t="s">
        <v>269</v>
      </c>
      <c r="H332" s="257" t="str">
        <f>IF(BASE_DATOS[[#This Row],[N-R]]="N",BASE_DATOS[[#This Row],[Diseño]],"Reencauche")</f>
        <v>AGC28</v>
      </c>
      <c r="I332" s="256" t="s">
        <v>270</v>
      </c>
      <c r="J332" s="243" t="s">
        <v>72</v>
      </c>
      <c r="K332" s="258">
        <v>16.5</v>
      </c>
      <c r="L332" s="256">
        <v>110</v>
      </c>
      <c r="M332" s="259"/>
      <c r="N332" s="260"/>
      <c r="O332" s="277"/>
      <c r="P332" s="278"/>
      <c r="Q332" s="279"/>
      <c r="R332" s="309" t="s">
        <v>100</v>
      </c>
      <c r="S332" s="310">
        <v>45385</v>
      </c>
      <c r="T332" s="313"/>
      <c r="U332" s="279"/>
      <c r="V332" s="227">
        <v>14</v>
      </c>
      <c r="W332" s="281">
        <v>14</v>
      </c>
      <c r="X332" s="282">
        <v>14</v>
      </c>
      <c r="Y332" s="293">
        <f t="shared" si="14"/>
        <v>14</v>
      </c>
      <c r="Z332" s="175" t="s">
        <v>73</v>
      </c>
      <c r="AA332" s="342">
        <f>IFERROR(BASE_DATOS[[#This Row],[NSK Original]]-BASE_DATOS[[#This Row],[NSK]]," ")</f>
        <v>2.5</v>
      </c>
      <c r="AB332" s="343">
        <f>'NSK-TRACTO'!$A$2</f>
        <v>6</v>
      </c>
      <c r="AC332" s="343">
        <f>IF(BASE_DATOS[[#This Row],[NSK]]&gt;=BASE_DATOS[[#This Row],[NSK Reen]],BASE_DATOS[[#This Row],[NSK Reen]],BASE_DATOS[[#This Row],[NSK]])</f>
        <v>6</v>
      </c>
      <c r="AD332" s="344">
        <f>IFERROR(100%-(BASE_DATOS[[#This Row],[NSK Reen]]/BASE_DATOS[[#This Row],[NSK Original]]),"")</f>
        <v>0.63636363636363635</v>
      </c>
      <c r="AE332" s="344">
        <f>IFERROR(100%-BASE_DATOS[[#This Row],[NSK]]/BASE_DATOS[[#This Row],[NSK Original]],"")</f>
        <v>0.15151515151515149</v>
      </c>
      <c r="AF332" s="344">
        <f>IFERROR(BASE_DATOS[[#This Row],[% Max Des.]]-BASE_DATOS[[#This Row],[% Des]],"")</f>
        <v>0.48484848484848486</v>
      </c>
      <c r="AG332" s="287"/>
      <c r="AH332" s="273"/>
      <c r="AI332" s="363" t="str">
        <f>IF(OR(BASE_DATOS[[#This Row],[Hr.]]="",BASE_DATOS[[#This Row],[Hr. Actual]]=""),"",BASE_DATOS[[#This Row],[Hr. Actual]]-BASE_DATOS[[#This Row],[Hr.]]+BASE_DATOS[[#This Row],[Horas Acumuladas]])</f>
        <v/>
      </c>
      <c r="AJ332" s="364" t="str">
        <f>IFERROR(BASE_DATOS[[#This Row],[Precio US$]]/BASE_DATOS[[#This Row],[Horas Rodadas]],"")</f>
        <v/>
      </c>
      <c r="AK332" s="365" t="str">
        <f>IFERROR(BASE_DATOS[[#This Row],[Horas Rodadas]]/(BASE_DATOS[[#This Row],[NSK Original]]-BASE_DATOS[[#This Row],[NSK]]),"")</f>
        <v/>
      </c>
      <c r="AL33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32" s="366" t="str">
        <f>IFERROR(BASE_DATOS[[#This Row],[Precio US$]]/BASE_DATOS[[#This Row],[Horas Proy.]],"")</f>
        <v/>
      </c>
      <c r="AN332" s="176" t="str">
        <f>IF(OR(BASE_DATOS[[#This Row],[Km.]]="",BASE_DATOS[[#This Row],[Km. Actual]]=""),"",BASE_DATOS[[#This Row],[Km. Actual]]-BASE_DATOS[[#This Row],[Km.]]+BASE_DATOS[[#This Row],[Kilómetros Acumulados]])</f>
        <v/>
      </c>
      <c r="AO332" s="177" t="str">
        <f>IFERROR(BASE_DATOS[[#This Row],[Precio US$]]/BASE_DATOS[[#This Row],[Kilómetros Rodados]],"")</f>
        <v/>
      </c>
      <c r="AP332" s="176" t="str">
        <f>IFERROR(BASE_DATOS[[#This Row],[Kilómetros Rodados]]/(BASE_DATOS[[#This Row],[NSK Original]]-BASE_DATOS[[#This Row],[NSK]]),"")</f>
        <v/>
      </c>
      <c r="AQ33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32" s="177" t="str">
        <f>IFERROR(BASE_DATOS[[#This Row],[Precio US$]]/BASE_DATOS[[#This Row],[Kilómetros Proy.]],"")</f>
        <v/>
      </c>
      <c r="AS332" s="167" t="s">
        <v>62</v>
      </c>
      <c r="AT332" s="167"/>
      <c r="AU332" s="167"/>
      <c r="AV332" s="167"/>
      <c r="AW332" s="179"/>
      <c r="AX332" s="179"/>
      <c r="AY332" s="179" t="str">
        <f>CONCATENATE(BASE_DATOS[[#This Row],[Código_U]]&amp;BASE_DATOS[[#This Row],[Pos.]]&amp;BASE_DATOS[[#This Row],[Situación Actual]])</f>
        <v>SR-1603Rodando</v>
      </c>
    </row>
    <row r="333" spans="1:51" ht="12" x14ac:dyDescent="0.25">
      <c r="A333" s="227" t="s">
        <v>179</v>
      </c>
      <c r="B333" s="217" t="s">
        <v>180</v>
      </c>
      <c r="C333" s="228" t="s">
        <v>295</v>
      </c>
      <c r="D333" s="229" t="s">
        <v>87</v>
      </c>
      <c r="E333" s="255"/>
      <c r="F333" s="256" t="s">
        <v>97</v>
      </c>
      <c r="G333" s="256" t="s">
        <v>269</v>
      </c>
      <c r="H333" s="257" t="str">
        <f>IF(BASE_DATOS[[#This Row],[N-R]]="N",BASE_DATOS[[#This Row],[Diseño]],"Reencauche")</f>
        <v>AGC28</v>
      </c>
      <c r="I333" s="256" t="s">
        <v>270</v>
      </c>
      <c r="J333" s="243" t="s">
        <v>72</v>
      </c>
      <c r="K333" s="258">
        <v>16.5</v>
      </c>
      <c r="L333" s="256">
        <v>110</v>
      </c>
      <c r="M333" s="259"/>
      <c r="N333" s="260"/>
      <c r="O333" s="277"/>
      <c r="P333" s="278"/>
      <c r="Q333" s="279"/>
      <c r="R333" s="309" t="s">
        <v>101</v>
      </c>
      <c r="S333" s="310">
        <v>45385</v>
      </c>
      <c r="T333" s="313"/>
      <c r="U333" s="279"/>
      <c r="V333" s="227">
        <v>14</v>
      </c>
      <c r="W333" s="281">
        <v>14</v>
      </c>
      <c r="X333" s="282">
        <v>14</v>
      </c>
      <c r="Y333" s="293">
        <f t="shared" si="14"/>
        <v>14</v>
      </c>
      <c r="Z333" s="175" t="s">
        <v>73</v>
      </c>
      <c r="AA333" s="342">
        <f>IFERROR(BASE_DATOS[[#This Row],[NSK Original]]-BASE_DATOS[[#This Row],[NSK]]," ")</f>
        <v>2.5</v>
      </c>
      <c r="AB333" s="343">
        <f>'NSK-TRACTO'!$A$2</f>
        <v>6</v>
      </c>
      <c r="AC333" s="343">
        <f>IF(BASE_DATOS[[#This Row],[NSK]]&gt;=BASE_DATOS[[#This Row],[NSK Reen]],BASE_DATOS[[#This Row],[NSK Reen]],BASE_DATOS[[#This Row],[NSK]])</f>
        <v>6</v>
      </c>
      <c r="AD333" s="344">
        <f>IFERROR(100%-(BASE_DATOS[[#This Row],[NSK Reen]]/BASE_DATOS[[#This Row],[NSK Original]]),"")</f>
        <v>0.63636363636363635</v>
      </c>
      <c r="AE333" s="344">
        <f>IFERROR(100%-BASE_DATOS[[#This Row],[NSK]]/BASE_DATOS[[#This Row],[NSK Original]],"")</f>
        <v>0.15151515151515149</v>
      </c>
      <c r="AF333" s="344">
        <f>IFERROR(BASE_DATOS[[#This Row],[% Max Des.]]-BASE_DATOS[[#This Row],[% Des]],"")</f>
        <v>0.48484848484848486</v>
      </c>
      <c r="AG333" s="287"/>
      <c r="AH333" s="273"/>
      <c r="AI333" s="363" t="str">
        <f>IF(OR(BASE_DATOS[[#This Row],[Hr.]]="",BASE_DATOS[[#This Row],[Hr. Actual]]=""),"",BASE_DATOS[[#This Row],[Hr. Actual]]-BASE_DATOS[[#This Row],[Hr.]]+BASE_DATOS[[#This Row],[Horas Acumuladas]])</f>
        <v/>
      </c>
      <c r="AJ333" s="364" t="str">
        <f>IFERROR(BASE_DATOS[[#This Row],[Precio US$]]/BASE_DATOS[[#This Row],[Horas Rodadas]],"")</f>
        <v/>
      </c>
      <c r="AK333" s="365" t="str">
        <f>IFERROR(BASE_DATOS[[#This Row],[Horas Rodadas]]/(BASE_DATOS[[#This Row],[NSK Original]]-BASE_DATOS[[#This Row],[NSK]]),"")</f>
        <v/>
      </c>
      <c r="AL33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33" s="366" t="str">
        <f>IFERROR(BASE_DATOS[[#This Row],[Precio US$]]/BASE_DATOS[[#This Row],[Horas Proy.]],"")</f>
        <v/>
      </c>
      <c r="AN333" s="176" t="str">
        <f>IF(OR(BASE_DATOS[[#This Row],[Km.]]="",BASE_DATOS[[#This Row],[Km. Actual]]=""),"",BASE_DATOS[[#This Row],[Km. Actual]]-BASE_DATOS[[#This Row],[Km.]]+BASE_DATOS[[#This Row],[Kilómetros Acumulados]])</f>
        <v/>
      </c>
      <c r="AO333" s="177" t="str">
        <f>IFERROR(BASE_DATOS[[#This Row],[Precio US$]]/BASE_DATOS[[#This Row],[Kilómetros Rodados]],"")</f>
        <v/>
      </c>
      <c r="AP333" s="176" t="str">
        <f>IFERROR(BASE_DATOS[[#This Row],[Kilómetros Rodados]]/(BASE_DATOS[[#This Row],[NSK Original]]-BASE_DATOS[[#This Row],[NSK]]),"")</f>
        <v/>
      </c>
      <c r="AQ33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33" s="177" t="str">
        <f>IFERROR(BASE_DATOS[[#This Row],[Precio US$]]/BASE_DATOS[[#This Row],[Kilómetros Proy.]],"")</f>
        <v/>
      </c>
      <c r="AS333" s="167" t="s">
        <v>62</v>
      </c>
      <c r="AT333" s="167"/>
      <c r="AU333" s="167"/>
      <c r="AV333" s="167"/>
      <c r="AW333" s="179"/>
      <c r="AX333" s="179"/>
      <c r="AY333" s="179" t="str">
        <f>CONCATENATE(BASE_DATOS[[#This Row],[Código_U]]&amp;BASE_DATOS[[#This Row],[Pos.]]&amp;BASE_DATOS[[#This Row],[Situación Actual]])</f>
        <v>SR-1604Rodando</v>
      </c>
    </row>
    <row r="334" spans="1:51" ht="12" x14ac:dyDescent="0.25">
      <c r="A334" s="227" t="s">
        <v>179</v>
      </c>
      <c r="B334" s="217" t="s">
        <v>180</v>
      </c>
      <c r="C334" s="228" t="s">
        <v>295</v>
      </c>
      <c r="D334" s="229" t="s">
        <v>87</v>
      </c>
      <c r="E334" s="255"/>
      <c r="F334" s="256" t="s">
        <v>97</v>
      </c>
      <c r="G334" s="256" t="s">
        <v>269</v>
      </c>
      <c r="H334" s="257" t="str">
        <f>IF(BASE_DATOS[[#This Row],[N-R]]="N",BASE_DATOS[[#This Row],[Diseño]],"Reencauche")</f>
        <v>Reencauche</v>
      </c>
      <c r="I334" s="256" t="s">
        <v>275</v>
      </c>
      <c r="J334" s="243" t="s">
        <v>82</v>
      </c>
      <c r="K334" s="258">
        <v>21</v>
      </c>
      <c r="L334" s="256">
        <v>110</v>
      </c>
      <c r="M334" s="259"/>
      <c r="N334" s="260"/>
      <c r="O334" s="277"/>
      <c r="P334" s="278"/>
      <c r="Q334" s="279"/>
      <c r="R334" s="309" t="s">
        <v>102</v>
      </c>
      <c r="S334" s="310">
        <v>45385</v>
      </c>
      <c r="T334" s="313"/>
      <c r="U334" s="279"/>
      <c r="V334" s="227">
        <v>19</v>
      </c>
      <c r="W334" s="281"/>
      <c r="X334" s="282">
        <v>19</v>
      </c>
      <c r="Y334" s="293">
        <f t="shared" si="14"/>
        <v>19</v>
      </c>
      <c r="Z334" s="175" t="s">
        <v>73</v>
      </c>
      <c r="AA334" s="342">
        <f>IFERROR(BASE_DATOS[[#This Row],[NSK Original]]-BASE_DATOS[[#This Row],[NSK]]," ")</f>
        <v>2</v>
      </c>
      <c r="AB334" s="343">
        <f>'NSK-TRACTO'!$A$2</f>
        <v>6</v>
      </c>
      <c r="AC334" s="343">
        <f>IF(BASE_DATOS[[#This Row],[NSK]]&gt;=BASE_DATOS[[#This Row],[NSK Reen]],BASE_DATOS[[#This Row],[NSK Reen]],BASE_DATOS[[#This Row],[NSK]])</f>
        <v>6</v>
      </c>
      <c r="AD334" s="344">
        <f>IFERROR(100%-(BASE_DATOS[[#This Row],[NSK Reen]]/BASE_DATOS[[#This Row],[NSK Original]]),"")</f>
        <v>0.7142857142857143</v>
      </c>
      <c r="AE334" s="344">
        <f>IFERROR(100%-BASE_DATOS[[#This Row],[NSK]]/BASE_DATOS[[#This Row],[NSK Original]],"")</f>
        <v>9.5238095238095233E-2</v>
      </c>
      <c r="AF334" s="344">
        <f>IFERROR(BASE_DATOS[[#This Row],[% Max Des.]]-BASE_DATOS[[#This Row],[% Des]],"")</f>
        <v>0.61904761904761907</v>
      </c>
      <c r="AG334" s="287"/>
      <c r="AH334" s="273"/>
      <c r="AI334" s="363" t="str">
        <f>IF(OR(BASE_DATOS[[#This Row],[Hr.]]="",BASE_DATOS[[#This Row],[Hr. Actual]]=""),"",BASE_DATOS[[#This Row],[Hr. Actual]]-BASE_DATOS[[#This Row],[Hr.]]+BASE_DATOS[[#This Row],[Horas Acumuladas]])</f>
        <v/>
      </c>
      <c r="AJ334" s="364" t="str">
        <f>IFERROR(BASE_DATOS[[#This Row],[Precio US$]]/BASE_DATOS[[#This Row],[Horas Rodadas]],"")</f>
        <v/>
      </c>
      <c r="AK334" s="365" t="str">
        <f>IFERROR(BASE_DATOS[[#This Row],[Horas Rodadas]]/(BASE_DATOS[[#This Row],[NSK Original]]-BASE_DATOS[[#This Row],[NSK]]),"")</f>
        <v/>
      </c>
      <c r="AL33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34" s="366" t="str">
        <f>IFERROR(BASE_DATOS[[#This Row],[Precio US$]]/BASE_DATOS[[#This Row],[Horas Proy.]],"")</f>
        <v/>
      </c>
      <c r="AN334" s="176" t="str">
        <f>IF(OR(BASE_DATOS[[#This Row],[Km.]]="",BASE_DATOS[[#This Row],[Km. Actual]]=""),"",BASE_DATOS[[#This Row],[Km. Actual]]-BASE_DATOS[[#This Row],[Km.]]+BASE_DATOS[[#This Row],[Kilómetros Acumulados]])</f>
        <v/>
      </c>
      <c r="AO334" s="177" t="str">
        <f>IFERROR(BASE_DATOS[[#This Row],[Precio US$]]/BASE_DATOS[[#This Row],[Kilómetros Rodados]],"")</f>
        <v/>
      </c>
      <c r="AP334" s="176" t="str">
        <f>IFERROR(BASE_DATOS[[#This Row],[Kilómetros Rodados]]/(BASE_DATOS[[#This Row],[NSK Original]]-BASE_DATOS[[#This Row],[NSK]]),"")</f>
        <v/>
      </c>
      <c r="AQ33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34" s="177" t="str">
        <f>IFERROR(BASE_DATOS[[#This Row],[Precio US$]]/BASE_DATOS[[#This Row],[Kilómetros Proy.]],"")</f>
        <v/>
      </c>
      <c r="AS334" s="167" t="s">
        <v>62</v>
      </c>
      <c r="AT334" s="167"/>
      <c r="AU334" s="167"/>
      <c r="AV334" s="167"/>
      <c r="AW334" s="179"/>
      <c r="AX334" s="179"/>
      <c r="AY334" s="179" t="str">
        <f>CONCATENATE(BASE_DATOS[[#This Row],[Código_U]]&amp;BASE_DATOS[[#This Row],[Pos.]]&amp;BASE_DATOS[[#This Row],[Situación Actual]])</f>
        <v>SR-1605Rodando</v>
      </c>
    </row>
    <row r="335" spans="1:51" ht="12" x14ac:dyDescent="0.25">
      <c r="A335" s="227" t="s">
        <v>179</v>
      </c>
      <c r="B335" s="217" t="s">
        <v>180</v>
      </c>
      <c r="C335" s="228" t="s">
        <v>295</v>
      </c>
      <c r="D335" s="229" t="s">
        <v>87</v>
      </c>
      <c r="E335" s="255"/>
      <c r="F335" s="256" t="s">
        <v>97</v>
      </c>
      <c r="G335" s="256" t="s">
        <v>269</v>
      </c>
      <c r="H335" s="257" t="str">
        <f>IF(BASE_DATOS[[#This Row],[N-R]]="N",BASE_DATOS[[#This Row],[Diseño]],"Reencauche")</f>
        <v>Reencauche</v>
      </c>
      <c r="I335" s="256" t="s">
        <v>275</v>
      </c>
      <c r="J335" s="243" t="s">
        <v>82</v>
      </c>
      <c r="K335" s="258">
        <v>21</v>
      </c>
      <c r="L335" s="256">
        <v>110</v>
      </c>
      <c r="M335" s="259"/>
      <c r="N335" s="260"/>
      <c r="O335" s="277"/>
      <c r="P335" s="278"/>
      <c r="Q335" s="279"/>
      <c r="R335" s="309" t="s">
        <v>103</v>
      </c>
      <c r="S335" s="310">
        <v>45385</v>
      </c>
      <c r="T335" s="313"/>
      <c r="U335" s="279"/>
      <c r="V335" s="227">
        <v>19</v>
      </c>
      <c r="W335" s="281"/>
      <c r="X335" s="282">
        <v>19</v>
      </c>
      <c r="Y335" s="293">
        <f t="shared" si="14"/>
        <v>19</v>
      </c>
      <c r="Z335" s="161" t="s">
        <v>385</v>
      </c>
      <c r="AA335" s="342">
        <f>IFERROR(BASE_DATOS[[#This Row],[NSK Original]]-BASE_DATOS[[#This Row],[NSK]]," ")</f>
        <v>2</v>
      </c>
      <c r="AB335" s="343">
        <f>'NSK-TRACTO'!$A$2</f>
        <v>6</v>
      </c>
      <c r="AC335" s="343">
        <f>IF(BASE_DATOS[[#This Row],[NSK]]&gt;=BASE_DATOS[[#This Row],[NSK Reen]],BASE_DATOS[[#This Row],[NSK Reen]],BASE_DATOS[[#This Row],[NSK]])</f>
        <v>6</v>
      </c>
      <c r="AD335" s="344">
        <f>IFERROR(100%-(BASE_DATOS[[#This Row],[NSK Reen]]/BASE_DATOS[[#This Row],[NSK Original]]),"")</f>
        <v>0.7142857142857143</v>
      </c>
      <c r="AE335" s="344">
        <f>IFERROR(100%-BASE_DATOS[[#This Row],[NSK]]/BASE_DATOS[[#This Row],[NSK Original]],"")</f>
        <v>9.5238095238095233E-2</v>
      </c>
      <c r="AF335" s="344">
        <f>IFERROR(BASE_DATOS[[#This Row],[% Max Des.]]-BASE_DATOS[[#This Row],[% Des]],"")</f>
        <v>0.61904761904761907</v>
      </c>
      <c r="AG335" s="287"/>
      <c r="AH335" s="273"/>
      <c r="AI335" s="363" t="str">
        <f>IF(OR(BASE_DATOS[[#This Row],[Hr.]]="",BASE_DATOS[[#This Row],[Hr. Actual]]=""),"",BASE_DATOS[[#This Row],[Hr. Actual]]-BASE_DATOS[[#This Row],[Hr.]]+BASE_DATOS[[#This Row],[Horas Acumuladas]])</f>
        <v/>
      </c>
      <c r="AJ335" s="364" t="str">
        <f>IFERROR(BASE_DATOS[[#This Row],[Precio US$]]/BASE_DATOS[[#This Row],[Horas Rodadas]],"")</f>
        <v/>
      </c>
      <c r="AK335" s="365" t="str">
        <f>IFERROR(BASE_DATOS[[#This Row],[Horas Rodadas]]/(BASE_DATOS[[#This Row],[NSK Original]]-BASE_DATOS[[#This Row],[NSK]]),"")</f>
        <v/>
      </c>
      <c r="AL33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35" s="366" t="str">
        <f>IFERROR(BASE_DATOS[[#This Row],[Precio US$]]/BASE_DATOS[[#This Row],[Horas Proy.]],"")</f>
        <v/>
      </c>
      <c r="AN335" s="176" t="str">
        <f>IF(OR(BASE_DATOS[[#This Row],[Km.]]="",BASE_DATOS[[#This Row],[Km. Actual]]=""),"",BASE_DATOS[[#This Row],[Km. Actual]]-BASE_DATOS[[#This Row],[Km.]]+BASE_DATOS[[#This Row],[Kilómetros Acumulados]])</f>
        <v/>
      </c>
      <c r="AO335" s="177" t="str">
        <f>IFERROR(BASE_DATOS[[#This Row],[Precio US$]]/BASE_DATOS[[#This Row],[Kilómetros Rodados]],"")</f>
        <v/>
      </c>
      <c r="AP335" s="176" t="str">
        <f>IFERROR(BASE_DATOS[[#This Row],[Kilómetros Rodados]]/(BASE_DATOS[[#This Row],[NSK Original]]-BASE_DATOS[[#This Row],[NSK]]),"")</f>
        <v/>
      </c>
      <c r="AQ33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35" s="177" t="str">
        <f>IFERROR(BASE_DATOS[[#This Row],[Precio US$]]/BASE_DATOS[[#This Row],[Kilómetros Proy.]],"")</f>
        <v/>
      </c>
      <c r="AS335" s="167" t="s">
        <v>62</v>
      </c>
      <c r="AT335" s="167"/>
      <c r="AU335" s="167"/>
      <c r="AV335" s="167"/>
      <c r="AW335" s="179"/>
      <c r="AX335" s="179"/>
      <c r="AY335" s="179" t="str">
        <f>CONCATENATE(BASE_DATOS[[#This Row],[Código_U]]&amp;BASE_DATOS[[#This Row],[Pos.]]&amp;BASE_DATOS[[#This Row],[Situación Actual]])</f>
        <v>SR-1606Rodando</v>
      </c>
    </row>
    <row r="336" spans="1:51" ht="12" x14ac:dyDescent="0.25">
      <c r="A336" s="227" t="s">
        <v>179</v>
      </c>
      <c r="B336" s="217" t="s">
        <v>180</v>
      </c>
      <c r="C336" s="228" t="s">
        <v>295</v>
      </c>
      <c r="D336" s="229" t="s">
        <v>384</v>
      </c>
      <c r="E336" s="255"/>
      <c r="F336" s="256" t="s">
        <v>273</v>
      </c>
      <c r="G336" s="256" t="s">
        <v>274</v>
      </c>
      <c r="H336" s="257" t="str">
        <f>IF(BASE_DATOS[[#This Row],[N-R]]="N",BASE_DATOS[[#This Row],[Diseño]],"Reencauche")</f>
        <v>XZY3</v>
      </c>
      <c r="I336" s="256" t="s">
        <v>277</v>
      </c>
      <c r="J336" s="243" t="s">
        <v>72</v>
      </c>
      <c r="K336" s="258">
        <v>0</v>
      </c>
      <c r="L336" s="256">
        <v>110</v>
      </c>
      <c r="M336" s="259"/>
      <c r="N336" s="260"/>
      <c r="O336" s="277"/>
      <c r="P336" s="278"/>
      <c r="Q336" s="279"/>
      <c r="R336" s="309" t="s">
        <v>509</v>
      </c>
      <c r="S336" s="310">
        <v>45385</v>
      </c>
      <c r="T336" s="313"/>
      <c r="U336" s="279"/>
      <c r="V336" s="227">
        <v>16</v>
      </c>
      <c r="W336" s="281">
        <v>16</v>
      </c>
      <c r="X336" s="282">
        <v>16</v>
      </c>
      <c r="Y336" s="293">
        <f t="shared" si="14"/>
        <v>16</v>
      </c>
      <c r="Z336" s="161" t="s">
        <v>85</v>
      </c>
      <c r="AA336" s="342">
        <f>IFERROR(BASE_DATOS[[#This Row],[NSK Original]]-BASE_DATOS[[#This Row],[NSK]]," ")</f>
        <v>-16</v>
      </c>
      <c r="AB336" s="343">
        <f>'NSK-TRACTO'!$A$2</f>
        <v>6</v>
      </c>
      <c r="AC336" s="343">
        <f>IF(BASE_DATOS[[#This Row],[NSK]]&gt;=BASE_DATOS[[#This Row],[NSK Reen]],BASE_DATOS[[#This Row],[NSK Reen]],BASE_DATOS[[#This Row],[NSK]])</f>
        <v>6</v>
      </c>
      <c r="AD336" s="344" t="str">
        <f>IFERROR(100%-(BASE_DATOS[[#This Row],[NSK Reen]]/BASE_DATOS[[#This Row],[NSK Original]]),"")</f>
        <v/>
      </c>
      <c r="AE336" s="344" t="str">
        <f>IFERROR(100%-BASE_DATOS[[#This Row],[NSK]]/BASE_DATOS[[#This Row],[NSK Original]],"")</f>
        <v/>
      </c>
      <c r="AF336" s="344" t="str">
        <f>IFERROR(BASE_DATOS[[#This Row],[% Max Des.]]-BASE_DATOS[[#This Row],[% Des]],"")</f>
        <v/>
      </c>
      <c r="AG336" s="287"/>
      <c r="AH336" s="273"/>
      <c r="AI336" s="363" t="str">
        <f>IF(OR(BASE_DATOS[[#This Row],[Hr.]]="",BASE_DATOS[[#This Row],[Hr. Actual]]=""),"",BASE_DATOS[[#This Row],[Hr. Actual]]-BASE_DATOS[[#This Row],[Hr.]]+BASE_DATOS[[#This Row],[Horas Acumuladas]])</f>
        <v/>
      </c>
      <c r="AJ336" s="364" t="str">
        <f>IFERROR(BASE_DATOS[[#This Row],[Precio US$]]/BASE_DATOS[[#This Row],[Horas Rodadas]],"")</f>
        <v/>
      </c>
      <c r="AK336" s="365" t="str">
        <f>IFERROR(BASE_DATOS[[#This Row],[Horas Rodadas]]/(BASE_DATOS[[#This Row],[NSK Original]]-BASE_DATOS[[#This Row],[NSK]]),"")</f>
        <v/>
      </c>
      <c r="AL33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36" s="366" t="str">
        <f>IFERROR(BASE_DATOS[[#This Row],[Precio US$]]/BASE_DATOS[[#This Row],[Horas Proy.]],"")</f>
        <v/>
      </c>
      <c r="AN336" s="176" t="str">
        <f>IF(OR(BASE_DATOS[[#This Row],[Km.]]="",BASE_DATOS[[#This Row],[Km. Actual]]=""),"",BASE_DATOS[[#This Row],[Km. Actual]]-BASE_DATOS[[#This Row],[Km.]]+BASE_DATOS[[#This Row],[Kilómetros Acumulados]])</f>
        <v/>
      </c>
      <c r="AO336" s="177" t="str">
        <f>IFERROR(BASE_DATOS[[#This Row],[Precio US$]]/BASE_DATOS[[#This Row],[Kilómetros Rodados]],"")</f>
        <v/>
      </c>
      <c r="AP336" s="176" t="str">
        <f>IFERROR(BASE_DATOS[[#This Row],[Kilómetros Rodados]]/(BASE_DATOS[[#This Row],[NSK Original]]-BASE_DATOS[[#This Row],[NSK]]),"")</f>
        <v/>
      </c>
      <c r="AQ33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36" s="177" t="str">
        <f>IFERROR(BASE_DATOS[[#This Row],[Precio US$]]/BASE_DATOS[[#This Row],[Kilómetros Proy.]],"")</f>
        <v/>
      </c>
      <c r="AS336" s="167" t="s">
        <v>62</v>
      </c>
      <c r="AT336" s="167"/>
      <c r="AU336" s="167"/>
      <c r="AV336" s="167"/>
      <c r="AW336" s="179"/>
      <c r="AX336" s="179"/>
      <c r="AY336" s="179" t="str">
        <f>CONCATENATE(BASE_DATOS[[#This Row],[Código_U]]&amp;BASE_DATOS[[#This Row],[Pos.]]&amp;BASE_DATOS[[#This Row],[Situación Actual]])</f>
        <v>SR-160RERodando</v>
      </c>
    </row>
    <row r="337" spans="1:51" ht="12" x14ac:dyDescent="0.25">
      <c r="A337" s="227" t="s">
        <v>179</v>
      </c>
      <c r="B337" s="217" t="s">
        <v>180</v>
      </c>
      <c r="C337" s="228" t="s">
        <v>295</v>
      </c>
      <c r="D337" s="229" t="s">
        <v>108</v>
      </c>
      <c r="E337" s="248" t="s">
        <v>455</v>
      </c>
      <c r="F337" s="256" t="s">
        <v>273</v>
      </c>
      <c r="G337" s="256" t="s">
        <v>271</v>
      </c>
      <c r="H337" s="257" t="str">
        <f>IF(BASE_DATOS[[#This Row],[N-R]]="N",BASE_DATOS[[#This Row],[Diseño]],"Reencauche")</f>
        <v>XMULTI2D</v>
      </c>
      <c r="I337" s="256" t="s">
        <v>299</v>
      </c>
      <c r="J337" s="243" t="s">
        <v>72</v>
      </c>
      <c r="K337" s="258">
        <v>21.4</v>
      </c>
      <c r="L337" s="256">
        <v>110</v>
      </c>
      <c r="M337" s="259"/>
      <c r="N337" s="260"/>
      <c r="O337" s="277"/>
      <c r="P337" s="278"/>
      <c r="Q337" s="279"/>
      <c r="R337" s="309" t="s">
        <v>108</v>
      </c>
      <c r="S337" s="310">
        <v>45385</v>
      </c>
      <c r="T337" s="313"/>
      <c r="U337" s="279"/>
      <c r="V337" s="227">
        <v>6</v>
      </c>
      <c r="W337" s="281"/>
      <c r="X337" s="282">
        <v>6</v>
      </c>
      <c r="Y337" s="293">
        <f t="shared" si="14"/>
        <v>6</v>
      </c>
      <c r="Z337" s="175" t="s">
        <v>73</v>
      </c>
      <c r="AA337" s="342">
        <f>IFERROR(BASE_DATOS[[#This Row],[NSK Original]]-BASE_DATOS[[#This Row],[NSK]]," ")</f>
        <v>15.399999999999999</v>
      </c>
      <c r="AB337" s="343">
        <f>'NSK-TRACTO'!$A$2</f>
        <v>6</v>
      </c>
      <c r="AC337" s="343">
        <f>IF(BASE_DATOS[[#This Row],[NSK]]&gt;=BASE_DATOS[[#This Row],[NSK Reen]],BASE_DATOS[[#This Row],[NSK Reen]],BASE_DATOS[[#This Row],[NSK]])</f>
        <v>6</v>
      </c>
      <c r="AD337" s="344">
        <f>IFERROR(100%-(BASE_DATOS[[#This Row],[NSK Reen]]/BASE_DATOS[[#This Row],[NSK Original]]),"")</f>
        <v>0.71962616822429903</v>
      </c>
      <c r="AE337" s="344">
        <f>IFERROR(100%-BASE_DATOS[[#This Row],[NSK]]/BASE_DATOS[[#This Row],[NSK Original]],"")</f>
        <v>0.71962616822429903</v>
      </c>
      <c r="AF337" s="344">
        <f>IFERROR(BASE_DATOS[[#This Row],[% Max Des.]]-BASE_DATOS[[#This Row],[% Des]],"")</f>
        <v>0</v>
      </c>
      <c r="AG337" s="287"/>
      <c r="AH337" s="273"/>
      <c r="AI337" s="363" t="str">
        <f>IF(OR(BASE_DATOS[[#This Row],[Hr.]]="",BASE_DATOS[[#This Row],[Hr. Actual]]=""),"",BASE_DATOS[[#This Row],[Hr. Actual]]-BASE_DATOS[[#This Row],[Hr.]]+BASE_DATOS[[#This Row],[Horas Acumuladas]])</f>
        <v/>
      </c>
      <c r="AJ337" s="364" t="str">
        <f>IFERROR(BASE_DATOS[[#This Row],[Precio US$]]/BASE_DATOS[[#This Row],[Horas Rodadas]],"")</f>
        <v/>
      </c>
      <c r="AK337" s="365" t="str">
        <f>IFERROR(BASE_DATOS[[#This Row],[Horas Rodadas]]/(BASE_DATOS[[#This Row],[NSK Original]]-BASE_DATOS[[#This Row],[NSK]]),"")</f>
        <v/>
      </c>
      <c r="AL33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37" s="366" t="str">
        <f>IFERROR(BASE_DATOS[[#This Row],[Precio US$]]/BASE_DATOS[[#This Row],[Horas Proy.]],"")</f>
        <v/>
      </c>
      <c r="AN337" s="176" t="str">
        <f>IF(OR(BASE_DATOS[[#This Row],[Km.]]="",BASE_DATOS[[#This Row],[Km. Actual]]=""),"",BASE_DATOS[[#This Row],[Km. Actual]]-BASE_DATOS[[#This Row],[Km.]]+BASE_DATOS[[#This Row],[Kilómetros Acumulados]])</f>
        <v/>
      </c>
      <c r="AO337" s="177" t="str">
        <f>IFERROR(BASE_DATOS[[#This Row],[Precio US$]]/BASE_DATOS[[#This Row],[Kilómetros Rodados]],"")</f>
        <v/>
      </c>
      <c r="AP337" s="176" t="str">
        <f>IFERROR(BASE_DATOS[[#This Row],[Kilómetros Rodados]]/(BASE_DATOS[[#This Row],[NSK Original]]-BASE_DATOS[[#This Row],[NSK]]),"")</f>
        <v/>
      </c>
      <c r="AQ33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37" s="177" t="str">
        <f>IFERROR(BASE_DATOS[[#This Row],[Precio US$]]/BASE_DATOS[[#This Row],[Kilómetros Proy.]],"")</f>
        <v/>
      </c>
      <c r="AS337" s="167" t="s">
        <v>62</v>
      </c>
      <c r="AT337" s="167"/>
      <c r="AU337" s="167"/>
      <c r="AV337" s="167"/>
      <c r="AW337" s="179"/>
      <c r="AX337" s="179"/>
      <c r="AY337" s="179" t="str">
        <f>CONCATENATE(BASE_DATOS[[#This Row],[Código_U]]&amp;BASE_DATOS[[#This Row],[Pos.]]&amp;BASE_DATOS[[#This Row],[Situación Actual]])</f>
        <v>SR-160RTRodando</v>
      </c>
    </row>
    <row r="338" spans="1:51" ht="12" x14ac:dyDescent="0.25">
      <c r="A338" s="224" t="s">
        <v>181</v>
      </c>
      <c r="B338" s="213" t="s">
        <v>182</v>
      </c>
      <c r="C338" s="225" t="s">
        <v>296</v>
      </c>
      <c r="D338" s="226" t="s">
        <v>86</v>
      </c>
      <c r="E338" s="249"/>
      <c r="F338" s="250" t="s">
        <v>278</v>
      </c>
      <c r="G338" s="250" t="s">
        <v>271</v>
      </c>
      <c r="H338" s="251" t="str">
        <f>IF(BASE_DATOS[[#This Row],[N-R]]="N",BASE_DATOS[[#This Row],[Diseño]],"Reencauche")</f>
        <v>HS3+</v>
      </c>
      <c r="I338" s="250" t="s">
        <v>279</v>
      </c>
      <c r="J338" s="235" t="s">
        <v>72</v>
      </c>
      <c r="K338" s="252">
        <v>16</v>
      </c>
      <c r="L338" s="233">
        <v>100</v>
      </c>
      <c r="M338" s="253"/>
      <c r="N338" s="254"/>
      <c r="O338" s="274"/>
      <c r="P338" s="275"/>
      <c r="Q338" s="276"/>
      <c r="R338" s="305" t="s">
        <v>98</v>
      </c>
      <c r="S338" s="306">
        <v>45385</v>
      </c>
      <c r="T338" s="307"/>
      <c r="U338" s="308"/>
      <c r="V338" s="224">
        <v>8</v>
      </c>
      <c r="W338" s="325">
        <v>10</v>
      </c>
      <c r="X338" s="326">
        <v>10</v>
      </c>
      <c r="Y338" s="292">
        <f t="shared" ref="Y338:Y373" si="15">IFERROR(MIN(V338:X338),"")</f>
        <v>8</v>
      </c>
      <c r="Z338" s="194" t="s">
        <v>85</v>
      </c>
      <c r="AA338" s="339">
        <f>IFERROR(BASE_DATOS[[#This Row],[NSK Original]]-BASE_DATOS[[#This Row],[NSK]]," ")</f>
        <v>8</v>
      </c>
      <c r="AB338" s="340">
        <f>'NSK-TRACTO'!$A$2</f>
        <v>6</v>
      </c>
      <c r="AC338" s="340">
        <f>IF(BASE_DATOS[[#This Row],[NSK]]&gt;=BASE_DATOS[[#This Row],[NSK Reen]],BASE_DATOS[[#This Row],[NSK Reen]],BASE_DATOS[[#This Row],[NSK]])</f>
        <v>6</v>
      </c>
      <c r="AD338" s="341">
        <f>IFERROR(100%-(BASE_DATOS[[#This Row],[NSK Reen]]/BASE_DATOS[[#This Row],[NSK Original]]),"")</f>
        <v>0.625</v>
      </c>
      <c r="AE338" s="341">
        <f>IFERROR(100%-BASE_DATOS[[#This Row],[NSK]]/BASE_DATOS[[#This Row],[NSK Original]],"")</f>
        <v>0.5</v>
      </c>
      <c r="AF338" s="341">
        <f>IFERROR(BASE_DATOS[[#This Row],[% Max Des.]]-BASE_DATOS[[#This Row],[% Des]],"")</f>
        <v>0.125</v>
      </c>
      <c r="AG338" s="284"/>
      <c r="AH338" s="335"/>
      <c r="AI338" s="359" t="str">
        <f>IF(OR(BASE_DATOS[[#This Row],[Hr.]]="",BASE_DATOS[[#This Row],[Hr. Actual]]=""),"",BASE_DATOS[[#This Row],[Hr. Actual]]-BASE_DATOS[[#This Row],[Hr.]]+BASE_DATOS[[#This Row],[Horas Acumuladas]])</f>
        <v/>
      </c>
      <c r="AJ338" s="360" t="str">
        <f>IFERROR(BASE_DATOS[[#This Row],[Precio US$]]/BASE_DATOS[[#This Row],[Horas Rodadas]],"")</f>
        <v/>
      </c>
      <c r="AK338" s="361" t="str">
        <f>IFERROR(BASE_DATOS[[#This Row],[Horas Rodadas]]/(BASE_DATOS[[#This Row],[NSK Original]]-BASE_DATOS[[#This Row],[NSK]]),"")</f>
        <v/>
      </c>
      <c r="AL338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38" s="362" t="str">
        <f>IFERROR(BASE_DATOS[[#This Row],[Precio US$]]/BASE_DATOS[[#This Row],[Horas Proy.]],"")</f>
        <v/>
      </c>
      <c r="AN338" s="195" t="str">
        <f>IF(OR(BASE_DATOS[[#This Row],[Km.]]="",BASE_DATOS[[#This Row],[Km. Actual]]=""),"",BASE_DATOS[[#This Row],[Km. Actual]]-BASE_DATOS[[#This Row],[Km.]]+BASE_DATOS[[#This Row],[Kilómetros Acumulados]])</f>
        <v/>
      </c>
      <c r="AO338" s="196" t="str">
        <f>IFERROR(BASE_DATOS[[#This Row],[Precio US$]]/BASE_DATOS[[#This Row],[Kilómetros Rodados]],"")</f>
        <v/>
      </c>
      <c r="AP338" s="195" t="str">
        <f>IFERROR(BASE_DATOS[[#This Row],[Kilómetros Rodados]]/(BASE_DATOS[[#This Row],[NSK Original]]-BASE_DATOS[[#This Row],[NSK]]),"")</f>
        <v/>
      </c>
      <c r="AQ338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38" s="196" t="str">
        <f>IFERROR(BASE_DATOS[[#This Row],[Precio US$]]/BASE_DATOS[[#This Row],[Kilómetros Proy.]],"")</f>
        <v/>
      </c>
      <c r="AS338" s="191" t="s">
        <v>62</v>
      </c>
      <c r="AT338" s="191"/>
      <c r="AU338" s="191"/>
      <c r="AV338" s="191"/>
      <c r="AW338" s="198"/>
      <c r="AX338" s="198"/>
      <c r="AY338" s="198" t="str">
        <f>CONCATENATE(BASE_DATOS[[#This Row],[Código_U]]&amp;BASE_DATOS[[#This Row],[Pos.]]&amp;BASE_DATOS[[#This Row],[Situación Actual]])</f>
        <v>TC-1661Rodando</v>
      </c>
    </row>
    <row r="339" spans="1:51" ht="12" x14ac:dyDescent="0.25">
      <c r="A339" s="227" t="s">
        <v>181</v>
      </c>
      <c r="B339" s="217" t="s">
        <v>182</v>
      </c>
      <c r="C339" s="228" t="s">
        <v>296</v>
      </c>
      <c r="D339" s="229" t="s">
        <v>86</v>
      </c>
      <c r="E339" s="255"/>
      <c r="F339" s="256" t="s">
        <v>278</v>
      </c>
      <c r="G339" s="256" t="s">
        <v>271</v>
      </c>
      <c r="H339" s="257" t="str">
        <f>IF(BASE_DATOS[[#This Row],[N-R]]="N",BASE_DATOS[[#This Row],[Diseño]],"Reencauche")</f>
        <v>HS3+</v>
      </c>
      <c r="I339" s="256" t="s">
        <v>279</v>
      </c>
      <c r="J339" s="243" t="s">
        <v>72</v>
      </c>
      <c r="K339" s="258">
        <v>16</v>
      </c>
      <c r="L339" s="241">
        <v>100</v>
      </c>
      <c r="M339" s="259"/>
      <c r="N339" s="260"/>
      <c r="O339" s="277"/>
      <c r="P339" s="278"/>
      <c r="Q339" s="279"/>
      <c r="R339" s="309" t="s">
        <v>99</v>
      </c>
      <c r="S339" s="310">
        <v>45385</v>
      </c>
      <c r="T339" s="311"/>
      <c r="U339" s="312"/>
      <c r="V339" s="227">
        <v>9</v>
      </c>
      <c r="W339" s="281">
        <v>9</v>
      </c>
      <c r="X339" s="282">
        <v>9</v>
      </c>
      <c r="Y339" s="293">
        <f t="shared" si="15"/>
        <v>9</v>
      </c>
      <c r="Z339" s="175" t="s">
        <v>85</v>
      </c>
      <c r="AA339" s="342">
        <f>IFERROR(BASE_DATOS[[#This Row],[NSK Original]]-BASE_DATOS[[#This Row],[NSK]]," ")</f>
        <v>7</v>
      </c>
      <c r="AB339" s="343">
        <f>'NSK-TRACTO'!$A$2</f>
        <v>6</v>
      </c>
      <c r="AC339" s="343">
        <f>IF(BASE_DATOS[[#This Row],[NSK]]&gt;=BASE_DATOS[[#This Row],[NSK Reen]],BASE_DATOS[[#This Row],[NSK Reen]],BASE_DATOS[[#This Row],[NSK]])</f>
        <v>6</v>
      </c>
      <c r="AD339" s="344">
        <f>IFERROR(100%-(BASE_DATOS[[#This Row],[NSK Reen]]/BASE_DATOS[[#This Row],[NSK Original]]),"")</f>
        <v>0.625</v>
      </c>
      <c r="AE339" s="344">
        <f>IFERROR(100%-BASE_DATOS[[#This Row],[NSK]]/BASE_DATOS[[#This Row],[NSK Original]],"")</f>
        <v>0.4375</v>
      </c>
      <c r="AF339" s="344">
        <f>IFERROR(BASE_DATOS[[#This Row],[% Max Des.]]-BASE_DATOS[[#This Row],[% Des]],"")</f>
        <v>0.1875</v>
      </c>
      <c r="AG339" s="287"/>
      <c r="AH339" s="273"/>
      <c r="AI339" s="363" t="str">
        <f>IF(OR(BASE_DATOS[[#This Row],[Hr.]]="",BASE_DATOS[[#This Row],[Hr. Actual]]=""),"",BASE_DATOS[[#This Row],[Hr. Actual]]-BASE_DATOS[[#This Row],[Hr.]]+BASE_DATOS[[#This Row],[Horas Acumuladas]])</f>
        <v/>
      </c>
      <c r="AJ339" s="364" t="str">
        <f>IFERROR(BASE_DATOS[[#This Row],[Precio US$]]/BASE_DATOS[[#This Row],[Horas Rodadas]],"")</f>
        <v/>
      </c>
      <c r="AK339" s="365" t="str">
        <f>IFERROR(BASE_DATOS[[#This Row],[Horas Rodadas]]/(BASE_DATOS[[#This Row],[NSK Original]]-BASE_DATOS[[#This Row],[NSK]]),"")</f>
        <v/>
      </c>
      <c r="AL33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39" s="366" t="str">
        <f>IFERROR(BASE_DATOS[[#This Row],[Precio US$]]/BASE_DATOS[[#This Row],[Horas Proy.]],"")</f>
        <v/>
      </c>
      <c r="AN339" s="176" t="str">
        <f>IF(OR(BASE_DATOS[[#This Row],[Km.]]="",BASE_DATOS[[#This Row],[Km. Actual]]=""),"",BASE_DATOS[[#This Row],[Km. Actual]]-BASE_DATOS[[#This Row],[Km.]]+BASE_DATOS[[#This Row],[Kilómetros Acumulados]])</f>
        <v/>
      </c>
      <c r="AO339" s="177" t="str">
        <f>IFERROR(BASE_DATOS[[#This Row],[Precio US$]]/BASE_DATOS[[#This Row],[Kilómetros Rodados]],"")</f>
        <v/>
      </c>
      <c r="AP339" s="176" t="str">
        <f>IFERROR(BASE_DATOS[[#This Row],[Kilómetros Rodados]]/(BASE_DATOS[[#This Row],[NSK Original]]-BASE_DATOS[[#This Row],[NSK]]),"")</f>
        <v/>
      </c>
      <c r="AQ33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39" s="177" t="str">
        <f>IFERROR(BASE_DATOS[[#This Row],[Precio US$]]/BASE_DATOS[[#This Row],[Kilómetros Proy.]],"")</f>
        <v/>
      </c>
      <c r="AS339" s="167" t="s">
        <v>62</v>
      </c>
      <c r="AT339" s="167"/>
      <c r="AU339" s="167"/>
      <c r="AV339" s="167"/>
      <c r="AW339" s="179"/>
      <c r="AX339" s="179"/>
      <c r="AY339" s="179" t="str">
        <f>CONCATENATE(BASE_DATOS[[#This Row],[Código_U]]&amp;BASE_DATOS[[#This Row],[Pos.]]&amp;BASE_DATOS[[#This Row],[Situación Actual]])</f>
        <v>TC-1662Rodando</v>
      </c>
    </row>
    <row r="340" spans="1:51" ht="12" x14ac:dyDescent="0.25">
      <c r="A340" s="227" t="s">
        <v>181</v>
      </c>
      <c r="B340" s="217" t="s">
        <v>182</v>
      </c>
      <c r="C340" s="228" t="s">
        <v>296</v>
      </c>
      <c r="D340" s="229" t="s">
        <v>61</v>
      </c>
      <c r="E340" s="255"/>
      <c r="F340" s="256" t="s">
        <v>278</v>
      </c>
      <c r="G340" s="256" t="s">
        <v>271</v>
      </c>
      <c r="H340" s="257" t="str">
        <f>IF(BASE_DATOS[[#This Row],[N-R]]="N",BASE_DATOS[[#This Row],[Diseño]],"Reencauche")</f>
        <v>Reencauche</v>
      </c>
      <c r="I340" s="256" t="s">
        <v>282</v>
      </c>
      <c r="J340" s="243" t="s">
        <v>82</v>
      </c>
      <c r="K340" s="258">
        <v>22</v>
      </c>
      <c r="L340" s="241">
        <v>110</v>
      </c>
      <c r="M340" s="259"/>
      <c r="N340" s="260"/>
      <c r="O340" s="277"/>
      <c r="P340" s="278"/>
      <c r="Q340" s="279"/>
      <c r="R340" s="309" t="s">
        <v>100</v>
      </c>
      <c r="S340" s="310">
        <v>45385</v>
      </c>
      <c r="T340" s="311"/>
      <c r="U340" s="312"/>
      <c r="V340" s="227">
        <v>11</v>
      </c>
      <c r="W340" s="281"/>
      <c r="X340" s="282">
        <v>11</v>
      </c>
      <c r="Y340" s="293">
        <f t="shared" si="15"/>
        <v>11</v>
      </c>
      <c r="Z340" s="175" t="s">
        <v>85</v>
      </c>
      <c r="AA340" s="342">
        <f>IFERROR(BASE_DATOS[[#This Row],[NSK Original]]-BASE_DATOS[[#This Row],[NSK]]," ")</f>
        <v>11</v>
      </c>
      <c r="AB340" s="343">
        <f>'NSK-TRACTO'!$A$2</f>
        <v>6</v>
      </c>
      <c r="AC340" s="343">
        <f>IF(BASE_DATOS[[#This Row],[NSK]]&gt;=BASE_DATOS[[#This Row],[NSK Reen]],BASE_DATOS[[#This Row],[NSK Reen]],BASE_DATOS[[#This Row],[NSK]])</f>
        <v>6</v>
      </c>
      <c r="AD340" s="344">
        <f>IFERROR(100%-(BASE_DATOS[[#This Row],[NSK Reen]]/BASE_DATOS[[#This Row],[NSK Original]]),"")</f>
        <v>0.72727272727272729</v>
      </c>
      <c r="AE340" s="344">
        <f>IFERROR(100%-BASE_DATOS[[#This Row],[NSK]]/BASE_DATOS[[#This Row],[NSK Original]],"")</f>
        <v>0.5</v>
      </c>
      <c r="AF340" s="344">
        <f>IFERROR(BASE_DATOS[[#This Row],[% Max Des.]]-BASE_DATOS[[#This Row],[% Des]],"")</f>
        <v>0.22727272727272729</v>
      </c>
      <c r="AG340" s="287"/>
      <c r="AH340" s="273"/>
      <c r="AI340" s="363" t="str">
        <f>IF(OR(BASE_DATOS[[#This Row],[Hr.]]="",BASE_DATOS[[#This Row],[Hr. Actual]]=""),"",BASE_DATOS[[#This Row],[Hr. Actual]]-BASE_DATOS[[#This Row],[Hr.]]+BASE_DATOS[[#This Row],[Horas Acumuladas]])</f>
        <v/>
      </c>
      <c r="AJ340" s="364" t="str">
        <f>IFERROR(BASE_DATOS[[#This Row],[Precio US$]]/BASE_DATOS[[#This Row],[Horas Rodadas]],"")</f>
        <v/>
      </c>
      <c r="AK340" s="365" t="str">
        <f>IFERROR(BASE_DATOS[[#This Row],[Horas Rodadas]]/(BASE_DATOS[[#This Row],[NSK Original]]-BASE_DATOS[[#This Row],[NSK]]),"")</f>
        <v/>
      </c>
      <c r="AL34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40" s="366" t="str">
        <f>IFERROR(BASE_DATOS[[#This Row],[Precio US$]]/BASE_DATOS[[#This Row],[Horas Proy.]],"")</f>
        <v/>
      </c>
      <c r="AN340" s="176" t="str">
        <f>IF(OR(BASE_DATOS[[#This Row],[Km.]]="",BASE_DATOS[[#This Row],[Km. Actual]]=""),"",BASE_DATOS[[#This Row],[Km. Actual]]-BASE_DATOS[[#This Row],[Km.]]+BASE_DATOS[[#This Row],[Kilómetros Acumulados]])</f>
        <v/>
      </c>
      <c r="AO340" s="177" t="str">
        <f>IFERROR(BASE_DATOS[[#This Row],[Precio US$]]/BASE_DATOS[[#This Row],[Kilómetros Rodados]],"")</f>
        <v/>
      </c>
      <c r="AP340" s="176" t="str">
        <f>IFERROR(BASE_DATOS[[#This Row],[Kilómetros Rodados]]/(BASE_DATOS[[#This Row],[NSK Original]]-BASE_DATOS[[#This Row],[NSK]]),"")</f>
        <v/>
      </c>
      <c r="AQ34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40" s="177" t="str">
        <f>IFERROR(BASE_DATOS[[#This Row],[Precio US$]]/BASE_DATOS[[#This Row],[Kilómetros Proy.]],"")</f>
        <v/>
      </c>
      <c r="AS340" s="167" t="s">
        <v>62</v>
      </c>
      <c r="AT340" s="167"/>
      <c r="AU340" s="167"/>
      <c r="AV340" s="167"/>
      <c r="AW340" s="179"/>
      <c r="AX340" s="179"/>
      <c r="AY340" s="179" t="str">
        <f>CONCATENATE(BASE_DATOS[[#This Row],[Código_U]]&amp;BASE_DATOS[[#This Row],[Pos.]]&amp;BASE_DATOS[[#This Row],[Situación Actual]])</f>
        <v>TC-1663Rodando</v>
      </c>
    </row>
    <row r="341" spans="1:51" ht="12" x14ac:dyDescent="0.25">
      <c r="A341" s="227" t="s">
        <v>181</v>
      </c>
      <c r="B341" s="217" t="s">
        <v>182</v>
      </c>
      <c r="C341" s="228" t="s">
        <v>296</v>
      </c>
      <c r="D341" s="229" t="s">
        <v>61</v>
      </c>
      <c r="E341" s="255"/>
      <c r="F341" s="256" t="s">
        <v>278</v>
      </c>
      <c r="G341" s="256" t="s">
        <v>271</v>
      </c>
      <c r="H341" s="257" t="str">
        <f>IF(BASE_DATOS[[#This Row],[N-R]]="N",BASE_DATOS[[#This Row],[Diseño]],"Reencauche")</f>
        <v>Reencauche</v>
      </c>
      <c r="I341" s="256" t="s">
        <v>282</v>
      </c>
      <c r="J341" s="243" t="s">
        <v>82</v>
      </c>
      <c r="K341" s="258">
        <v>22</v>
      </c>
      <c r="L341" s="241">
        <v>110</v>
      </c>
      <c r="M341" s="259"/>
      <c r="N341" s="260"/>
      <c r="O341" s="277"/>
      <c r="P341" s="278"/>
      <c r="Q341" s="279"/>
      <c r="R341" s="309" t="s">
        <v>101</v>
      </c>
      <c r="S341" s="310">
        <v>45385</v>
      </c>
      <c r="T341" s="311"/>
      <c r="U341" s="312"/>
      <c r="V341" s="227">
        <v>11</v>
      </c>
      <c r="W341" s="281"/>
      <c r="X341" s="282">
        <v>11</v>
      </c>
      <c r="Y341" s="293">
        <f t="shared" si="15"/>
        <v>11</v>
      </c>
      <c r="Z341" s="161" t="s">
        <v>73</v>
      </c>
      <c r="AA341" s="342">
        <f>IFERROR(BASE_DATOS[[#This Row],[NSK Original]]-BASE_DATOS[[#This Row],[NSK]]," ")</f>
        <v>11</v>
      </c>
      <c r="AB341" s="343">
        <f>'NSK-TRACTO'!$A$2</f>
        <v>6</v>
      </c>
      <c r="AC341" s="343">
        <f>IF(BASE_DATOS[[#This Row],[NSK]]&gt;=BASE_DATOS[[#This Row],[NSK Reen]],BASE_DATOS[[#This Row],[NSK Reen]],BASE_DATOS[[#This Row],[NSK]])</f>
        <v>6</v>
      </c>
      <c r="AD341" s="344">
        <f>IFERROR(100%-(BASE_DATOS[[#This Row],[NSK Reen]]/BASE_DATOS[[#This Row],[NSK Original]]),"")</f>
        <v>0.72727272727272729</v>
      </c>
      <c r="AE341" s="344">
        <f>IFERROR(100%-BASE_DATOS[[#This Row],[NSK]]/BASE_DATOS[[#This Row],[NSK Original]],"")</f>
        <v>0.5</v>
      </c>
      <c r="AF341" s="344">
        <f>IFERROR(BASE_DATOS[[#This Row],[% Max Des.]]-BASE_DATOS[[#This Row],[% Des]],"")</f>
        <v>0.22727272727272729</v>
      </c>
      <c r="AG341" s="287"/>
      <c r="AH341" s="273"/>
      <c r="AI341" s="363" t="str">
        <f>IF(OR(BASE_DATOS[[#This Row],[Hr.]]="",BASE_DATOS[[#This Row],[Hr. Actual]]=""),"",BASE_DATOS[[#This Row],[Hr. Actual]]-BASE_DATOS[[#This Row],[Hr.]]+BASE_DATOS[[#This Row],[Horas Acumuladas]])</f>
        <v/>
      </c>
      <c r="AJ341" s="364" t="str">
        <f>IFERROR(BASE_DATOS[[#This Row],[Precio US$]]/BASE_DATOS[[#This Row],[Horas Rodadas]],"")</f>
        <v/>
      </c>
      <c r="AK341" s="365" t="str">
        <f>IFERROR(BASE_DATOS[[#This Row],[Horas Rodadas]]/(BASE_DATOS[[#This Row],[NSK Original]]-BASE_DATOS[[#This Row],[NSK]]),"")</f>
        <v/>
      </c>
      <c r="AL34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41" s="366" t="str">
        <f>IFERROR(BASE_DATOS[[#This Row],[Precio US$]]/BASE_DATOS[[#This Row],[Horas Proy.]],"")</f>
        <v/>
      </c>
      <c r="AN341" s="176" t="str">
        <f>IF(OR(BASE_DATOS[[#This Row],[Km.]]="",BASE_DATOS[[#This Row],[Km. Actual]]=""),"",BASE_DATOS[[#This Row],[Km. Actual]]-BASE_DATOS[[#This Row],[Km.]]+BASE_DATOS[[#This Row],[Kilómetros Acumulados]])</f>
        <v/>
      </c>
      <c r="AO341" s="177" t="str">
        <f>IFERROR(BASE_DATOS[[#This Row],[Precio US$]]/BASE_DATOS[[#This Row],[Kilómetros Rodados]],"")</f>
        <v/>
      </c>
      <c r="AP341" s="176" t="str">
        <f>IFERROR(BASE_DATOS[[#This Row],[Kilómetros Rodados]]/(BASE_DATOS[[#This Row],[NSK Original]]-BASE_DATOS[[#This Row],[NSK]]),"")</f>
        <v/>
      </c>
      <c r="AQ34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41" s="177" t="str">
        <f>IFERROR(BASE_DATOS[[#This Row],[Precio US$]]/BASE_DATOS[[#This Row],[Kilómetros Proy.]],"")</f>
        <v/>
      </c>
      <c r="AS341" s="167" t="s">
        <v>62</v>
      </c>
      <c r="AT341" s="167"/>
      <c r="AU341" s="167"/>
      <c r="AV341" s="167"/>
      <c r="AW341" s="179"/>
      <c r="AX341" s="179"/>
      <c r="AY341" s="179" t="str">
        <f>CONCATENATE(BASE_DATOS[[#This Row],[Código_U]]&amp;BASE_DATOS[[#This Row],[Pos.]]&amp;BASE_DATOS[[#This Row],[Situación Actual]])</f>
        <v>TC-1664Rodando</v>
      </c>
    </row>
    <row r="342" spans="1:51" ht="12" x14ac:dyDescent="0.25">
      <c r="A342" s="227" t="s">
        <v>181</v>
      </c>
      <c r="B342" s="217" t="s">
        <v>182</v>
      </c>
      <c r="C342" s="228" t="s">
        <v>296</v>
      </c>
      <c r="D342" s="229" t="s">
        <v>61</v>
      </c>
      <c r="E342" s="255"/>
      <c r="F342" s="256" t="s">
        <v>273</v>
      </c>
      <c r="G342" s="256" t="s">
        <v>271</v>
      </c>
      <c r="H342" s="257" t="str">
        <f>IF(BASE_DATOS[[#This Row],[N-R]]="N",BASE_DATOS[[#This Row],[Diseño]],"Reencauche")</f>
        <v>Reencauche</v>
      </c>
      <c r="I342" s="256" t="s">
        <v>282</v>
      </c>
      <c r="J342" s="243" t="s">
        <v>82</v>
      </c>
      <c r="K342" s="258">
        <v>22</v>
      </c>
      <c r="L342" s="241">
        <v>110</v>
      </c>
      <c r="M342" s="259"/>
      <c r="N342" s="260"/>
      <c r="O342" s="277"/>
      <c r="P342" s="278"/>
      <c r="Q342" s="279"/>
      <c r="R342" s="309" t="s">
        <v>102</v>
      </c>
      <c r="S342" s="310">
        <v>45385</v>
      </c>
      <c r="T342" s="311"/>
      <c r="U342" s="312"/>
      <c r="V342" s="227">
        <v>11</v>
      </c>
      <c r="W342" s="281"/>
      <c r="X342" s="282">
        <v>12</v>
      </c>
      <c r="Y342" s="293">
        <f t="shared" si="15"/>
        <v>11</v>
      </c>
      <c r="Z342" s="161" t="s">
        <v>73</v>
      </c>
      <c r="AA342" s="342">
        <f>IFERROR(BASE_DATOS[[#This Row],[NSK Original]]-BASE_DATOS[[#This Row],[NSK]]," ")</f>
        <v>11</v>
      </c>
      <c r="AB342" s="343">
        <f>'NSK-TRACTO'!$A$2</f>
        <v>6</v>
      </c>
      <c r="AC342" s="343">
        <f>IF(BASE_DATOS[[#This Row],[NSK]]&gt;=BASE_DATOS[[#This Row],[NSK Reen]],BASE_DATOS[[#This Row],[NSK Reen]],BASE_DATOS[[#This Row],[NSK]])</f>
        <v>6</v>
      </c>
      <c r="AD342" s="344">
        <f>IFERROR(100%-(BASE_DATOS[[#This Row],[NSK Reen]]/BASE_DATOS[[#This Row],[NSK Original]]),"")</f>
        <v>0.72727272727272729</v>
      </c>
      <c r="AE342" s="344">
        <f>IFERROR(100%-BASE_DATOS[[#This Row],[NSK]]/BASE_DATOS[[#This Row],[NSK Original]],"")</f>
        <v>0.5</v>
      </c>
      <c r="AF342" s="344">
        <f>IFERROR(BASE_DATOS[[#This Row],[% Max Des.]]-BASE_DATOS[[#This Row],[% Des]],"")</f>
        <v>0.22727272727272729</v>
      </c>
      <c r="AG342" s="287"/>
      <c r="AH342" s="273"/>
      <c r="AI342" s="363" t="str">
        <f>IF(OR(BASE_DATOS[[#This Row],[Hr.]]="",BASE_DATOS[[#This Row],[Hr. Actual]]=""),"",BASE_DATOS[[#This Row],[Hr. Actual]]-BASE_DATOS[[#This Row],[Hr.]]+BASE_DATOS[[#This Row],[Horas Acumuladas]])</f>
        <v/>
      </c>
      <c r="AJ342" s="364" t="str">
        <f>IFERROR(BASE_DATOS[[#This Row],[Precio US$]]/BASE_DATOS[[#This Row],[Horas Rodadas]],"")</f>
        <v/>
      </c>
      <c r="AK342" s="365" t="str">
        <f>IFERROR(BASE_DATOS[[#This Row],[Horas Rodadas]]/(BASE_DATOS[[#This Row],[NSK Original]]-BASE_DATOS[[#This Row],[NSK]]),"")</f>
        <v/>
      </c>
      <c r="AL34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42" s="366" t="str">
        <f>IFERROR(BASE_DATOS[[#This Row],[Precio US$]]/BASE_DATOS[[#This Row],[Horas Proy.]],"")</f>
        <v/>
      </c>
      <c r="AN342" s="176" t="str">
        <f>IF(OR(BASE_DATOS[[#This Row],[Km.]]="",BASE_DATOS[[#This Row],[Km. Actual]]=""),"",BASE_DATOS[[#This Row],[Km. Actual]]-BASE_DATOS[[#This Row],[Km.]]+BASE_DATOS[[#This Row],[Kilómetros Acumulados]])</f>
        <v/>
      </c>
      <c r="AO342" s="177" t="str">
        <f>IFERROR(BASE_DATOS[[#This Row],[Precio US$]]/BASE_DATOS[[#This Row],[Kilómetros Rodados]],"")</f>
        <v/>
      </c>
      <c r="AP342" s="176" t="str">
        <f>IFERROR(BASE_DATOS[[#This Row],[Kilómetros Rodados]]/(BASE_DATOS[[#This Row],[NSK Original]]-BASE_DATOS[[#This Row],[NSK]]),"")</f>
        <v/>
      </c>
      <c r="AQ34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42" s="177" t="str">
        <f>IFERROR(BASE_DATOS[[#This Row],[Precio US$]]/BASE_DATOS[[#This Row],[Kilómetros Proy.]],"")</f>
        <v/>
      </c>
      <c r="AS342" s="167" t="s">
        <v>62</v>
      </c>
      <c r="AT342" s="167"/>
      <c r="AU342" s="167"/>
      <c r="AV342" s="167"/>
      <c r="AW342" s="179"/>
      <c r="AX342" s="179"/>
      <c r="AY342" s="179" t="str">
        <f>CONCATENATE(BASE_DATOS[[#This Row],[Código_U]]&amp;BASE_DATOS[[#This Row],[Pos.]]&amp;BASE_DATOS[[#This Row],[Situación Actual]])</f>
        <v>TC-1665Rodando</v>
      </c>
    </row>
    <row r="343" spans="1:51" ht="12" x14ac:dyDescent="0.25">
      <c r="A343" s="227" t="s">
        <v>181</v>
      </c>
      <c r="B343" s="217" t="s">
        <v>182</v>
      </c>
      <c r="C343" s="228" t="s">
        <v>296</v>
      </c>
      <c r="D343" s="229" t="s">
        <v>61</v>
      </c>
      <c r="E343" s="255"/>
      <c r="F343" s="256" t="s">
        <v>273</v>
      </c>
      <c r="G343" s="256" t="s">
        <v>271</v>
      </c>
      <c r="H343" s="257" t="str">
        <f>IF(BASE_DATOS[[#This Row],[N-R]]="N",BASE_DATOS[[#This Row],[Diseño]],"Reencauche")</f>
        <v>Reencauche</v>
      </c>
      <c r="I343" s="256" t="s">
        <v>282</v>
      </c>
      <c r="J343" s="243" t="s">
        <v>82</v>
      </c>
      <c r="K343" s="258">
        <v>22</v>
      </c>
      <c r="L343" s="241">
        <v>110</v>
      </c>
      <c r="M343" s="259"/>
      <c r="N343" s="260"/>
      <c r="O343" s="277"/>
      <c r="P343" s="278"/>
      <c r="Q343" s="279"/>
      <c r="R343" s="309" t="s">
        <v>103</v>
      </c>
      <c r="S343" s="310">
        <v>45385</v>
      </c>
      <c r="T343" s="311"/>
      <c r="U343" s="312"/>
      <c r="V343" s="227">
        <v>11</v>
      </c>
      <c r="W343" s="281"/>
      <c r="X343" s="282">
        <v>12</v>
      </c>
      <c r="Y343" s="293">
        <f t="shared" si="15"/>
        <v>11</v>
      </c>
      <c r="Z343" s="175" t="s">
        <v>85</v>
      </c>
      <c r="AA343" s="342">
        <f>IFERROR(BASE_DATOS[[#This Row],[NSK Original]]-BASE_DATOS[[#This Row],[NSK]]," ")</f>
        <v>11</v>
      </c>
      <c r="AB343" s="343">
        <f>'NSK-TRACTO'!$A$2</f>
        <v>6</v>
      </c>
      <c r="AC343" s="343">
        <f>IF(BASE_DATOS[[#This Row],[NSK]]&gt;=BASE_DATOS[[#This Row],[NSK Reen]],BASE_DATOS[[#This Row],[NSK Reen]],BASE_DATOS[[#This Row],[NSK]])</f>
        <v>6</v>
      </c>
      <c r="AD343" s="344">
        <f>IFERROR(100%-(BASE_DATOS[[#This Row],[NSK Reen]]/BASE_DATOS[[#This Row],[NSK Original]]),"")</f>
        <v>0.72727272727272729</v>
      </c>
      <c r="AE343" s="344">
        <f>IFERROR(100%-BASE_DATOS[[#This Row],[NSK]]/BASE_DATOS[[#This Row],[NSK Original]],"")</f>
        <v>0.5</v>
      </c>
      <c r="AF343" s="344">
        <f>IFERROR(BASE_DATOS[[#This Row],[% Max Des.]]-BASE_DATOS[[#This Row],[% Des]],"")</f>
        <v>0.22727272727272729</v>
      </c>
      <c r="AG343" s="287"/>
      <c r="AH343" s="273"/>
      <c r="AI343" s="363" t="str">
        <f>IF(OR(BASE_DATOS[[#This Row],[Hr.]]="",BASE_DATOS[[#This Row],[Hr. Actual]]=""),"",BASE_DATOS[[#This Row],[Hr. Actual]]-BASE_DATOS[[#This Row],[Hr.]]+BASE_DATOS[[#This Row],[Horas Acumuladas]])</f>
        <v/>
      </c>
      <c r="AJ343" s="364" t="str">
        <f>IFERROR(BASE_DATOS[[#This Row],[Precio US$]]/BASE_DATOS[[#This Row],[Horas Rodadas]],"")</f>
        <v/>
      </c>
      <c r="AK343" s="365" t="str">
        <f>IFERROR(BASE_DATOS[[#This Row],[Horas Rodadas]]/(BASE_DATOS[[#This Row],[NSK Original]]-BASE_DATOS[[#This Row],[NSK]]),"")</f>
        <v/>
      </c>
      <c r="AL34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43" s="366" t="str">
        <f>IFERROR(BASE_DATOS[[#This Row],[Precio US$]]/BASE_DATOS[[#This Row],[Horas Proy.]],"")</f>
        <v/>
      </c>
      <c r="AN343" s="176" t="str">
        <f>IF(OR(BASE_DATOS[[#This Row],[Km.]]="",BASE_DATOS[[#This Row],[Km. Actual]]=""),"",BASE_DATOS[[#This Row],[Km. Actual]]-BASE_DATOS[[#This Row],[Km.]]+BASE_DATOS[[#This Row],[Kilómetros Acumulados]])</f>
        <v/>
      </c>
      <c r="AO343" s="177" t="str">
        <f>IFERROR(BASE_DATOS[[#This Row],[Precio US$]]/BASE_DATOS[[#This Row],[Kilómetros Rodados]],"")</f>
        <v/>
      </c>
      <c r="AP343" s="176" t="str">
        <f>IFERROR(BASE_DATOS[[#This Row],[Kilómetros Rodados]]/(BASE_DATOS[[#This Row],[NSK Original]]-BASE_DATOS[[#This Row],[NSK]]),"")</f>
        <v/>
      </c>
      <c r="AQ34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43" s="177" t="str">
        <f>IFERROR(BASE_DATOS[[#This Row],[Precio US$]]/BASE_DATOS[[#This Row],[Kilómetros Proy.]],"")</f>
        <v/>
      </c>
      <c r="AS343" s="167" t="s">
        <v>62</v>
      </c>
      <c r="AT343" s="167"/>
      <c r="AU343" s="167"/>
      <c r="AV343" s="167"/>
      <c r="AW343" s="179"/>
      <c r="AX343" s="179"/>
      <c r="AY343" s="179" t="str">
        <f>CONCATENATE(BASE_DATOS[[#This Row],[Código_U]]&amp;BASE_DATOS[[#This Row],[Pos.]]&amp;BASE_DATOS[[#This Row],[Situación Actual]])</f>
        <v>TC-1666Rodando</v>
      </c>
    </row>
    <row r="344" spans="1:51" ht="12" x14ac:dyDescent="0.25">
      <c r="A344" s="227" t="s">
        <v>181</v>
      </c>
      <c r="B344" s="217" t="s">
        <v>182</v>
      </c>
      <c r="C344" s="228" t="s">
        <v>296</v>
      </c>
      <c r="D344" s="229" t="s">
        <v>61</v>
      </c>
      <c r="E344" s="255"/>
      <c r="F344" s="256" t="s">
        <v>71</v>
      </c>
      <c r="G344" s="256" t="s">
        <v>271</v>
      </c>
      <c r="H344" s="257" t="str">
        <f>IF(BASE_DATOS[[#This Row],[N-R]]="N",BASE_DATOS[[#This Row],[Diseño]],"Reencauche")</f>
        <v>KMAXD</v>
      </c>
      <c r="I344" s="256" t="s">
        <v>294</v>
      </c>
      <c r="J344" s="243" t="s">
        <v>72</v>
      </c>
      <c r="K344" s="258">
        <v>22.2</v>
      </c>
      <c r="L344" s="241">
        <v>110</v>
      </c>
      <c r="M344" s="259"/>
      <c r="N344" s="260"/>
      <c r="O344" s="277"/>
      <c r="P344" s="278"/>
      <c r="Q344" s="279"/>
      <c r="R344" s="309" t="s">
        <v>104</v>
      </c>
      <c r="S344" s="310">
        <v>45385</v>
      </c>
      <c r="T344" s="311"/>
      <c r="U344" s="312"/>
      <c r="V344" s="227">
        <v>17</v>
      </c>
      <c r="W344" s="281"/>
      <c r="X344" s="282">
        <v>17</v>
      </c>
      <c r="Y344" s="293">
        <f t="shared" si="15"/>
        <v>17</v>
      </c>
      <c r="Z344" s="175" t="s">
        <v>85</v>
      </c>
      <c r="AA344" s="342">
        <f>IFERROR(BASE_DATOS[[#This Row],[NSK Original]]-BASE_DATOS[[#This Row],[NSK]]," ")</f>
        <v>5.1999999999999993</v>
      </c>
      <c r="AB344" s="343">
        <f>'NSK-TRACTO'!$A$2</f>
        <v>6</v>
      </c>
      <c r="AC344" s="343">
        <f>IF(BASE_DATOS[[#This Row],[NSK]]&gt;=BASE_DATOS[[#This Row],[NSK Reen]],BASE_DATOS[[#This Row],[NSK Reen]],BASE_DATOS[[#This Row],[NSK]])</f>
        <v>6</v>
      </c>
      <c r="AD344" s="344">
        <f>IFERROR(100%-(BASE_DATOS[[#This Row],[NSK Reen]]/BASE_DATOS[[#This Row],[NSK Original]]),"")</f>
        <v>0.72972972972972971</v>
      </c>
      <c r="AE344" s="344">
        <f>IFERROR(100%-BASE_DATOS[[#This Row],[NSK]]/BASE_DATOS[[#This Row],[NSK Original]],"")</f>
        <v>0.23423423423423417</v>
      </c>
      <c r="AF344" s="344">
        <f>IFERROR(BASE_DATOS[[#This Row],[% Max Des.]]-BASE_DATOS[[#This Row],[% Des]],"")</f>
        <v>0.49549549549549554</v>
      </c>
      <c r="AG344" s="287"/>
      <c r="AH344" s="273"/>
      <c r="AI344" s="363" t="str">
        <f>IF(OR(BASE_DATOS[[#This Row],[Hr.]]="",BASE_DATOS[[#This Row],[Hr. Actual]]=""),"",BASE_DATOS[[#This Row],[Hr. Actual]]-BASE_DATOS[[#This Row],[Hr.]]+BASE_DATOS[[#This Row],[Horas Acumuladas]])</f>
        <v/>
      </c>
      <c r="AJ344" s="364" t="str">
        <f>IFERROR(BASE_DATOS[[#This Row],[Precio US$]]/BASE_DATOS[[#This Row],[Horas Rodadas]],"")</f>
        <v/>
      </c>
      <c r="AK344" s="365" t="str">
        <f>IFERROR(BASE_DATOS[[#This Row],[Horas Rodadas]]/(BASE_DATOS[[#This Row],[NSK Original]]-BASE_DATOS[[#This Row],[NSK]]),"")</f>
        <v/>
      </c>
      <c r="AL34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44" s="366" t="str">
        <f>IFERROR(BASE_DATOS[[#This Row],[Precio US$]]/BASE_DATOS[[#This Row],[Horas Proy.]],"")</f>
        <v/>
      </c>
      <c r="AN344" s="176" t="str">
        <f>IF(OR(BASE_DATOS[[#This Row],[Km.]]="",BASE_DATOS[[#This Row],[Km. Actual]]=""),"",BASE_DATOS[[#This Row],[Km. Actual]]-BASE_DATOS[[#This Row],[Km.]]+BASE_DATOS[[#This Row],[Kilómetros Acumulados]])</f>
        <v/>
      </c>
      <c r="AO344" s="177" t="str">
        <f>IFERROR(BASE_DATOS[[#This Row],[Precio US$]]/BASE_DATOS[[#This Row],[Kilómetros Rodados]],"")</f>
        <v/>
      </c>
      <c r="AP344" s="176" t="str">
        <f>IFERROR(BASE_DATOS[[#This Row],[Kilómetros Rodados]]/(BASE_DATOS[[#This Row],[NSK Original]]-BASE_DATOS[[#This Row],[NSK]]),"")</f>
        <v/>
      </c>
      <c r="AQ34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44" s="177" t="str">
        <f>IFERROR(BASE_DATOS[[#This Row],[Precio US$]]/BASE_DATOS[[#This Row],[Kilómetros Proy.]],"")</f>
        <v/>
      </c>
      <c r="AS344" s="167" t="s">
        <v>62</v>
      </c>
      <c r="AT344" s="167"/>
      <c r="AU344" s="167"/>
      <c r="AV344" s="167"/>
      <c r="AW344" s="179"/>
      <c r="AX344" s="179"/>
      <c r="AY344" s="179" t="str">
        <f>CONCATENATE(BASE_DATOS[[#This Row],[Código_U]]&amp;BASE_DATOS[[#This Row],[Pos.]]&amp;BASE_DATOS[[#This Row],[Situación Actual]])</f>
        <v>TC-1667Rodando</v>
      </c>
    </row>
    <row r="345" spans="1:51" ht="12" x14ac:dyDescent="0.25">
      <c r="A345" s="227" t="s">
        <v>181</v>
      </c>
      <c r="B345" s="217" t="s">
        <v>182</v>
      </c>
      <c r="C345" s="228" t="s">
        <v>296</v>
      </c>
      <c r="D345" s="229" t="s">
        <v>61</v>
      </c>
      <c r="E345" s="255"/>
      <c r="F345" s="256" t="s">
        <v>71</v>
      </c>
      <c r="G345" s="256" t="s">
        <v>271</v>
      </c>
      <c r="H345" s="257" t="str">
        <f>IF(BASE_DATOS[[#This Row],[N-R]]="N",BASE_DATOS[[#This Row],[Diseño]],"Reencauche")</f>
        <v>KMAXD</v>
      </c>
      <c r="I345" s="256" t="s">
        <v>294</v>
      </c>
      <c r="J345" s="243" t="s">
        <v>72</v>
      </c>
      <c r="K345" s="258">
        <v>22.2</v>
      </c>
      <c r="L345" s="241">
        <v>110</v>
      </c>
      <c r="M345" s="259"/>
      <c r="N345" s="260"/>
      <c r="O345" s="277"/>
      <c r="P345" s="278"/>
      <c r="Q345" s="279"/>
      <c r="R345" s="309" t="s">
        <v>105</v>
      </c>
      <c r="S345" s="310">
        <v>45385</v>
      </c>
      <c r="T345" s="311"/>
      <c r="U345" s="312"/>
      <c r="V345" s="227">
        <v>17</v>
      </c>
      <c r="W345" s="281"/>
      <c r="X345" s="282">
        <v>17</v>
      </c>
      <c r="Y345" s="293">
        <f t="shared" si="15"/>
        <v>17</v>
      </c>
      <c r="Z345" s="161" t="s">
        <v>73</v>
      </c>
      <c r="AA345" s="342">
        <f>IFERROR(BASE_DATOS[[#This Row],[NSK Original]]-BASE_DATOS[[#This Row],[NSK]]," ")</f>
        <v>5.1999999999999993</v>
      </c>
      <c r="AB345" s="343">
        <f>'NSK-TRACTO'!$A$2</f>
        <v>6</v>
      </c>
      <c r="AC345" s="343">
        <f>IF(BASE_DATOS[[#This Row],[NSK]]&gt;=BASE_DATOS[[#This Row],[NSK Reen]],BASE_DATOS[[#This Row],[NSK Reen]],BASE_DATOS[[#This Row],[NSK]])</f>
        <v>6</v>
      </c>
      <c r="AD345" s="344">
        <f>IFERROR(100%-(BASE_DATOS[[#This Row],[NSK Reen]]/BASE_DATOS[[#This Row],[NSK Original]]),"")</f>
        <v>0.72972972972972971</v>
      </c>
      <c r="AE345" s="344">
        <f>IFERROR(100%-BASE_DATOS[[#This Row],[NSK]]/BASE_DATOS[[#This Row],[NSK Original]],"")</f>
        <v>0.23423423423423417</v>
      </c>
      <c r="AF345" s="344">
        <f>IFERROR(BASE_DATOS[[#This Row],[% Max Des.]]-BASE_DATOS[[#This Row],[% Des]],"")</f>
        <v>0.49549549549549554</v>
      </c>
      <c r="AG345" s="287"/>
      <c r="AH345" s="273"/>
      <c r="AI345" s="363" t="str">
        <f>IF(OR(BASE_DATOS[[#This Row],[Hr.]]="",BASE_DATOS[[#This Row],[Hr. Actual]]=""),"",BASE_DATOS[[#This Row],[Hr. Actual]]-BASE_DATOS[[#This Row],[Hr.]]+BASE_DATOS[[#This Row],[Horas Acumuladas]])</f>
        <v/>
      </c>
      <c r="AJ345" s="364" t="str">
        <f>IFERROR(BASE_DATOS[[#This Row],[Precio US$]]/BASE_DATOS[[#This Row],[Horas Rodadas]],"")</f>
        <v/>
      </c>
      <c r="AK345" s="365" t="str">
        <f>IFERROR(BASE_DATOS[[#This Row],[Horas Rodadas]]/(BASE_DATOS[[#This Row],[NSK Original]]-BASE_DATOS[[#This Row],[NSK]]),"")</f>
        <v/>
      </c>
      <c r="AL34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45" s="366" t="str">
        <f>IFERROR(BASE_DATOS[[#This Row],[Precio US$]]/BASE_DATOS[[#This Row],[Horas Proy.]],"")</f>
        <v/>
      </c>
      <c r="AN345" s="176" t="str">
        <f>IF(OR(BASE_DATOS[[#This Row],[Km.]]="",BASE_DATOS[[#This Row],[Km. Actual]]=""),"",BASE_DATOS[[#This Row],[Km. Actual]]-BASE_DATOS[[#This Row],[Km.]]+BASE_DATOS[[#This Row],[Kilómetros Acumulados]])</f>
        <v/>
      </c>
      <c r="AO345" s="177" t="str">
        <f>IFERROR(BASE_DATOS[[#This Row],[Precio US$]]/BASE_DATOS[[#This Row],[Kilómetros Rodados]],"")</f>
        <v/>
      </c>
      <c r="AP345" s="176" t="str">
        <f>IFERROR(BASE_DATOS[[#This Row],[Kilómetros Rodados]]/(BASE_DATOS[[#This Row],[NSK Original]]-BASE_DATOS[[#This Row],[NSK]]),"")</f>
        <v/>
      </c>
      <c r="AQ34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45" s="177" t="str">
        <f>IFERROR(BASE_DATOS[[#This Row],[Precio US$]]/BASE_DATOS[[#This Row],[Kilómetros Proy.]],"")</f>
        <v/>
      </c>
      <c r="AS345" s="167" t="s">
        <v>62</v>
      </c>
      <c r="AT345" s="167"/>
      <c r="AU345" s="167"/>
      <c r="AV345" s="167"/>
      <c r="AW345" s="179"/>
      <c r="AX345" s="179"/>
      <c r="AY345" s="179" t="str">
        <f>CONCATENATE(BASE_DATOS[[#This Row],[Código_U]]&amp;BASE_DATOS[[#This Row],[Pos.]]&amp;BASE_DATOS[[#This Row],[Situación Actual]])</f>
        <v>TC-1668Rodando</v>
      </c>
    </row>
    <row r="346" spans="1:51" ht="12" x14ac:dyDescent="0.25">
      <c r="A346" s="227" t="s">
        <v>181</v>
      </c>
      <c r="B346" s="217" t="s">
        <v>182</v>
      </c>
      <c r="C346" s="228" t="s">
        <v>296</v>
      </c>
      <c r="D346" s="229" t="s">
        <v>61</v>
      </c>
      <c r="E346" s="255"/>
      <c r="F346" s="256" t="s">
        <v>71</v>
      </c>
      <c r="G346" s="256" t="s">
        <v>271</v>
      </c>
      <c r="H346" s="257" t="str">
        <f>IF(BASE_DATOS[[#This Row],[N-R]]="N",BASE_DATOS[[#This Row],[Diseño]],"Reencauche")</f>
        <v>KMAXD</v>
      </c>
      <c r="I346" s="256" t="s">
        <v>294</v>
      </c>
      <c r="J346" s="243" t="s">
        <v>72</v>
      </c>
      <c r="K346" s="258">
        <v>22.2</v>
      </c>
      <c r="L346" s="241">
        <v>110</v>
      </c>
      <c r="M346" s="259"/>
      <c r="N346" s="260"/>
      <c r="O346" s="277"/>
      <c r="P346" s="278"/>
      <c r="Q346" s="279"/>
      <c r="R346" s="309" t="s">
        <v>106</v>
      </c>
      <c r="S346" s="310">
        <v>45385</v>
      </c>
      <c r="T346" s="311"/>
      <c r="U346" s="312"/>
      <c r="V346" s="227">
        <v>17</v>
      </c>
      <c r="W346" s="281"/>
      <c r="X346" s="282">
        <v>17</v>
      </c>
      <c r="Y346" s="293">
        <f t="shared" si="15"/>
        <v>17</v>
      </c>
      <c r="Z346" s="161" t="s">
        <v>73</v>
      </c>
      <c r="AA346" s="342">
        <f>IFERROR(BASE_DATOS[[#This Row],[NSK Original]]-BASE_DATOS[[#This Row],[NSK]]," ")</f>
        <v>5.1999999999999993</v>
      </c>
      <c r="AB346" s="343">
        <f>'NSK-TRACTO'!$A$2</f>
        <v>6</v>
      </c>
      <c r="AC346" s="343">
        <f>IF(BASE_DATOS[[#This Row],[NSK]]&gt;=BASE_DATOS[[#This Row],[NSK Reen]],BASE_DATOS[[#This Row],[NSK Reen]],BASE_DATOS[[#This Row],[NSK]])</f>
        <v>6</v>
      </c>
      <c r="AD346" s="344">
        <f>IFERROR(100%-(BASE_DATOS[[#This Row],[NSK Reen]]/BASE_DATOS[[#This Row],[NSK Original]]),"")</f>
        <v>0.72972972972972971</v>
      </c>
      <c r="AE346" s="344">
        <f>IFERROR(100%-BASE_DATOS[[#This Row],[NSK]]/BASE_DATOS[[#This Row],[NSK Original]],"")</f>
        <v>0.23423423423423417</v>
      </c>
      <c r="AF346" s="344">
        <f>IFERROR(BASE_DATOS[[#This Row],[% Max Des.]]-BASE_DATOS[[#This Row],[% Des]],"")</f>
        <v>0.49549549549549554</v>
      </c>
      <c r="AG346" s="287"/>
      <c r="AH346" s="273"/>
      <c r="AI346" s="363" t="str">
        <f>IF(OR(BASE_DATOS[[#This Row],[Hr.]]="",BASE_DATOS[[#This Row],[Hr. Actual]]=""),"",BASE_DATOS[[#This Row],[Hr. Actual]]-BASE_DATOS[[#This Row],[Hr.]]+BASE_DATOS[[#This Row],[Horas Acumuladas]])</f>
        <v/>
      </c>
      <c r="AJ346" s="364" t="str">
        <f>IFERROR(BASE_DATOS[[#This Row],[Precio US$]]/BASE_DATOS[[#This Row],[Horas Rodadas]],"")</f>
        <v/>
      </c>
      <c r="AK346" s="365" t="str">
        <f>IFERROR(BASE_DATOS[[#This Row],[Horas Rodadas]]/(BASE_DATOS[[#This Row],[NSK Original]]-BASE_DATOS[[#This Row],[NSK]]),"")</f>
        <v/>
      </c>
      <c r="AL34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46" s="366" t="str">
        <f>IFERROR(BASE_DATOS[[#This Row],[Precio US$]]/BASE_DATOS[[#This Row],[Horas Proy.]],"")</f>
        <v/>
      </c>
      <c r="AN346" s="176" t="str">
        <f>IF(OR(BASE_DATOS[[#This Row],[Km.]]="",BASE_DATOS[[#This Row],[Km. Actual]]=""),"",BASE_DATOS[[#This Row],[Km. Actual]]-BASE_DATOS[[#This Row],[Km.]]+BASE_DATOS[[#This Row],[Kilómetros Acumulados]])</f>
        <v/>
      </c>
      <c r="AO346" s="177" t="str">
        <f>IFERROR(BASE_DATOS[[#This Row],[Precio US$]]/BASE_DATOS[[#This Row],[Kilómetros Rodados]],"")</f>
        <v/>
      </c>
      <c r="AP346" s="176" t="str">
        <f>IFERROR(BASE_DATOS[[#This Row],[Kilómetros Rodados]]/(BASE_DATOS[[#This Row],[NSK Original]]-BASE_DATOS[[#This Row],[NSK]]),"")</f>
        <v/>
      </c>
      <c r="AQ34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46" s="177" t="str">
        <f>IFERROR(BASE_DATOS[[#This Row],[Precio US$]]/BASE_DATOS[[#This Row],[Kilómetros Proy.]],"")</f>
        <v/>
      </c>
      <c r="AS346" s="167" t="s">
        <v>62</v>
      </c>
      <c r="AT346" s="167"/>
      <c r="AU346" s="167"/>
      <c r="AV346" s="167"/>
      <c r="AW346" s="179"/>
      <c r="AX346" s="179"/>
      <c r="AY346" s="179" t="str">
        <f>CONCATENATE(BASE_DATOS[[#This Row],[Código_U]]&amp;BASE_DATOS[[#This Row],[Pos.]]&amp;BASE_DATOS[[#This Row],[Situación Actual]])</f>
        <v>TC-1669Rodando</v>
      </c>
    </row>
    <row r="347" spans="1:51" ht="12" x14ac:dyDescent="0.25">
      <c r="A347" s="227" t="s">
        <v>181</v>
      </c>
      <c r="B347" s="217" t="s">
        <v>182</v>
      </c>
      <c r="C347" s="228" t="s">
        <v>296</v>
      </c>
      <c r="D347" s="229" t="s">
        <v>61</v>
      </c>
      <c r="E347" s="255"/>
      <c r="F347" s="256" t="s">
        <v>71</v>
      </c>
      <c r="G347" s="256" t="s">
        <v>271</v>
      </c>
      <c r="H347" s="257" t="str">
        <f>IF(BASE_DATOS[[#This Row],[N-R]]="N",BASE_DATOS[[#This Row],[Diseño]],"Reencauche")</f>
        <v>KMAXD</v>
      </c>
      <c r="I347" s="256" t="s">
        <v>294</v>
      </c>
      <c r="J347" s="243" t="s">
        <v>72</v>
      </c>
      <c r="K347" s="258">
        <v>22.2</v>
      </c>
      <c r="L347" s="241">
        <v>110</v>
      </c>
      <c r="M347" s="259"/>
      <c r="N347" s="260"/>
      <c r="O347" s="277"/>
      <c r="P347" s="278"/>
      <c r="Q347" s="279"/>
      <c r="R347" s="309" t="s">
        <v>107</v>
      </c>
      <c r="S347" s="310">
        <v>45385</v>
      </c>
      <c r="T347" s="311"/>
      <c r="U347" s="312"/>
      <c r="V347" s="227">
        <v>17</v>
      </c>
      <c r="W347" s="281"/>
      <c r="X347" s="282">
        <v>17</v>
      </c>
      <c r="Y347" s="293">
        <f t="shared" si="15"/>
        <v>17</v>
      </c>
      <c r="Z347" s="175" t="s">
        <v>85</v>
      </c>
      <c r="AA347" s="342">
        <f>IFERROR(BASE_DATOS[[#This Row],[NSK Original]]-BASE_DATOS[[#This Row],[NSK]]," ")</f>
        <v>5.1999999999999993</v>
      </c>
      <c r="AB347" s="343">
        <f>'NSK-TRACTO'!$A$2</f>
        <v>6</v>
      </c>
      <c r="AC347" s="343">
        <f>IF(BASE_DATOS[[#This Row],[NSK]]&gt;=BASE_DATOS[[#This Row],[NSK Reen]],BASE_DATOS[[#This Row],[NSK Reen]],BASE_DATOS[[#This Row],[NSK]])</f>
        <v>6</v>
      </c>
      <c r="AD347" s="344">
        <f>IFERROR(100%-(BASE_DATOS[[#This Row],[NSK Reen]]/BASE_DATOS[[#This Row],[NSK Original]]),"")</f>
        <v>0.72972972972972971</v>
      </c>
      <c r="AE347" s="344">
        <f>IFERROR(100%-BASE_DATOS[[#This Row],[NSK]]/BASE_DATOS[[#This Row],[NSK Original]],"")</f>
        <v>0.23423423423423417</v>
      </c>
      <c r="AF347" s="344">
        <f>IFERROR(BASE_DATOS[[#This Row],[% Max Des.]]-BASE_DATOS[[#This Row],[% Des]],"")</f>
        <v>0.49549549549549554</v>
      </c>
      <c r="AG347" s="287"/>
      <c r="AH347" s="273"/>
      <c r="AI347" s="363" t="str">
        <f>IF(OR(BASE_DATOS[[#This Row],[Hr.]]="",BASE_DATOS[[#This Row],[Hr. Actual]]=""),"",BASE_DATOS[[#This Row],[Hr. Actual]]-BASE_DATOS[[#This Row],[Hr.]]+BASE_DATOS[[#This Row],[Horas Acumuladas]])</f>
        <v/>
      </c>
      <c r="AJ347" s="364" t="str">
        <f>IFERROR(BASE_DATOS[[#This Row],[Precio US$]]/BASE_DATOS[[#This Row],[Horas Rodadas]],"")</f>
        <v/>
      </c>
      <c r="AK347" s="365" t="str">
        <f>IFERROR(BASE_DATOS[[#This Row],[Horas Rodadas]]/(BASE_DATOS[[#This Row],[NSK Original]]-BASE_DATOS[[#This Row],[NSK]]),"")</f>
        <v/>
      </c>
      <c r="AL34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47" s="366" t="str">
        <f>IFERROR(BASE_DATOS[[#This Row],[Precio US$]]/BASE_DATOS[[#This Row],[Horas Proy.]],"")</f>
        <v/>
      </c>
      <c r="AN347" s="176" t="str">
        <f>IF(OR(BASE_DATOS[[#This Row],[Km.]]="",BASE_DATOS[[#This Row],[Km. Actual]]=""),"",BASE_DATOS[[#This Row],[Km. Actual]]-BASE_DATOS[[#This Row],[Km.]]+BASE_DATOS[[#This Row],[Kilómetros Acumulados]])</f>
        <v/>
      </c>
      <c r="AO347" s="177" t="str">
        <f>IFERROR(BASE_DATOS[[#This Row],[Precio US$]]/BASE_DATOS[[#This Row],[Kilómetros Rodados]],"")</f>
        <v/>
      </c>
      <c r="AP347" s="176" t="str">
        <f>IFERROR(BASE_DATOS[[#This Row],[Kilómetros Rodados]]/(BASE_DATOS[[#This Row],[NSK Original]]-BASE_DATOS[[#This Row],[NSK]]),"")</f>
        <v/>
      </c>
      <c r="AQ34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47" s="177" t="str">
        <f>IFERROR(BASE_DATOS[[#This Row],[Precio US$]]/BASE_DATOS[[#This Row],[Kilómetros Proy.]],"")</f>
        <v/>
      </c>
      <c r="AS347" s="167" t="s">
        <v>62</v>
      </c>
      <c r="AT347" s="167"/>
      <c r="AU347" s="167"/>
      <c r="AV347" s="167"/>
      <c r="AW347" s="179"/>
      <c r="AX347" s="179"/>
      <c r="AY347" s="179" t="str">
        <f>CONCATENATE(BASE_DATOS[[#This Row],[Código_U]]&amp;BASE_DATOS[[#This Row],[Pos.]]&amp;BASE_DATOS[[#This Row],[Situación Actual]])</f>
        <v>TC-16610Rodando</v>
      </c>
    </row>
    <row r="348" spans="1:51" ht="12" x14ac:dyDescent="0.25">
      <c r="A348" s="224" t="s">
        <v>183</v>
      </c>
      <c r="B348" s="213" t="s">
        <v>184</v>
      </c>
      <c r="C348" s="225" t="s">
        <v>295</v>
      </c>
      <c r="D348" s="226" t="s">
        <v>87</v>
      </c>
      <c r="E348" s="249"/>
      <c r="F348" s="250" t="s">
        <v>97</v>
      </c>
      <c r="G348" s="250" t="s">
        <v>269</v>
      </c>
      <c r="H348" s="251" t="str">
        <f>IF(BASE_DATOS[[#This Row],[N-R]]="N",BASE_DATOS[[#This Row],[Diseño]],"Reencauche")</f>
        <v>AGC28</v>
      </c>
      <c r="I348" s="250" t="s">
        <v>270</v>
      </c>
      <c r="J348" s="235" t="s">
        <v>72</v>
      </c>
      <c r="K348" s="252">
        <v>16.5</v>
      </c>
      <c r="L348" s="250">
        <v>110</v>
      </c>
      <c r="M348" s="253"/>
      <c r="N348" s="254"/>
      <c r="O348" s="274"/>
      <c r="P348" s="275"/>
      <c r="Q348" s="276"/>
      <c r="R348" s="305" t="s">
        <v>98</v>
      </c>
      <c r="S348" s="306">
        <v>45385</v>
      </c>
      <c r="T348" s="314"/>
      <c r="U348" s="276"/>
      <c r="V348" s="224">
        <v>8</v>
      </c>
      <c r="W348" s="325">
        <v>8</v>
      </c>
      <c r="X348" s="326">
        <v>9</v>
      </c>
      <c r="Y348" s="292">
        <f t="shared" si="15"/>
        <v>8</v>
      </c>
      <c r="Z348" s="194" t="s">
        <v>85</v>
      </c>
      <c r="AA348" s="339">
        <f>IFERROR(BASE_DATOS[[#This Row],[NSK Original]]-BASE_DATOS[[#This Row],[NSK]]," ")</f>
        <v>8.5</v>
      </c>
      <c r="AB348" s="340">
        <f>'NSK-TRACTO'!$A$2</f>
        <v>6</v>
      </c>
      <c r="AC348" s="340">
        <f>IF(BASE_DATOS[[#This Row],[NSK]]&gt;=BASE_DATOS[[#This Row],[NSK Reen]],BASE_DATOS[[#This Row],[NSK Reen]],BASE_DATOS[[#This Row],[NSK]])</f>
        <v>6</v>
      </c>
      <c r="AD348" s="341">
        <f>IFERROR(100%-(BASE_DATOS[[#This Row],[NSK Reen]]/BASE_DATOS[[#This Row],[NSK Original]]),"")</f>
        <v>0.63636363636363635</v>
      </c>
      <c r="AE348" s="341">
        <f>IFERROR(100%-BASE_DATOS[[#This Row],[NSK]]/BASE_DATOS[[#This Row],[NSK Original]],"")</f>
        <v>0.51515151515151514</v>
      </c>
      <c r="AF348" s="341">
        <f>IFERROR(BASE_DATOS[[#This Row],[% Max Des.]]-BASE_DATOS[[#This Row],[% Des]],"")</f>
        <v>0.12121212121212122</v>
      </c>
      <c r="AG348" s="284"/>
      <c r="AH348" s="335"/>
      <c r="AI348" s="359" t="str">
        <f>IF(OR(BASE_DATOS[[#This Row],[Hr.]]="",BASE_DATOS[[#This Row],[Hr. Actual]]=""),"",BASE_DATOS[[#This Row],[Hr. Actual]]-BASE_DATOS[[#This Row],[Hr.]]+BASE_DATOS[[#This Row],[Horas Acumuladas]])</f>
        <v/>
      </c>
      <c r="AJ348" s="360" t="str">
        <f>IFERROR(BASE_DATOS[[#This Row],[Precio US$]]/BASE_DATOS[[#This Row],[Horas Rodadas]],"")</f>
        <v/>
      </c>
      <c r="AK348" s="361" t="str">
        <f>IFERROR(BASE_DATOS[[#This Row],[Horas Rodadas]]/(BASE_DATOS[[#This Row],[NSK Original]]-BASE_DATOS[[#This Row],[NSK]]),"")</f>
        <v/>
      </c>
      <c r="AL348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48" s="362" t="str">
        <f>IFERROR(BASE_DATOS[[#This Row],[Precio US$]]/BASE_DATOS[[#This Row],[Horas Proy.]],"")</f>
        <v/>
      </c>
      <c r="AN348" s="195" t="str">
        <f>IF(OR(BASE_DATOS[[#This Row],[Km.]]="",BASE_DATOS[[#This Row],[Km. Actual]]=""),"",BASE_DATOS[[#This Row],[Km. Actual]]-BASE_DATOS[[#This Row],[Km.]]+BASE_DATOS[[#This Row],[Kilómetros Acumulados]])</f>
        <v/>
      </c>
      <c r="AO348" s="196" t="str">
        <f>IFERROR(BASE_DATOS[[#This Row],[Precio US$]]/BASE_DATOS[[#This Row],[Kilómetros Rodados]],"")</f>
        <v/>
      </c>
      <c r="AP348" s="195" t="str">
        <f>IFERROR(BASE_DATOS[[#This Row],[Kilómetros Rodados]]/(BASE_DATOS[[#This Row],[NSK Original]]-BASE_DATOS[[#This Row],[NSK]]),"")</f>
        <v/>
      </c>
      <c r="AQ348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48" s="196" t="str">
        <f>IFERROR(BASE_DATOS[[#This Row],[Precio US$]]/BASE_DATOS[[#This Row],[Kilómetros Proy.]],"")</f>
        <v/>
      </c>
      <c r="AS348" s="191" t="s">
        <v>62</v>
      </c>
      <c r="AT348" s="191"/>
      <c r="AU348" s="191"/>
      <c r="AV348" s="191"/>
      <c r="AW348" s="198"/>
      <c r="AX348" s="198"/>
      <c r="AY348" s="198" t="str">
        <f>CONCATENATE(BASE_DATOS[[#This Row],[Código_U]]&amp;BASE_DATOS[[#This Row],[Pos.]]&amp;BASE_DATOS[[#This Row],[Situación Actual]])</f>
        <v>SR-1661Rodando</v>
      </c>
    </row>
    <row r="349" spans="1:51" ht="12" x14ac:dyDescent="0.25">
      <c r="A349" s="227" t="s">
        <v>183</v>
      </c>
      <c r="B349" s="217" t="s">
        <v>184</v>
      </c>
      <c r="C349" s="228" t="s">
        <v>295</v>
      </c>
      <c r="D349" s="229" t="s">
        <v>87</v>
      </c>
      <c r="E349" s="255"/>
      <c r="F349" s="256" t="s">
        <v>97</v>
      </c>
      <c r="G349" s="256" t="s">
        <v>269</v>
      </c>
      <c r="H349" s="257" t="str">
        <f>IF(BASE_DATOS[[#This Row],[N-R]]="N",BASE_DATOS[[#This Row],[Diseño]],"Reencauche")</f>
        <v>AGC28</v>
      </c>
      <c r="I349" s="256" t="s">
        <v>270</v>
      </c>
      <c r="J349" s="243" t="s">
        <v>72</v>
      </c>
      <c r="K349" s="258">
        <v>16.5</v>
      </c>
      <c r="L349" s="256">
        <v>110</v>
      </c>
      <c r="M349" s="259"/>
      <c r="N349" s="260"/>
      <c r="O349" s="277"/>
      <c r="P349" s="278"/>
      <c r="Q349" s="279"/>
      <c r="R349" s="309" t="s">
        <v>99</v>
      </c>
      <c r="S349" s="310">
        <v>45385</v>
      </c>
      <c r="T349" s="313"/>
      <c r="U349" s="279"/>
      <c r="V349" s="227">
        <v>9</v>
      </c>
      <c r="W349" s="281">
        <v>9</v>
      </c>
      <c r="X349" s="282">
        <v>9</v>
      </c>
      <c r="Y349" s="293">
        <f t="shared" si="15"/>
        <v>9</v>
      </c>
      <c r="Z349" s="175" t="s">
        <v>85</v>
      </c>
      <c r="AA349" s="342">
        <f>IFERROR(BASE_DATOS[[#This Row],[NSK Original]]-BASE_DATOS[[#This Row],[NSK]]," ")</f>
        <v>7.5</v>
      </c>
      <c r="AB349" s="343">
        <f>'NSK-TRACTO'!$A$2</f>
        <v>6</v>
      </c>
      <c r="AC349" s="343">
        <f>IF(BASE_DATOS[[#This Row],[NSK]]&gt;=BASE_DATOS[[#This Row],[NSK Reen]],BASE_DATOS[[#This Row],[NSK Reen]],BASE_DATOS[[#This Row],[NSK]])</f>
        <v>6</v>
      </c>
      <c r="AD349" s="344">
        <f>IFERROR(100%-(BASE_DATOS[[#This Row],[NSK Reen]]/BASE_DATOS[[#This Row],[NSK Original]]),"")</f>
        <v>0.63636363636363635</v>
      </c>
      <c r="AE349" s="344">
        <f>IFERROR(100%-BASE_DATOS[[#This Row],[NSK]]/BASE_DATOS[[#This Row],[NSK Original]],"")</f>
        <v>0.45454545454545459</v>
      </c>
      <c r="AF349" s="344">
        <f>IFERROR(BASE_DATOS[[#This Row],[% Max Des.]]-BASE_DATOS[[#This Row],[% Des]],"")</f>
        <v>0.18181818181818177</v>
      </c>
      <c r="AG349" s="287"/>
      <c r="AH349" s="273"/>
      <c r="AI349" s="363" t="str">
        <f>IF(OR(BASE_DATOS[[#This Row],[Hr.]]="",BASE_DATOS[[#This Row],[Hr. Actual]]=""),"",BASE_DATOS[[#This Row],[Hr. Actual]]-BASE_DATOS[[#This Row],[Hr.]]+BASE_DATOS[[#This Row],[Horas Acumuladas]])</f>
        <v/>
      </c>
      <c r="AJ349" s="364" t="str">
        <f>IFERROR(BASE_DATOS[[#This Row],[Precio US$]]/BASE_DATOS[[#This Row],[Horas Rodadas]],"")</f>
        <v/>
      </c>
      <c r="AK349" s="365" t="str">
        <f>IFERROR(BASE_DATOS[[#This Row],[Horas Rodadas]]/(BASE_DATOS[[#This Row],[NSK Original]]-BASE_DATOS[[#This Row],[NSK]]),"")</f>
        <v/>
      </c>
      <c r="AL34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49" s="366" t="str">
        <f>IFERROR(BASE_DATOS[[#This Row],[Precio US$]]/BASE_DATOS[[#This Row],[Horas Proy.]],"")</f>
        <v/>
      </c>
      <c r="AN349" s="176" t="str">
        <f>IF(OR(BASE_DATOS[[#This Row],[Km.]]="",BASE_DATOS[[#This Row],[Km. Actual]]=""),"",BASE_DATOS[[#This Row],[Km. Actual]]-BASE_DATOS[[#This Row],[Km.]]+BASE_DATOS[[#This Row],[Kilómetros Acumulados]])</f>
        <v/>
      </c>
      <c r="AO349" s="177" t="str">
        <f>IFERROR(BASE_DATOS[[#This Row],[Precio US$]]/BASE_DATOS[[#This Row],[Kilómetros Rodados]],"")</f>
        <v/>
      </c>
      <c r="AP349" s="176" t="str">
        <f>IFERROR(BASE_DATOS[[#This Row],[Kilómetros Rodados]]/(BASE_DATOS[[#This Row],[NSK Original]]-BASE_DATOS[[#This Row],[NSK]]),"")</f>
        <v/>
      </c>
      <c r="AQ34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49" s="177" t="str">
        <f>IFERROR(BASE_DATOS[[#This Row],[Precio US$]]/BASE_DATOS[[#This Row],[Kilómetros Proy.]],"")</f>
        <v/>
      </c>
      <c r="AS349" s="167" t="s">
        <v>62</v>
      </c>
      <c r="AT349" s="167"/>
      <c r="AU349" s="167"/>
      <c r="AV349" s="167"/>
      <c r="AW349" s="179"/>
      <c r="AX349" s="179"/>
      <c r="AY349" s="179" t="str">
        <f>CONCATENATE(BASE_DATOS[[#This Row],[Código_U]]&amp;BASE_DATOS[[#This Row],[Pos.]]&amp;BASE_DATOS[[#This Row],[Situación Actual]])</f>
        <v>SR-1662Rodando</v>
      </c>
    </row>
    <row r="350" spans="1:51" ht="12" x14ac:dyDescent="0.25">
      <c r="A350" s="227" t="s">
        <v>183</v>
      </c>
      <c r="B350" s="217" t="s">
        <v>184</v>
      </c>
      <c r="C350" s="228" t="s">
        <v>295</v>
      </c>
      <c r="D350" s="229" t="s">
        <v>87</v>
      </c>
      <c r="E350" s="255"/>
      <c r="F350" s="256" t="s">
        <v>97</v>
      </c>
      <c r="G350" s="256" t="s">
        <v>269</v>
      </c>
      <c r="H350" s="257" t="str">
        <f>IF(BASE_DATOS[[#This Row],[N-R]]="N",BASE_DATOS[[#This Row],[Diseño]],"Reencauche")</f>
        <v>AGC28</v>
      </c>
      <c r="I350" s="256" t="s">
        <v>270</v>
      </c>
      <c r="J350" s="243" t="s">
        <v>72</v>
      </c>
      <c r="K350" s="258">
        <v>16.5</v>
      </c>
      <c r="L350" s="256">
        <v>110</v>
      </c>
      <c r="M350" s="259"/>
      <c r="N350" s="260"/>
      <c r="O350" s="277"/>
      <c r="P350" s="278"/>
      <c r="Q350" s="279"/>
      <c r="R350" s="309" t="s">
        <v>100</v>
      </c>
      <c r="S350" s="310">
        <v>45385</v>
      </c>
      <c r="T350" s="313"/>
      <c r="U350" s="279"/>
      <c r="V350" s="227">
        <v>8</v>
      </c>
      <c r="W350" s="281">
        <v>7</v>
      </c>
      <c r="X350" s="282">
        <v>9</v>
      </c>
      <c r="Y350" s="293">
        <f t="shared" si="15"/>
        <v>7</v>
      </c>
      <c r="Z350" s="175" t="s">
        <v>85</v>
      </c>
      <c r="AA350" s="342">
        <f>IFERROR(BASE_DATOS[[#This Row],[NSK Original]]-BASE_DATOS[[#This Row],[NSK]]," ")</f>
        <v>9.5</v>
      </c>
      <c r="AB350" s="343">
        <f>'NSK-TRACTO'!$A$2</f>
        <v>6</v>
      </c>
      <c r="AC350" s="343">
        <f>IF(BASE_DATOS[[#This Row],[NSK]]&gt;=BASE_DATOS[[#This Row],[NSK Reen]],BASE_DATOS[[#This Row],[NSK Reen]],BASE_DATOS[[#This Row],[NSK]])</f>
        <v>6</v>
      </c>
      <c r="AD350" s="344">
        <f>IFERROR(100%-(BASE_DATOS[[#This Row],[NSK Reen]]/BASE_DATOS[[#This Row],[NSK Original]]),"")</f>
        <v>0.63636363636363635</v>
      </c>
      <c r="AE350" s="344">
        <f>IFERROR(100%-BASE_DATOS[[#This Row],[NSK]]/BASE_DATOS[[#This Row],[NSK Original]],"")</f>
        <v>0.57575757575757569</v>
      </c>
      <c r="AF350" s="344">
        <f>IFERROR(BASE_DATOS[[#This Row],[% Max Des.]]-BASE_DATOS[[#This Row],[% Des]],"")</f>
        <v>6.0606060606060663E-2</v>
      </c>
      <c r="AG350" s="287"/>
      <c r="AH350" s="273"/>
      <c r="AI350" s="363" t="str">
        <f>IF(OR(BASE_DATOS[[#This Row],[Hr.]]="",BASE_DATOS[[#This Row],[Hr. Actual]]=""),"",BASE_DATOS[[#This Row],[Hr. Actual]]-BASE_DATOS[[#This Row],[Hr.]]+BASE_DATOS[[#This Row],[Horas Acumuladas]])</f>
        <v/>
      </c>
      <c r="AJ350" s="364" t="str">
        <f>IFERROR(BASE_DATOS[[#This Row],[Precio US$]]/BASE_DATOS[[#This Row],[Horas Rodadas]],"")</f>
        <v/>
      </c>
      <c r="AK350" s="365" t="str">
        <f>IFERROR(BASE_DATOS[[#This Row],[Horas Rodadas]]/(BASE_DATOS[[#This Row],[NSK Original]]-BASE_DATOS[[#This Row],[NSK]]),"")</f>
        <v/>
      </c>
      <c r="AL35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50" s="366" t="str">
        <f>IFERROR(BASE_DATOS[[#This Row],[Precio US$]]/BASE_DATOS[[#This Row],[Horas Proy.]],"")</f>
        <v/>
      </c>
      <c r="AN350" s="176" t="str">
        <f>IF(OR(BASE_DATOS[[#This Row],[Km.]]="",BASE_DATOS[[#This Row],[Km. Actual]]=""),"",BASE_DATOS[[#This Row],[Km. Actual]]-BASE_DATOS[[#This Row],[Km.]]+BASE_DATOS[[#This Row],[Kilómetros Acumulados]])</f>
        <v/>
      </c>
      <c r="AO350" s="177" t="str">
        <f>IFERROR(BASE_DATOS[[#This Row],[Precio US$]]/BASE_DATOS[[#This Row],[Kilómetros Rodados]],"")</f>
        <v/>
      </c>
      <c r="AP350" s="176" t="str">
        <f>IFERROR(BASE_DATOS[[#This Row],[Kilómetros Rodados]]/(BASE_DATOS[[#This Row],[NSK Original]]-BASE_DATOS[[#This Row],[NSK]]),"")</f>
        <v/>
      </c>
      <c r="AQ35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50" s="177" t="str">
        <f>IFERROR(BASE_DATOS[[#This Row],[Precio US$]]/BASE_DATOS[[#This Row],[Kilómetros Proy.]],"")</f>
        <v/>
      </c>
      <c r="AS350" s="167" t="s">
        <v>62</v>
      </c>
      <c r="AT350" s="167"/>
      <c r="AU350" s="167" t="s">
        <v>515</v>
      </c>
      <c r="AV350" s="167"/>
      <c r="AW350" s="179"/>
      <c r="AX350" s="169" t="s">
        <v>371</v>
      </c>
      <c r="AY350" s="169" t="str">
        <f>CONCATENATE(BASE_DATOS[[#This Row],[Código_U]]&amp;BASE_DATOS[[#This Row],[Pos.]]&amp;BASE_DATOS[[#This Row],[Situación Actual]])</f>
        <v>SR-1663Rodando</v>
      </c>
    </row>
    <row r="351" spans="1:51" ht="12" x14ac:dyDescent="0.25">
      <c r="A351" s="227" t="s">
        <v>183</v>
      </c>
      <c r="B351" s="217" t="s">
        <v>184</v>
      </c>
      <c r="C351" s="228" t="s">
        <v>295</v>
      </c>
      <c r="D351" s="229" t="s">
        <v>87</v>
      </c>
      <c r="E351" s="255"/>
      <c r="F351" s="256" t="s">
        <v>97</v>
      </c>
      <c r="G351" s="256" t="s">
        <v>269</v>
      </c>
      <c r="H351" s="257" t="str">
        <f>IF(BASE_DATOS[[#This Row],[N-R]]="N",BASE_DATOS[[#This Row],[Diseño]],"Reencauche")</f>
        <v>AGC28</v>
      </c>
      <c r="I351" s="256" t="s">
        <v>270</v>
      </c>
      <c r="J351" s="243" t="s">
        <v>72</v>
      </c>
      <c r="K351" s="258">
        <v>16.5</v>
      </c>
      <c r="L351" s="256">
        <v>110</v>
      </c>
      <c r="M351" s="259"/>
      <c r="N351" s="260"/>
      <c r="O351" s="277"/>
      <c r="P351" s="278"/>
      <c r="Q351" s="279"/>
      <c r="R351" s="309" t="s">
        <v>101</v>
      </c>
      <c r="S351" s="310">
        <v>45385</v>
      </c>
      <c r="T351" s="313"/>
      <c r="U351" s="279"/>
      <c r="V351" s="227">
        <v>13</v>
      </c>
      <c r="W351" s="281">
        <v>13</v>
      </c>
      <c r="X351" s="282">
        <v>13</v>
      </c>
      <c r="Y351" s="293">
        <f t="shared" si="15"/>
        <v>13</v>
      </c>
      <c r="Z351" s="175" t="s">
        <v>85</v>
      </c>
      <c r="AA351" s="342">
        <f>IFERROR(BASE_DATOS[[#This Row],[NSK Original]]-BASE_DATOS[[#This Row],[NSK]]," ")</f>
        <v>3.5</v>
      </c>
      <c r="AB351" s="343">
        <f>'NSK-TRACTO'!$A$2</f>
        <v>6</v>
      </c>
      <c r="AC351" s="343">
        <f>IF(BASE_DATOS[[#This Row],[NSK]]&gt;=BASE_DATOS[[#This Row],[NSK Reen]],BASE_DATOS[[#This Row],[NSK Reen]],BASE_DATOS[[#This Row],[NSK]])</f>
        <v>6</v>
      </c>
      <c r="AD351" s="344">
        <f>IFERROR(100%-(BASE_DATOS[[#This Row],[NSK Reen]]/BASE_DATOS[[#This Row],[NSK Original]]),"")</f>
        <v>0.63636363636363635</v>
      </c>
      <c r="AE351" s="344">
        <f>IFERROR(100%-BASE_DATOS[[#This Row],[NSK]]/BASE_DATOS[[#This Row],[NSK Original]],"")</f>
        <v>0.21212121212121215</v>
      </c>
      <c r="AF351" s="344">
        <f>IFERROR(BASE_DATOS[[#This Row],[% Max Des.]]-BASE_DATOS[[#This Row],[% Des]],"")</f>
        <v>0.4242424242424242</v>
      </c>
      <c r="AG351" s="287"/>
      <c r="AH351" s="273"/>
      <c r="AI351" s="363" t="str">
        <f>IF(OR(BASE_DATOS[[#This Row],[Hr.]]="",BASE_DATOS[[#This Row],[Hr. Actual]]=""),"",BASE_DATOS[[#This Row],[Hr. Actual]]-BASE_DATOS[[#This Row],[Hr.]]+BASE_DATOS[[#This Row],[Horas Acumuladas]])</f>
        <v/>
      </c>
      <c r="AJ351" s="364" t="str">
        <f>IFERROR(BASE_DATOS[[#This Row],[Precio US$]]/BASE_DATOS[[#This Row],[Horas Rodadas]],"")</f>
        <v/>
      </c>
      <c r="AK351" s="365" t="str">
        <f>IFERROR(BASE_DATOS[[#This Row],[Horas Rodadas]]/(BASE_DATOS[[#This Row],[NSK Original]]-BASE_DATOS[[#This Row],[NSK]]),"")</f>
        <v/>
      </c>
      <c r="AL35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51" s="366" t="str">
        <f>IFERROR(BASE_DATOS[[#This Row],[Precio US$]]/BASE_DATOS[[#This Row],[Horas Proy.]],"")</f>
        <v/>
      </c>
      <c r="AN351" s="176" t="str">
        <f>IF(OR(BASE_DATOS[[#This Row],[Km.]]="",BASE_DATOS[[#This Row],[Km. Actual]]=""),"",BASE_DATOS[[#This Row],[Km. Actual]]-BASE_DATOS[[#This Row],[Km.]]+BASE_DATOS[[#This Row],[Kilómetros Acumulados]])</f>
        <v/>
      </c>
      <c r="AO351" s="177" t="str">
        <f>IFERROR(BASE_DATOS[[#This Row],[Precio US$]]/BASE_DATOS[[#This Row],[Kilómetros Rodados]],"")</f>
        <v/>
      </c>
      <c r="AP351" s="176" t="str">
        <f>IFERROR(BASE_DATOS[[#This Row],[Kilómetros Rodados]]/(BASE_DATOS[[#This Row],[NSK Original]]-BASE_DATOS[[#This Row],[NSK]]),"")</f>
        <v/>
      </c>
      <c r="AQ35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51" s="177" t="str">
        <f>IFERROR(BASE_DATOS[[#This Row],[Precio US$]]/BASE_DATOS[[#This Row],[Kilómetros Proy.]],"")</f>
        <v/>
      </c>
      <c r="AS351" s="167" t="s">
        <v>62</v>
      </c>
      <c r="AT351" s="167"/>
      <c r="AU351" s="167"/>
      <c r="AV351" s="167"/>
      <c r="AW351" s="179"/>
      <c r="AX351" s="179"/>
      <c r="AY351" s="179" t="str">
        <f>CONCATENATE(BASE_DATOS[[#This Row],[Código_U]]&amp;BASE_DATOS[[#This Row],[Pos.]]&amp;BASE_DATOS[[#This Row],[Situación Actual]])</f>
        <v>SR-1664Rodando</v>
      </c>
    </row>
    <row r="352" spans="1:51" ht="12" x14ac:dyDescent="0.25">
      <c r="A352" s="227" t="s">
        <v>183</v>
      </c>
      <c r="B352" s="217" t="s">
        <v>184</v>
      </c>
      <c r="C352" s="228" t="s">
        <v>295</v>
      </c>
      <c r="D352" s="229" t="s">
        <v>87</v>
      </c>
      <c r="E352" s="255"/>
      <c r="F352" s="256" t="s">
        <v>97</v>
      </c>
      <c r="G352" s="256" t="s">
        <v>269</v>
      </c>
      <c r="H352" s="257" t="str">
        <f>IF(BASE_DATOS[[#This Row],[N-R]]="N",BASE_DATOS[[#This Row],[Diseño]],"Reencauche")</f>
        <v>AGC28</v>
      </c>
      <c r="I352" s="256" t="s">
        <v>270</v>
      </c>
      <c r="J352" s="243" t="s">
        <v>72</v>
      </c>
      <c r="K352" s="258">
        <v>16.5</v>
      </c>
      <c r="L352" s="256">
        <v>110</v>
      </c>
      <c r="M352" s="259"/>
      <c r="N352" s="260"/>
      <c r="O352" s="277"/>
      <c r="P352" s="278"/>
      <c r="Q352" s="279"/>
      <c r="R352" s="309" t="s">
        <v>102</v>
      </c>
      <c r="S352" s="310">
        <v>45385</v>
      </c>
      <c r="T352" s="313"/>
      <c r="U352" s="279"/>
      <c r="V352" s="227">
        <v>14</v>
      </c>
      <c r="W352" s="281">
        <v>14</v>
      </c>
      <c r="X352" s="282">
        <v>14</v>
      </c>
      <c r="Y352" s="293">
        <f t="shared" si="15"/>
        <v>14</v>
      </c>
      <c r="Z352" s="175" t="s">
        <v>85</v>
      </c>
      <c r="AA352" s="342">
        <f>IFERROR(BASE_DATOS[[#This Row],[NSK Original]]-BASE_DATOS[[#This Row],[NSK]]," ")</f>
        <v>2.5</v>
      </c>
      <c r="AB352" s="343">
        <f>'NSK-TRACTO'!$A$2</f>
        <v>6</v>
      </c>
      <c r="AC352" s="343">
        <f>IF(BASE_DATOS[[#This Row],[NSK]]&gt;=BASE_DATOS[[#This Row],[NSK Reen]],BASE_DATOS[[#This Row],[NSK Reen]],BASE_DATOS[[#This Row],[NSK]])</f>
        <v>6</v>
      </c>
      <c r="AD352" s="344">
        <f>IFERROR(100%-(BASE_DATOS[[#This Row],[NSK Reen]]/BASE_DATOS[[#This Row],[NSK Original]]),"")</f>
        <v>0.63636363636363635</v>
      </c>
      <c r="AE352" s="344">
        <f>IFERROR(100%-BASE_DATOS[[#This Row],[NSK]]/BASE_DATOS[[#This Row],[NSK Original]],"")</f>
        <v>0.15151515151515149</v>
      </c>
      <c r="AF352" s="344">
        <f>IFERROR(BASE_DATOS[[#This Row],[% Max Des.]]-BASE_DATOS[[#This Row],[% Des]],"")</f>
        <v>0.48484848484848486</v>
      </c>
      <c r="AG352" s="287"/>
      <c r="AH352" s="273"/>
      <c r="AI352" s="363" t="str">
        <f>IF(OR(BASE_DATOS[[#This Row],[Hr.]]="",BASE_DATOS[[#This Row],[Hr. Actual]]=""),"",BASE_DATOS[[#This Row],[Hr. Actual]]-BASE_DATOS[[#This Row],[Hr.]]+BASE_DATOS[[#This Row],[Horas Acumuladas]])</f>
        <v/>
      </c>
      <c r="AJ352" s="364" t="str">
        <f>IFERROR(BASE_DATOS[[#This Row],[Precio US$]]/BASE_DATOS[[#This Row],[Horas Rodadas]],"")</f>
        <v/>
      </c>
      <c r="AK352" s="365" t="str">
        <f>IFERROR(BASE_DATOS[[#This Row],[Horas Rodadas]]/(BASE_DATOS[[#This Row],[NSK Original]]-BASE_DATOS[[#This Row],[NSK]]),"")</f>
        <v/>
      </c>
      <c r="AL35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52" s="366" t="str">
        <f>IFERROR(BASE_DATOS[[#This Row],[Precio US$]]/BASE_DATOS[[#This Row],[Horas Proy.]],"")</f>
        <v/>
      </c>
      <c r="AN352" s="176" t="str">
        <f>IF(OR(BASE_DATOS[[#This Row],[Km.]]="",BASE_DATOS[[#This Row],[Km. Actual]]=""),"",BASE_DATOS[[#This Row],[Km. Actual]]-BASE_DATOS[[#This Row],[Km.]]+BASE_DATOS[[#This Row],[Kilómetros Acumulados]])</f>
        <v/>
      </c>
      <c r="AO352" s="177" t="str">
        <f>IFERROR(BASE_DATOS[[#This Row],[Precio US$]]/BASE_DATOS[[#This Row],[Kilómetros Rodados]],"")</f>
        <v/>
      </c>
      <c r="AP352" s="176" t="str">
        <f>IFERROR(BASE_DATOS[[#This Row],[Kilómetros Rodados]]/(BASE_DATOS[[#This Row],[NSK Original]]-BASE_DATOS[[#This Row],[NSK]]),"")</f>
        <v/>
      </c>
      <c r="AQ35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52" s="177" t="str">
        <f>IFERROR(BASE_DATOS[[#This Row],[Precio US$]]/BASE_DATOS[[#This Row],[Kilómetros Proy.]],"")</f>
        <v/>
      </c>
      <c r="AS352" s="167" t="s">
        <v>62</v>
      </c>
      <c r="AT352" s="167"/>
      <c r="AU352" s="167"/>
      <c r="AV352" s="167"/>
      <c r="AW352" s="179"/>
      <c r="AX352" s="179"/>
      <c r="AY352" s="179" t="str">
        <f>CONCATENATE(BASE_DATOS[[#This Row],[Código_U]]&amp;BASE_DATOS[[#This Row],[Pos.]]&amp;BASE_DATOS[[#This Row],[Situación Actual]])</f>
        <v>SR-1665Rodando</v>
      </c>
    </row>
    <row r="353" spans="1:51" ht="12" x14ac:dyDescent="0.25">
      <c r="A353" s="227" t="s">
        <v>183</v>
      </c>
      <c r="B353" s="217" t="s">
        <v>184</v>
      </c>
      <c r="C353" s="228" t="s">
        <v>295</v>
      </c>
      <c r="D353" s="229" t="s">
        <v>87</v>
      </c>
      <c r="E353" s="255"/>
      <c r="F353" s="256" t="s">
        <v>97</v>
      </c>
      <c r="G353" s="256" t="s">
        <v>269</v>
      </c>
      <c r="H353" s="257" t="str">
        <f>IF(BASE_DATOS[[#This Row],[N-R]]="N",BASE_DATOS[[#This Row],[Diseño]],"Reencauche")</f>
        <v>AGC28</v>
      </c>
      <c r="I353" s="256" t="s">
        <v>270</v>
      </c>
      <c r="J353" s="243" t="s">
        <v>72</v>
      </c>
      <c r="K353" s="258">
        <v>16.5</v>
      </c>
      <c r="L353" s="256">
        <v>110</v>
      </c>
      <c r="M353" s="259"/>
      <c r="N353" s="260"/>
      <c r="O353" s="277"/>
      <c r="P353" s="278"/>
      <c r="Q353" s="279"/>
      <c r="R353" s="309" t="s">
        <v>103</v>
      </c>
      <c r="S353" s="310">
        <v>45385</v>
      </c>
      <c r="T353" s="313"/>
      <c r="U353" s="279"/>
      <c r="V353" s="227">
        <v>14</v>
      </c>
      <c r="W353" s="281">
        <v>14</v>
      </c>
      <c r="X353" s="282">
        <v>14</v>
      </c>
      <c r="Y353" s="293">
        <f t="shared" si="15"/>
        <v>14</v>
      </c>
      <c r="Z353" s="175" t="s">
        <v>85</v>
      </c>
      <c r="AA353" s="342">
        <f>IFERROR(BASE_DATOS[[#This Row],[NSK Original]]-BASE_DATOS[[#This Row],[NSK]]," ")</f>
        <v>2.5</v>
      </c>
      <c r="AB353" s="343">
        <f>'NSK-TRACTO'!$A$2</f>
        <v>6</v>
      </c>
      <c r="AC353" s="343">
        <f>IF(BASE_DATOS[[#This Row],[NSK]]&gt;=BASE_DATOS[[#This Row],[NSK Reen]],BASE_DATOS[[#This Row],[NSK Reen]],BASE_DATOS[[#This Row],[NSK]])</f>
        <v>6</v>
      </c>
      <c r="AD353" s="344">
        <f>IFERROR(100%-(BASE_DATOS[[#This Row],[NSK Reen]]/BASE_DATOS[[#This Row],[NSK Original]]),"")</f>
        <v>0.63636363636363635</v>
      </c>
      <c r="AE353" s="344">
        <f>IFERROR(100%-BASE_DATOS[[#This Row],[NSK]]/BASE_DATOS[[#This Row],[NSK Original]],"")</f>
        <v>0.15151515151515149</v>
      </c>
      <c r="AF353" s="344">
        <f>IFERROR(BASE_DATOS[[#This Row],[% Max Des.]]-BASE_DATOS[[#This Row],[% Des]],"")</f>
        <v>0.48484848484848486</v>
      </c>
      <c r="AG353" s="287"/>
      <c r="AH353" s="273"/>
      <c r="AI353" s="363" t="str">
        <f>IF(OR(BASE_DATOS[[#This Row],[Hr.]]="",BASE_DATOS[[#This Row],[Hr. Actual]]=""),"",BASE_DATOS[[#This Row],[Hr. Actual]]-BASE_DATOS[[#This Row],[Hr.]]+BASE_DATOS[[#This Row],[Horas Acumuladas]])</f>
        <v/>
      </c>
      <c r="AJ353" s="364" t="str">
        <f>IFERROR(BASE_DATOS[[#This Row],[Precio US$]]/BASE_DATOS[[#This Row],[Horas Rodadas]],"")</f>
        <v/>
      </c>
      <c r="AK353" s="365" t="str">
        <f>IFERROR(BASE_DATOS[[#This Row],[Horas Rodadas]]/(BASE_DATOS[[#This Row],[NSK Original]]-BASE_DATOS[[#This Row],[NSK]]),"")</f>
        <v/>
      </c>
      <c r="AL35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53" s="366" t="str">
        <f>IFERROR(BASE_DATOS[[#This Row],[Precio US$]]/BASE_DATOS[[#This Row],[Horas Proy.]],"")</f>
        <v/>
      </c>
      <c r="AN353" s="176" t="str">
        <f>IF(OR(BASE_DATOS[[#This Row],[Km.]]="",BASE_DATOS[[#This Row],[Km. Actual]]=""),"",BASE_DATOS[[#This Row],[Km. Actual]]-BASE_DATOS[[#This Row],[Km.]]+BASE_DATOS[[#This Row],[Kilómetros Acumulados]])</f>
        <v/>
      </c>
      <c r="AO353" s="177" t="str">
        <f>IFERROR(BASE_DATOS[[#This Row],[Precio US$]]/BASE_DATOS[[#This Row],[Kilómetros Rodados]],"")</f>
        <v/>
      </c>
      <c r="AP353" s="176" t="str">
        <f>IFERROR(BASE_DATOS[[#This Row],[Kilómetros Rodados]]/(BASE_DATOS[[#This Row],[NSK Original]]-BASE_DATOS[[#This Row],[NSK]]),"")</f>
        <v/>
      </c>
      <c r="AQ35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53" s="177" t="str">
        <f>IFERROR(BASE_DATOS[[#This Row],[Precio US$]]/BASE_DATOS[[#This Row],[Kilómetros Proy.]],"")</f>
        <v/>
      </c>
      <c r="AS353" s="167" t="s">
        <v>62</v>
      </c>
      <c r="AT353" s="167"/>
      <c r="AU353" s="167"/>
      <c r="AV353" s="167"/>
      <c r="AW353" s="179"/>
      <c r="AX353" s="179"/>
      <c r="AY353" s="179" t="str">
        <f>CONCATENATE(BASE_DATOS[[#This Row],[Código_U]]&amp;BASE_DATOS[[#This Row],[Pos.]]&amp;BASE_DATOS[[#This Row],[Situación Actual]])</f>
        <v>SR-1666Rodando</v>
      </c>
    </row>
    <row r="354" spans="1:51" ht="12" x14ac:dyDescent="0.25">
      <c r="A354" s="227" t="s">
        <v>183</v>
      </c>
      <c r="B354" s="217" t="s">
        <v>184</v>
      </c>
      <c r="C354" s="228" t="s">
        <v>295</v>
      </c>
      <c r="D354" s="229" t="s">
        <v>384</v>
      </c>
      <c r="E354" s="255"/>
      <c r="F354" s="256" t="s">
        <v>97</v>
      </c>
      <c r="G354" s="256" t="s">
        <v>269</v>
      </c>
      <c r="H354" s="257" t="str">
        <f>IF(BASE_DATOS[[#This Row],[N-R]]="N",BASE_DATOS[[#This Row],[Diseño]],"Reencauche")</f>
        <v>AGC28</v>
      </c>
      <c r="I354" s="256" t="s">
        <v>270</v>
      </c>
      <c r="J354" s="243" t="s">
        <v>72</v>
      </c>
      <c r="K354" s="258">
        <v>16.5</v>
      </c>
      <c r="L354" s="256">
        <v>110</v>
      </c>
      <c r="M354" s="259"/>
      <c r="N354" s="260"/>
      <c r="O354" s="277"/>
      <c r="P354" s="278"/>
      <c r="Q354" s="279"/>
      <c r="R354" s="309" t="s">
        <v>509</v>
      </c>
      <c r="S354" s="310">
        <v>45385</v>
      </c>
      <c r="T354" s="313"/>
      <c r="U354" s="279"/>
      <c r="V354" s="227">
        <v>8</v>
      </c>
      <c r="W354" s="281">
        <v>7</v>
      </c>
      <c r="X354" s="282">
        <v>8</v>
      </c>
      <c r="Y354" s="293">
        <f t="shared" si="15"/>
        <v>7</v>
      </c>
      <c r="Z354" s="175" t="s">
        <v>85</v>
      </c>
      <c r="AA354" s="342">
        <f>IFERROR(BASE_DATOS[[#This Row],[NSK Original]]-BASE_DATOS[[#This Row],[NSK]]," ")</f>
        <v>9.5</v>
      </c>
      <c r="AB354" s="343">
        <f>'NSK-TRACTO'!$A$2</f>
        <v>6</v>
      </c>
      <c r="AC354" s="343">
        <f>IF(BASE_DATOS[[#This Row],[NSK]]&gt;=BASE_DATOS[[#This Row],[NSK Reen]],BASE_DATOS[[#This Row],[NSK Reen]],BASE_DATOS[[#This Row],[NSK]])</f>
        <v>6</v>
      </c>
      <c r="AD354" s="344">
        <f>IFERROR(100%-(BASE_DATOS[[#This Row],[NSK Reen]]/BASE_DATOS[[#This Row],[NSK Original]]),"")</f>
        <v>0.63636363636363635</v>
      </c>
      <c r="AE354" s="344">
        <f>IFERROR(100%-BASE_DATOS[[#This Row],[NSK]]/BASE_DATOS[[#This Row],[NSK Original]],"")</f>
        <v>0.57575757575757569</v>
      </c>
      <c r="AF354" s="344">
        <f>IFERROR(BASE_DATOS[[#This Row],[% Max Des.]]-BASE_DATOS[[#This Row],[% Des]],"")</f>
        <v>6.0606060606060663E-2</v>
      </c>
      <c r="AG354" s="287"/>
      <c r="AH354" s="273"/>
      <c r="AI354" s="363" t="str">
        <f>IF(OR(BASE_DATOS[[#This Row],[Hr.]]="",BASE_DATOS[[#This Row],[Hr. Actual]]=""),"",BASE_DATOS[[#This Row],[Hr. Actual]]-BASE_DATOS[[#This Row],[Hr.]]+BASE_DATOS[[#This Row],[Horas Acumuladas]])</f>
        <v/>
      </c>
      <c r="AJ354" s="364" t="str">
        <f>IFERROR(BASE_DATOS[[#This Row],[Precio US$]]/BASE_DATOS[[#This Row],[Horas Rodadas]],"")</f>
        <v/>
      </c>
      <c r="AK354" s="365" t="str">
        <f>IFERROR(BASE_DATOS[[#This Row],[Horas Rodadas]]/(BASE_DATOS[[#This Row],[NSK Original]]-BASE_DATOS[[#This Row],[NSK]]),"")</f>
        <v/>
      </c>
      <c r="AL35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54" s="366" t="str">
        <f>IFERROR(BASE_DATOS[[#This Row],[Precio US$]]/BASE_DATOS[[#This Row],[Horas Proy.]],"")</f>
        <v/>
      </c>
      <c r="AN354" s="176" t="str">
        <f>IF(OR(BASE_DATOS[[#This Row],[Km.]]="",BASE_DATOS[[#This Row],[Km. Actual]]=""),"",BASE_DATOS[[#This Row],[Km. Actual]]-BASE_DATOS[[#This Row],[Km.]]+BASE_DATOS[[#This Row],[Kilómetros Acumulados]])</f>
        <v/>
      </c>
      <c r="AO354" s="177" t="str">
        <f>IFERROR(BASE_DATOS[[#This Row],[Precio US$]]/BASE_DATOS[[#This Row],[Kilómetros Rodados]],"")</f>
        <v/>
      </c>
      <c r="AP354" s="176" t="str">
        <f>IFERROR(BASE_DATOS[[#This Row],[Kilómetros Rodados]]/(BASE_DATOS[[#This Row],[NSK Original]]-BASE_DATOS[[#This Row],[NSK]]),"")</f>
        <v/>
      </c>
      <c r="AQ35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54" s="177" t="str">
        <f>IFERROR(BASE_DATOS[[#This Row],[Precio US$]]/BASE_DATOS[[#This Row],[Kilómetros Proy.]],"")</f>
        <v/>
      </c>
      <c r="AS354" s="167" t="s">
        <v>62</v>
      </c>
      <c r="AT354" s="167"/>
      <c r="AU354" s="167"/>
      <c r="AV354" s="167"/>
      <c r="AW354" s="179"/>
      <c r="AX354" s="179"/>
      <c r="AY354" s="179" t="str">
        <f>CONCATENATE(BASE_DATOS[[#This Row],[Código_U]]&amp;BASE_DATOS[[#This Row],[Pos.]]&amp;BASE_DATOS[[#This Row],[Situación Actual]])</f>
        <v>SR-166RERodando</v>
      </c>
    </row>
    <row r="355" spans="1:51" ht="12" x14ac:dyDescent="0.25">
      <c r="A355" s="227" t="s">
        <v>183</v>
      </c>
      <c r="B355" s="217" t="s">
        <v>184</v>
      </c>
      <c r="C355" s="228" t="s">
        <v>295</v>
      </c>
      <c r="D355" s="229" t="s">
        <v>108</v>
      </c>
      <c r="E355" s="255"/>
      <c r="F355" s="256" t="s">
        <v>273</v>
      </c>
      <c r="G355" s="256" t="s">
        <v>271</v>
      </c>
      <c r="H355" s="257" t="str">
        <f>IF(BASE_DATOS[[#This Row],[N-R]]="N",BASE_DATOS[[#This Row],[Diseño]],"Reencauche")</f>
        <v>XMULTI+Z</v>
      </c>
      <c r="I355" s="256" t="s">
        <v>297</v>
      </c>
      <c r="J355" s="243" t="s">
        <v>72</v>
      </c>
      <c r="K355" s="258">
        <v>16</v>
      </c>
      <c r="L355" s="256">
        <v>100</v>
      </c>
      <c r="M355" s="259"/>
      <c r="N355" s="260"/>
      <c r="O355" s="277"/>
      <c r="P355" s="278"/>
      <c r="Q355" s="279"/>
      <c r="R355" s="309" t="s">
        <v>108</v>
      </c>
      <c r="S355" s="310">
        <v>45385</v>
      </c>
      <c r="T355" s="313"/>
      <c r="U355" s="279"/>
      <c r="V355" s="227">
        <v>7</v>
      </c>
      <c r="W355" s="281">
        <v>7</v>
      </c>
      <c r="X355" s="282">
        <v>8</v>
      </c>
      <c r="Y355" s="293">
        <f t="shared" si="15"/>
        <v>7</v>
      </c>
      <c r="Z355" s="175" t="s">
        <v>85</v>
      </c>
      <c r="AA355" s="342">
        <f>IFERROR(BASE_DATOS[[#This Row],[NSK Original]]-BASE_DATOS[[#This Row],[NSK]]," ")</f>
        <v>9</v>
      </c>
      <c r="AB355" s="343">
        <f>'NSK-TRACTO'!$A$2</f>
        <v>6</v>
      </c>
      <c r="AC355" s="343">
        <f>IF(BASE_DATOS[[#This Row],[NSK]]&gt;=BASE_DATOS[[#This Row],[NSK Reen]],BASE_DATOS[[#This Row],[NSK Reen]],BASE_DATOS[[#This Row],[NSK]])</f>
        <v>6</v>
      </c>
      <c r="AD355" s="344">
        <f>IFERROR(100%-(BASE_DATOS[[#This Row],[NSK Reen]]/BASE_DATOS[[#This Row],[NSK Original]]),"")</f>
        <v>0.625</v>
      </c>
      <c r="AE355" s="344">
        <f>IFERROR(100%-BASE_DATOS[[#This Row],[NSK]]/BASE_DATOS[[#This Row],[NSK Original]],"")</f>
        <v>0.5625</v>
      </c>
      <c r="AF355" s="344">
        <f>IFERROR(BASE_DATOS[[#This Row],[% Max Des.]]-BASE_DATOS[[#This Row],[% Des]],"")</f>
        <v>6.25E-2</v>
      </c>
      <c r="AG355" s="287"/>
      <c r="AH355" s="273"/>
      <c r="AI355" s="363" t="str">
        <f>IF(OR(BASE_DATOS[[#This Row],[Hr.]]="",BASE_DATOS[[#This Row],[Hr. Actual]]=""),"",BASE_DATOS[[#This Row],[Hr. Actual]]-BASE_DATOS[[#This Row],[Hr.]]+BASE_DATOS[[#This Row],[Horas Acumuladas]])</f>
        <v/>
      </c>
      <c r="AJ355" s="364" t="str">
        <f>IFERROR(BASE_DATOS[[#This Row],[Precio US$]]/BASE_DATOS[[#This Row],[Horas Rodadas]],"")</f>
        <v/>
      </c>
      <c r="AK355" s="365" t="str">
        <f>IFERROR(BASE_DATOS[[#This Row],[Horas Rodadas]]/(BASE_DATOS[[#This Row],[NSK Original]]-BASE_DATOS[[#This Row],[NSK]]),"")</f>
        <v/>
      </c>
      <c r="AL35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55" s="366" t="str">
        <f>IFERROR(BASE_DATOS[[#This Row],[Precio US$]]/BASE_DATOS[[#This Row],[Horas Proy.]],"")</f>
        <v/>
      </c>
      <c r="AN355" s="176" t="str">
        <f>IF(OR(BASE_DATOS[[#This Row],[Km.]]="",BASE_DATOS[[#This Row],[Km. Actual]]=""),"",BASE_DATOS[[#This Row],[Km. Actual]]-BASE_DATOS[[#This Row],[Km.]]+BASE_DATOS[[#This Row],[Kilómetros Acumulados]])</f>
        <v/>
      </c>
      <c r="AO355" s="177" t="str">
        <f>IFERROR(BASE_DATOS[[#This Row],[Precio US$]]/BASE_DATOS[[#This Row],[Kilómetros Rodados]],"")</f>
        <v/>
      </c>
      <c r="AP355" s="176" t="str">
        <f>IFERROR(BASE_DATOS[[#This Row],[Kilómetros Rodados]]/(BASE_DATOS[[#This Row],[NSK Original]]-BASE_DATOS[[#This Row],[NSK]]),"")</f>
        <v/>
      </c>
      <c r="AQ35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55" s="177" t="str">
        <f>IFERROR(BASE_DATOS[[#This Row],[Precio US$]]/BASE_DATOS[[#This Row],[Kilómetros Proy.]],"")</f>
        <v/>
      </c>
      <c r="AS355" s="167" t="s">
        <v>62</v>
      </c>
      <c r="AT355" s="167"/>
      <c r="AU355" s="167"/>
      <c r="AV355" s="167"/>
      <c r="AW355" s="179"/>
      <c r="AX355" s="179"/>
      <c r="AY355" s="179" t="str">
        <f>CONCATENATE(BASE_DATOS[[#This Row],[Código_U]]&amp;BASE_DATOS[[#This Row],[Pos.]]&amp;BASE_DATOS[[#This Row],[Situación Actual]])</f>
        <v>SR-166RTRodando</v>
      </c>
    </row>
    <row r="356" spans="1:51" ht="12" x14ac:dyDescent="0.25">
      <c r="A356" s="224" t="s">
        <v>185</v>
      </c>
      <c r="B356" s="213" t="s">
        <v>186</v>
      </c>
      <c r="C356" s="225" t="s">
        <v>296</v>
      </c>
      <c r="D356" s="226" t="s">
        <v>86</v>
      </c>
      <c r="E356" s="249"/>
      <c r="F356" s="250" t="s">
        <v>71</v>
      </c>
      <c r="G356" s="250" t="s">
        <v>271</v>
      </c>
      <c r="H356" s="251" t="str">
        <f>IF(BASE_DATOS[[#This Row],[N-R]]="N",BASE_DATOS[[#This Row],[Diseño]],"Reencauche")</f>
        <v>KMAX S</v>
      </c>
      <c r="I356" s="250" t="s">
        <v>287</v>
      </c>
      <c r="J356" s="235" t="s">
        <v>72</v>
      </c>
      <c r="K356" s="252">
        <v>15.8</v>
      </c>
      <c r="L356" s="233">
        <v>100</v>
      </c>
      <c r="M356" s="253"/>
      <c r="N356" s="254"/>
      <c r="O356" s="274"/>
      <c r="P356" s="275"/>
      <c r="Q356" s="276"/>
      <c r="R356" s="305" t="s">
        <v>98</v>
      </c>
      <c r="S356" s="306">
        <v>45386</v>
      </c>
      <c r="T356" s="314"/>
      <c r="U356" s="276"/>
      <c r="V356" s="224">
        <v>12</v>
      </c>
      <c r="W356" s="325">
        <v>13</v>
      </c>
      <c r="X356" s="326">
        <v>12</v>
      </c>
      <c r="Y356" s="292">
        <f t="shared" si="15"/>
        <v>12</v>
      </c>
      <c r="Z356" s="194" t="s">
        <v>85</v>
      </c>
      <c r="AA356" s="339">
        <f>IFERROR(BASE_DATOS[[#This Row],[NSK Original]]-BASE_DATOS[[#This Row],[NSK]]," ")</f>
        <v>3.8000000000000007</v>
      </c>
      <c r="AB356" s="340">
        <f>'NSK-TRACTO'!$A$2</f>
        <v>6</v>
      </c>
      <c r="AC356" s="340">
        <f>IF(BASE_DATOS[[#This Row],[NSK]]&gt;=BASE_DATOS[[#This Row],[NSK Reen]],BASE_DATOS[[#This Row],[NSK Reen]],BASE_DATOS[[#This Row],[NSK]])</f>
        <v>6</v>
      </c>
      <c r="AD356" s="341">
        <f>IFERROR(100%-(BASE_DATOS[[#This Row],[NSK Reen]]/BASE_DATOS[[#This Row],[NSK Original]]),"")</f>
        <v>0.620253164556962</v>
      </c>
      <c r="AE356" s="341">
        <f>IFERROR(100%-BASE_DATOS[[#This Row],[NSK]]/BASE_DATOS[[#This Row],[NSK Original]],"")</f>
        <v>0.24050632911392411</v>
      </c>
      <c r="AF356" s="341">
        <f>IFERROR(BASE_DATOS[[#This Row],[% Max Des.]]-BASE_DATOS[[#This Row],[% Des]],"")</f>
        <v>0.37974683544303789</v>
      </c>
      <c r="AG356" s="284"/>
      <c r="AH356" s="335"/>
      <c r="AI356" s="359" t="str">
        <f>IF(OR(BASE_DATOS[[#This Row],[Hr.]]="",BASE_DATOS[[#This Row],[Hr. Actual]]=""),"",BASE_DATOS[[#This Row],[Hr. Actual]]-BASE_DATOS[[#This Row],[Hr.]]+BASE_DATOS[[#This Row],[Horas Acumuladas]])</f>
        <v/>
      </c>
      <c r="AJ356" s="360" t="str">
        <f>IFERROR(BASE_DATOS[[#This Row],[Precio US$]]/BASE_DATOS[[#This Row],[Horas Rodadas]],"")</f>
        <v/>
      </c>
      <c r="AK356" s="361" t="str">
        <f>IFERROR(BASE_DATOS[[#This Row],[Horas Rodadas]]/(BASE_DATOS[[#This Row],[NSK Original]]-BASE_DATOS[[#This Row],[NSK]]),"")</f>
        <v/>
      </c>
      <c r="AL356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56" s="362" t="str">
        <f>IFERROR(BASE_DATOS[[#This Row],[Precio US$]]/BASE_DATOS[[#This Row],[Horas Proy.]],"")</f>
        <v/>
      </c>
      <c r="AN356" s="195" t="str">
        <f>IF(OR(BASE_DATOS[[#This Row],[Km.]]="",BASE_DATOS[[#This Row],[Km. Actual]]=""),"",BASE_DATOS[[#This Row],[Km. Actual]]-BASE_DATOS[[#This Row],[Km.]]+BASE_DATOS[[#This Row],[Kilómetros Acumulados]])</f>
        <v/>
      </c>
      <c r="AO356" s="196" t="str">
        <f>IFERROR(BASE_DATOS[[#This Row],[Precio US$]]/BASE_DATOS[[#This Row],[Kilómetros Rodados]],"")</f>
        <v/>
      </c>
      <c r="AP356" s="195" t="str">
        <f>IFERROR(BASE_DATOS[[#This Row],[Kilómetros Rodados]]/(BASE_DATOS[[#This Row],[NSK Original]]-BASE_DATOS[[#This Row],[NSK]]),"")</f>
        <v/>
      </c>
      <c r="AQ356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56" s="196" t="str">
        <f>IFERROR(BASE_DATOS[[#This Row],[Precio US$]]/BASE_DATOS[[#This Row],[Kilómetros Proy.]],"")</f>
        <v/>
      </c>
      <c r="AS356" s="191" t="s">
        <v>62</v>
      </c>
      <c r="AT356" s="191"/>
      <c r="AU356" s="191"/>
      <c r="AV356" s="191"/>
      <c r="AW356" s="198"/>
      <c r="AX356" s="198"/>
      <c r="AY356" s="198" t="str">
        <f>CONCATENATE(BASE_DATOS[[#This Row],[Código_U]]&amp;BASE_DATOS[[#This Row],[Pos.]]&amp;BASE_DATOS[[#This Row],[Situación Actual]])</f>
        <v>TC-1681Rodando</v>
      </c>
    </row>
    <row r="357" spans="1:51" ht="12" x14ac:dyDescent="0.25">
      <c r="A357" s="227" t="s">
        <v>185</v>
      </c>
      <c r="B357" s="217" t="s">
        <v>186</v>
      </c>
      <c r="C357" s="228" t="s">
        <v>296</v>
      </c>
      <c r="D357" s="229" t="s">
        <v>86</v>
      </c>
      <c r="E357" s="255"/>
      <c r="F357" s="256" t="s">
        <v>71</v>
      </c>
      <c r="G357" s="256" t="s">
        <v>271</v>
      </c>
      <c r="H357" s="257" t="str">
        <f>IF(BASE_DATOS[[#This Row],[N-R]]="N",BASE_DATOS[[#This Row],[Diseño]],"Reencauche")</f>
        <v>KMAX S</v>
      </c>
      <c r="I357" s="256" t="s">
        <v>287</v>
      </c>
      <c r="J357" s="243" t="s">
        <v>72</v>
      </c>
      <c r="K357" s="258">
        <v>15.8</v>
      </c>
      <c r="L357" s="241">
        <v>100</v>
      </c>
      <c r="M357" s="259"/>
      <c r="N357" s="260"/>
      <c r="O357" s="277"/>
      <c r="P357" s="278"/>
      <c r="Q357" s="279"/>
      <c r="R357" s="309" t="s">
        <v>99</v>
      </c>
      <c r="S357" s="310">
        <v>45386</v>
      </c>
      <c r="T357" s="313"/>
      <c r="U357" s="279"/>
      <c r="V357" s="227">
        <v>13</v>
      </c>
      <c r="W357" s="281">
        <v>13</v>
      </c>
      <c r="X357" s="282">
        <v>13</v>
      </c>
      <c r="Y357" s="293">
        <f t="shared" si="15"/>
        <v>13</v>
      </c>
      <c r="Z357" s="175" t="s">
        <v>85</v>
      </c>
      <c r="AA357" s="342">
        <f>IFERROR(BASE_DATOS[[#This Row],[NSK Original]]-BASE_DATOS[[#This Row],[NSK]]," ")</f>
        <v>2.8000000000000007</v>
      </c>
      <c r="AB357" s="343">
        <f>'NSK-TRACTO'!$A$2</f>
        <v>6</v>
      </c>
      <c r="AC357" s="343">
        <f>IF(BASE_DATOS[[#This Row],[NSK]]&gt;=BASE_DATOS[[#This Row],[NSK Reen]],BASE_DATOS[[#This Row],[NSK Reen]],BASE_DATOS[[#This Row],[NSK]])</f>
        <v>6</v>
      </c>
      <c r="AD357" s="344">
        <f>IFERROR(100%-(BASE_DATOS[[#This Row],[NSK Reen]]/BASE_DATOS[[#This Row],[NSK Original]]),"")</f>
        <v>0.620253164556962</v>
      </c>
      <c r="AE357" s="344">
        <f>IFERROR(100%-BASE_DATOS[[#This Row],[NSK]]/BASE_DATOS[[#This Row],[NSK Original]],"")</f>
        <v>0.17721518987341778</v>
      </c>
      <c r="AF357" s="344">
        <f>IFERROR(BASE_DATOS[[#This Row],[% Max Des.]]-BASE_DATOS[[#This Row],[% Des]],"")</f>
        <v>0.44303797468354422</v>
      </c>
      <c r="AG357" s="287"/>
      <c r="AH357" s="273"/>
      <c r="AI357" s="363" t="str">
        <f>IF(OR(BASE_DATOS[[#This Row],[Hr.]]="",BASE_DATOS[[#This Row],[Hr. Actual]]=""),"",BASE_DATOS[[#This Row],[Hr. Actual]]-BASE_DATOS[[#This Row],[Hr.]]+BASE_DATOS[[#This Row],[Horas Acumuladas]])</f>
        <v/>
      </c>
      <c r="AJ357" s="364" t="str">
        <f>IFERROR(BASE_DATOS[[#This Row],[Precio US$]]/BASE_DATOS[[#This Row],[Horas Rodadas]],"")</f>
        <v/>
      </c>
      <c r="AK357" s="365" t="str">
        <f>IFERROR(BASE_DATOS[[#This Row],[Horas Rodadas]]/(BASE_DATOS[[#This Row],[NSK Original]]-BASE_DATOS[[#This Row],[NSK]]),"")</f>
        <v/>
      </c>
      <c r="AL35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57" s="366" t="str">
        <f>IFERROR(BASE_DATOS[[#This Row],[Precio US$]]/BASE_DATOS[[#This Row],[Horas Proy.]],"")</f>
        <v/>
      </c>
      <c r="AN357" s="176" t="str">
        <f>IF(OR(BASE_DATOS[[#This Row],[Km.]]="",BASE_DATOS[[#This Row],[Km. Actual]]=""),"",BASE_DATOS[[#This Row],[Km. Actual]]-BASE_DATOS[[#This Row],[Km.]]+BASE_DATOS[[#This Row],[Kilómetros Acumulados]])</f>
        <v/>
      </c>
      <c r="AO357" s="177" t="str">
        <f>IFERROR(BASE_DATOS[[#This Row],[Precio US$]]/BASE_DATOS[[#This Row],[Kilómetros Rodados]],"")</f>
        <v/>
      </c>
      <c r="AP357" s="176" t="str">
        <f>IFERROR(BASE_DATOS[[#This Row],[Kilómetros Rodados]]/(BASE_DATOS[[#This Row],[NSK Original]]-BASE_DATOS[[#This Row],[NSK]]),"")</f>
        <v/>
      </c>
      <c r="AQ35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57" s="177" t="str">
        <f>IFERROR(BASE_DATOS[[#This Row],[Precio US$]]/BASE_DATOS[[#This Row],[Kilómetros Proy.]],"")</f>
        <v/>
      </c>
      <c r="AS357" s="167" t="s">
        <v>62</v>
      </c>
      <c r="AT357" s="167"/>
      <c r="AU357" s="167"/>
      <c r="AV357" s="167"/>
      <c r="AW357" s="179"/>
      <c r="AX357" s="179"/>
      <c r="AY357" s="179" t="str">
        <f>CONCATENATE(BASE_DATOS[[#This Row],[Código_U]]&amp;BASE_DATOS[[#This Row],[Pos.]]&amp;BASE_DATOS[[#This Row],[Situación Actual]])</f>
        <v>TC-1682Rodando</v>
      </c>
    </row>
    <row r="358" spans="1:51" ht="12" x14ac:dyDescent="0.25">
      <c r="A358" s="227" t="s">
        <v>185</v>
      </c>
      <c r="B358" s="217" t="s">
        <v>186</v>
      </c>
      <c r="C358" s="228" t="s">
        <v>296</v>
      </c>
      <c r="D358" s="229" t="s">
        <v>61</v>
      </c>
      <c r="E358" s="255"/>
      <c r="F358" s="256" t="s">
        <v>71</v>
      </c>
      <c r="G358" s="256" t="s">
        <v>271</v>
      </c>
      <c r="H358" s="257" t="str">
        <f>IF(BASE_DATOS[[#This Row],[N-R]]="N",BASE_DATOS[[#This Row],[Diseño]],"Reencauche")</f>
        <v>KMAXD</v>
      </c>
      <c r="I358" s="256" t="s">
        <v>294</v>
      </c>
      <c r="J358" s="243" t="s">
        <v>72</v>
      </c>
      <c r="K358" s="258">
        <v>22.2</v>
      </c>
      <c r="L358" s="241">
        <v>110</v>
      </c>
      <c r="M358" s="259"/>
      <c r="N358" s="260"/>
      <c r="O358" s="277"/>
      <c r="P358" s="278"/>
      <c r="Q358" s="279"/>
      <c r="R358" s="309" t="s">
        <v>100</v>
      </c>
      <c r="S358" s="310">
        <v>45386</v>
      </c>
      <c r="T358" s="313"/>
      <c r="U358" s="279"/>
      <c r="V358" s="227">
        <v>17</v>
      </c>
      <c r="W358" s="281"/>
      <c r="X358" s="282">
        <v>17</v>
      </c>
      <c r="Y358" s="293">
        <f t="shared" si="15"/>
        <v>17</v>
      </c>
      <c r="Z358" s="175" t="s">
        <v>85</v>
      </c>
      <c r="AA358" s="342">
        <f>IFERROR(BASE_DATOS[[#This Row],[NSK Original]]-BASE_DATOS[[#This Row],[NSK]]," ")</f>
        <v>5.1999999999999993</v>
      </c>
      <c r="AB358" s="343">
        <f>'NSK-TRACTO'!$A$2</f>
        <v>6</v>
      </c>
      <c r="AC358" s="343">
        <f>IF(BASE_DATOS[[#This Row],[NSK]]&gt;=BASE_DATOS[[#This Row],[NSK Reen]],BASE_DATOS[[#This Row],[NSK Reen]],BASE_DATOS[[#This Row],[NSK]])</f>
        <v>6</v>
      </c>
      <c r="AD358" s="344">
        <f>IFERROR(100%-(BASE_DATOS[[#This Row],[NSK Reen]]/BASE_DATOS[[#This Row],[NSK Original]]),"")</f>
        <v>0.72972972972972971</v>
      </c>
      <c r="AE358" s="344">
        <f>IFERROR(100%-BASE_DATOS[[#This Row],[NSK]]/BASE_DATOS[[#This Row],[NSK Original]],"")</f>
        <v>0.23423423423423417</v>
      </c>
      <c r="AF358" s="344">
        <f>IFERROR(BASE_DATOS[[#This Row],[% Max Des.]]-BASE_DATOS[[#This Row],[% Des]],"")</f>
        <v>0.49549549549549554</v>
      </c>
      <c r="AG358" s="287"/>
      <c r="AH358" s="273"/>
      <c r="AI358" s="363" t="str">
        <f>IF(OR(BASE_DATOS[[#This Row],[Hr.]]="",BASE_DATOS[[#This Row],[Hr. Actual]]=""),"",BASE_DATOS[[#This Row],[Hr. Actual]]-BASE_DATOS[[#This Row],[Hr.]]+BASE_DATOS[[#This Row],[Horas Acumuladas]])</f>
        <v/>
      </c>
      <c r="AJ358" s="364" t="str">
        <f>IFERROR(BASE_DATOS[[#This Row],[Precio US$]]/BASE_DATOS[[#This Row],[Horas Rodadas]],"")</f>
        <v/>
      </c>
      <c r="AK358" s="365" t="str">
        <f>IFERROR(BASE_DATOS[[#This Row],[Horas Rodadas]]/(BASE_DATOS[[#This Row],[NSK Original]]-BASE_DATOS[[#This Row],[NSK]]),"")</f>
        <v/>
      </c>
      <c r="AL35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58" s="366" t="str">
        <f>IFERROR(BASE_DATOS[[#This Row],[Precio US$]]/BASE_DATOS[[#This Row],[Horas Proy.]],"")</f>
        <v/>
      </c>
      <c r="AN358" s="176" t="str">
        <f>IF(OR(BASE_DATOS[[#This Row],[Km.]]="",BASE_DATOS[[#This Row],[Km. Actual]]=""),"",BASE_DATOS[[#This Row],[Km. Actual]]-BASE_DATOS[[#This Row],[Km.]]+BASE_DATOS[[#This Row],[Kilómetros Acumulados]])</f>
        <v/>
      </c>
      <c r="AO358" s="177" t="str">
        <f>IFERROR(BASE_DATOS[[#This Row],[Precio US$]]/BASE_DATOS[[#This Row],[Kilómetros Rodados]],"")</f>
        <v/>
      </c>
      <c r="AP358" s="176" t="str">
        <f>IFERROR(BASE_DATOS[[#This Row],[Kilómetros Rodados]]/(BASE_DATOS[[#This Row],[NSK Original]]-BASE_DATOS[[#This Row],[NSK]]),"")</f>
        <v/>
      </c>
      <c r="AQ35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58" s="177" t="str">
        <f>IFERROR(BASE_DATOS[[#This Row],[Precio US$]]/BASE_DATOS[[#This Row],[Kilómetros Proy.]],"")</f>
        <v/>
      </c>
      <c r="AS358" s="167" t="s">
        <v>62</v>
      </c>
      <c r="AT358" s="167"/>
      <c r="AU358" s="167"/>
      <c r="AV358" s="167"/>
      <c r="AW358" s="179"/>
      <c r="AX358" s="179"/>
      <c r="AY358" s="179" t="str">
        <f>CONCATENATE(BASE_DATOS[[#This Row],[Código_U]]&amp;BASE_DATOS[[#This Row],[Pos.]]&amp;BASE_DATOS[[#This Row],[Situación Actual]])</f>
        <v>TC-1683Rodando</v>
      </c>
    </row>
    <row r="359" spans="1:51" ht="12" x14ac:dyDescent="0.25">
      <c r="A359" s="227" t="s">
        <v>185</v>
      </c>
      <c r="B359" s="217" t="s">
        <v>186</v>
      </c>
      <c r="C359" s="228" t="s">
        <v>296</v>
      </c>
      <c r="D359" s="229" t="s">
        <v>61</v>
      </c>
      <c r="E359" s="255"/>
      <c r="F359" s="256" t="s">
        <v>71</v>
      </c>
      <c r="G359" s="256" t="s">
        <v>271</v>
      </c>
      <c r="H359" s="257" t="str">
        <f>IF(BASE_DATOS[[#This Row],[N-R]]="N",BASE_DATOS[[#This Row],[Diseño]],"Reencauche")</f>
        <v>KMAXD</v>
      </c>
      <c r="I359" s="256" t="s">
        <v>294</v>
      </c>
      <c r="J359" s="243" t="s">
        <v>72</v>
      </c>
      <c r="K359" s="258">
        <v>22.2</v>
      </c>
      <c r="L359" s="241">
        <v>110</v>
      </c>
      <c r="M359" s="259"/>
      <c r="N359" s="260"/>
      <c r="O359" s="277"/>
      <c r="P359" s="278"/>
      <c r="Q359" s="279"/>
      <c r="R359" s="309" t="s">
        <v>101</v>
      </c>
      <c r="S359" s="310">
        <v>45386</v>
      </c>
      <c r="T359" s="313"/>
      <c r="U359" s="279"/>
      <c r="V359" s="227">
        <v>17</v>
      </c>
      <c r="W359" s="281"/>
      <c r="X359" s="282">
        <v>17</v>
      </c>
      <c r="Y359" s="293">
        <f t="shared" si="15"/>
        <v>17</v>
      </c>
      <c r="Z359" s="161" t="s">
        <v>385</v>
      </c>
      <c r="AA359" s="342">
        <f>IFERROR(BASE_DATOS[[#This Row],[NSK Original]]-BASE_DATOS[[#This Row],[NSK]]," ")</f>
        <v>5.1999999999999993</v>
      </c>
      <c r="AB359" s="343">
        <f>'NSK-TRACTO'!$A$2</f>
        <v>6</v>
      </c>
      <c r="AC359" s="343">
        <f>IF(BASE_DATOS[[#This Row],[NSK]]&gt;=BASE_DATOS[[#This Row],[NSK Reen]],BASE_DATOS[[#This Row],[NSK Reen]],BASE_DATOS[[#This Row],[NSK]])</f>
        <v>6</v>
      </c>
      <c r="AD359" s="344">
        <f>IFERROR(100%-(BASE_DATOS[[#This Row],[NSK Reen]]/BASE_DATOS[[#This Row],[NSK Original]]),"")</f>
        <v>0.72972972972972971</v>
      </c>
      <c r="AE359" s="344">
        <f>IFERROR(100%-BASE_DATOS[[#This Row],[NSK]]/BASE_DATOS[[#This Row],[NSK Original]],"")</f>
        <v>0.23423423423423417</v>
      </c>
      <c r="AF359" s="344">
        <f>IFERROR(BASE_DATOS[[#This Row],[% Max Des.]]-BASE_DATOS[[#This Row],[% Des]],"")</f>
        <v>0.49549549549549554</v>
      </c>
      <c r="AG359" s="287"/>
      <c r="AH359" s="273"/>
      <c r="AI359" s="363" t="str">
        <f>IF(OR(BASE_DATOS[[#This Row],[Hr.]]="",BASE_DATOS[[#This Row],[Hr. Actual]]=""),"",BASE_DATOS[[#This Row],[Hr. Actual]]-BASE_DATOS[[#This Row],[Hr.]]+BASE_DATOS[[#This Row],[Horas Acumuladas]])</f>
        <v/>
      </c>
      <c r="AJ359" s="364" t="str">
        <f>IFERROR(BASE_DATOS[[#This Row],[Precio US$]]/BASE_DATOS[[#This Row],[Horas Rodadas]],"")</f>
        <v/>
      </c>
      <c r="AK359" s="365" t="str">
        <f>IFERROR(BASE_DATOS[[#This Row],[Horas Rodadas]]/(BASE_DATOS[[#This Row],[NSK Original]]-BASE_DATOS[[#This Row],[NSK]]),"")</f>
        <v/>
      </c>
      <c r="AL35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59" s="366" t="str">
        <f>IFERROR(BASE_DATOS[[#This Row],[Precio US$]]/BASE_DATOS[[#This Row],[Horas Proy.]],"")</f>
        <v/>
      </c>
      <c r="AN359" s="176" t="str">
        <f>IF(OR(BASE_DATOS[[#This Row],[Km.]]="",BASE_DATOS[[#This Row],[Km. Actual]]=""),"",BASE_DATOS[[#This Row],[Km. Actual]]-BASE_DATOS[[#This Row],[Km.]]+BASE_DATOS[[#This Row],[Kilómetros Acumulados]])</f>
        <v/>
      </c>
      <c r="AO359" s="177" t="str">
        <f>IFERROR(BASE_DATOS[[#This Row],[Precio US$]]/BASE_DATOS[[#This Row],[Kilómetros Rodados]],"")</f>
        <v/>
      </c>
      <c r="AP359" s="176" t="str">
        <f>IFERROR(BASE_DATOS[[#This Row],[Kilómetros Rodados]]/(BASE_DATOS[[#This Row],[NSK Original]]-BASE_DATOS[[#This Row],[NSK]]),"")</f>
        <v/>
      </c>
      <c r="AQ35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59" s="177" t="str">
        <f>IFERROR(BASE_DATOS[[#This Row],[Precio US$]]/BASE_DATOS[[#This Row],[Kilómetros Proy.]],"")</f>
        <v/>
      </c>
      <c r="AS359" s="167" t="s">
        <v>62</v>
      </c>
      <c r="AT359" s="167"/>
      <c r="AU359" s="167"/>
      <c r="AV359" s="167"/>
      <c r="AW359" s="179"/>
      <c r="AX359" s="179"/>
      <c r="AY359" s="179" t="str">
        <f>CONCATENATE(BASE_DATOS[[#This Row],[Código_U]]&amp;BASE_DATOS[[#This Row],[Pos.]]&amp;BASE_DATOS[[#This Row],[Situación Actual]])</f>
        <v>TC-1684Rodando</v>
      </c>
    </row>
    <row r="360" spans="1:51" ht="12" x14ac:dyDescent="0.25">
      <c r="A360" s="227" t="s">
        <v>185</v>
      </c>
      <c r="B360" s="217" t="s">
        <v>186</v>
      </c>
      <c r="C360" s="228" t="s">
        <v>296</v>
      </c>
      <c r="D360" s="229" t="s">
        <v>61</v>
      </c>
      <c r="E360" s="255"/>
      <c r="F360" s="256" t="s">
        <v>71</v>
      </c>
      <c r="G360" s="256" t="s">
        <v>271</v>
      </c>
      <c r="H360" s="257" t="str">
        <f>IF(BASE_DATOS[[#This Row],[N-R]]="N",BASE_DATOS[[#This Row],[Diseño]],"Reencauche")</f>
        <v>KMAXD</v>
      </c>
      <c r="I360" s="256" t="s">
        <v>294</v>
      </c>
      <c r="J360" s="243" t="s">
        <v>72</v>
      </c>
      <c r="K360" s="258">
        <v>22.2</v>
      </c>
      <c r="L360" s="241">
        <v>110</v>
      </c>
      <c r="M360" s="259"/>
      <c r="N360" s="260"/>
      <c r="O360" s="277"/>
      <c r="P360" s="278"/>
      <c r="Q360" s="279"/>
      <c r="R360" s="309" t="s">
        <v>102</v>
      </c>
      <c r="S360" s="310">
        <v>45386</v>
      </c>
      <c r="T360" s="313"/>
      <c r="U360" s="279"/>
      <c r="V360" s="227">
        <v>16</v>
      </c>
      <c r="W360" s="281"/>
      <c r="X360" s="282">
        <v>16</v>
      </c>
      <c r="Y360" s="293">
        <f t="shared" si="15"/>
        <v>16</v>
      </c>
      <c r="Z360" s="175" t="s">
        <v>85</v>
      </c>
      <c r="AA360" s="342">
        <f>IFERROR(BASE_DATOS[[#This Row],[NSK Original]]-BASE_DATOS[[#This Row],[NSK]]," ")</f>
        <v>6.1999999999999993</v>
      </c>
      <c r="AB360" s="343">
        <f>'NSK-TRACTO'!$A$2</f>
        <v>6</v>
      </c>
      <c r="AC360" s="343">
        <f>IF(BASE_DATOS[[#This Row],[NSK]]&gt;=BASE_DATOS[[#This Row],[NSK Reen]],BASE_DATOS[[#This Row],[NSK Reen]],BASE_DATOS[[#This Row],[NSK]])</f>
        <v>6</v>
      </c>
      <c r="AD360" s="344">
        <f>IFERROR(100%-(BASE_DATOS[[#This Row],[NSK Reen]]/BASE_DATOS[[#This Row],[NSK Original]]),"")</f>
        <v>0.72972972972972971</v>
      </c>
      <c r="AE360" s="344">
        <f>IFERROR(100%-BASE_DATOS[[#This Row],[NSK]]/BASE_DATOS[[#This Row],[NSK Original]],"")</f>
        <v>0.2792792792792792</v>
      </c>
      <c r="AF360" s="344">
        <f>IFERROR(BASE_DATOS[[#This Row],[% Max Des.]]-BASE_DATOS[[#This Row],[% Des]],"")</f>
        <v>0.45045045045045051</v>
      </c>
      <c r="AG360" s="287"/>
      <c r="AH360" s="273"/>
      <c r="AI360" s="363" t="str">
        <f>IF(OR(BASE_DATOS[[#This Row],[Hr.]]="",BASE_DATOS[[#This Row],[Hr. Actual]]=""),"",BASE_DATOS[[#This Row],[Hr. Actual]]-BASE_DATOS[[#This Row],[Hr.]]+BASE_DATOS[[#This Row],[Horas Acumuladas]])</f>
        <v/>
      </c>
      <c r="AJ360" s="364" t="str">
        <f>IFERROR(BASE_DATOS[[#This Row],[Precio US$]]/BASE_DATOS[[#This Row],[Horas Rodadas]],"")</f>
        <v/>
      </c>
      <c r="AK360" s="365" t="str">
        <f>IFERROR(BASE_DATOS[[#This Row],[Horas Rodadas]]/(BASE_DATOS[[#This Row],[NSK Original]]-BASE_DATOS[[#This Row],[NSK]]),"")</f>
        <v/>
      </c>
      <c r="AL36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60" s="366" t="str">
        <f>IFERROR(BASE_DATOS[[#This Row],[Precio US$]]/BASE_DATOS[[#This Row],[Horas Proy.]],"")</f>
        <v/>
      </c>
      <c r="AN360" s="176" t="str">
        <f>IF(OR(BASE_DATOS[[#This Row],[Km.]]="",BASE_DATOS[[#This Row],[Km. Actual]]=""),"",BASE_DATOS[[#This Row],[Km. Actual]]-BASE_DATOS[[#This Row],[Km.]]+BASE_DATOS[[#This Row],[Kilómetros Acumulados]])</f>
        <v/>
      </c>
      <c r="AO360" s="177" t="str">
        <f>IFERROR(BASE_DATOS[[#This Row],[Precio US$]]/BASE_DATOS[[#This Row],[Kilómetros Rodados]],"")</f>
        <v/>
      </c>
      <c r="AP360" s="176" t="str">
        <f>IFERROR(BASE_DATOS[[#This Row],[Kilómetros Rodados]]/(BASE_DATOS[[#This Row],[NSK Original]]-BASE_DATOS[[#This Row],[NSK]]),"")</f>
        <v/>
      </c>
      <c r="AQ36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60" s="177" t="str">
        <f>IFERROR(BASE_DATOS[[#This Row],[Precio US$]]/BASE_DATOS[[#This Row],[Kilómetros Proy.]],"")</f>
        <v/>
      </c>
      <c r="AS360" s="167" t="s">
        <v>62</v>
      </c>
      <c r="AT360" s="167"/>
      <c r="AU360" s="167"/>
      <c r="AV360" s="167"/>
      <c r="AW360" s="179"/>
      <c r="AX360" s="179"/>
      <c r="AY360" s="179" t="str">
        <f>CONCATENATE(BASE_DATOS[[#This Row],[Código_U]]&amp;BASE_DATOS[[#This Row],[Pos.]]&amp;BASE_DATOS[[#This Row],[Situación Actual]])</f>
        <v>TC-1685Rodando</v>
      </c>
    </row>
    <row r="361" spans="1:51" ht="12" x14ac:dyDescent="0.25">
      <c r="A361" s="227" t="s">
        <v>185</v>
      </c>
      <c r="B361" s="217" t="s">
        <v>186</v>
      </c>
      <c r="C361" s="228" t="s">
        <v>296</v>
      </c>
      <c r="D361" s="229" t="s">
        <v>61</v>
      </c>
      <c r="E361" s="255"/>
      <c r="F361" s="256" t="s">
        <v>71</v>
      </c>
      <c r="G361" s="256" t="s">
        <v>271</v>
      </c>
      <c r="H361" s="257" t="str">
        <f>IF(BASE_DATOS[[#This Row],[N-R]]="N",BASE_DATOS[[#This Row],[Diseño]],"Reencauche")</f>
        <v>KMAXD</v>
      </c>
      <c r="I361" s="256" t="s">
        <v>294</v>
      </c>
      <c r="J361" s="243" t="s">
        <v>72</v>
      </c>
      <c r="K361" s="258">
        <v>22.2</v>
      </c>
      <c r="L361" s="241">
        <v>110</v>
      </c>
      <c r="M361" s="259"/>
      <c r="N361" s="260"/>
      <c r="O361" s="277"/>
      <c r="P361" s="278"/>
      <c r="Q361" s="279"/>
      <c r="R361" s="309" t="s">
        <v>103</v>
      </c>
      <c r="S361" s="310">
        <v>45386</v>
      </c>
      <c r="T361" s="313"/>
      <c r="U361" s="279"/>
      <c r="V361" s="227">
        <v>16</v>
      </c>
      <c r="W361" s="281"/>
      <c r="X361" s="282">
        <v>16</v>
      </c>
      <c r="Y361" s="293">
        <f t="shared" si="15"/>
        <v>16</v>
      </c>
      <c r="Z361" s="175" t="s">
        <v>85</v>
      </c>
      <c r="AA361" s="342">
        <f>IFERROR(BASE_DATOS[[#This Row],[NSK Original]]-BASE_DATOS[[#This Row],[NSK]]," ")</f>
        <v>6.1999999999999993</v>
      </c>
      <c r="AB361" s="343">
        <f>'NSK-TRACTO'!$A$2</f>
        <v>6</v>
      </c>
      <c r="AC361" s="343">
        <f>IF(BASE_DATOS[[#This Row],[NSK]]&gt;=BASE_DATOS[[#This Row],[NSK Reen]],BASE_DATOS[[#This Row],[NSK Reen]],BASE_DATOS[[#This Row],[NSK]])</f>
        <v>6</v>
      </c>
      <c r="AD361" s="344">
        <f>IFERROR(100%-(BASE_DATOS[[#This Row],[NSK Reen]]/BASE_DATOS[[#This Row],[NSK Original]]),"")</f>
        <v>0.72972972972972971</v>
      </c>
      <c r="AE361" s="344">
        <f>IFERROR(100%-BASE_DATOS[[#This Row],[NSK]]/BASE_DATOS[[#This Row],[NSK Original]],"")</f>
        <v>0.2792792792792792</v>
      </c>
      <c r="AF361" s="344">
        <f>IFERROR(BASE_DATOS[[#This Row],[% Max Des.]]-BASE_DATOS[[#This Row],[% Des]],"")</f>
        <v>0.45045045045045051</v>
      </c>
      <c r="AG361" s="287"/>
      <c r="AH361" s="273"/>
      <c r="AI361" s="363" t="str">
        <f>IF(OR(BASE_DATOS[[#This Row],[Hr.]]="",BASE_DATOS[[#This Row],[Hr. Actual]]=""),"",BASE_DATOS[[#This Row],[Hr. Actual]]-BASE_DATOS[[#This Row],[Hr.]]+BASE_DATOS[[#This Row],[Horas Acumuladas]])</f>
        <v/>
      </c>
      <c r="AJ361" s="364" t="str">
        <f>IFERROR(BASE_DATOS[[#This Row],[Precio US$]]/BASE_DATOS[[#This Row],[Horas Rodadas]],"")</f>
        <v/>
      </c>
      <c r="AK361" s="365" t="str">
        <f>IFERROR(BASE_DATOS[[#This Row],[Horas Rodadas]]/(BASE_DATOS[[#This Row],[NSK Original]]-BASE_DATOS[[#This Row],[NSK]]),"")</f>
        <v/>
      </c>
      <c r="AL36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61" s="366" t="str">
        <f>IFERROR(BASE_DATOS[[#This Row],[Precio US$]]/BASE_DATOS[[#This Row],[Horas Proy.]],"")</f>
        <v/>
      </c>
      <c r="AN361" s="176" t="str">
        <f>IF(OR(BASE_DATOS[[#This Row],[Km.]]="",BASE_DATOS[[#This Row],[Km. Actual]]=""),"",BASE_DATOS[[#This Row],[Km. Actual]]-BASE_DATOS[[#This Row],[Km.]]+BASE_DATOS[[#This Row],[Kilómetros Acumulados]])</f>
        <v/>
      </c>
      <c r="AO361" s="177" t="str">
        <f>IFERROR(BASE_DATOS[[#This Row],[Precio US$]]/BASE_DATOS[[#This Row],[Kilómetros Rodados]],"")</f>
        <v/>
      </c>
      <c r="AP361" s="176" t="str">
        <f>IFERROR(BASE_DATOS[[#This Row],[Kilómetros Rodados]]/(BASE_DATOS[[#This Row],[NSK Original]]-BASE_DATOS[[#This Row],[NSK]]),"")</f>
        <v/>
      </c>
      <c r="AQ36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61" s="177" t="str">
        <f>IFERROR(BASE_DATOS[[#This Row],[Precio US$]]/BASE_DATOS[[#This Row],[Kilómetros Proy.]],"")</f>
        <v/>
      </c>
      <c r="AS361" s="167" t="s">
        <v>62</v>
      </c>
      <c r="AT361" s="167"/>
      <c r="AU361" s="167"/>
      <c r="AV361" s="167"/>
      <c r="AW361" s="179"/>
      <c r="AX361" s="179"/>
      <c r="AY361" s="179" t="str">
        <f>CONCATENATE(BASE_DATOS[[#This Row],[Código_U]]&amp;BASE_DATOS[[#This Row],[Pos.]]&amp;BASE_DATOS[[#This Row],[Situación Actual]])</f>
        <v>TC-1686Rodando</v>
      </c>
    </row>
    <row r="362" spans="1:51" ht="12" x14ac:dyDescent="0.25">
      <c r="A362" s="227" t="s">
        <v>185</v>
      </c>
      <c r="B362" s="217" t="s">
        <v>186</v>
      </c>
      <c r="C362" s="228" t="s">
        <v>296</v>
      </c>
      <c r="D362" s="229" t="s">
        <v>61</v>
      </c>
      <c r="E362" s="255"/>
      <c r="F362" s="256" t="s">
        <v>71</v>
      </c>
      <c r="G362" s="256" t="s">
        <v>271</v>
      </c>
      <c r="H362" s="257" t="str">
        <f>IF(BASE_DATOS[[#This Row],[N-R]]="N",BASE_DATOS[[#This Row],[Diseño]],"Reencauche")</f>
        <v>KMAXD</v>
      </c>
      <c r="I362" s="256" t="s">
        <v>294</v>
      </c>
      <c r="J362" s="243" t="s">
        <v>72</v>
      </c>
      <c r="K362" s="258">
        <v>22.2</v>
      </c>
      <c r="L362" s="241">
        <v>110</v>
      </c>
      <c r="M362" s="259"/>
      <c r="N362" s="260"/>
      <c r="O362" s="277"/>
      <c r="P362" s="278"/>
      <c r="Q362" s="279"/>
      <c r="R362" s="309" t="s">
        <v>104</v>
      </c>
      <c r="S362" s="310">
        <v>45386</v>
      </c>
      <c r="T362" s="313"/>
      <c r="U362" s="279"/>
      <c r="V362" s="227">
        <v>16</v>
      </c>
      <c r="W362" s="281"/>
      <c r="X362" s="282">
        <v>16</v>
      </c>
      <c r="Y362" s="293">
        <f t="shared" si="15"/>
        <v>16</v>
      </c>
      <c r="Z362" s="175" t="s">
        <v>85</v>
      </c>
      <c r="AA362" s="342">
        <f>IFERROR(BASE_DATOS[[#This Row],[NSK Original]]-BASE_DATOS[[#This Row],[NSK]]," ")</f>
        <v>6.1999999999999993</v>
      </c>
      <c r="AB362" s="343">
        <f>'NSK-TRACTO'!$A$2</f>
        <v>6</v>
      </c>
      <c r="AC362" s="343">
        <f>IF(BASE_DATOS[[#This Row],[NSK]]&gt;=BASE_DATOS[[#This Row],[NSK Reen]],BASE_DATOS[[#This Row],[NSK Reen]],BASE_DATOS[[#This Row],[NSK]])</f>
        <v>6</v>
      </c>
      <c r="AD362" s="344">
        <f>IFERROR(100%-(BASE_DATOS[[#This Row],[NSK Reen]]/BASE_DATOS[[#This Row],[NSK Original]]),"")</f>
        <v>0.72972972972972971</v>
      </c>
      <c r="AE362" s="344">
        <f>IFERROR(100%-BASE_DATOS[[#This Row],[NSK]]/BASE_DATOS[[#This Row],[NSK Original]],"")</f>
        <v>0.2792792792792792</v>
      </c>
      <c r="AF362" s="344">
        <f>IFERROR(BASE_DATOS[[#This Row],[% Max Des.]]-BASE_DATOS[[#This Row],[% Des]],"")</f>
        <v>0.45045045045045051</v>
      </c>
      <c r="AG362" s="287"/>
      <c r="AH362" s="273"/>
      <c r="AI362" s="363" t="str">
        <f>IF(OR(BASE_DATOS[[#This Row],[Hr.]]="",BASE_DATOS[[#This Row],[Hr. Actual]]=""),"",BASE_DATOS[[#This Row],[Hr. Actual]]-BASE_DATOS[[#This Row],[Hr.]]+BASE_DATOS[[#This Row],[Horas Acumuladas]])</f>
        <v/>
      </c>
      <c r="AJ362" s="364" t="str">
        <f>IFERROR(BASE_DATOS[[#This Row],[Precio US$]]/BASE_DATOS[[#This Row],[Horas Rodadas]],"")</f>
        <v/>
      </c>
      <c r="AK362" s="365" t="str">
        <f>IFERROR(BASE_DATOS[[#This Row],[Horas Rodadas]]/(BASE_DATOS[[#This Row],[NSK Original]]-BASE_DATOS[[#This Row],[NSK]]),"")</f>
        <v/>
      </c>
      <c r="AL36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62" s="366" t="str">
        <f>IFERROR(BASE_DATOS[[#This Row],[Precio US$]]/BASE_DATOS[[#This Row],[Horas Proy.]],"")</f>
        <v/>
      </c>
      <c r="AN362" s="176" t="str">
        <f>IF(OR(BASE_DATOS[[#This Row],[Km.]]="",BASE_DATOS[[#This Row],[Km. Actual]]=""),"",BASE_DATOS[[#This Row],[Km. Actual]]-BASE_DATOS[[#This Row],[Km.]]+BASE_DATOS[[#This Row],[Kilómetros Acumulados]])</f>
        <v/>
      </c>
      <c r="AO362" s="177" t="str">
        <f>IFERROR(BASE_DATOS[[#This Row],[Precio US$]]/BASE_DATOS[[#This Row],[Kilómetros Rodados]],"")</f>
        <v/>
      </c>
      <c r="AP362" s="176" t="str">
        <f>IFERROR(BASE_DATOS[[#This Row],[Kilómetros Rodados]]/(BASE_DATOS[[#This Row],[NSK Original]]-BASE_DATOS[[#This Row],[NSK]]),"")</f>
        <v/>
      </c>
      <c r="AQ36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62" s="177" t="str">
        <f>IFERROR(BASE_DATOS[[#This Row],[Precio US$]]/BASE_DATOS[[#This Row],[Kilómetros Proy.]],"")</f>
        <v/>
      </c>
      <c r="AS362" s="167" t="s">
        <v>62</v>
      </c>
      <c r="AT362" s="167"/>
      <c r="AU362" s="167"/>
      <c r="AV362" s="167"/>
      <c r="AW362" s="179"/>
      <c r="AX362" s="179"/>
      <c r="AY362" s="179" t="str">
        <f>CONCATENATE(BASE_DATOS[[#This Row],[Código_U]]&amp;BASE_DATOS[[#This Row],[Pos.]]&amp;BASE_DATOS[[#This Row],[Situación Actual]])</f>
        <v>TC-1687Rodando</v>
      </c>
    </row>
    <row r="363" spans="1:51" ht="12" x14ac:dyDescent="0.25">
      <c r="A363" s="227" t="s">
        <v>185</v>
      </c>
      <c r="B363" s="217" t="s">
        <v>186</v>
      </c>
      <c r="C363" s="228" t="s">
        <v>296</v>
      </c>
      <c r="D363" s="229" t="s">
        <v>61</v>
      </c>
      <c r="E363" s="255"/>
      <c r="F363" s="256" t="s">
        <v>71</v>
      </c>
      <c r="G363" s="256" t="s">
        <v>271</v>
      </c>
      <c r="H363" s="257" t="str">
        <f>IF(BASE_DATOS[[#This Row],[N-R]]="N",BASE_DATOS[[#This Row],[Diseño]],"Reencauche")</f>
        <v>KMAXD</v>
      </c>
      <c r="I363" s="256" t="s">
        <v>294</v>
      </c>
      <c r="J363" s="243" t="s">
        <v>72</v>
      </c>
      <c r="K363" s="258">
        <v>22.2</v>
      </c>
      <c r="L363" s="241">
        <v>110</v>
      </c>
      <c r="M363" s="259"/>
      <c r="N363" s="260"/>
      <c r="O363" s="277"/>
      <c r="P363" s="278"/>
      <c r="Q363" s="279"/>
      <c r="R363" s="309" t="s">
        <v>105</v>
      </c>
      <c r="S363" s="310">
        <v>45386</v>
      </c>
      <c r="T363" s="313"/>
      <c r="U363" s="279"/>
      <c r="V363" s="227">
        <v>16</v>
      </c>
      <c r="W363" s="281"/>
      <c r="X363" s="282">
        <v>16</v>
      </c>
      <c r="Y363" s="293">
        <f t="shared" si="15"/>
        <v>16</v>
      </c>
      <c r="Z363" s="175" t="s">
        <v>85</v>
      </c>
      <c r="AA363" s="342">
        <f>IFERROR(BASE_DATOS[[#This Row],[NSK Original]]-BASE_DATOS[[#This Row],[NSK]]," ")</f>
        <v>6.1999999999999993</v>
      </c>
      <c r="AB363" s="343">
        <f>'NSK-TRACTO'!$A$2</f>
        <v>6</v>
      </c>
      <c r="AC363" s="343">
        <f>IF(BASE_DATOS[[#This Row],[NSK]]&gt;=BASE_DATOS[[#This Row],[NSK Reen]],BASE_DATOS[[#This Row],[NSK Reen]],BASE_DATOS[[#This Row],[NSK]])</f>
        <v>6</v>
      </c>
      <c r="AD363" s="344">
        <f>IFERROR(100%-(BASE_DATOS[[#This Row],[NSK Reen]]/BASE_DATOS[[#This Row],[NSK Original]]),"")</f>
        <v>0.72972972972972971</v>
      </c>
      <c r="AE363" s="344">
        <f>IFERROR(100%-BASE_DATOS[[#This Row],[NSK]]/BASE_DATOS[[#This Row],[NSK Original]],"")</f>
        <v>0.2792792792792792</v>
      </c>
      <c r="AF363" s="344">
        <f>IFERROR(BASE_DATOS[[#This Row],[% Max Des.]]-BASE_DATOS[[#This Row],[% Des]],"")</f>
        <v>0.45045045045045051</v>
      </c>
      <c r="AG363" s="287"/>
      <c r="AH363" s="273"/>
      <c r="AI363" s="363" t="str">
        <f>IF(OR(BASE_DATOS[[#This Row],[Hr.]]="",BASE_DATOS[[#This Row],[Hr. Actual]]=""),"",BASE_DATOS[[#This Row],[Hr. Actual]]-BASE_DATOS[[#This Row],[Hr.]]+BASE_DATOS[[#This Row],[Horas Acumuladas]])</f>
        <v/>
      </c>
      <c r="AJ363" s="364" t="str">
        <f>IFERROR(BASE_DATOS[[#This Row],[Precio US$]]/BASE_DATOS[[#This Row],[Horas Rodadas]],"")</f>
        <v/>
      </c>
      <c r="AK363" s="365" t="str">
        <f>IFERROR(BASE_DATOS[[#This Row],[Horas Rodadas]]/(BASE_DATOS[[#This Row],[NSK Original]]-BASE_DATOS[[#This Row],[NSK]]),"")</f>
        <v/>
      </c>
      <c r="AL36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63" s="366" t="str">
        <f>IFERROR(BASE_DATOS[[#This Row],[Precio US$]]/BASE_DATOS[[#This Row],[Horas Proy.]],"")</f>
        <v/>
      </c>
      <c r="AN363" s="176" t="str">
        <f>IF(OR(BASE_DATOS[[#This Row],[Km.]]="",BASE_DATOS[[#This Row],[Km. Actual]]=""),"",BASE_DATOS[[#This Row],[Km. Actual]]-BASE_DATOS[[#This Row],[Km.]]+BASE_DATOS[[#This Row],[Kilómetros Acumulados]])</f>
        <v/>
      </c>
      <c r="AO363" s="177" t="str">
        <f>IFERROR(BASE_DATOS[[#This Row],[Precio US$]]/BASE_DATOS[[#This Row],[Kilómetros Rodados]],"")</f>
        <v/>
      </c>
      <c r="AP363" s="176" t="str">
        <f>IFERROR(BASE_DATOS[[#This Row],[Kilómetros Rodados]]/(BASE_DATOS[[#This Row],[NSK Original]]-BASE_DATOS[[#This Row],[NSK]]),"")</f>
        <v/>
      </c>
      <c r="AQ36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63" s="177" t="str">
        <f>IFERROR(BASE_DATOS[[#This Row],[Precio US$]]/BASE_DATOS[[#This Row],[Kilómetros Proy.]],"")</f>
        <v/>
      </c>
      <c r="AS363" s="167" t="s">
        <v>62</v>
      </c>
      <c r="AT363" s="167"/>
      <c r="AU363" s="167"/>
      <c r="AV363" s="167"/>
      <c r="AW363" s="179"/>
      <c r="AX363" s="179"/>
      <c r="AY363" s="179" t="str">
        <f>CONCATENATE(BASE_DATOS[[#This Row],[Código_U]]&amp;BASE_DATOS[[#This Row],[Pos.]]&amp;BASE_DATOS[[#This Row],[Situación Actual]])</f>
        <v>TC-1688Rodando</v>
      </c>
    </row>
    <row r="364" spans="1:51" ht="12" x14ac:dyDescent="0.25">
      <c r="A364" s="227" t="s">
        <v>185</v>
      </c>
      <c r="B364" s="217" t="s">
        <v>186</v>
      </c>
      <c r="C364" s="228" t="s">
        <v>296</v>
      </c>
      <c r="D364" s="229" t="s">
        <v>61</v>
      </c>
      <c r="E364" s="255"/>
      <c r="F364" s="256" t="s">
        <v>71</v>
      </c>
      <c r="G364" s="256" t="s">
        <v>271</v>
      </c>
      <c r="H364" s="257" t="str">
        <f>IF(BASE_DATOS[[#This Row],[N-R]]="N",BASE_DATOS[[#This Row],[Diseño]],"Reencauche")</f>
        <v>KMAXD</v>
      </c>
      <c r="I364" s="256" t="s">
        <v>294</v>
      </c>
      <c r="J364" s="243" t="s">
        <v>72</v>
      </c>
      <c r="K364" s="258">
        <v>22.2</v>
      </c>
      <c r="L364" s="241">
        <v>110</v>
      </c>
      <c r="M364" s="259"/>
      <c r="N364" s="260"/>
      <c r="O364" s="277"/>
      <c r="P364" s="278"/>
      <c r="Q364" s="279"/>
      <c r="R364" s="309" t="s">
        <v>106</v>
      </c>
      <c r="S364" s="310">
        <v>45386</v>
      </c>
      <c r="T364" s="313"/>
      <c r="U364" s="279"/>
      <c r="V364" s="227">
        <v>15</v>
      </c>
      <c r="W364" s="281"/>
      <c r="X364" s="282">
        <v>15</v>
      </c>
      <c r="Y364" s="293">
        <f t="shared" si="15"/>
        <v>15</v>
      </c>
      <c r="Z364" s="161" t="s">
        <v>73</v>
      </c>
      <c r="AA364" s="342">
        <f>IFERROR(BASE_DATOS[[#This Row],[NSK Original]]-BASE_DATOS[[#This Row],[NSK]]," ")</f>
        <v>7.1999999999999993</v>
      </c>
      <c r="AB364" s="343">
        <f>'NSK-TRACTO'!$A$2</f>
        <v>6</v>
      </c>
      <c r="AC364" s="343">
        <f>IF(BASE_DATOS[[#This Row],[NSK]]&gt;=BASE_DATOS[[#This Row],[NSK Reen]],BASE_DATOS[[#This Row],[NSK Reen]],BASE_DATOS[[#This Row],[NSK]])</f>
        <v>6</v>
      </c>
      <c r="AD364" s="344">
        <f>IFERROR(100%-(BASE_DATOS[[#This Row],[NSK Reen]]/BASE_DATOS[[#This Row],[NSK Original]]),"")</f>
        <v>0.72972972972972971</v>
      </c>
      <c r="AE364" s="344">
        <f>IFERROR(100%-BASE_DATOS[[#This Row],[NSK]]/BASE_DATOS[[#This Row],[NSK Original]],"")</f>
        <v>0.32432432432432434</v>
      </c>
      <c r="AF364" s="344">
        <f>IFERROR(BASE_DATOS[[#This Row],[% Max Des.]]-BASE_DATOS[[#This Row],[% Des]],"")</f>
        <v>0.40540540540540537</v>
      </c>
      <c r="AG364" s="287"/>
      <c r="AH364" s="273"/>
      <c r="AI364" s="363" t="str">
        <f>IF(OR(BASE_DATOS[[#This Row],[Hr.]]="",BASE_DATOS[[#This Row],[Hr. Actual]]=""),"",BASE_DATOS[[#This Row],[Hr. Actual]]-BASE_DATOS[[#This Row],[Hr.]]+BASE_DATOS[[#This Row],[Horas Acumuladas]])</f>
        <v/>
      </c>
      <c r="AJ364" s="364" t="str">
        <f>IFERROR(BASE_DATOS[[#This Row],[Precio US$]]/BASE_DATOS[[#This Row],[Horas Rodadas]],"")</f>
        <v/>
      </c>
      <c r="AK364" s="365" t="str">
        <f>IFERROR(BASE_DATOS[[#This Row],[Horas Rodadas]]/(BASE_DATOS[[#This Row],[NSK Original]]-BASE_DATOS[[#This Row],[NSK]]),"")</f>
        <v/>
      </c>
      <c r="AL36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64" s="366" t="str">
        <f>IFERROR(BASE_DATOS[[#This Row],[Precio US$]]/BASE_DATOS[[#This Row],[Horas Proy.]],"")</f>
        <v/>
      </c>
      <c r="AN364" s="176" t="str">
        <f>IF(OR(BASE_DATOS[[#This Row],[Km.]]="",BASE_DATOS[[#This Row],[Km. Actual]]=""),"",BASE_DATOS[[#This Row],[Km. Actual]]-BASE_DATOS[[#This Row],[Km.]]+BASE_DATOS[[#This Row],[Kilómetros Acumulados]])</f>
        <v/>
      </c>
      <c r="AO364" s="177" t="str">
        <f>IFERROR(BASE_DATOS[[#This Row],[Precio US$]]/BASE_DATOS[[#This Row],[Kilómetros Rodados]],"")</f>
        <v/>
      </c>
      <c r="AP364" s="176" t="str">
        <f>IFERROR(BASE_DATOS[[#This Row],[Kilómetros Rodados]]/(BASE_DATOS[[#This Row],[NSK Original]]-BASE_DATOS[[#This Row],[NSK]]),"")</f>
        <v/>
      </c>
      <c r="AQ36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64" s="177" t="str">
        <f>IFERROR(BASE_DATOS[[#This Row],[Precio US$]]/BASE_DATOS[[#This Row],[Kilómetros Proy.]],"")</f>
        <v/>
      </c>
      <c r="AS364" s="167" t="s">
        <v>62</v>
      </c>
      <c r="AT364" s="167"/>
      <c r="AU364" s="167"/>
      <c r="AV364" s="167"/>
      <c r="AW364" s="179"/>
      <c r="AX364" s="179"/>
      <c r="AY364" s="179" t="str">
        <f>CONCATENATE(BASE_DATOS[[#This Row],[Código_U]]&amp;BASE_DATOS[[#This Row],[Pos.]]&amp;BASE_DATOS[[#This Row],[Situación Actual]])</f>
        <v>TC-1689Rodando</v>
      </c>
    </row>
    <row r="365" spans="1:51" ht="12" x14ac:dyDescent="0.25">
      <c r="A365" s="227" t="s">
        <v>185</v>
      </c>
      <c r="B365" s="217" t="s">
        <v>186</v>
      </c>
      <c r="C365" s="228" t="s">
        <v>296</v>
      </c>
      <c r="D365" s="229" t="s">
        <v>61</v>
      </c>
      <c r="E365" s="255"/>
      <c r="F365" s="256" t="s">
        <v>71</v>
      </c>
      <c r="G365" s="256" t="s">
        <v>271</v>
      </c>
      <c r="H365" s="257" t="str">
        <f>IF(BASE_DATOS[[#This Row],[N-R]]="N",BASE_DATOS[[#This Row],[Diseño]],"Reencauche")</f>
        <v>KMAXD</v>
      </c>
      <c r="I365" s="256" t="s">
        <v>294</v>
      </c>
      <c r="J365" s="243" t="s">
        <v>72</v>
      </c>
      <c r="K365" s="258">
        <v>22.2</v>
      </c>
      <c r="L365" s="241">
        <v>110</v>
      </c>
      <c r="M365" s="259"/>
      <c r="N365" s="260"/>
      <c r="O365" s="277"/>
      <c r="P365" s="278"/>
      <c r="Q365" s="279"/>
      <c r="R365" s="309" t="s">
        <v>107</v>
      </c>
      <c r="S365" s="310">
        <v>45386</v>
      </c>
      <c r="T365" s="313"/>
      <c r="U365" s="279"/>
      <c r="V365" s="227">
        <v>15</v>
      </c>
      <c r="W365" s="281"/>
      <c r="X365" s="282">
        <v>15</v>
      </c>
      <c r="Y365" s="293">
        <f t="shared" si="15"/>
        <v>15</v>
      </c>
      <c r="Z365" s="175" t="s">
        <v>85</v>
      </c>
      <c r="AA365" s="342">
        <f>IFERROR(BASE_DATOS[[#This Row],[NSK Original]]-BASE_DATOS[[#This Row],[NSK]]," ")</f>
        <v>7.1999999999999993</v>
      </c>
      <c r="AB365" s="343">
        <f>'NSK-TRACTO'!$A$2</f>
        <v>6</v>
      </c>
      <c r="AC365" s="343">
        <f>IF(BASE_DATOS[[#This Row],[NSK]]&gt;=BASE_DATOS[[#This Row],[NSK Reen]],BASE_DATOS[[#This Row],[NSK Reen]],BASE_DATOS[[#This Row],[NSK]])</f>
        <v>6</v>
      </c>
      <c r="AD365" s="344">
        <f>IFERROR(100%-(BASE_DATOS[[#This Row],[NSK Reen]]/BASE_DATOS[[#This Row],[NSK Original]]),"")</f>
        <v>0.72972972972972971</v>
      </c>
      <c r="AE365" s="344">
        <f>IFERROR(100%-BASE_DATOS[[#This Row],[NSK]]/BASE_DATOS[[#This Row],[NSK Original]],"")</f>
        <v>0.32432432432432434</v>
      </c>
      <c r="AF365" s="344">
        <f>IFERROR(BASE_DATOS[[#This Row],[% Max Des.]]-BASE_DATOS[[#This Row],[% Des]],"")</f>
        <v>0.40540540540540537</v>
      </c>
      <c r="AG365" s="287"/>
      <c r="AH365" s="273"/>
      <c r="AI365" s="363" t="str">
        <f>IF(OR(BASE_DATOS[[#This Row],[Hr.]]="",BASE_DATOS[[#This Row],[Hr. Actual]]=""),"",BASE_DATOS[[#This Row],[Hr. Actual]]-BASE_DATOS[[#This Row],[Hr.]]+BASE_DATOS[[#This Row],[Horas Acumuladas]])</f>
        <v/>
      </c>
      <c r="AJ365" s="364" t="str">
        <f>IFERROR(BASE_DATOS[[#This Row],[Precio US$]]/BASE_DATOS[[#This Row],[Horas Rodadas]],"")</f>
        <v/>
      </c>
      <c r="AK365" s="365" t="str">
        <f>IFERROR(BASE_DATOS[[#This Row],[Horas Rodadas]]/(BASE_DATOS[[#This Row],[NSK Original]]-BASE_DATOS[[#This Row],[NSK]]),"")</f>
        <v/>
      </c>
      <c r="AL36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65" s="366" t="str">
        <f>IFERROR(BASE_DATOS[[#This Row],[Precio US$]]/BASE_DATOS[[#This Row],[Horas Proy.]],"")</f>
        <v/>
      </c>
      <c r="AN365" s="176" t="str">
        <f>IF(OR(BASE_DATOS[[#This Row],[Km.]]="",BASE_DATOS[[#This Row],[Km. Actual]]=""),"",BASE_DATOS[[#This Row],[Km. Actual]]-BASE_DATOS[[#This Row],[Km.]]+BASE_DATOS[[#This Row],[Kilómetros Acumulados]])</f>
        <v/>
      </c>
      <c r="AO365" s="177" t="str">
        <f>IFERROR(BASE_DATOS[[#This Row],[Precio US$]]/BASE_DATOS[[#This Row],[Kilómetros Rodados]],"")</f>
        <v/>
      </c>
      <c r="AP365" s="176" t="str">
        <f>IFERROR(BASE_DATOS[[#This Row],[Kilómetros Rodados]]/(BASE_DATOS[[#This Row],[NSK Original]]-BASE_DATOS[[#This Row],[NSK]]),"")</f>
        <v/>
      </c>
      <c r="AQ36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65" s="177" t="str">
        <f>IFERROR(BASE_DATOS[[#This Row],[Precio US$]]/BASE_DATOS[[#This Row],[Kilómetros Proy.]],"")</f>
        <v/>
      </c>
      <c r="AS365" s="167" t="s">
        <v>62</v>
      </c>
      <c r="AT365" s="167"/>
      <c r="AU365" s="167"/>
      <c r="AV365" s="167"/>
      <c r="AW365" s="179"/>
      <c r="AX365" s="179"/>
      <c r="AY365" s="179" t="str">
        <f>CONCATENATE(BASE_DATOS[[#This Row],[Código_U]]&amp;BASE_DATOS[[#This Row],[Pos.]]&amp;BASE_DATOS[[#This Row],[Situación Actual]])</f>
        <v>TC-16810Rodando</v>
      </c>
    </row>
    <row r="366" spans="1:51" ht="12" x14ac:dyDescent="0.25">
      <c r="A366" s="224" t="s">
        <v>187</v>
      </c>
      <c r="B366" s="213" t="s">
        <v>188</v>
      </c>
      <c r="C366" s="225" t="s">
        <v>295</v>
      </c>
      <c r="D366" s="226" t="s">
        <v>87</v>
      </c>
      <c r="E366" s="249"/>
      <c r="F366" s="250" t="s">
        <v>97</v>
      </c>
      <c r="G366" s="250" t="s">
        <v>269</v>
      </c>
      <c r="H366" s="251" t="str">
        <f>IF(BASE_DATOS[[#This Row],[N-R]]="N",BASE_DATOS[[#This Row],[Diseño]],"Reencauche")</f>
        <v>Reencauche</v>
      </c>
      <c r="I366" s="250" t="s">
        <v>275</v>
      </c>
      <c r="J366" s="235" t="s">
        <v>82</v>
      </c>
      <c r="K366" s="252">
        <v>21</v>
      </c>
      <c r="L366" s="250">
        <v>110</v>
      </c>
      <c r="M366" s="253"/>
      <c r="N366" s="254"/>
      <c r="O366" s="274"/>
      <c r="P366" s="275"/>
      <c r="Q366" s="276"/>
      <c r="R366" s="305" t="s">
        <v>98</v>
      </c>
      <c r="S366" s="306">
        <v>45386</v>
      </c>
      <c r="T366" s="314"/>
      <c r="U366" s="276"/>
      <c r="V366" s="224">
        <v>17</v>
      </c>
      <c r="W366" s="325">
        <v>17</v>
      </c>
      <c r="X366" s="326">
        <v>17</v>
      </c>
      <c r="Y366" s="292">
        <f t="shared" si="15"/>
        <v>17</v>
      </c>
      <c r="Z366" s="194" t="s">
        <v>85</v>
      </c>
      <c r="AA366" s="339">
        <f>IFERROR(BASE_DATOS[[#This Row],[NSK Original]]-BASE_DATOS[[#This Row],[NSK]]," ")</f>
        <v>4</v>
      </c>
      <c r="AB366" s="340">
        <f>'NSK-TRACTO'!$A$2</f>
        <v>6</v>
      </c>
      <c r="AC366" s="340">
        <f>IF(BASE_DATOS[[#This Row],[NSK]]&gt;=BASE_DATOS[[#This Row],[NSK Reen]],BASE_DATOS[[#This Row],[NSK Reen]],BASE_DATOS[[#This Row],[NSK]])</f>
        <v>6</v>
      </c>
      <c r="AD366" s="341">
        <f>IFERROR(100%-(BASE_DATOS[[#This Row],[NSK Reen]]/BASE_DATOS[[#This Row],[NSK Original]]),"")</f>
        <v>0.7142857142857143</v>
      </c>
      <c r="AE366" s="341">
        <f>IFERROR(100%-BASE_DATOS[[#This Row],[NSK]]/BASE_DATOS[[#This Row],[NSK Original]],"")</f>
        <v>0.19047619047619047</v>
      </c>
      <c r="AF366" s="341">
        <f>IFERROR(BASE_DATOS[[#This Row],[% Max Des.]]-BASE_DATOS[[#This Row],[% Des]],"")</f>
        <v>0.52380952380952384</v>
      </c>
      <c r="AG366" s="284"/>
      <c r="AH366" s="335"/>
      <c r="AI366" s="359" t="str">
        <f>IF(OR(BASE_DATOS[[#This Row],[Hr.]]="",BASE_DATOS[[#This Row],[Hr. Actual]]=""),"",BASE_DATOS[[#This Row],[Hr. Actual]]-BASE_DATOS[[#This Row],[Hr.]]+BASE_DATOS[[#This Row],[Horas Acumuladas]])</f>
        <v/>
      </c>
      <c r="AJ366" s="360" t="str">
        <f>IFERROR(BASE_DATOS[[#This Row],[Precio US$]]/BASE_DATOS[[#This Row],[Horas Rodadas]],"")</f>
        <v/>
      </c>
      <c r="AK366" s="361" t="str">
        <f>IFERROR(BASE_DATOS[[#This Row],[Horas Rodadas]]/(BASE_DATOS[[#This Row],[NSK Original]]-BASE_DATOS[[#This Row],[NSK]]),"")</f>
        <v/>
      </c>
      <c r="AL366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66" s="362" t="str">
        <f>IFERROR(BASE_DATOS[[#This Row],[Precio US$]]/BASE_DATOS[[#This Row],[Horas Proy.]],"")</f>
        <v/>
      </c>
      <c r="AN366" s="195" t="str">
        <f>IF(OR(BASE_DATOS[[#This Row],[Km.]]="",BASE_DATOS[[#This Row],[Km. Actual]]=""),"",BASE_DATOS[[#This Row],[Km. Actual]]-BASE_DATOS[[#This Row],[Km.]]+BASE_DATOS[[#This Row],[Kilómetros Acumulados]])</f>
        <v/>
      </c>
      <c r="AO366" s="196" t="str">
        <f>IFERROR(BASE_DATOS[[#This Row],[Precio US$]]/BASE_DATOS[[#This Row],[Kilómetros Rodados]],"")</f>
        <v/>
      </c>
      <c r="AP366" s="195" t="str">
        <f>IFERROR(BASE_DATOS[[#This Row],[Kilómetros Rodados]]/(BASE_DATOS[[#This Row],[NSK Original]]-BASE_DATOS[[#This Row],[NSK]]),"")</f>
        <v/>
      </c>
      <c r="AQ366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66" s="196" t="str">
        <f>IFERROR(BASE_DATOS[[#This Row],[Precio US$]]/BASE_DATOS[[#This Row],[Kilómetros Proy.]],"")</f>
        <v/>
      </c>
      <c r="AS366" s="191" t="s">
        <v>62</v>
      </c>
      <c r="AT366" s="191"/>
      <c r="AU366" s="191"/>
      <c r="AV366" s="191"/>
      <c r="AW366" s="198"/>
      <c r="AX366" s="198"/>
      <c r="AY366" s="198" t="str">
        <f>CONCATENATE(BASE_DATOS[[#This Row],[Código_U]]&amp;BASE_DATOS[[#This Row],[Pos.]]&amp;BASE_DATOS[[#This Row],[Situación Actual]])</f>
        <v>SR-1681Rodando</v>
      </c>
    </row>
    <row r="367" spans="1:51" ht="12" x14ac:dyDescent="0.25">
      <c r="A367" s="227" t="s">
        <v>187</v>
      </c>
      <c r="B367" s="217" t="s">
        <v>188</v>
      </c>
      <c r="C367" s="228" t="s">
        <v>295</v>
      </c>
      <c r="D367" s="229" t="s">
        <v>87</v>
      </c>
      <c r="E367" s="255"/>
      <c r="F367" s="256" t="s">
        <v>97</v>
      </c>
      <c r="G367" s="256" t="s">
        <v>269</v>
      </c>
      <c r="H367" s="257" t="str">
        <f>IF(BASE_DATOS[[#This Row],[N-R]]="N",BASE_DATOS[[#This Row],[Diseño]],"Reencauche")</f>
        <v>AGC28</v>
      </c>
      <c r="I367" s="256" t="s">
        <v>270</v>
      </c>
      <c r="J367" s="243" t="s">
        <v>72</v>
      </c>
      <c r="K367" s="258">
        <v>16.5</v>
      </c>
      <c r="L367" s="256">
        <v>110</v>
      </c>
      <c r="M367" s="259"/>
      <c r="N367" s="260"/>
      <c r="O367" s="277"/>
      <c r="P367" s="278"/>
      <c r="Q367" s="279"/>
      <c r="R367" s="309" t="s">
        <v>99</v>
      </c>
      <c r="S367" s="310">
        <v>45386</v>
      </c>
      <c r="T367" s="313"/>
      <c r="U367" s="279"/>
      <c r="V367" s="227">
        <v>12</v>
      </c>
      <c r="W367" s="281">
        <v>12</v>
      </c>
      <c r="X367" s="282">
        <v>12</v>
      </c>
      <c r="Y367" s="293">
        <f t="shared" si="15"/>
        <v>12</v>
      </c>
      <c r="Z367" s="175" t="s">
        <v>85</v>
      </c>
      <c r="AA367" s="342">
        <f>IFERROR(BASE_DATOS[[#This Row],[NSK Original]]-BASE_DATOS[[#This Row],[NSK]]," ")</f>
        <v>4.5</v>
      </c>
      <c r="AB367" s="343">
        <f>'NSK-TRACTO'!$A$2</f>
        <v>6</v>
      </c>
      <c r="AC367" s="343">
        <f>IF(BASE_DATOS[[#This Row],[NSK]]&gt;=BASE_DATOS[[#This Row],[NSK Reen]],BASE_DATOS[[#This Row],[NSK Reen]],BASE_DATOS[[#This Row],[NSK]])</f>
        <v>6</v>
      </c>
      <c r="AD367" s="344">
        <f>IFERROR(100%-(BASE_DATOS[[#This Row],[NSK Reen]]/BASE_DATOS[[#This Row],[NSK Original]]),"")</f>
        <v>0.63636363636363635</v>
      </c>
      <c r="AE367" s="344">
        <f>IFERROR(100%-BASE_DATOS[[#This Row],[NSK]]/BASE_DATOS[[#This Row],[NSK Original]],"")</f>
        <v>0.27272727272727271</v>
      </c>
      <c r="AF367" s="344">
        <f>IFERROR(BASE_DATOS[[#This Row],[% Max Des.]]-BASE_DATOS[[#This Row],[% Des]],"")</f>
        <v>0.36363636363636365</v>
      </c>
      <c r="AG367" s="287"/>
      <c r="AH367" s="273"/>
      <c r="AI367" s="363" t="str">
        <f>IF(OR(BASE_DATOS[[#This Row],[Hr.]]="",BASE_DATOS[[#This Row],[Hr. Actual]]=""),"",BASE_DATOS[[#This Row],[Hr. Actual]]-BASE_DATOS[[#This Row],[Hr.]]+BASE_DATOS[[#This Row],[Horas Acumuladas]])</f>
        <v/>
      </c>
      <c r="AJ367" s="364" t="str">
        <f>IFERROR(BASE_DATOS[[#This Row],[Precio US$]]/BASE_DATOS[[#This Row],[Horas Rodadas]],"")</f>
        <v/>
      </c>
      <c r="AK367" s="365" t="str">
        <f>IFERROR(BASE_DATOS[[#This Row],[Horas Rodadas]]/(BASE_DATOS[[#This Row],[NSK Original]]-BASE_DATOS[[#This Row],[NSK]]),"")</f>
        <v/>
      </c>
      <c r="AL36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67" s="366" t="str">
        <f>IFERROR(BASE_DATOS[[#This Row],[Precio US$]]/BASE_DATOS[[#This Row],[Horas Proy.]],"")</f>
        <v/>
      </c>
      <c r="AN367" s="176" t="str">
        <f>IF(OR(BASE_DATOS[[#This Row],[Km.]]="",BASE_DATOS[[#This Row],[Km. Actual]]=""),"",BASE_DATOS[[#This Row],[Km. Actual]]-BASE_DATOS[[#This Row],[Km.]]+BASE_DATOS[[#This Row],[Kilómetros Acumulados]])</f>
        <v/>
      </c>
      <c r="AO367" s="177" t="str">
        <f>IFERROR(BASE_DATOS[[#This Row],[Precio US$]]/BASE_DATOS[[#This Row],[Kilómetros Rodados]],"")</f>
        <v/>
      </c>
      <c r="AP367" s="176" t="str">
        <f>IFERROR(BASE_DATOS[[#This Row],[Kilómetros Rodados]]/(BASE_DATOS[[#This Row],[NSK Original]]-BASE_DATOS[[#This Row],[NSK]]),"")</f>
        <v/>
      </c>
      <c r="AQ36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67" s="177" t="str">
        <f>IFERROR(BASE_DATOS[[#This Row],[Precio US$]]/BASE_DATOS[[#This Row],[Kilómetros Proy.]],"")</f>
        <v/>
      </c>
      <c r="AS367" s="167" t="s">
        <v>62</v>
      </c>
      <c r="AT367" s="167"/>
      <c r="AU367" s="167"/>
      <c r="AV367" s="167"/>
      <c r="AW367" s="179"/>
      <c r="AX367" s="179"/>
      <c r="AY367" s="179" t="str">
        <f>CONCATENATE(BASE_DATOS[[#This Row],[Código_U]]&amp;BASE_DATOS[[#This Row],[Pos.]]&amp;BASE_DATOS[[#This Row],[Situación Actual]])</f>
        <v>SR-1682Rodando</v>
      </c>
    </row>
    <row r="368" spans="1:51" ht="12" x14ac:dyDescent="0.25">
      <c r="A368" s="227" t="s">
        <v>187</v>
      </c>
      <c r="B368" s="217" t="s">
        <v>188</v>
      </c>
      <c r="C368" s="228" t="s">
        <v>295</v>
      </c>
      <c r="D368" s="229" t="s">
        <v>87</v>
      </c>
      <c r="E368" s="255"/>
      <c r="F368" s="256" t="s">
        <v>278</v>
      </c>
      <c r="G368" s="256" t="s">
        <v>269</v>
      </c>
      <c r="H368" s="257" t="str">
        <f>IF(BASE_DATOS[[#This Row],[N-R]]="N",BASE_DATOS[[#This Row],[Diseño]],"Reencauche")</f>
        <v>HTC1</v>
      </c>
      <c r="I368" s="256" t="s">
        <v>358</v>
      </c>
      <c r="J368" s="243" t="s">
        <v>72</v>
      </c>
      <c r="K368" s="258">
        <v>18</v>
      </c>
      <c r="L368" s="256">
        <v>110</v>
      </c>
      <c r="M368" s="259"/>
      <c r="N368" s="260"/>
      <c r="O368" s="277"/>
      <c r="P368" s="278"/>
      <c r="Q368" s="279"/>
      <c r="R368" s="309" t="s">
        <v>100</v>
      </c>
      <c r="S368" s="310">
        <v>45386</v>
      </c>
      <c r="T368" s="313"/>
      <c r="U368" s="279"/>
      <c r="V368" s="227">
        <v>13</v>
      </c>
      <c r="W368" s="281">
        <v>14</v>
      </c>
      <c r="X368" s="282">
        <v>13</v>
      </c>
      <c r="Y368" s="293">
        <f t="shared" si="15"/>
        <v>13</v>
      </c>
      <c r="Z368" s="175" t="s">
        <v>85</v>
      </c>
      <c r="AA368" s="342">
        <f>IFERROR(BASE_DATOS[[#This Row],[NSK Original]]-BASE_DATOS[[#This Row],[NSK]]," ")</f>
        <v>5</v>
      </c>
      <c r="AB368" s="343">
        <f>'NSK-TRACTO'!$A$2</f>
        <v>6</v>
      </c>
      <c r="AC368" s="343">
        <f>IF(BASE_DATOS[[#This Row],[NSK]]&gt;=BASE_DATOS[[#This Row],[NSK Reen]],BASE_DATOS[[#This Row],[NSK Reen]],BASE_DATOS[[#This Row],[NSK]])</f>
        <v>6</v>
      </c>
      <c r="AD368" s="344">
        <f>IFERROR(100%-(BASE_DATOS[[#This Row],[NSK Reen]]/BASE_DATOS[[#This Row],[NSK Original]]),"")</f>
        <v>0.66666666666666674</v>
      </c>
      <c r="AE368" s="344">
        <f>IFERROR(100%-BASE_DATOS[[#This Row],[NSK]]/BASE_DATOS[[#This Row],[NSK Original]],"")</f>
        <v>0.27777777777777779</v>
      </c>
      <c r="AF368" s="344">
        <f>IFERROR(BASE_DATOS[[#This Row],[% Max Des.]]-BASE_DATOS[[#This Row],[% Des]],"")</f>
        <v>0.38888888888888895</v>
      </c>
      <c r="AG368" s="287"/>
      <c r="AH368" s="273"/>
      <c r="AI368" s="363" t="str">
        <f>IF(OR(BASE_DATOS[[#This Row],[Hr.]]="",BASE_DATOS[[#This Row],[Hr. Actual]]=""),"",BASE_DATOS[[#This Row],[Hr. Actual]]-BASE_DATOS[[#This Row],[Hr.]]+BASE_DATOS[[#This Row],[Horas Acumuladas]])</f>
        <v/>
      </c>
      <c r="AJ368" s="364" t="str">
        <f>IFERROR(BASE_DATOS[[#This Row],[Precio US$]]/BASE_DATOS[[#This Row],[Horas Rodadas]],"")</f>
        <v/>
      </c>
      <c r="AK368" s="365" t="str">
        <f>IFERROR(BASE_DATOS[[#This Row],[Horas Rodadas]]/(BASE_DATOS[[#This Row],[NSK Original]]-BASE_DATOS[[#This Row],[NSK]]),"")</f>
        <v/>
      </c>
      <c r="AL36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68" s="366" t="str">
        <f>IFERROR(BASE_DATOS[[#This Row],[Precio US$]]/BASE_DATOS[[#This Row],[Horas Proy.]],"")</f>
        <v/>
      </c>
      <c r="AN368" s="176" t="str">
        <f>IF(OR(BASE_DATOS[[#This Row],[Km.]]="",BASE_DATOS[[#This Row],[Km. Actual]]=""),"",BASE_DATOS[[#This Row],[Km. Actual]]-BASE_DATOS[[#This Row],[Km.]]+BASE_DATOS[[#This Row],[Kilómetros Acumulados]])</f>
        <v/>
      </c>
      <c r="AO368" s="177" t="str">
        <f>IFERROR(BASE_DATOS[[#This Row],[Precio US$]]/BASE_DATOS[[#This Row],[Kilómetros Rodados]],"")</f>
        <v/>
      </c>
      <c r="AP368" s="176" t="str">
        <f>IFERROR(BASE_DATOS[[#This Row],[Kilómetros Rodados]]/(BASE_DATOS[[#This Row],[NSK Original]]-BASE_DATOS[[#This Row],[NSK]]),"")</f>
        <v/>
      </c>
      <c r="AQ36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68" s="177" t="str">
        <f>IFERROR(BASE_DATOS[[#This Row],[Precio US$]]/BASE_DATOS[[#This Row],[Kilómetros Proy.]],"")</f>
        <v/>
      </c>
      <c r="AS368" s="167" t="s">
        <v>62</v>
      </c>
      <c r="AT368" s="167"/>
      <c r="AU368" s="167"/>
      <c r="AV368" s="167"/>
      <c r="AW368" s="179"/>
      <c r="AX368" s="179"/>
      <c r="AY368" s="179" t="str">
        <f>CONCATENATE(BASE_DATOS[[#This Row],[Código_U]]&amp;BASE_DATOS[[#This Row],[Pos.]]&amp;BASE_DATOS[[#This Row],[Situación Actual]])</f>
        <v>SR-1683Rodando</v>
      </c>
    </row>
    <row r="369" spans="1:51" ht="12" x14ac:dyDescent="0.25">
      <c r="A369" s="227" t="s">
        <v>187</v>
      </c>
      <c r="B369" s="217" t="s">
        <v>188</v>
      </c>
      <c r="C369" s="228" t="s">
        <v>295</v>
      </c>
      <c r="D369" s="229" t="s">
        <v>87</v>
      </c>
      <c r="E369" s="255"/>
      <c r="F369" s="256" t="s">
        <v>97</v>
      </c>
      <c r="G369" s="256" t="s">
        <v>269</v>
      </c>
      <c r="H369" s="257" t="str">
        <f>IF(BASE_DATOS[[#This Row],[N-R]]="N",BASE_DATOS[[#This Row],[Diseño]],"Reencauche")</f>
        <v>AGC28</v>
      </c>
      <c r="I369" s="256" t="s">
        <v>270</v>
      </c>
      <c r="J369" s="243" t="s">
        <v>72</v>
      </c>
      <c r="K369" s="258">
        <v>16.5</v>
      </c>
      <c r="L369" s="256">
        <v>110</v>
      </c>
      <c r="M369" s="259"/>
      <c r="N369" s="260"/>
      <c r="O369" s="277"/>
      <c r="P369" s="278"/>
      <c r="Q369" s="279"/>
      <c r="R369" s="309" t="s">
        <v>101</v>
      </c>
      <c r="S369" s="310">
        <v>45386</v>
      </c>
      <c r="T369" s="313"/>
      <c r="U369" s="279"/>
      <c r="V369" s="227">
        <v>10</v>
      </c>
      <c r="W369" s="281">
        <v>10</v>
      </c>
      <c r="X369" s="282">
        <v>10</v>
      </c>
      <c r="Y369" s="293">
        <f t="shared" si="15"/>
        <v>10</v>
      </c>
      <c r="Z369" s="175" t="s">
        <v>85</v>
      </c>
      <c r="AA369" s="342">
        <f>IFERROR(BASE_DATOS[[#This Row],[NSK Original]]-BASE_DATOS[[#This Row],[NSK]]," ")</f>
        <v>6.5</v>
      </c>
      <c r="AB369" s="343">
        <f>'NSK-TRACTO'!$A$2</f>
        <v>6</v>
      </c>
      <c r="AC369" s="343">
        <f>IF(BASE_DATOS[[#This Row],[NSK]]&gt;=BASE_DATOS[[#This Row],[NSK Reen]],BASE_DATOS[[#This Row],[NSK Reen]],BASE_DATOS[[#This Row],[NSK]])</f>
        <v>6</v>
      </c>
      <c r="AD369" s="344">
        <f>IFERROR(100%-(BASE_DATOS[[#This Row],[NSK Reen]]/BASE_DATOS[[#This Row],[NSK Original]]),"")</f>
        <v>0.63636363636363635</v>
      </c>
      <c r="AE369" s="344">
        <f>IFERROR(100%-BASE_DATOS[[#This Row],[NSK]]/BASE_DATOS[[#This Row],[NSK Original]],"")</f>
        <v>0.39393939393939392</v>
      </c>
      <c r="AF369" s="344">
        <f>IFERROR(BASE_DATOS[[#This Row],[% Max Des.]]-BASE_DATOS[[#This Row],[% Des]],"")</f>
        <v>0.24242424242424243</v>
      </c>
      <c r="AG369" s="287"/>
      <c r="AH369" s="273"/>
      <c r="AI369" s="363" t="str">
        <f>IF(OR(BASE_DATOS[[#This Row],[Hr.]]="",BASE_DATOS[[#This Row],[Hr. Actual]]=""),"",BASE_DATOS[[#This Row],[Hr. Actual]]-BASE_DATOS[[#This Row],[Hr.]]+BASE_DATOS[[#This Row],[Horas Acumuladas]])</f>
        <v/>
      </c>
      <c r="AJ369" s="364" t="str">
        <f>IFERROR(BASE_DATOS[[#This Row],[Precio US$]]/BASE_DATOS[[#This Row],[Horas Rodadas]],"")</f>
        <v/>
      </c>
      <c r="AK369" s="365" t="str">
        <f>IFERROR(BASE_DATOS[[#This Row],[Horas Rodadas]]/(BASE_DATOS[[#This Row],[NSK Original]]-BASE_DATOS[[#This Row],[NSK]]),"")</f>
        <v/>
      </c>
      <c r="AL36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69" s="366" t="str">
        <f>IFERROR(BASE_DATOS[[#This Row],[Precio US$]]/BASE_DATOS[[#This Row],[Horas Proy.]],"")</f>
        <v/>
      </c>
      <c r="AN369" s="176" t="str">
        <f>IF(OR(BASE_DATOS[[#This Row],[Km.]]="",BASE_DATOS[[#This Row],[Km. Actual]]=""),"",BASE_DATOS[[#This Row],[Km. Actual]]-BASE_DATOS[[#This Row],[Km.]]+BASE_DATOS[[#This Row],[Kilómetros Acumulados]])</f>
        <v/>
      </c>
      <c r="AO369" s="177" t="str">
        <f>IFERROR(BASE_DATOS[[#This Row],[Precio US$]]/BASE_DATOS[[#This Row],[Kilómetros Rodados]],"")</f>
        <v/>
      </c>
      <c r="AP369" s="176" t="str">
        <f>IFERROR(BASE_DATOS[[#This Row],[Kilómetros Rodados]]/(BASE_DATOS[[#This Row],[NSK Original]]-BASE_DATOS[[#This Row],[NSK]]),"")</f>
        <v/>
      </c>
      <c r="AQ36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69" s="177" t="str">
        <f>IFERROR(BASE_DATOS[[#This Row],[Precio US$]]/BASE_DATOS[[#This Row],[Kilómetros Proy.]],"")</f>
        <v/>
      </c>
      <c r="AS369" s="167" t="s">
        <v>62</v>
      </c>
      <c r="AT369" s="167"/>
      <c r="AU369" s="167"/>
      <c r="AV369" s="167"/>
      <c r="AW369" s="179"/>
      <c r="AX369" s="179"/>
      <c r="AY369" s="179" t="str">
        <f>CONCATENATE(BASE_DATOS[[#This Row],[Código_U]]&amp;BASE_DATOS[[#This Row],[Pos.]]&amp;BASE_DATOS[[#This Row],[Situación Actual]])</f>
        <v>SR-1684Rodando</v>
      </c>
    </row>
    <row r="370" spans="1:51" ht="12" x14ac:dyDescent="0.25">
      <c r="A370" s="227" t="s">
        <v>187</v>
      </c>
      <c r="B370" s="217" t="s">
        <v>188</v>
      </c>
      <c r="C370" s="228" t="s">
        <v>295</v>
      </c>
      <c r="D370" s="229" t="s">
        <v>87</v>
      </c>
      <c r="E370" s="255"/>
      <c r="F370" s="256" t="s">
        <v>278</v>
      </c>
      <c r="G370" s="256" t="s">
        <v>269</v>
      </c>
      <c r="H370" s="257" t="str">
        <f>IF(BASE_DATOS[[#This Row],[N-R]]="N",BASE_DATOS[[#This Row],[Diseño]],"Reencauche")</f>
        <v>HTC1</v>
      </c>
      <c r="I370" s="256" t="s">
        <v>358</v>
      </c>
      <c r="J370" s="243" t="s">
        <v>72</v>
      </c>
      <c r="K370" s="258">
        <v>18</v>
      </c>
      <c r="L370" s="256">
        <v>110</v>
      </c>
      <c r="M370" s="259"/>
      <c r="N370" s="260"/>
      <c r="O370" s="277"/>
      <c r="P370" s="278"/>
      <c r="Q370" s="279"/>
      <c r="R370" s="309" t="s">
        <v>102</v>
      </c>
      <c r="S370" s="310">
        <v>45386</v>
      </c>
      <c r="T370" s="313"/>
      <c r="U370" s="279"/>
      <c r="V370" s="227">
        <v>11</v>
      </c>
      <c r="W370" s="281">
        <v>12</v>
      </c>
      <c r="X370" s="282">
        <v>11</v>
      </c>
      <c r="Y370" s="293">
        <f t="shared" si="15"/>
        <v>11</v>
      </c>
      <c r="Z370" s="175" t="s">
        <v>85</v>
      </c>
      <c r="AA370" s="342">
        <f>IFERROR(BASE_DATOS[[#This Row],[NSK Original]]-BASE_DATOS[[#This Row],[NSK]]," ")</f>
        <v>7</v>
      </c>
      <c r="AB370" s="343">
        <f>'NSK-TRACTO'!$A$2</f>
        <v>6</v>
      </c>
      <c r="AC370" s="343">
        <f>IF(BASE_DATOS[[#This Row],[NSK]]&gt;=BASE_DATOS[[#This Row],[NSK Reen]],BASE_DATOS[[#This Row],[NSK Reen]],BASE_DATOS[[#This Row],[NSK]])</f>
        <v>6</v>
      </c>
      <c r="AD370" s="344">
        <f>IFERROR(100%-(BASE_DATOS[[#This Row],[NSK Reen]]/BASE_DATOS[[#This Row],[NSK Original]]),"")</f>
        <v>0.66666666666666674</v>
      </c>
      <c r="AE370" s="344">
        <f>IFERROR(100%-BASE_DATOS[[#This Row],[NSK]]/BASE_DATOS[[#This Row],[NSK Original]],"")</f>
        <v>0.38888888888888884</v>
      </c>
      <c r="AF370" s="344">
        <f>IFERROR(BASE_DATOS[[#This Row],[% Max Des.]]-BASE_DATOS[[#This Row],[% Des]],"")</f>
        <v>0.2777777777777779</v>
      </c>
      <c r="AG370" s="287"/>
      <c r="AH370" s="273"/>
      <c r="AI370" s="363" t="str">
        <f>IF(OR(BASE_DATOS[[#This Row],[Hr.]]="",BASE_DATOS[[#This Row],[Hr. Actual]]=""),"",BASE_DATOS[[#This Row],[Hr. Actual]]-BASE_DATOS[[#This Row],[Hr.]]+BASE_DATOS[[#This Row],[Horas Acumuladas]])</f>
        <v/>
      </c>
      <c r="AJ370" s="364" t="str">
        <f>IFERROR(BASE_DATOS[[#This Row],[Precio US$]]/BASE_DATOS[[#This Row],[Horas Rodadas]],"")</f>
        <v/>
      </c>
      <c r="AK370" s="365" t="str">
        <f>IFERROR(BASE_DATOS[[#This Row],[Horas Rodadas]]/(BASE_DATOS[[#This Row],[NSK Original]]-BASE_DATOS[[#This Row],[NSK]]),"")</f>
        <v/>
      </c>
      <c r="AL37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70" s="366" t="str">
        <f>IFERROR(BASE_DATOS[[#This Row],[Precio US$]]/BASE_DATOS[[#This Row],[Horas Proy.]],"")</f>
        <v/>
      </c>
      <c r="AN370" s="176" t="str">
        <f>IF(OR(BASE_DATOS[[#This Row],[Km.]]="",BASE_DATOS[[#This Row],[Km. Actual]]=""),"",BASE_DATOS[[#This Row],[Km. Actual]]-BASE_DATOS[[#This Row],[Km.]]+BASE_DATOS[[#This Row],[Kilómetros Acumulados]])</f>
        <v/>
      </c>
      <c r="AO370" s="177" t="str">
        <f>IFERROR(BASE_DATOS[[#This Row],[Precio US$]]/BASE_DATOS[[#This Row],[Kilómetros Rodados]],"")</f>
        <v/>
      </c>
      <c r="AP370" s="176" t="str">
        <f>IFERROR(BASE_DATOS[[#This Row],[Kilómetros Rodados]]/(BASE_DATOS[[#This Row],[NSK Original]]-BASE_DATOS[[#This Row],[NSK]]),"")</f>
        <v/>
      </c>
      <c r="AQ37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70" s="177" t="str">
        <f>IFERROR(BASE_DATOS[[#This Row],[Precio US$]]/BASE_DATOS[[#This Row],[Kilómetros Proy.]],"")</f>
        <v/>
      </c>
      <c r="AS370" s="167" t="s">
        <v>62</v>
      </c>
      <c r="AT370" s="167"/>
      <c r="AU370" s="167"/>
      <c r="AV370" s="167"/>
      <c r="AW370" s="179"/>
      <c r="AX370" s="179"/>
      <c r="AY370" s="179" t="str">
        <f>CONCATENATE(BASE_DATOS[[#This Row],[Código_U]]&amp;BASE_DATOS[[#This Row],[Pos.]]&amp;BASE_DATOS[[#This Row],[Situación Actual]])</f>
        <v>SR-1685Rodando</v>
      </c>
    </row>
    <row r="371" spans="1:51" ht="12" x14ac:dyDescent="0.25">
      <c r="A371" s="227" t="s">
        <v>187</v>
      </c>
      <c r="B371" s="217" t="s">
        <v>188</v>
      </c>
      <c r="C371" s="228" t="s">
        <v>295</v>
      </c>
      <c r="D371" s="229" t="s">
        <v>87</v>
      </c>
      <c r="E371" s="255"/>
      <c r="F371" s="256" t="s">
        <v>97</v>
      </c>
      <c r="G371" s="256" t="s">
        <v>269</v>
      </c>
      <c r="H371" s="257" t="str">
        <f>IF(BASE_DATOS[[#This Row],[N-R]]="N",BASE_DATOS[[#This Row],[Diseño]],"Reencauche")</f>
        <v>AGC28</v>
      </c>
      <c r="I371" s="256" t="s">
        <v>270</v>
      </c>
      <c r="J371" s="243" t="s">
        <v>72</v>
      </c>
      <c r="K371" s="258">
        <v>16.5</v>
      </c>
      <c r="L371" s="256">
        <v>110</v>
      </c>
      <c r="M371" s="259"/>
      <c r="N371" s="260"/>
      <c r="O371" s="277"/>
      <c r="P371" s="278"/>
      <c r="Q371" s="279"/>
      <c r="R371" s="309" t="s">
        <v>103</v>
      </c>
      <c r="S371" s="310">
        <v>45386</v>
      </c>
      <c r="T371" s="313"/>
      <c r="U371" s="279"/>
      <c r="V371" s="227">
        <v>12</v>
      </c>
      <c r="W371" s="281">
        <v>12</v>
      </c>
      <c r="X371" s="282">
        <v>12</v>
      </c>
      <c r="Y371" s="293">
        <f t="shared" si="15"/>
        <v>12</v>
      </c>
      <c r="Z371" s="175" t="s">
        <v>85</v>
      </c>
      <c r="AA371" s="342">
        <f>IFERROR(BASE_DATOS[[#This Row],[NSK Original]]-BASE_DATOS[[#This Row],[NSK]]," ")</f>
        <v>4.5</v>
      </c>
      <c r="AB371" s="343">
        <f>'NSK-TRACTO'!$A$2</f>
        <v>6</v>
      </c>
      <c r="AC371" s="343">
        <f>IF(BASE_DATOS[[#This Row],[NSK]]&gt;=BASE_DATOS[[#This Row],[NSK Reen]],BASE_DATOS[[#This Row],[NSK Reen]],BASE_DATOS[[#This Row],[NSK]])</f>
        <v>6</v>
      </c>
      <c r="AD371" s="344">
        <f>IFERROR(100%-(BASE_DATOS[[#This Row],[NSK Reen]]/BASE_DATOS[[#This Row],[NSK Original]]),"")</f>
        <v>0.63636363636363635</v>
      </c>
      <c r="AE371" s="344">
        <f>IFERROR(100%-BASE_DATOS[[#This Row],[NSK]]/BASE_DATOS[[#This Row],[NSK Original]],"")</f>
        <v>0.27272727272727271</v>
      </c>
      <c r="AF371" s="344">
        <f>IFERROR(BASE_DATOS[[#This Row],[% Max Des.]]-BASE_DATOS[[#This Row],[% Des]],"")</f>
        <v>0.36363636363636365</v>
      </c>
      <c r="AG371" s="287"/>
      <c r="AH371" s="273"/>
      <c r="AI371" s="363" t="str">
        <f>IF(OR(BASE_DATOS[[#This Row],[Hr.]]="",BASE_DATOS[[#This Row],[Hr. Actual]]=""),"",BASE_DATOS[[#This Row],[Hr. Actual]]-BASE_DATOS[[#This Row],[Hr.]]+BASE_DATOS[[#This Row],[Horas Acumuladas]])</f>
        <v/>
      </c>
      <c r="AJ371" s="364" t="str">
        <f>IFERROR(BASE_DATOS[[#This Row],[Precio US$]]/BASE_DATOS[[#This Row],[Horas Rodadas]],"")</f>
        <v/>
      </c>
      <c r="AK371" s="365" t="str">
        <f>IFERROR(BASE_DATOS[[#This Row],[Horas Rodadas]]/(BASE_DATOS[[#This Row],[NSK Original]]-BASE_DATOS[[#This Row],[NSK]]),"")</f>
        <v/>
      </c>
      <c r="AL37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71" s="366" t="str">
        <f>IFERROR(BASE_DATOS[[#This Row],[Precio US$]]/BASE_DATOS[[#This Row],[Horas Proy.]],"")</f>
        <v/>
      </c>
      <c r="AN371" s="176" t="str">
        <f>IF(OR(BASE_DATOS[[#This Row],[Km.]]="",BASE_DATOS[[#This Row],[Km. Actual]]=""),"",BASE_DATOS[[#This Row],[Km. Actual]]-BASE_DATOS[[#This Row],[Km.]]+BASE_DATOS[[#This Row],[Kilómetros Acumulados]])</f>
        <v/>
      </c>
      <c r="AO371" s="177" t="str">
        <f>IFERROR(BASE_DATOS[[#This Row],[Precio US$]]/BASE_DATOS[[#This Row],[Kilómetros Rodados]],"")</f>
        <v/>
      </c>
      <c r="AP371" s="176" t="str">
        <f>IFERROR(BASE_DATOS[[#This Row],[Kilómetros Rodados]]/(BASE_DATOS[[#This Row],[NSK Original]]-BASE_DATOS[[#This Row],[NSK]]),"")</f>
        <v/>
      </c>
      <c r="AQ37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71" s="177" t="str">
        <f>IFERROR(BASE_DATOS[[#This Row],[Precio US$]]/BASE_DATOS[[#This Row],[Kilómetros Proy.]],"")</f>
        <v/>
      </c>
      <c r="AS371" s="167" t="s">
        <v>62</v>
      </c>
      <c r="AT371" s="167"/>
      <c r="AU371" s="167"/>
      <c r="AV371" s="167"/>
      <c r="AW371" s="179"/>
      <c r="AX371" s="179"/>
      <c r="AY371" s="179" t="str">
        <f>CONCATENATE(BASE_DATOS[[#This Row],[Código_U]]&amp;BASE_DATOS[[#This Row],[Pos.]]&amp;BASE_DATOS[[#This Row],[Situación Actual]])</f>
        <v>SR-1686Rodando</v>
      </c>
    </row>
    <row r="372" spans="1:51" ht="12" x14ac:dyDescent="0.25">
      <c r="A372" s="227" t="s">
        <v>187</v>
      </c>
      <c r="B372" s="217" t="s">
        <v>188</v>
      </c>
      <c r="C372" s="228" t="s">
        <v>295</v>
      </c>
      <c r="D372" s="229" t="s">
        <v>384</v>
      </c>
      <c r="E372" s="255"/>
      <c r="F372" s="256" t="s">
        <v>284</v>
      </c>
      <c r="G372" s="256" t="s">
        <v>274</v>
      </c>
      <c r="H372" s="257" t="str">
        <f>IF(BASE_DATOS[[#This Row],[N-R]]="N",BASE_DATOS[[#This Row],[Diseño]],"Reencauche")</f>
        <v>M844</v>
      </c>
      <c r="I372" s="256" t="s">
        <v>285</v>
      </c>
      <c r="J372" s="243" t="s">
        <v>72</v>
      </c>
      <c r="K372" s="258">
        <v>0</v>
      </c>
      <c r="L372" s="256">
        <v>110</v>
      </c>
      <c r="M372" s="259"/>
      <c r="N372" s="260"/>
      <c r="O372" s="277"/>
      <c r="P372" s="278"/>
      <c r="Q372" s="279"/>
      <c r="R372" s="309" t="s">
        <v>509</v>
      </c>
      <c r="S372" s="310">
        <v>45386</v>
      </c>
      <c r="T372" s="313"/>
      <c r="U372" s="279"/>
      <c r="V372" s="227">
        <v>10</v>
      </c>
      <c r="W372" s="281">
        <v>10</v>
      </c>
      <c r="X372" s="282">
        <v>10</v>
      </c>
      <c r="Y372" s="293">
        <f t="shared" si="15"/>
        <v>10</v>
      </c>
      <c r="Z372" s="175" t="s">
        <v>85</v>
      </c>
      <c r="AA372" s="342">
        <f>IFERROR(BASE_DATOS[[#This Row],[NSK Original]]-BASE_DATOS[[#This Row],[NSK]]," ")</f>
        <v>-10</v>
      </c>
      <c r="AB372" s="343">
        <f>'NSK-TRACTO'!$A$2</f>
        <v>6</v>
      </c>
      <c r="AC372" s="343">
        <f>IF(BASE_DATOS[[#This Row],[NSK]]&gt;=BASE_DATOS[[#This Row],[NSK Reen]],BASE_DATOS[[#This Row],[NSK Reen]],BASE_DATOS[[#This Row],[NSK]])</f>
        <v>6</v>
      </c>
      <c r="AD372" s="344" t="str">
        <f>IFERROR(100%-(BASE_DATOS[[#This Row],[NSK Reen]]/BASE_DATOS[[#This Row],[NSK Original]]),"")</f>
        <v/>
      </c>
      <c r="AE372" s="344" t="str">
        <f>IFERROR(100%-BASE_DATOS[[#This Row],[NSK]]/BASE_DATOS[[#This Row],[NSK Original]],"")</f>
        <v/>
      </c>
      <c r="AF372" s="344" t="str">
        <f>IFERROR(BASE_DATOS[[#This Row],[% Max Des.]]-BASE_DATOS[[#This Row],[% Des]],"")</f>
        <v/>
      </c>
      <c r="AG372" s="287"/>
      <c r="AH372" s="273"/>
      <c r="AI372" s="363" t="str">
        <f>IF(OR(BASE_DATOS[[#This Row],[Hr.]]="",BASE_DATOS[[#This Row],[Hr. Actual]]=""),"",BASE_DATOS[[#This Row],[Hr. Actual]]-BASE_DATOS[[#This Row],[Hr.]]+BASE_DATOS[[#This Row],[Horas Acumuladas]])</f>
        <v/>
      </c>
      <c r="AJ372" s="364" t="str">
        <f>IFERROR(BASE_DATOS[[#This Row],[Precio US$]]/BASE_DATOS[[#This Row],[Horas Rodadas]],"")</f>
        <v/>
      </c>
      <c r="AK372" s="365" t="str">
        <f>IFERROR(BASE_DATOS[[#This Row],[Horas Rodadas]]/(BASE_DATOS[[#This Row],[NSK Original]]-BASE_DATOS[[#This Row],[NSK]]),"")</f>
        <v/>
      </c>
      <c r="AL37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72" s="366" t="str">
        <f>IFERROR(BASE_DATOS[[#This Row],[Precio US$]]/BASE_DATOS[[#This Row],[Horas Proy.]],"")</f>
        <v/>
      </c>
      <c r="AN372" s="176" t="str">
        <f>IF(OR(BASE_DATOS[[#This Row],[Km.]]="",BASE_DATOS[[#This Row],[Km. Actual]]=""),"",BASE_DATOS[[#This Row],[Km. Actual]]-BASE_DATOS[[#This Row],[Km.]]+BASE_DATOS[[#This Row],[Kilómetros Acumulados]])</f>
        <v/>
      </c>
      <c r="AO372" s="177" t="str">
        <f>IFERROR(BASE_DATOS[[#This Row],[Precio US$]]/BASE_DATOS[[#This Row],[Kilómetros Rodados]],"")</f>
        <v/>
      </c>
      <c r="AP372" s="176" t="str">
        <f>IFERROR(BASE_DATOS[[#This Row],[Kilómetros Rodados]]/(BASE_DATOS[[#This Row],[NSK Original]]-BASE_DATOS[[#This Row],[NSK]]),"")</f>
        <v/>
      </c>
      <c r="AQ37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72" s="177" t="str">
        <f>IFERROR(BASE_DATOS[[#This Row],[Precio US$]]/BASE_DATOS[[#This Row],[Kilómetros Proy.]],"")</f>
        <v/>
      </c>
      <c r="AS372" s="167" t="s">
        <v>62</v>
      </c>
      <c r="AT372" s="167"/>
      <c r="AU372" s="167"/>
      <c r="AV372" s="167"/>
      <c r="AW372" s="179"/>
      <c r="AX372" s="179"/>
      <c r="AY372" s="179" t="str">
        <f>CONCATENATE(BASE_DATOS[[#This Row],[Código_U]]&amp;BASE_DATOS[[#This Row],[Pos.]]&amp;BASE_DATOS[[#This Row],[Situación Actual]])</f>
        <v>SR-168RERodando</v>
      </c>
    </row>
    <row r="373" spans="1:51" ht="12" x14ac:dyDescent="0.25">
      <c r="A373" s="227" t="s">
        <v>187</v>
      </c>
      <c r="B373" s="217" t="s">
        <v>188</v>
      </c>
      <c r="C373" s="228" t="s">
        <v>295</v>
      </c>
      <c r="D373" s="229" t="s">
        <v>108</v>
      </c>
      <c r="E373" s="255"/>
      <c r="F373" s="256" t="s">
        <v>71</v>
      </c>
      <c r="G373" s="256" t="s">
        <v>271</v>
      </c>
      <c r="H373" s="257" t="str">
        <f>IF(BASE_DATOS[[#This Row],[N-R]]="N",BASE_DATOS[[#This Row],[Diseño]],"Reencauche")</f>
        <v>KMAX S</v>
      </c>
      <c r="I373" s="256" t="s">
        <v>287</v>
      </c>
      <c r="J373" s="243" t="s">
        <v>72</v>
      </c>
      <c r="K373" s="258">
        <v>15.8</v>
      </c>
      <c r="L373" s="256">
        <v>100</v>
      </c>
      <c r="M373" s="259"/>
      <c r="N373" s="260"/>
      <c r="O373" s="277"/>
      <c r="P373" s="278"/>
      <c r="Q373" s="279"/>
      <c r="R373" s="309" t="s">
        <v>108</v>
      </c>
      <c r="S373" s="310">
        <v>45386</v>
      </c>
      <c r="T373" s="313"/>
      <c r="U373" s="279"/>
      <c r="V373" s="227">
        <v>14</v>
      </c>
      <c r="W373" s="281">
        <v>14</v>
      </c>
      <c r="X373" s="282">
        <v>14</v>
      </c>
      <c r="Y373" s="293">
        <f t="shared" si="15"/>
        <v>14</v>
      </c>
      <c r="Z373" s="175" t="s">
        <v>85</v>
      </c>
      <c r="AA373" s="342">
        <f>IFERROR(BASE_DATOS[[#This Row],[NSK Original]]-BASE_DATOS[[#This Row],[NSK]]," ")</f>
        <v>1.8000000000000007</v>
      </c>
      <c r="AB373" s="343">
        <f>'NSK-TRACTO'!$A$2</f>
        <v>6</v>
      </c>
      <c r="AC373" s="343">
        <f>IF(BASE_DATOS[[#This Row],[NSK]]&gt;=BASE_DATOS[[#This Row],[NSK Reen]],BASE_DATOS[[#This Row],[NSK Reen]],BASE_DATOS[[#This Row],[NSK]])</f>
        <v>6</v>
      </c>
      <c r="AD373" s="344">
        <f>IFERROR(100%-(BASE_DATOS[[#This Row],[NSK Reen]]/BASE_DATOS[[#This Row],[NSK Original]]),"")</f>
        <v>0.620253164556962</v>
      </c>
      <c r="AE373" s="344">
        <f>IFERROR(100%-BASE_DATOS[[#This Row],[NSK]]/BASE_DATOS[[#This Row],[NSK Original]],"")</f>
        <v>0.11392405063291144</v>
      </c>
      <c r="AF373" s="344">
        <f>IFERROR(BASE_DATOS[[#This Row],[% Max Des.]]-BASE_DATOS[[#This Row],[% Des]],"")</f>
        <v>0.50632911392405056</v>
      </c>
      <c r="AG373" s="287"/>
      <c r="AH373" s="273"/>
      <c r="AI373" s="363" t="str">
        <f>IF(OR(BASE_DATOS[[#This Row],[Hr.]]="",BASE_DATOS[[#This Row],[Hr. Actual]]=""),"",BASE_DATOS[[#This Row],[Hr. Actual]]-BASE_DATOS[[#This Row],[Hr.]]+BASE_DATOS[[#This Row],[Horas Acumuladas]])</f>
        <v/>
      </c>
      <c r="AJ373" s="364" t="str">
        <f>IFERROR(BASE_DATOS[[#This Row],[Precio US$]]/BASE_DATOS[[#This Row],[Horas Rodadas]],"")</f>
        <v/>
      </c>
      <c r="AK373" s="365" t="str">
        <f>IFERROR(BASE_DATOS[[#This Row],[Horas Rodadas]]/(BASE_DATOS[[#This Row],[NSK Original]]-BASE_DATOS[[#This Row],[NSK]]),"")</f>
        <v/>
      </c>
      <c r="AL37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73" s="366" t="str">
        <f>IFERROR(BASE_DATOS[[#This Row],[Precio US$]]/BASE_DATOS[[#This Row],[Horas Proy.]],"")</f>
        <v/>
      </c>
      <c r="AN373" s="176" t="str">
        <f>IF(OR(BASE_DATOS[[#This Row],[Km.]]="",BASE_DATOS[[#This Row],[Km. Actual]]=""),"",BASE_DATOS[[#This Row],[Km. Actual]]-BASE_DATOS[[#This Row],[Km.]]+BASE_DATOS[[#This Row],[Kilómetros Acumulados]])</f>
        <v/>
      </c>
      <c r="AO373" s="177" t="str">
        <f>IFERROR(BASE_DATOS[[#This Row],[Precio US$]]/BASE_DATOS[[#This Row],[Kilómetros Rodados]],"")</f>
        <v/>
      </c>
      <c r="AP373" s="176" t="str">
        <f>IFERROR(BASE_DATOS[[#This Row],[Kilómetros Rodados]]/(BASE_DATOS[[#This Row],[NSK Original]]-BASE_DATOS[[#This Row],[NSK]]),"")</f>
        <v/>
      </c>
      <c r="AQ37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73" s="177" t="str">
        <f>IFERROR(BASE_DATOS[[#This Row],[Precio US$]]/BASE_DATOS[[#This Row],[Kilómetros Proy.]],"")</f>
        <v/>
      </c>
      <c r="AS373" s="167" t="s">
        <v>62</v>
      </c>
      <c r="AT373" s="167"/>
      <c r="AU373" s="167"/>
      <c r="AV373" s="167"/>
      <c r="AW373" s="179"/>
      <c r="AX373" s="179"/>
      <c r="AY373" s="179" t="str">
        <f>CONCATENATE(BASE_DATOS[[#This Row],[Código_U]]&amp;BASE_DATOS[[#This Row],[Pos.]]&amp;BASE_DATOS[[#This Row],[Situación Actual]])</f>
        <v>SR-168RTRodando</v>
      </c>
    </row>
    <row r="374" spans="1:51" ht="12" x14ac:dyDescent="0.25">
      <c r="A374" s="224" t="s">
        <v>189</v>
      </c>
      <c r="B374" s="213" t="s">
        <v>190</v>
      </c>
      <c r="C374" s="225" t="s">
        <v>295</v>
      </c>
      <c r="D374" s="226" t="s">
        <v>87</v>
      </c>
      <c r="E374" s="232" t="s">
        <v>399</v>
      </c>
      <c r="F374" s="250" t="s">
        <v>97</v>
      </c>
      <c r="G374" s="250" t="s">
        <v>269</v>
      </c>
      <c r="H374" s="251" t="str">
        <f>IF(BASE_DATOS[[#This Row],[N-R]]="N",BASE_DATOS[[#This Row],[Diseño]],"Reencauche")</f>
        <v>AGC28</v>
      </c>
      <c r="I374" s="250" t="s">
        <v>270</v>
      </c>
      <c r="J374" s="235" t="s">
        <v>72</v>
      </c>
      <c r="K374" s="252">
        <v>16.5</v>
      </c>
      <c r="L374" s="250">
        <v>110</v>
      </c>
      <c r="M374" s="253"/>
      <c r="N374" s="254"/>
      <c r="O374" s="274"/>
      <c r="P374" s="275"/>
      <c r="Q374" s="276"/>
      <c r="R374" s="305" t="s">
        <v>98</v>
      </c>
      <c r="S374" s="306">
        <v>45384</v>
      </c>
      <c r="T374" s="307"/>
      <c r="U374" s="308"/>
      <c r="V374" s="224">
        <v>6</v>
      </c>
      <c r="W374" s="325">
        <v>5</v>
      </c>
      <c r="X374" s="326">
        <v>6</v>
      </c>
      <c r="Y374" s="292">
        <f t="shared" ref="Y374:Y423" si="16">IFERROR(MIN(V374:X374),"")</f>
        <v>5</v>
      </c>
      <c r="Z374" s="194" t="s">
        <v>85</v>
      </c>
      <c r="AA374" s="339">
        <f>IFERROR(BASE_DATOS[[#This Row],[NSK Original]]-BASE_DATOS[[#This Row],[NSK]]," ")</f>
        <v>11.5</v>
      </c>
      <c r="AB374" s="340">
        <f>'NSK-TRACTO'!$A$2</f>
        <v>6</v>
      </c>
      <c r="AC374" s="340">
        <f>IF(BASE_DATOS[[#This Row],[NSK]]&gt;=BASE_DATOS[[#This Row],[NSK Reen]],BASE_DATOS[[#This Row],[NSK Reen]],BASE_DATOS[[#This Row],[NSK]])</f>
        <v>5</v>
      </c>
      <c r="AD374" s="341">
        <f>IFERROR(100%-(BASE_DATOS[[#This Row],[NSK Reen]]/BASE_DATOS[[#This Row],[NSK Original]]),"")</f>
        <v>0.63636363636363635</v>
      </c>
      <c r="AE374" s="341">
        <f>IFERROR(100%-BASE_DATOS[[#This Row],[NSK]]/BASE_DATOS[[#This Row],[NSK Original]],"")</f>
        <v>0.69696969696969702</v>
      </c>
      <c r="AF374" s="341">
        <f>IFERROR(BASE_DATOS[[#This Row],[% Max Des.]]-BASE_DATOS[[#This Row],[% Des]],"")</f>
        <v>-6.0606060606060663E-2</v>
      </c>
      <c r="AG374" s="284"/>
      <c r="AH374" s="335"/>
      <c r="AI374" s="359" t="str">
        <f>IF(OR(BASE_DATOS[[#This Row],[Hr.]]="",BASE_DATOS[[#This Row],[Hr. Actual]]=""),"",BASE_DATOS[[#This Row],[Hr. Actual]]-BASE_DATOS[[#This Row],[Hr.]]+BASE_DATOS[[#This Row],[Horas Acumuladas]])</f>
        <v/>
      </c>
      <c r="AJ374" s="360" t="str">
        <f>IFERROR(BASE_DATOS[[#This Row],[Precio US$]]/BASE_DATOS[[#This Row],[Horas Rodadas]],"")</f>
        <v/>
      </c>
      <c r="AK374" s="361" t="str">
        <f>IFERROR(BASE_DATOS[[#This Row],[Horas Rodadas]]/(BASE_DATOS[[#This Row],[NSK Original]]-BASE_DATOS[[#This Row],[NSK]]),"")</f>
        <v/>
      </c>
      <c r="AL374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74" s="362" t="str">
        <f>IFERROR(BASE_DATOS[[#This Row],[Precio US$]]/BASE_DATOS[[#This Row],[Horas Proy.]],"")</f>
        <v/>
      </c>
      <c r="AN374" s="195" t="str">
        <f>IF(OR(BASE_DATOS[[#This Row],[Km.]]="",BASE_DATOS[[#This Row],[Km. Actual]]=""),"",BASE_DATOS[[#This Row],[Km. Actual]]-BASE_DATOS[[#This Row],[Km.]]+BASE_DATOS[[#This Row],[Kilómetros Acumulados]])</f>
        <v/>
      </c>
      <c r="AO374" s="196" t="str">
        <f>IFERROR(BASE_DATOS[[#This Row],[Precio US$]]/BASE_DATOS[[#This Row],[Kilómetros Rodados]],"")</f>
        <v/>
      </c>
      <c r="AP374" s="195" t="str">
        <f>IFERROR(BASE_DATOS[[#This Row],[Kilómetros Rodados]]/(BASE_DATOS[[#This Row],[NSK Original]]-BASE_DATOS[[#This Row],[NSK]]),"")</f>
        <v/>
      </c>
      <c r="AQ374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74" s="196" t="str">
        <f>IFERROR(BASE_DATOS[[#This Row],[Precio US$]]/BASE_DATOS[[#This Row],[Kilómetros Proy.]],"")</f>
        <v/>
      </c>
      <c r="AS374" s="191" t="s">
        <v>62</v>
      </c>
      <c r="AT374" s="191"/>
      <c r="AU374" s="191"/>
      <c r="AV374" s="191"/>
      <c r="AW374" s="198"/>
      <c r="AX374" s="198"/>
      <c r="AY374" s="198" t="str">
        <f>CONCATENATE(BASE_DATOS[[#This Row],[Código_U]]&amp;BASE_DATOS[[#This Row],[Pos.]]&amp;BASE_DATOS[[#This Row],[Situación Actual]])</f>
        <v>SR-1721Rodando</v>
      </c>
    </row>
    <row r="375" spans="1:51" ht="12" x14ac:dyDescent="0.25">
      <c r="A375" s="227" t="s">
        <v>189</v>
      </c>
      <c r="B375" s="217" t="s">
        <v>190</v>
      </c>
      <c r="C375" s="228" t="s">
        <v>295</v>
      </c>
      <c r="D375" s="229" t="s">
        <v>87</v>
      </c>
      <c r="E375" s="248" t="s">
        <v>398</v>
      </c>
      <c r="F375" s="256" t="s">
        <v>97</v>
      </c>
      <c r="G375" s="256" t="s">
        <v>269</v>
      </c>
      <c r="H375" s="257" t="str">
        <f>IF(BASE_DATOS[[#This Row],[N-R]]="N",BASE_DATOS[[#This Row],[Diseño]],"Reencauche")</f>
        <v>AGC28</v>
      </c>
      <c r="I375" s="256" t="s">
        <v>270</v>
      </c>
      <c r="J375" s="243" t="s">
        <v>72</v>
      </c>
      <c r="K375" s="258">
        <v>16.5</v>
      </c>
      <c r="L375" s="256">
        <v>110</v>
      </c>
      <c r="M375" s="259"/>
      <c r="N375" s="260"/>
      <c r="O375" s="277"/>
      <c r="P375" s="278"/>
      <c r="Q375" s="279"/>
      <c r="R375" s="309" t="s">
        <v>99</v>
      </c>
      <c r="S375" s="310">
        <v>45384</v>
      </c>
      <c r="T375" s="311"/>
      <c r="U375" s="312"/>
      <c r="V375" s="227">
        <v>8</v>
      </c>
      <c r="W375" s="281">
        <v>8</v>
      </c>
      <c r="X375" s="282">
        <v>8</v>
      </c>
      <c r="Y375" s="293">
        <f t="shared" si="16"/>
        <v>8</v>
      </c>
      <c r="Z375" s="175" t="s">
        <v>85</v>
      </c>
      <c r="AA375" s="342">
        <f>IFERROR(BASE_DATOS[[#This Row],[NSK Original]]-BASE_DATOS[[#This Row],[NSK]]," ")</f>
        <v>8.5</v>
      </c>
      <c r="AB375" s="343">
        <f>'NSK-TRACTO'!$A$2</f>
        <v>6</v>
      </c>
      <c r="AC375" s="343">
        <f>IF(BASE_DATOS[[#This Row],[NSK]]&gt;=BASE_DATOS[[#This Row],[NSK Reen]],BASE_DATOS[[#This Row],[NSK Reen]],BASE_DATOS[[#This Row],[NSK]])</f>
        <v>6</v>
      </c>
      <c r="AD375" s="344">
        <f>IFERROR(100%-(BASE_DATOS[[#This Row],[NSK Reen]]/BASE_DATOS[[#This Row],[NSK Original]]),"")</f>
        <v>0.63636363636363635</v>
      </c>
      <c r="AE375" s="344">
        <f>IFERROR(100%-BASE_DATOS[[#This Row],[NSK]]/BASE_DATOS[[#This Row],[NSK Original]],"")</f>
        <v>0.51515151515151514</v>
      </c>
      <c r="AF375" s="344">
        <f>IFERROR(BASE_DATOS[[#This Row],[% Max Des.]]-BASE_DATOS[[#This Row],[% Des]],"")</f>
        <v>0.12121212121212122</v>
      </c>
      <c r="AG375" s="287"/>
      <c r="AH375" s="273"/>
      <c r="AI375" s="363" t="str">
        <f>IF(OR(BASE_DATOS[[#This Row],[Hr.]]="",BASE_DATOS[[#This Row],[Hr. Actual]]=""),"",BASE_DATOS[[#This Row],[Hr. Actual]]-BASE_DATOS[[#This Row],[Hr.]]+BASE_DATOS[[#This Row],[Horas Acumuladas]])</f>
        <v/>
      </c>
      <c r="AJ375" s="364" t="str">
        <f>IFERROR(BASE_DATOS[[#This Row],[Precio US$]]/BASE_DATOS[[#This Row],[Horas Rodadas]],"")</f>
        <v/>
      </c>
      <c r="AK375" s="365" t="str">
        <f>IFERROR(BASE_DATOS[[#This Row],[Horas Rodadas]]/(BASE_DATOS[[#This Row],[NSK Original]]-BASE_DATOS[[#This Row],[NSK]]),"")</f>
        <v/>
      </c>
      <c r="AL37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75" s="366" t="str">
        <f>IFERROR(BASE_DATOS[[#This Row],[Precio US$]]/BASE_DATOS[[#This Row],[Horas Proy.]],"")</f>
        <v/>
      </c>
      <c r="AN375" s="176" t="str">
        <f>IF(OR(BASE_DATOS[[#This Row],[Km.]]="",BASE_DATOS[[#This Row],[Km. Actual]]=""),"",BASE_DATOS[[#This Row],[Km. Actual]]-BASE_DATOS[[#This Row],[Km.]]+BASE_DATOS[[#This Row],[Kilómetros Acumulados]])</f>
        <v/>
      </c>
      <c r="AO375" s="177" t="str">
        <f>IFERROR(BASE_DATOS[[#This Row],[Precio US$]]/BASE_DATOS[[#This Row],[Kilómetros Rodados]],"")</f>
        <v/>
      </c>
      <c r="AP375" s="176" t="str">
        <f>IFERROR(BASE_DATOS[[#This Row],[Kilómetros Rodados]]/(BASE_DATOS[[#This Row],[NSK Original]]-BASE_DATOS[[#This Row],[NSK]]),"")</f>
        <v/>
      </c>
      <c r="AQ37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75" s="177" t="str">
        <f>IFERROR(BASE_DATOS[[#This Row],[Precio US$]]/BASE_DATOS[[#This Row],[Kilómetros Proy.]],"")</f>
        <v/>
      </c>
      <c r="AS375" s="167" t="s">
        <v>62</v>
      </c>
      <c r="AT375" s="167"/>
      <c r="AU375" s="167"/>
      <c r="AV375" s="167"/>
      <c r="AW375" s="179"/>
      <c r="AX375" s="179"/>
      <c r="AY375" s="179" t="str">
        <f>CONCATENATE(BASE_DATOS[[#This Row],[Código_U]]&amp;BASE_DATOS[[#This Row],[Pos.]]&amp;BASE_DATOS[[#This Row],[Situación Actual]])</f>
        <v>SR-1722Rodando</v>
      </c>
    </row>
    <row r="376" spans="1:51" ht="12" x14ac:dyDescent="0.25">
      <c r="A376" s="227" t="s">
        <v>189</v>
      </c>
      <c r="B376" s="217" t="s">
        <v>190</v>
      </c>
      <c r="C376" s="228" t="s">
        <v>295</v>
      </c>
      <c r="D376" s="229" t="s">
        <v>87</v>
      </c>
      <c r="E376" s="248" t="s">
        <v>390</v>
      </c>
      <c r="F376" s="256" t="s">
        <v>97</v>
      </c>
      <c r="G376" s="256" t="s">
        <v>269</v>
      </c>
      <c r="H376" s="257" t="str">
        <f>IF(BASE_DATOS[[#This Row],[N-R]]="N",BASE_DATOS[[#This Row],[Diseño]],"Reencauche")</f>
        <v>AGC28</v>
      </c>
      <c r="I376" s="256" t="s">
        <v>270</v>
      </c>
      <c r="J376" s="243" t="s">
        <v>72</v>
      </c>
      <c r="K376" s="258">
        <v>16.5</v>
      </c>
      <c r="L376" s="256">
        <v>110</v>
      </c>
      <c r="M376" s="259"/>
      <c r="N376" s="260"/>
      <c r="O376" s="277"/>
      <c r="P376" s="278"/>
      <c r="Q376" s="279"/>
      <c r="R376" s="309" t="s">
        <v>100</v>
      </c>
      <c r="S376" s="310">
        <v>45384</v>
      </c>
      <c r="T376" s="311"/>
      <c r="U376" s="312"/>
      <c r="V376" s="227">
        <v>9</v>
      </c>
      <c r="W376" s="281">
        <v>9</v>
      </c>
      <c r="X376" s="282">
        <v>9</v>
      </c>
      <c r="Y376" s="293">
        <f t="shared" si="16"/>
        <v>9</v>
      </c>
      <c r="Z376" s="175" t="s">
        <v>85</v>
      </c>
      <c r="AA376" s="342">
        <f>IFERROR(BASE_DATOS[[#This Row],[NSK Original]]-BASE_DATOS[[#This Row],[NSK]]," ")</f>
        <v>7.5</v>
      </c>
      <c r="AB376" s="343">
        <f>'NSK-TRACTO'!$A$2</f>
        <v>6</v>
      </c>
      <c r="AC376" s="343">
        <f>IF(BASE_DATOS[[#This Row],[NSK]]&gt;=BASE_DATOS[[#This Row],[NSK Reen]],BASE_DATOS[[#This Row],[NSK Reen]],BASE_DATOS[[#This Row],[NSK]])</f>
        <v>6</v>
      </c>
      <c r="AD376" s="344">
        <f>IFERROR(100%-(BASE_DATOS[[#This Row],[NSK Reen]]/BASE_DATOS[[#This Row],[NSK Original]]),"")</f>
        <v>0.63636363636363635</v>
      </c>
      <c r="AE376" s="344">
        <f>IFERROR(100%-BASE_DATOS[[#This Row],[NSK]]/BASE_DATOS[[#This Row],[NSK Original]],"")</f>
        <v>0.45454545454545459</v>
      </c>
      <c r="AF376" s="344">
        <f>IFERROR(BASE_DATOS[[#This Row],[% Max Des.]]-BASE_DATOS[[#This Row],[% Des]],"")</f>
        <v>0.18181818181818177</v>
      </c>
      <c r="AG376" s="287"/>
      <c r="AH376" s="273"/>
      <c r="AI376" s="363" t="str">
        <f>IF(OR(BASE_DATOS[[#This Row],[Hr.]]="",BASE_DATOS[[#This Row],[Hr. Actual]]=""),"",BASE_DATOS[[#This Row],[Hr. Actual]]-BASE_DATOS[[#This Row],[Hr.]]+BASE_DATOS[[#This Row],[Horas Acumuladas]])</f>
        <v/>
      </c>
      <c r="AJ376" s="364" t="str">
        <f>IFERROR(BASE_DATOS[[#This Row],[Precio US$]]/BASE_DATOS[[#This Row],[Horas Rodadas]],"")</f>
        <v/>
      </c>
      <c r="AK376" s="365" t="str">
        <f>IFERROR(BASE_DATOS[[#This Row],[Horas Rodadas]]/(BASE_DATOS[[#This Row],[NSK Original]]-BASE_DATOS[[#This Row],[NSK]]),"")</f>
        <v/>
      </c>
      <c r="AL37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76" s="366" t="str">
        <f>IFERROR(BASE_DATOS[[#This Row],[Precio US$]]/BASE_DATOS[[#This Row],[Horas Proy.]],"")</f>
        <v/>
      </c>
      <c r="AN376" s="176" t="str">
        <f>IF(OR(BASE_DATOS[[#This Row],[Km.]]="",BASE_DATOS[[#This Row],[Km. Actual]]=""),"",BASE_DATOS[[#This Row],[Km. Actual]]-BASE_DATOS[[#This Row],[Km.]]+BASE_DATOS[[#This Row],[Kilómetros Acumulados]])</f>
        <v/>
      </c>
      <c r="AO376" s="177" t="str">
        <f>IFERROR(BASE_DATOS[[#This Row],[Precio US$]]/BASE_DATOS[[#This Row],[Kilómetros Rodados]],"")</f>
        <v/>
      </c>
      <c r="AP376" s="176" t="str">
        <f>IFERROR(BASE_DATOS[[#This Row],[Kilómetros Rodados]]/(BASE_DATOS[[#This Row],[NSK Original]]-BASE_DATOS[[#This Row],[NSK]]),"")</f>
        <v/>
      </c>
      <c r="AQ37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76" s="177" t="str">
        <f>IFERROR(BASE_DATOS[[#This Row],[Precio US$]]/BASE_DATOS[[#This Row],[Kilómetros Proy.]],"")</f>
        <v/>
      </c>
      <c r="AS376" s="167" t="s">
        <v>62</v>
      </c>
      <c r="AT376" s="167"/>
      <c r="AU376" s="167"/>
      <c r="AV376" s="167"/>
      <c r="AW376" s="179"/>
      <c r="AX376" s="179"/>
      <c r="AY376" s="179" t="str">
        <f>CONCATENATE(BASE_DATOS[[#This Row],[Código_U]]&amp;BASE_DATOS[[#This Row],[Pos.]]&amp;BASE_DATOS[[#This Row],[Situación Actual]])</f>
        <v>SR-1723Rodando</v>
      </c>
    </row>
    <row r="377" spans="1:51" ht="12" x14ac:dyDescent="0.25">
      <c r="A377" s="227" t="s">
        <v>189</v>
      </c>
      <c r="B377" s="217" t="s">
        <v>190</v>
      </c>
      <c r="C377" s="228" t="s">
        <v>295</v>
      </c>
      <c r="D377" s="229" t="s">
        <v>87</v>
      </c>
      <c r="E377" s="248" t="s">
        <v>391</v>
      </c>
      <c r="F377" s="256" t="s">
        <v>97</v>
      </c>
      <c r="G377" s="256" t="s">
        <v>269</v>
      </c>
      <c r="H377" s="257" t="str">
        <f>IF(BASE_DATOS[[#This Row],[N-R]]="N",BASE_DATOS[[#This Row],[Diseño]],"Reencauche")</f>
        <v>AGC28</v>
      </c>
      <c r="I377" s="256" t="s">
        <v>270</v>
      </c>
      <c r="J377" s="243" t="s">
        <v>72</v>
      </c>
      <c r="K377" s="258">
        <v>16.5</v>
      </c>
      <c r="L377" s="256">
        <v>110</v>
      </c>
      <c r="M377" s="259"/>
      <c r="N377" s="260"/>
      <c r="O377" s="277"/>
      <c r="P377" s="278"/>
      <c r="Q377" s="279"/>
      <c r="R377" s="309" t="s">
        <v>101</v>
      </c>
      <c r="S377" s="310">
        <v>45384</v>
      </c>
      <c r="T377" s="311"/>
      <c r="U377" s="312"/>
      <c r="V377" s="227">
        <v>10</v>
      </c>
      <c r="W377" s="281">
        <v>8</v>
      </c>
      <c r="X377" s="282">
        <v>9</v>
      </c>
      <c r="Y377" s="293">
        <f t="shared" si="16"/>
        <v>8</v>
      </c>
      <c r="Z377" s="175" t="s">
        <v>85</v>
      </c>
      <c r="AA377" s="342">
        <f>IFERROR(BASE_DATOS[[#This Row],[NSK Original]]-BASE_DATOS[[#This Row],[NSK]]," ")</f>
        <v>8.5</v>
      </c>
      <c r="AB377" s="343">
        <f>'NSK-TRACTO'!$A$2</f>
        <v>6</v>
      </c>
      <c r="AC377" s="343">
        <f>IF(BASE_DATOS[[#This Row],[NSK]]&gt;=BASE_DATOS[[#This Row],[NSK Reen]],BASE_DATOS[[#This Row],[NSK Reen]],BASE_DATOS[[#This Row],[NSK]])</f>
        <v>6</v>
      </c>
      <c r="AD377" s="344">
        <f>IFERROR(100%-(BASE_DATOS[[#This Row],[NSK Reen]]/BASE_DATOS[[#This Row],[NSK Original]]),"")</f>
        <v>0.63636363636363635</v>
      </c>
      <c r="AE377" s="344">
        <f>IFERROR(100%-BASE_DATOS[[#This Row],[NSK]]/BASE_DATOS[[#This Row],[NSK Original]],"")</f>
        <v>0.51515151515151514</v>
      </c>
      <c r="AF377" s="344">
        <f>IFERROR(BASE_DATOS[[#This Row],[% Max Des.]]-BASE_DATOS[[#This Row],[% Des]],"")</f>
        <v>0.12121212121212122</v>
      </c>
      <c r="AG377" s="287"/>
      <c r="AH377" s="273"/>
      <c r="AI377" s="363" t="str">
        <f>IF(OR(BASE_DATOS[[#This Row],[Hr.]]="",BASE_DATOS[[#This Row],[Hr. Actual]]=""),"",BASE_DATOS[[#This Row],[Hr. Actual]]-BASE_DATOS[[#This Row],[Hr.]]+BASE_DATOS[[#This Row],[Horas Acumuladas]])</f>
        <v/>
      </c>
      <c r="AJ377" s="364" t="str">
        <f>IFERROR(BASE_DATOS[[#This Row],[Precio US$]]/BASE_DATOS[[#This Row],[Horas Rodadas]],"")</f>
        <v/>
      </c>
      <c r="AK377" s="365" t="str">
        <f>IFERROR(BASE_DATOS[[#This Row],[Horas Rodadas]]/(BASE_DATOS[[#This Row],[NSK Original]]-BASE_DATOS[[#This Row],[NSK]]),"")</f>
        <v/>
      </c>
      <c r="AL37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77" s="366" t="str">
        <f>IFERROR(BASE_DATOS[[#This Row],[Precio US$]]/BASE_DATOS[[#This Row],[Horas Proy.]],"")</f>
        <v/>
      </c>
      <c r="AN377" s="176" t="str">
        <f>IF(OR(BASE_DATOS[[#This Row],[Km.]]="",BASE_DATOS[[#This Row],[Km. Actual]]=""),"",BASE_DATOS[[#This Row],[Km. Actual]]-BASE_DATOS[[#This Row],[Km.]]+BASE_DATOS[[#This Row],[Kilómetros Acumulados]])</f>
        <v/>
      </c>
      <c r="AO377" s="177" t="str">
        <f>IFERROR(BASE_DATOS[[#This Row],[Precio US$]]/BASE_DATOS[[#This Row],[Kilómetros Rodados]],"")</f>
        <v/>
      </c>
      <c r="AP377" s="176" t="str">
        <f>IFERROR(BASE_DATOS[[#This Row],[Kilómetros Rodados]]/(BASE_DATOS[[#This Row],[NSK Original]]-BASE_DATOS[[#This Row],[NSK]]),"")</f>
        <v/>
      </c>
      <c r="AQ37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77" s="177" t="str">
        <f>IFERROR(BASE_DATOS[[#This Row],[Precio US$]]/BASE_DATOS[[#This Row],[Kilómetros Proy.]],"")</f>
        <v/>
      </c>
      <c r="AS377" s="167" t="s">
        <v>62</v>
      </c>
      <c r="AT377" s="167"/>
      <c r="AU377" s="167"/>
      <c r="AV377" s="167"/>
      <c r="AW377" s="179"/>
      <c r="AX377" s="179"/>
      <c r="AY377" s="179" t="str">
        <f>CONCATENATE(BASE_DATOS[[#This Row],[Código_U]]&amp;BASE_DATOS[[#This Row],[Pos.]]&amp;BASE_DATOS[[#This Row],[Situación Actual]])</f>
        <v>SR-1724Rodando</v>
      </c>
    </row>
    <row r="378" spans="1:51" ht="12" x14ac:dyDescent="0.25">
      <c r="A378" s="227" t="s">
        <v>189</v>
      </c>
      <c r="B378" s="217" t="s">
        <v>190</v>
      </c>
      <c r="C378" s="228" t="s">
        <v>295</v>
      </c>
      <c r="D378" s="229" t="s">
        <v>87</v>
      </c>
      <c r="E378" s="248" t="s">
        <v>392</v>
      </c>
      <c r="F378" s="256" t="s">
        <v>97</v>
      </c>
      <c r="G378" s="256" t="s">
        <v>269</v>
      </c>
      <c r="H378" s="257" t="str">
        <f>IF(BASE_DATOS[[#This Row],[N-R]]="N",BASE_DATOS[[#This Row],[Diseño]],"Reencauche")</f>
        <v>AGC28</v>
      </c>
      <c r="I378" s="256" t="s">
        <v>270</v>
      </c>
      <c r="J378" s="243" t="s">
        <v>72</v>
      </c>
      <c r="K378" s="258">
        <v>16.5</v>
      </c>
      <c r="L378" s="256">
        <v>110</v>
      </c>
      <c r="M378" s="259"/>
      <c r="N378" s="260"/>
      <c r="O378" s="277"/>
      <c r="P378" s="278"/>
      <c r="Q378" s="279"/>
      <c r="R378" s="309" t="s">
        <v>102</v>
      </c>
      <c r="S378" s="310">
        <v>45384</v>
      </c>
      <c r="T378" s="313"/>
      <c r="U378" s="279"/>
      <c r="V378" s="227">
        <v>11</v>
      </c>
      <c r="W378" s="281">
        <v>11</v>
      </c>
      <c r="X378" s="282">
        <v>10</v>
      </c>
      <c r="Y378" s="293">
        <f t="shared" si="16"/>
        <v>10</v>
      </c>
      <c r="Z378" s="161" t="s">
        <v>73</v>
      </c>
      <c r="AA378" s="342">
        <f>IFERROR(BASE_DATOS[[#This Row],[NSK Original]]-BASE_DATOS[[#This Row],[NSK]]," ")</f>
        <v>6.5</v>
      </c>
      <c r="AB378" s="343">
        <f>'NSK-TRACTO'!$A$2</f>
        <v>6</v>
      </c>
      <c r="AC378" s="343">
        <f>IF(BASE_DATOS[[#This Row],[NSK]]&gt;=BASE_DATOS[[#This Row],[NSK Reen]],BASE_DATOS[[#This Row],[NSK Reen]],BASE_DATOS[[#This Row],[NSK]])</f>
        <v>6</v>
      </c>
      <c r="AD378" s="344">
        <f>IFERROR(100%-(BASE_DATOS[[#This Row],[NSK Reen]]/BASE_DATOS[[#This Row],[NSK Original]]),"")</f>
        <v>0.63636363636363635</v>
      </c>
      <c r="AE378" s="344">
        <f>IFERROR(100%-BASE_DATOS[[#This Row],[NSK]]/BASE_DATOS[[#This Row],[NSK Original]],"")</f>
        <v>0.39393939393939392</v>
      </c>
      <c r="AF378" s="344">
        <f>IFERROR(BASE_DATOS[[#This Row],[% Max Des.]]-BASE_DATOS[[#This Row],[% Des]],"")</f>
        <v>0.24242424242424243</v>
      </c>
      <c r="AG378" s="287"/>
      <c r="AH378" s="273"/>
      <c r="AI378" s="363" t="str">
        <f>IF(OR(BASE_DATOS[[#This Row],[Hr.]]="",BASE_DATOS[[#This Row],[Hr. Actual]]=""),"",BASE_DATOS[[#This Row],[Hr. Actual]]-BASE_DATOS[[#This Row],[Hr.]]+BASE_DATOS[[#This Row],[Horas Acumuladas]])</f>
        <v/>
      </c>
      <c r="AJ378" s="364" t="str">
        <f>IFERROR(BASE_DATOS[[#This Row],[Precio US$]]/BASE_DATOS[[#This Row],[Horas Rodadas]],"")</f>
        <v/>
      </c>
      <c r="AK378" s="365" t="str">
        <f>IFERROR(BASE_DATOS[[#This Row],[Horas Rodadas]]/(BASE_DATOS[[#This Row],[NSK Original]]-BASE_DATOS[[#This Row],[NSK]]),"")</f>
        <v/>
      </c>
      <c r="AL37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78" s="366" t="str">
        <f>IFERROR(BASE_DATOS[[#This Row],[Precio US$]]/BASE_DATOS[[#This Row],[Horas Proy.]],"")</f>
        <v/>
      </c>
      <c r="AN378" s="176" t="str">
        <f>IF(OR(BASE_DATOS[[#This Row],[Km.]]="",BASE_DATOS[[#This Row],[Km. Actual]]=""),"",BASE_DATOS[[#This Row],[Km. Actual]]-BASE_DATOS[[#This Row],[Km.]]+BASE_DATOS[[#This Row],[Kilómetros Acumulados]])</f>
        <v/>
      </c>
      <c r="AO378" s="177" t="str">
        <f>IFERROR(BASE_DATOS[[#This Row],[Precio US$]]/BASE_DATOS[[#This Row],[Kilómetros Rodados]],"")</f>
        <v/>
      </c>
      <c r="AP378" s="176" t="str">
        <f>IFERROR(BASE_DATOS[[#This Row],[Kilómetros Rodados]]/(BASE_DATOS[[#This Row],[NSK Original]]-BASE_DATOS[[#This Row],[NSK]]),"")</f>
        <v/>
      </c>
      <c r="AQ37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78" s="177" t="str">
        <f>IFERROR(BASE_DATOS[[#This Row],[Precio US$]]/BASE_DATOS[[#This Row],[Kilómetros Proy.]],"")</f>
        <v/>
      </c>
      <c r="AS378" s="167" t="s">
        <v>62</v>
      </c>
      <c r="AT378" s="167"/>
      <c r="AU378" s="167"/>
      <c r="AV378" s="167"/>
      <c r="AW378" s="179"/>
      <c r="AX378" s="179"/>
      <c r="AY378" s="179" t="str">
        <f>CONCATENATE(BASE_DATOS[[#This Row],[Código_U]]&amp;BASE_DATOS[[#This Row],[Pos.]]&amp;BASE_DATOS[[#This Row],[Situación Actual]])</f>
        <v>SR-1725Rodando</v>
      </c>
    </row>
    <row r="379" spans="1:51" ht="12" x14ac:dyDescent="0.25">
      <c r="A379" s="227" t="s">
        <v>189</v>
      </c>
      <c r="B379" s="217" t="s">
        <v>190</v>
      </c>
      <c r="C379" s="228" t="s">
        <v>295</v>
      </c>
      <c r="D379" s="229" t="s">
        <v>87</v>
      </c>
      <c r="E379" s="248" t="s">
        <v>393</v>
      </c>
      <c r="F379" s="256" t="s">
        <v>97</v>
      </c>
      <c r="G379" s="256" t="s">
        <v>269</v>
      </c>
      <c r="H379" s="257" t="str">
        <f>IF(BASE_DATOS[[#This Row],[N-R]]="N",BASE_DATOS[[#This Row],[Diseño]],"Reencauche")</f>
        <v>AGC28</v>
      </c>
      <c r="I379" s="256" t="s">
        <v>270</v>
      </c>
      <c r="J379" s="243" t="s">
        <v>72</v>
      </c>
      <c r="K379" s="258">
        <v>16.5</v>
      </c>
      <c r="L379" s="256">
        <v>110</v>
      </c>
      <c r="M379" s="259"/>
      <c r="N379" s="260"/>
      <c r="O379" s="277"/>
      <c r="P379" s="278"/>
      <c r="Q379" s="279"/>
      <c r="R379" s="309" t="s">
        <v>103</v>
      </c>
      <c r="S379" s="310">
        <v>45384</v>
      </c>
      <c r="T379" s="313"/>
      <c r="U379" s="279"/>
      <c r="V379" s="227">
        <v>7</v>
      </c>
      <c r="W379" s="281">
        <v>7</v>
      </c>
      <c r="X379" s="282">
        <v>7</v>
      </c>
      <c r="Y379" s="293">
        <f t="shared" si="16"/>
        <v>7</v>
      </c>
      <c r="Z379" s="175" t="s">
        <v>85</v>
      </c>
      <c r="AA379" s="342">
        <f>IFERROR(BASE_DATOS[[#This Row],[NSK Original]]-BASE_DATOS[[#This Row],[NSK]]," ")</f>
        <v>9.5</v>
      </c>
      <c r="AB379" s="343">
        <f>'NSK-TRACTO'!$A$2</f>
        <v>6</v>
      </c>
      <c r="AC379" s="343">
        <f>IF(BASE_DATOS[[#This Row],[NSK]]&gt;=BASE_DATOS[[#This Row],[NSK Reen]],BASE_DATOS[[#This Row],[NSK Reen]],BASE_DATOS[[#This Row],[NSK]])</f>
        <v>6</v>
      </c>
      <c r="AD379" s="344">
        <f>IFERROR(100%-(BASE_DATOS[[#This Row],[NSK Reen]]/BASE_DATOS[[#This Row],[NSK Original]]),"")</f>
        <v>0.63636363636363635</v>
      </c>
      <c r="AE379" s="344">
        <f>IFERROR(100%-BASE_DATOS[[#This Row],[NSK]]/BASE_DATOS[[#This Row],[NSK Original]],"")</f>
        <v>0.57575757575757569</v>
      </c>
      <c r="AF379" s="344">
        <f>IFERROR(BASE_DATOS[[#This Row],[% Max Des.]]-BASE_DATOS[[#This Row],[% Des]],"")</f>
        <v>6.0606060606060663E-2</v>
      </c>
      <c r="AG379" s="287"/>
      <c r="AH379" s="273"/>
      <c r="AI379" s="363" t="str">
        <f>IF(OR(BASE_DATOS[[#This Row],[Hr.]]="",BASE_DATOS[[#This Row],[Hr. Actual]]=""),"",BASE_DATOS[[#This Row],[Hr. Actual]]-BASE_DATOS[[#This Row],[Hr.]]+BASE_DATOS[[#This Row],[Horas Acumuladas]])</f>
        <v/>
      </c>
      <c r="AJ379" s="364" t="str">
        <f>IFERROR(BASE_DATOS[[#This Row],[Precio US$]]/BASE_DATOS[[#This Row],[Horas Rodadas]],"")</f>
        <v/>
      </c>
      <c r="AK379" s="365" t="str">
        <f>IFERROR(BASE_DATOS[[#This Row],[Horas Rodadas]]/(BASE_DATOS[[#This Row],[NSK Original]]-BASE_DATOS[[#This Row],[NSK]]),"")</f>
        <v/>
      </c>
      <c r="AL37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79" s="366" t="str">
        <f>IFERROR(BASE_DATOS[[#This Row],[Precio US$]]/BASE_DATOS[[#This Row],[Horas Proy.]],"")</f>
        <v/>
      </c>
      <c r="AN379" s="176" t="str">
        <f>IF(OR(BASE_DATOS[[#This Row],[Km.]]="",BASE_DATOS[[#This Row],[Km. Actual]]=""),"",BASE_DATOS[[#This Row],[Km. Actual]]-BASE_DATOS[[#This Row],[Km.]]+BASE_DATOS[[#This Row],[Kilómetros Acumulados]])</f>
        <v/>
      </c>
      <c r="AO379" s="177" t="str">
        <f>IFERROR(BASE_DATOS[[#This Row],[Precio US$]]/BASE_DATOS[[#This Row],[Kilómetros Rodados]],"")</f>
        <v/>
      </c>
      <c r="AP379" s="176" t="str">
        <f>IFERROR(BASE_DATOS[[#This Row],[Kilómetros Rodados]]/(BASE_DATOS[[#This Row],[NSK Original]]-BASE_DATOS[[#This Row],[NSK]]),"")</f>
        <v/>
      </c>
      <c r="AQ37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79" s="177" t="str">
        <f>IFERROR(BASE_DATOS[[#This Row],[Precio US$]]/BASE_DATOS[[#This Row],[Kilómetros Proy.]],"")</f>
        <v/>
      </c>
      <c r="AS379" s="167" t="s">
        <v>62</v>
      </c>
      <c r="AT379" s="167"/>
      <c r="AU379" s="167"/>
      <c r="AV379" s="167"/>
      <c r="AW379" s="179"/>
      <c r="AX379" s="179"/>
      <c r="AY379" s="179" t="str">
        <f>CONCATENATE(BASE_DATOS[[#This Row],[Código_U]]&amp;BASE_DATOS[[#This Row],[Pos.]]&amp;BASE_DATOS[[#This Row],[Situación Actual]])</f>
        <v>SR-1726Rodando</v>
      </c>
    </row>
    <row r="380" spans="1:51" ht="12" x14ac:dyDescent="0.25">
      <c r="A380" s="227" t="s">
        <v>189</v>
      </c>
      <c r="B380" s="217" t="s">
        <v>190</v>
      </c>
      <c r="C380" s="228" t="s">
        <v>295</v>
      </c>
      <c r="D380" s="229" t="s">
        <v>384</v>
      </c>
      <c r="E380" s="255"/>
      <c r="F380" s="256" t="s">
        <v>273</v>
      </c>
      <c r="G380" s="256" t="s">
        <v>274</v>
      </c>
      <c r="H380" s="257" t="str">
        <f>IF(BASE_DATOS[[#This Row],[N-R]]="N",BASE_DATOS[[#This Row],[Diseño]],"Reencauche")</f>
        <v>XZY3</v>
      </c>
      <c r="I380" s="256" t="s">
        <v>277</v>
      </c>
      <c r="J380" s="243" t="s">
        <v>72</v>
      </c>
      <c r="K380" s="258">
        <v>0</v>
      </c>
      <c r="L380" s="256">
        <v>110</v>
      </c>
      <c r="M380" s="259"/>
      <c r="N380" s="260"/>
      <c r="O380" s="277"/>
      <c r="P380" s="278"/>
      <c r="Q380" s="279"/>
      <c r="R380" s="304" t="s">
        <v>509</v>
      </c>
      <c r="S380" s="310">
        <v>45384</v>
      </c>
      <c r="T380" s="313"/>
      <c r="U380" s="279"/>
      <c r="V380" s="227">
        <v>11</v>
      </c>
      <c r="W380" s="281">
        <v>11</v>
      </c>
      <c r="X380" s="282">
        <v>11</v>
      </c>
      <c r="Y380" s="293">
        <f t="shared" si="16"/>
        <v>11</v>
      </c>
      <c r="Z380" s="175" t="s">
        <v>85</v>
      </c>
      <c r="AA380" s="342">
        <f>IFERROR(BASE_DATOS[[#This Row],[NSK Original]]-BASE_DATOS[[#This Row],[NSK]]," ")</f>
        <v>-11</v>
      </c>
      <c r="AB380" s="343">
        <f>'NSK-TRACTO'!$A$2</f>
        <v>6</v>
      </c>
      <c r="AC380" s="343">
        <f>IF(BASE_DATOS[[#This Row],[NSK]]&gt;=BASE_DATOS[[#This Row],[NSK Reen]],BASE_DATOS[[#This Row],[NSK Reen]],BASE_DATOS[[#This Row],[NSK]])</f>
        <v>6</v>
      </c>
      <c r="AD380" s="344" t="str">
        <f>IFERROR(100%-(BASE_DATOS[[#This Row],[NSK Reen]]/BASE_DATOS[[#This Row],[NSK Original]]),"")</f>
        <v/>
      </c>
      <c r="AE380" s="344" t="str">
        <f>IFERROR(100%-BASE_DATOS[[#This Row],[NSK]]/BASE_DATOS[[#This Row],[NSK Original]],"")</f>
        <v/>
      </c>
      <c r="AF380" s="344" t="str">
        <f>IFERROR(BASE_DATOS[[#This Row],[% Max Des.]]-BASE_DATOS[[#This Row],[% Des]],"")</f>
        <v/>
      </c>
      <c r="AG380" s="287"/>
      <c r="AH380" s="273"/>
      <c r="AI380" s="363" t="str">
        <f>IF(OR(BASE_DATOS[[#This Row],[Hr.]]="",BASE_DATOS[[#This Row],[Hr. Actual]]=""),"",BASE_DATOS[[#This Row],[Hr. Actual]]-BASE_DATOS[[#This Row],[Hr.]]+BASE_DATOS[[#This Row],[Horas Acumuladas]])</f>
        <v/>
      </c>
      <c r="AJ380" s="364" t="str">
        <f>IFERROR(BASE_DATOS[[#This Row],[Precio US$]]/BASE_DATOS[[#This Row],[Horas Rodadas]],"")</f>
        <v/>
      </c>
      <c r="AK380" s="365" t="str">
        <f>IFERROR(BASE_DATOS[[#This Row],[Horas Rodadas]]/(BASE_DATOS[[#This Row],[NSK Original]]-BASE_DATOS[[#This Row],[NSK]]),"")</f>
        <v/>
      </c>
      <c r="AL38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80" s="366" t="str">
        <f>IFERROR(BASE_DATOS[[#This Row],[Precio US$]]/BASE_DATOS[[#This Row],[Horas Proy.]],"")</f>
        <v/>
      </c>
      <c r="AN380" s="176" t="str">
        <f>IF(OR(BASE_DATOS[[#This Row],[Km.]]="",BASE_DATOS[[#This Row],[Km. Actual]]=""),"",BASE_DATOS[[#This Row],[Km. Actual]]-BASE_DATOS[[#This Row],[Km.]]+BASE_DATOS[[#This Row],[Kilómetros Acumulados]])</f>
        <v/>
      </c>
      <c r="AO380" s="177" t="str">
        <f>IFERROR(BASE_DATOS[[#This Row],[Precio US$]]/BASE_DATOS[[#This Row],[Kilómetros Rodados]],"")</f>
        <v/>
      </c>
      <c r="AP380" s="176" t="str">
        <f>IFERROR(BASE_DATOS[[#This Row],[Kilómetros Rodados]]/(BASE_DATOS[[#This Row],[NSK Original]]-BASE_DATOS[[#This Row],[NSK]]),"")</f>
        <v/>
      </c>
      <c r="AQ38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80" s="177" t="str">
        <f>IFERROR(BASE_DATOS[[#This Row],[Precio US$]]/BASE_DATOS[[#This Row],[Kilómetros Proy.]],"")</f>
        <v/>
      </c>
      <c r="AS380" s="167" t="s">
        <v>62</v>
      </c>
      <c r="AT380" s="167"/>
      <c r="AU380" s="167"/>
      <c r="AV380" s="167"/>
      <c r="AW380" s="179"/>
      <c r="AX380" s="179"/>
      <c r="AY380" s="179" t="str">
        <f>CONCATENATE(BASE_DATOS[[#This Row],[Código_U]]&amp;BASE_DATOS[[#This Row],[Pos.]]&amp;BASE_DATOS[[#This Row],[Situación Actual]])</f>
        <v>SR-172RERodando</v>
      </c>
    </row>
    <row r="381" spans="1:51" ht="12" x14ac:dyDescent="0.25">
      <c r="A381" s="227" t="s">
        <v>189</v>
      </c>
      <c r="B381" s="217" t="s">
        <v>190</v>
      </c>
      <c r="C381" s="228" t="s">
        <v>295</v>
      </c>
      <c r="D381" s="229" t="s">
        <v>108</v>
      </c>
      <c r="E381" s="255"/>
      <c r="F381" s="256" t="s">
        <v>273</v>
      </c>
      <c r="G381" s="256" t="s">
        <v>271</v>
      </c>
      <c r="H381" s="257" t="str">
        <f>IF(BASE_DATOS[[#This Row],[N-R]]="N",BASE_DATOS[[#This Row],[Diseño]],"Reencauche")</f>
        <v>XMULTI2D</v>
      </c>
      <c r="I381" s="256" t="s">
        <v>299</v>
      </c>
      <c r="J381" s="243" t="s">
        <v>72</v>
      </c>
      <c r="K381" s="258">
        <v>21.4</v>
      </c>
      <c r="L381" s="256">
        <v>110</v>
      </c>
      <c r="M381" s="259"/>
      <c r="N381" s="260"/>
      <c r="O381" s="277"/>
      <c r="P381" s="278"/>
      <c r="Q381" s="279"/>
      <c r="R381" s="304" t="s">
        <v>108</v>
      </c>
      <c r="S381" s="310">
        <v>45384</v>
      </c>
      <c r="T381" s="313"/>
      <c r="U381" s="279"/>
      <c r="V381" s="227">
        <v>9</v>
      </c>
      <c r="W381" s="281">
        <v>9</v>
      </c>
      <c r="X381" s="282">
        <v>9</v>
      </c>
      <c r="Y381" s="293">
        <f t="shared" si="16"/>
        <v>9</v>
      </c>
      <c r="Z381" s="175" t="s">
        <v>85</v>
      </c>
      <c r="AA381" s="342">
        <f>IFERROR(BASE_DATOS[[#This Row],[NSK Original]]-BASE_DATOS[[#This Row],[NSK]]," ")</f>
        <v>12.399999999999999</v>
      </c>
      <c r="AB381" s="343">
        <f>'NSK-TRACTO'!$A$2</f>
        <v>6</v>
      </c>
      <c r="AC381" s="343">
        <f>IF(BASE_DATOS[[#This Row],[NSK]]&gt;=BASE_DATOS[[#This Row],[NSK Reen]],BASE_DATOS[[#This Row],[NSK Reen]],BASE_DATOS[[#This Row],[NSK]])</f>
        <v>6</v>
      </c>
      <c r="AD381" s="344">
        <f>IFERROR(100%-(BASE_DATOS[[#This Row],[NSK Reen]]/BASE_DATOS[[#This Row],[NSK Original]]),"")</f>
        <v>0.71962616822429903</v>
      </c>
      <c r="AE381" s="344">
        <f>IFERROR(100%-BASE_DATOS[[#This Row],[NSK]]/BASE_DATOS[[#This Row],[NSK Original]],"")</f>
        <v>0.57943925233644855</v>
      </c>
      <c r="AF381" s="344">
        <f>IFERROR(BASE_DATOS[[#This Row],[% Max Des.]]-BASE_DATOS[[#This Row],[% Des]],"")</f>
        <v>0.14018691588785048</v>
      </c>
      <c r="AG381" s="287"/>
      <c r="AH381" s="273"/>
      <c r="AI381" s="363" t="str">
        <f>IF(OR(BASE_DATOS[[#This Row],[Hr.]]="",BASE_DATOS[[#This Row],[Hr. Actual]]=""),"",BASE_DATOS[[#This Row],[Hr. Actual]]-BASE_DATOS[[#This Row],[Hr.]]+BASE_DATOS[[#This Row],[Horas Acumuladas]])</f>
        <v/>
      </c>
      <c r="AJ381" s="364" t="str">
        <f>IFERROR(BASE_DATOS[[#This Row],[Precio US$]]/BASE_DATOS[[#This Row],[Horas Rodadas]],"")</f>
        <v/>
      </c>
      <c r="AK381" s="365" t="str">
        <f>IFERROR(BASE_DATOS[[#This Row],[Horas Rodadas]]/(BASE_DATOS[[#This Row],[NSK Original]]-BASE_DATOS[[#This Row],[NSK]]),"")</f>
        <v/>
      </c>
      <c r="AL38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81" s="366" t="str">
        <f>IFERROR(BASE_DATOS[[#This Row],[Precio US$]]/BASE_DATOS[[#This Row],[Horas Proy.]],"")</f>
        <v/>
      </c>
      <c r="AN381" s="176" t="str">
        <f>IF(OR(BASE_DATOS[[#This Row],[Km.]]="",BASE_DATOS[[#This Row],[Km. Actual]]=""),"",BASE_DATOS[[#This Row],[Km. Actual]]-BASE_DATOS[[#This Row],[Km.]]+BASE_DATOS[[#This Row],[Kilómetros Acumulados]])</f>
        <v/>
      </c>
      <c r="AO381" s="177" t="str">
        <f>IFERROR(BASE_DATOS[[#This Row],[Precio US$]]/BASE_DATOS[[#This Row],[Kilómetros Rodados]],"")</f>
        <v/>
      </c>
      <c r="AP381" s="176" t="str">
        <f>IFERROR(BASE_DATOS[[#This Row],[Kilómetros Rodados]]/(BASE_DATOS[[#This Row],[NSK Original]]-BASE_DATOS[[#This Row],[NSK]]),"")</f>
        <v/>
      </c>
      <c r="AQ38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81" s="177" t="str">
        <f>IFERROR(BASE_DATOS[[#This Row],[Precio US$]]/BASE_DATOS[[#This Row],[Kilómetros Proy.]],"")</f>
        <v/>
      </c>
      <c r="AS381" s="167" t="s">
        <v>62</v>
      </c>
      <c r="AT381" s="167"/>
      <c r="AU381" s="167"/>
      <c r="AV381" s="167"/>
      <c r="AW381" s="179"/>
      <c r="AX381" s="179"/>
      <c r="AY381" s="179" t="str">
        <f>CONCATENATE(BASE_DATOS[[#This Row],[Código_U]]&amp;BASE_DATOS[[#This Row],[Pos.]]&amp;BASE_DATOS[[#This Row],[Situación Actual]])</f>
        <v>SR-172RTRodando</v>
      </c>
    </row>
    <row r="382" spans="1:51" ht="12" x14ac:dyDescent="0.25">
      <c r="A382" s="224" t="s">
        <v>191</v>
      </c>
      <c r="B382" s="213" t="s">
        <v>192</v>
      </c>
      <c r="C382" s="225" t="s">
        <v>296</v>
      </c>
      <c r="D382" s="226" t="s">
        <v>86</v>
      </c>
      <c r="E382" s="232" t="s">
        <v>476</v>
      </c>
      <c r="F382" s="250" t="s">
        <v>273</v>
      </c>
      <c r="G382" s="250" t="s">
        <v>271</v>
      </c>
      <c r="H382" s="251" t="str">
        <f>IF(BASE_DATOS[[#This Row],[N-R]]="N",BASE_DATOS[[#This Row],[Diseño]],"Reencauche")</f>
        <v>XMULTI+Z</v>
      </c>
      <c r="I382" s="250" t="s">
        <v>297</v>
      </c>
      <c r="J382" s="235" t="s">
        <v>72</v>
      </c>
      <c r="K382" s="252">
        <v>16</v>
      </c>
      <c r="L382" s="233">
        <v>100</v>
      </c>
      <c r="M382" s="253"/>
      <c r="N382" s="254"/>
      <c r="O382" s="274"/>
      <c r="P382" s="275"/>
      <c r="Q382" s="276"/>
      <c r="R382" s="305" t="s">
        <v>98</v>
      </c>
      <c r="S382" s="306">
        <v>45386</v>
      </c>
      <c r="T382" s="314"/>
      <c r="U382" s="276"/>
      <c r="V382" s="224">
        <v>14</v>
      </c>
      <c r="W382" s="325">
        <v>14</v>
      </c>
      <c r="X382" s="326">
        <v>14</v>
      </c>
      <c r="Y382" s="292">
        <f t="shared" si="16"/>
        <v>14</v>
      </c>
      <c r="Z382" s="185" t="s">
        <v>73</v>
      </c>
      <c r="AA382" s="339">
        <f>IFERROR(BASE_DATOS[[#This Row],[NSK Original]]-BASE_DATOS[[#This Row],[NSK]]," ")</f>
        <v>2</v>
      </c>
      <c r="AB382" s="340">
        <f>'NSK-TRACTO'!$A$2</f>
        <v>6</v>
      </c>
      <c r="AC382" s="340">
        <f>IF(BASE_DATOS[[#This Row],[NSK]]&gt;=BASE_DATOS[[#This Row],[NSK Reen]],BASE_DATOS[[#This Row],[NSK Reen]],BASE_DATOS[[#This Row],[NSK]])</f>
        <v>6</v>
      </c>
      <c r="AD382" s="341">
        <f>IFERROR(100%-(BASE_DATOS[[#This Row],[NSK Reen]]/BASE_DATOS[[#This Row],[NSK Original]]),"")</f>
        <v>0.625</v>
      </c>
      <c r="AE382" s="341">
        <f>IFERROR(100%-BASE_DATOS[[#This Row],[NSK]]/BASE_DATOS[[#This Row],[NSK Original]],"")</f>
        <v>0.125</v>
      </c>
      <c r="AF382" s="341">
        <f>IFERROR(BASE_DATOS[[#This Row],[% Max Des.]]-BASE_DATOS[[#This Row],[% Des]],"")</f>
        <v>0.5</v>
      </c>
      <c r="AG382" s="284"/>
      <c r="AH382" s="335"/>
      <c r="AI382" s="359" t="str">
        <f>IF(OR(BASE_DATOS[[#This Row],[Hr.]]="",BASE_DATOS[[#This Row],[Hr. Actual]]=""),"",BASE_DATOS[[#This Row],[Hr. Actual]]-BASE_DATOS[[#This Row],[Hr.]]+BASE_DATOS[[#This Row],[Horas Acumuladas]])</f>
        <v/>
      </c>
      <c r="AJ382" s="360" t="str">
        <f>IFERROR(BASE_DATOS[[#This Row],[Precio US$]]/BASE_DATOS[[#This Row],[Horas Rodadas]],"")</f>
        <v/>
      </c>
      <c r="AK382" s="361" t="str">
        <f>IFERROR(BASE_DATOS[[#This Row],[Horas Rodadas]]/(BASE_DATOS[[#This Row],[NSK Original]]-BASE_DATOS[[#This Row],[NSK]]),"")</f>
        <v/>
      </c>
      <c r="AL382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82" s="362" t="str">
        <f>IFERROR(BASE_DATOS[[#This Row],[Precio US$]]/BASE_DATOS[[#This Row],[Horas Proy.]],"")</f>
        <v/>
      </c>
      <c r="AN382" s="195" t="str">
        <f>IF(OR(BASE_DATOS[[#This Row],[Km.]]="",BASE_DATOS[[#This Row],[Km. Actual]]=""),"",BASE_DATOS[[#This Row],[Km. Actual]]-BASE_DATOS[[#This Row],[Km.]]+BASE_DATOS[[#This Row],[Kilómetros Acumulados]])</f>
        <v/>
      </c>
      <c r="AO382" s="196" t="str">
        <f>IFERROR(BASE_DATOS[[#This Row],[Precio US$]]/BASE_DATOS[[#This Row],[Kilómetros Rodados]],"")</f>
        <v/>
      </c>
      <c r="AP382" s="195" t="str">
        <f>IFERROR(BASE_DATOS[[#This Row],[Kilómetros Rodados]]/(BASE_DATOS[[#This Row],[NSK Original]]-BASE_DATOS[[#This Row],[NSK]]),"")</f>
        <v/>
      </c>
      <c r="AQ382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82" s="196" t="str">
        <f>IFERROR(BASE_DATOS[[#This Row],[Precio US$]]/BASE_DATOS[[#This Row],[Kilómetros Proy.]],"")</f>
        <v/>
      </c>
      <c r="AS382" s="191" t="s">
        <v>62</v>
      </c>
      <c r="AT382" s="191"/>
      <c r="AU382" s="191"/>
      <c r="AV382" s="191"/>
      <c r="AW382" s="198"/>
      <c r="AX382" s="198"/>
      <c r="AY382" s="198" t="str">
        <f>CONCATENATE(BASE_DATOS[[#This Row],[Código_U]]&amp;BASE_DATOS[[#This Row],[Pos.]]&amp;BASE_DATOS[[#This Row],[Situación Actual]])</f>
        <v>TC-1741Rodando</v>
      </c>
    </row>
    <row r="383" spans="1:51" ht="12" x14ac:dyDescent="0.25">
      <c r="A383" s="227" t="s">
        <v>191</v>
      </c>
      <c r="B383" s="217" t="s">
        <v>192</v>
      </c>
      <c r="C383" s="228" t="s">
        <v>296</v>
      </c>
      <c r="D383" s="229" t="s">
        <v>86</v>
      </c>
      <c r="E383" s="248" t="s">
        <v>477</v>
      </c>
      <c r="F383" s="256" t="s">
        <v>273</v>
      </c>
      <c r="G383" s="256" t="s">
        <v>271</v>
      </c>
      <c r="H383" s="257" t="str">
        <f>IF(BASE_DATOS[[#This Row],[N-R]]="N",BASE_DATOS[[#This Row],[Diseño]],"Reencauche")</f>
        <v>XMULTI+Z</v>
      </c>
      <c r="I383" s="256" t="s">
        <v>297</v>
      </c>
      <c r="J383" s="243" t="s">
        <v>72</v>
      </c>
      <c r="K383" s="258">
        <v>16</v>
      </c>
      <c r="L383" s="241">
        <v>100</v>
      </c>
      <c r="M383" s="259"/>
      <c r="N383" s="260"/>
      <c r="O383" s="277"/>
      <c r="P383" s="278"/>
      <c r="Q383" s="279"/>
      <c r="R383" s="309" t="s">
        <v>99</v>
      </c>
      <c r="S383" s="310">
        <v>45386</v>
      </c>
      <c r="T383" s="313"/>
      <c r="U383" s="279"/>
      <c r="V383" s="227">
        <v>15</v>
      </c>
      <c r="W383" s="281">
        <v>15</v>
      </c>
      <c r="X383" s="282">
        <v>15</v>
      </c>
      <c r="Y383" s="293">
        <f t="shared" si="16"/>
        <v>15</v>
      </c>
      <c r="Z383" s="161" t="s">
        <v>73</v>
      </c>
      <c r="AA383" s="342">
        <f>IFERROR(BASE_DATOS[[#This Row],[NSK Original]]-BASE_DATOS[[#This Row],[NSK]]," ")</f>
        <v>1</v>
      </c>
      <c r="AB383" s="343">
        <f>'NSK-TRACTO'!$A$2</f>
        <v>6</v>
      </c>
      <c r="AC383" s="343">
        <f>IF(BASE_DATOS[[#This Row],[NSK]]&gt;=BASE_DATOS[[#This Row],[NSK Reen]],BASE_DATOS[[#This Row],[NSK Reen]],BASE_DATOS[[#This Row],[NSK]])</f>
        <v>6</v>
      </c>
      <c r="AD383" s="344">
        <f>IFERROR(100%-(BASE_DATOS[[#This Row],[NSK Reen]]/BASE_DATOS[[#This Row],[NSK Original]]),"")</f>
        <v>0.625</v>
      </c>
      <c r="AE383" s="344">
        <f>IFERROR(100%-BASE_DATOS[[#This Row],[NSK]]/BASE_DATOS[[#This Row],[NSK Original]],"")</f>
        <v>6.25E-2</v>
      </c>
      <c r="AF383" s="344">
        <f>IFERROR(BASE_DATOS[[#This Row],[% Max Des.]]-BASE_DATOS[[#This Row],[% Des]],"")</f>
        <v>0.5625</v>
      </c>
      <c r="AG383" s="287"/>
      <c r="AH383" s="273"/>
      <c r="AI383" s="363" t="str">
        <f>IF(OR(BASE_DATOS[[#This Row],[Hr.]]="",BASE_DATOS[[#This Row],[Hr. Actual]]=""),"",BASE_DATOS[[#This Row],[Hr. Actual]]-BASE_DATOS[[#This Row],[Hr.]]+BASE_DATOS[[#This Row],[Horas Acumuladas]])</f>
        <v/>
      </c>
      <c r="AJ383" s="364" t="str">
        <f>IFERROR(BASE_DATOS[[#This Row],[Precio US$]]/BASE_DATOS[[#This Row],[Horas Rodadas]],"")</f>
        <v/>
      </c>
      <c r="AK383" s="365" t="str">
        <f>IFERROR(BASE_DATOS[[#This Row],[Horas Rodadas]]/(BASE_DATOS[[#This Row],[NSK Original]]-BASE_DATOS[[#This Row],[NSK]]),"")</f>
        <v/>
      </c>
      <c r="AL38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83" s="366" t="str">
        <f>IFERROR(BASE_DATOS[[#This Row],[Precio US$]]/BASE_DATOS[[#This Row],[Horas Proy.]],"")</f>
        <v/>
      </c>
      <c r="AN383" s="176" t="str">
        <f>IF(OR(BASE_DATOS[[#This Row],[Km.]]="",BASE_DATOS[[#This Row],[Km. Actual]]=""),"",BASE_DATOS[[#This Row],[Km. Actual]]-BASE_DATOS[[#This Row],[Km.]]+BASE_DATOS[[#This Row],[Kilómetros Acumulados]])</f>
        <v/>
      </c>
      <c r="AO383" s="177" t="str">
        <f>IFERROR(BASE_DATOS[[#This Row],[Precio US$]]/BASE_DATOS[[#This Row],[Kilómetros Rodados]],"")</f>
        <v/>
      </c>
      <c r="AP383" s="176" t="str">
        <f>IFERROR(BASE_DATOS[[#This Row],[Kilómetros Rodados]]/(BASE_DATOS[[#This Row],[NSK Original]]-BASE_DATOS[[#This Row],[NSK]]),"")</f>
        <v/>
      </c>
      <c r="AQ38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83" s="177" t="str">
        <f>IFERROR(BASE_DATOS[[#This Row],[Precio US$]]/BASE_DATOS[[#This Row],[Kilómetros Proy.]],"")</f>
        <v/>
      </c>
      <c r="AS383" s="167" t="s">
        <v>62</v>
      </c>
      <c r="AT383" s="167"/>
      <c r="AU383" s="167"/>
      <c r="AV383" s="167"/>
      <c r="AW383" s="179"/>
      <c r="AX383" s="179"/>
      <c r="AY383" s="179" t="str">
        <f>CONCATENATE(BASE_DATOS[[#This Row],[Código_U]]&amp;BASE_DATOS[[#This Row],[Pos.]]&amp;BASE_DATOS[[#This Row],[Situación Actual]])</f>
        <v>TC-1742Rodando</v>
      </c>
    </row>
    <row r="384" spans="1:51" ht="12" x14ac:dyDescent="0.25">
      <c r="A384" s="227" t="s">
        <v>191</v>
      </c>
      <c r="B384" s="217" t="s">
        <v>192</v>
      </c>
      <c r="C384" s="228" t="s">
        <v>296</v>
      </c>
      <c r="D384" s="229" t="s">
        <v>61</v>
      </c>
      <c r="E384" s="255"/>
      <c r="F384" s="256" t="s">
        <v>273</v>
      </c>
      <c r="G384" s="256" t="s">
        <v>271</v>
      </c>
      <c r="H384" s="257" t="str">
        <f>IF(BASE_DATOS[[#This Row],[N-R]]="N",BASE_DATOS[[#This Row],[Diseño]],"Reencauche")</f>
        <v>Reencauche</v>
      </c>
      <c r="I384" s="256" t="s">
        <v>282</v>
      </c>
      <c r="J384" s="243" t="s">
        <v>82</v>
      </c>
      <c r="K384" s="258">
        <v>22</v>
      </c>
      <c r="L384" s="241">
        <v>110</v>
      </c>
      <c r="M384" s="259"/>
      <c r="N384" s="260"/>
      <c r="O384" s="277"/>
      <c r="P384" s="278"/>
      <c r="Q384" s="279"/>
      <c r="R384" s="309" t="s">
        <v>100</v>
      </c>
      <c r="S384" s="310">
        <v>45386</v>
      </c>
      <c r="T384" s="313"/>
      <c r="U384" s="279"/>
      <c r="V384" s="227">
        <v>11</v>
      </c>
      <c r="W384" s="281"/>
      <c r="X384" s="282">
        <v>11</v>
      </c>
      <c r="Y384" s="293">
        <f t="shared" si="16"/>
        <v>11</v>
      </c>
      <c r="Z384" s="161" t="s">
        <v>73</v>
      </c>
      <c r="AA384" s="342">
        <f>IFERROR(BASE_DATOS[[#This Row],[NSK Original]]-BASE_DATOS[[#This Row],[NSK]]," ")</f>
        <v>11</v>
      </c>
      <c r="AB384" s="343">
        <f>'NSK-TRACTO'!$A$2</f>
        <v>6</v>
      </c>
      <c r="AC384" s="343">
        <f>IF(BASE_DATOS[[#This Row],[NSK]]&gt;=BASE_DATOS[[#This Row],[NSK Reen]],BASE_DATOS[[#This Row],[NSK Reen]],BASE_DATOS[[#This Row],[NSK]])</f>
        <v>6</v>
      </c>
      <c r="AD384" s="344">
        <f>IFERROR(100%-(BASE_DATOS[[#This Row],[NSK Reen]]/BASE_DATOS[[#This Row],[NSK Original]]),"")</f>
        <v>0.72727272727272729</v>
      </c>
      <c r="AE384" s="344">
        <f>IFERROR(100%-BASE_DATOS[[#This Row],[NSK]]/BASE_DATOS[[#This Row],[NSK Original]],"")</f>
        <v>0.5</v>
      </c>
      <c r="AF384" s="344">
        <f>IFERROR(BASE_DATOS[[#This Row],[% Max Des.]]-BASE_DATOS[[#This Row],[% Des]],"")</f>
        <v>0.22727272727272729</v>
      </c>
      <c r="AG384" s="287"/>
      <c r="AH384" s="273"/>
      <c r="AI384" s="363" t="str">
        <f>IF(OR(BASE_DATOS[[#This Row],[Hr.]]="",BASE_DATOS[[#This Row],[Hr. Actual]]=""),"",BASE_DATOS[[#This Row],[Hr. Actual]]-BASE_DATOS[[#This Row],[Hr.]]+BASE_DATOS[[#This Row],[Horas Acumuladas]])</f>
        <v/>
      </c>
      <c r="AJ384" s="364" t="str">
        <f>IFERROR(BASE_DATOS[[#This Row],[Precio US$]]/BASE_DATOS[[#This Row],[Horas Rodadas]],"")</f>
        <v/>
      </c>
      <c r="AK384" s="365" t="str">
        <f>IFERROR(BASE_DATOS[[#This Row],[Horas Rodadas]]/(BASE_DATOS[[#This Row],[NSK Original]]-BASE_DATOS[[#This Row],[NSK]]),"")</f>
        <v/>
      </c>
      <c r="AL38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84" s="366" t="str">
        <f>IFERROR(BASE_DATOS[[#This Row],[Precio US$]]/BASE_DATOS[[#This Row],[Horas Proy.]],"")</f>
        <v/>
      </c>
      <c r="AN384" s="176" t="str">
        <f>IF(OR(BASE_DATOS[[#This Row],[Km.]]="",BASE_DATOS[[#This Row],[Km. Actual]]=""),"",BASE_DATOS[[#This Row],[Km. Actual]]-BASE_DATOS[[#This Row],[Km.]]+BASE_DATOS[[#This Row],[Kilómetros Acumulados]])</f>
        <v/>
      </c>
      <c r="AO384" s="177" t="str">
        <f>IFERROR(BASE_DATOS[[#This Row],[Precio US$]]/BASE_DATOS[[#This Row],[Kilómetros Rodados]],"")</f>
        <v/>
      </c>
      <c r="AP384" s="176" t="str">
        <f>IFERROR(BASE_DATOS[[#This Row],[Kilómetros Rodados]]/(BASE_DATOS[[#This Row],[NSK Original]]-BASE_DATOS[[#This Row],[NSK]]),"")</f>
        <v/>
      </c>
      <c r="AQ38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84" s="177" t="str">
        <f>IFERROR(BASE_DATOS[[#This Row],[Precio US$]]/BASE_DATOS[[#This Row],[Kilómetros Proy.]],"")</f>
        <v/>
      </c>
      <c r="AS384" s="167" t="s">
        <v>62</v>
      </c>
      <c r="AT384" s="167"/>
      <c r="AU384" s="167"/>
      <c r="AV384" s="167"/>
      <c r="AW384" s="179"/>
      <c r="AX384" s="179"/>
      <c r="AY384" s="179" t="str">
        <f>CONCATENATE(BASE_DATOS[[#This Row],[Código_U]]&amp;BASE_DATOS[[#This Row],[Pos.]]&amp;BASE_DATOS[[#This Row],[Situación Actual]])</f>
        <v>TC-1743Rodando</v>
      </c>
    </row>
    <row r="385" spans="1:51" ht="12" x14ac:dyDescent="0.25">
      <c r="A385" s="227" t="s">
        <v>191</v>
      </c>
      <c r="B385" s="217" t="s">
        <v>192</v>
      </c>
      <c r="C385" s="228" t="s">
        <v>296</v>
      </c>
      <c r="D385" s="229" t="s">
        <v>61</v>
      </c>
      <c r="E385" s="255"/>
      <c r="F385" s="256" t="s">
        <v>273</v>
      </c>
      <c r="G385" s="256" t="s">
        <v>271</v>
      </c>
      <c r="H385" s="257" t="str">
        <f>IF(BASE_DATOS[[#This Row],[N-R]]="N",BASE_DATOS[[#This Row],[Diseño]],"Reencauche")</f>
        <v>Reencauche</v>
      </c>
      <c r="I385" s="256" t="s">
        <v>282</v>
      </c>
      <c r="J385" s="243" t="s">
        <v>82</v>
      </c>
      <c r="K385" s="258">
        <v>22</v>
      </c>
      <c r="L385" s="241">
        <v>110</v>
      </c>
      <c r="M385" s="259"/>
      <c r="N385" s="260"/>
      <c r="O385" s="277"/>
      <c r="P385" s="278"/>
      <c r="Q385" s="279"/>
      <c r="R385" s="309" t="s">
        <v>101</v>
      </c>
      <c r="S385" s="310">
        <v>45386</v>
      </c>
      <c r="T385" s="313"/>
      <c r="U385" s="279"/>
      <c r="V385" s="227">
        <v>11</v>
      </c>
      <c r="W385" s="281"/>
      <c r="X385" s="282">
        <v>11</v>
      </c>
      <c r="Y385" s="293">
        <f t="shared" si="16"/>
        <v>11</v>
      </c>
      <c r="Z385" s="175" t="s">
        <v>85</v>
      </c>
      <c r="AA385" s="342">
        <f>IFERROR(BASE_DATOS[[#This Row],[NSK Original]]-BASE_DATOS[[#This Row],[NSK]]," ")</f>
        <v>11</v>
      </c>
      <c r="AB385" s="343">
        <f>'NSK-TRACTO'!$A$2</f>
        <v>6</v>
      </c>
      <c r="AC385" s="343">
        <f>IF(BASE_DATOS[[#This Row],[NSK]]&gt;=BASE_DATOS[[#This Row],[NSK Reen]],BASE_DATOS[[#This Row],[NSK Reen]],BASE_DATOS[[#This Row],[NSK]])</f>
        <v>6</v>
      </c>
      <c r="AD385" s="344">
        <f>IFERROR(100%-(BASE_DATOS[[#This Row],[NSK Reen]]/BASE_DATOS[[#This Row],[NSK Original]]),"")</f>
        <v>0.72727272727272729</v>
      </c>
      <c r="AE385" s="344">
        <f>IFERROR(100%-BASE_DATOS[[#This Row],[NSK]]/BASE_DATOS[[#This Row],[NSK Original]],"")</f>
        <v>0.5</v>
      </c>
      <c r="AF385" s="344">
        <f>IFERROR(BASE_DATOS[[#This Row],[% Max Des.]]-BASE_DATOS[[#This Row],[% Des]],"")</f>
        <v>0.22727272727272729</v>
      </c>
      <c r="AG385" s="287"/>
      <c r="AH385" s="273"/>
      <c r="AI385" s="363" t="str">
        <f>IF(OR(BASE_DATOS[[#This Row],[Hr.]]="",BASE_DATOS[[#This Row],[Hr. Actual]]=""),"",BASE_DATOS[[#This Row],[Hr. Actual]]-BASE_DATOS[[#This Row],[Hr.]]+BASE_DATOS[[#This Row],[Horas Acumuladas]])</f>
        <v/>
      </c>
      <c r="AJ385" s="364" t="str">
        <f>IFERROR(BASE_DATOS[[#This Row],[Precio US$]]/BASE_DATOS[[#This Row],[Horas Rodadas]],"")</f>
        <v/>
      </c>
      <c r="AK385" s="365" t="str">
        <f>IFERROR(BASE_DATOS[[#This Row],[Horas Rodadas]]/(BASE_DATOS[[#This Row],[NSK Original]]-BASE_DATOS[[#This Row],[NSK]]),"")</f>
        <v/>
      </c>
      <c r="AL38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85" s="366" t="str">
        <f>IFERROR(BASE_DATOS[[#This Row],[Precio US$]]/BASE_DATOS[[#This Row],[Horas Proy.]],"")</f>
        <v/>
      </c>
      <c r="AN385" s="176" t="str">
        <f>IF(OR(BASE_DATOS[[#This Row],[Km.]]="",BASE_DATOS[[#This Row],[Km. Actual]]=""),"",BASE_DATOS[[#This Row],[Km. Actual]]-BASE_DATOS[[#This Row],[Km.]]+BASE_DATOS[[#This Row],[Kilómetros Acumulados]])</f>
        <v/>
      </c>
      <c r="AO385" s="177" t="str">
        <f>IFERROR(BASE_DATOS[[#This Row],[Precio US$]]/BASE_DATOS[[#This Row],[Kilómetros Rodados]],"")</f>
        <v/>
      </c>
      <c r="AP385" s="176" t="str">
        <f>IFERROR(BASE_DATOS[[#This Row],[Kilómetros Rodados]]/(BASE_DATOS[[#This Row],[NSK Original]]-BASE_DATOS[[#This Row],[NSK]]),"")</f>
        <v/>
      </c>
      <c r="AQ38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85" s="177" t="str">
        <f>IFERROR(BASE_DATOS[[#This Row],[Precio US$]]/BASE_DATOS[[#This Row],[Kilómetros Proy.]],"")</f>
        <v/>
      </c>
      <c r="AS385" s="167" t="s">
        <v>62</v>
      </c>
      <c r="AT385" s="167"/>
      <c r="AU385" s="167"/>
      <c r="AV385" s="167"/>
      <c r="AW385" s="179"/>
      <c r="AX385" s="179"/>
      <c r="AY385" s="179" t="str">
        <f>CONCATENATE(BASE_DATOS[[#This Row],[Código_U]]&amp;BASE_DATOS[[#This Row],[Pos.]]&amp;BASE_DATOS[[#This Row],[Situación Actual]])</f>
        <v>TC-1744Rodando</v>
      </c>
    </row>
    <row r="386" spans="1:51" ht="12" x14ac:dyDescent="0.25">
      <c r="A386" s="227" t="s">
        <v>191</v>
      </c>
      <c r="B386" s="217" t="s">
        <v>192</v>
      </c>
      <c r="C386" s="228" t="s">
        <v>296</v>
      </c>
      <c r="D386" s="229" t="s">
        <v>61</v>
      </c>
      <c r="E386" s="255"/>
      <c r="F386" s="256" t="s">
        <v>273</v>
      </c>
      <c r="G386" s="256" t="s">
        <v>271</v>
      </c>
      <c r="H386" s="257" t="str">
        <f>IF(BASE_DATOS[[#This Row],[N-R]]="N",BASE_DATOS[[#This Row],[Diseño]],"Reencauche")</f>
        <v>Reencauche</v>
      </c>
      <c r="I386" s="256" t="s">
        <v>282</v>
      </c>
      <c r="J386" s="243" t="s">
        <v>82</v>
      </c>
      <c r="K386" s="258">
        <v>22</v>
      </c>
      <c r="L386" s="241">
        <v>110</v>
      </c>
      <c r="M386" s="259"/>
      <c r="N386" s="260"/>
      <c r="O386" s="277"/>
      <c r="P386" s="278"/>
      <c r="Q386" s="279"/>
      <c r="R386" s="309" t="s">
        <v>102</v>
      </c>
      <c r="S386" s="310">
        <v>45386</v>
      </c>
      <c r="T386" s="313"/>
      <c r="U386" s="279"/>
      <c r="V386" s="227">
        <v>10</v>
      </c>
      <c r="W386" s="281"/>
      <c r="X386" s="282">
        <v>10</v>
      </c>
      <c r="Y386" s="293">
        <f t="shared" si="16"/>
        <v>10</v>
      </c>
      <c r="Z386" s="175" t="s">
        <v>85</v>
      </c>
      <c r="AA386" s="342">
        <f>IFERROR(BASE_DATOS[[#This Row],[NSK Original]]-BASE_DATOS[[#This Row],[NSK]]," ")</f>
        <v>12</v>
      </c>
      <c r="AB386" s="343">
        <f>'NSK-TRACTO'!$A$2</f>
        <v>6</v>
      </c>
      <c r="AC386" s="343">
        <f>IF(BASE_DATOS[[#This Row],[NSK]]&gt;=BASE_DATOS[[#This Row],[NSK Reen]],BASE_DATOS[[#This Row],[NSK Reen]],BASE_DATOS[[#This Row],[NSK]])</f>
        <v>6</v>
      </c>
      <c r="AD386" s="344">
        <f>IFERROR(100%-(BASE_DATOS[[#This Row],[NSK Reen]]/BASE_DATOS[[#This Row],[NSK Original]]),"")</f>
        <v>0.72727272727272729</v>
      </c>
      <c r="AE386" s="344">
        <f>IFERROR(100%-BASE_DATOS[[#This Row],[NSK]]/BASE_DATOS[[#This Row],[NSK Original]],"")</f>
        <v>0.54545454545454541</v>
      </c>
      <c r="AF386" s="344">
        <f>IFERROR(BASE_DATOS[[#This Row],[% Max Des.]]-BASE_DATOS[[#This Row],[% Des]],"")</f>
        <v>0.18181818181818188</v>
      </c>
      <c r="AG386" s="287"/>
      <c r="AH386" s="273"/>
      <c r="AI386" s="363" t="str">
        <f>IF(OR(BASE_DATOS[[#This Row],[Hr.]]="",BASE_DATOS[[#This Row],[Hr. Actual]]=""),"",BASE_DATOS[[#This Row],[Hr. Actual]]-BASE_DATOS[[#This Row],[Hr.]]+BASE_DATOS[[#This Row],[Horas Acumuladas]])</f>
        <v/>
      </c>
      <c r="AJ386" s="364" t="str">
        <f>IFERROR(BASE_DATOS[[#This Row],[Precio US$]]/BASE_DATOS[[#This Row],[Horas Rodadas]],"")</f>
        <v/>
      </c>
      <c r="AK386" s="365" t="str">
        <f>IFERROR(BASE_DATOS[[#This Row],[Horas Rodadas]]/(BASE_DATOS[[#This Row],[NSK Original]]-BASE_DATOS[[#This Row],[NSK]]),"")</f>
        <v/>
      </c>
      <c r="AL38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86" s="366" t="str">
        <f>IFERROR(BASE_DATOS[[#This Row],[Precio US$]]/BASE_DATOS[[#This Row],[Horas Proy.]],"")</f>
        <v/>
      </c>
      <c r="AN386" s="176" t="str">
        <f>IF(OR(BASE_DATOS[[#This Row],[Km.]]="",BASE_DATOS[[#This Row],[Km. Actual]]=""),"",BASE_DATOS[[#This Row],[Km. Actual]]-BASE_DATOS[[#This Row],[Km.]]+BASE_DATOS[[#This Row],[Kilómetros Acumulados]])</f>
        <v/>
      </c>
      <c r="AO386" s="177" t="str">
        <f>IFERROR(BASE_DATOS[[#This Row],[Precio US$]]/BASE_DATOS[[#This Row],[Kilómetros Rodados]],"")</f>
        <v/>
      </c>
      <c r="AP386" s="176" t="str">
        <f>IFERROR(BASE_DATOS[[#This Row],[Kilómetros Rodados]]/(BASE_DATOS[[#This Row],[NSK Original]]-BASE_DATOS[[#This Row],[NSK]]),"")</f>
        <v/>
      </c>
      <c r="AQ38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86" s="177" t="str">
        <f>IFERROR(BASE_DATOS[[#This Row],[Precio US$]]/BASE_DATOS[[#This Row],[Kilómetros Proy.]],"")</f>
        <v/>
      </c>
      <c r="AS386" s="167" t="s">
        <v>62</v>
      </c>
      <c r="AT386" s="167"/>
      <c r="AU386" s="167"/>
      <c r="AV386" s="167"/>
      <c r="AW386" s="179"/>
      <c r="AX386" s="179"/>
      <c r="AY386" s="179" t="str">
        <f>CONCATENATE(BASE_DATOS[[#This Row],[Código_U]]&amp;BASE_DATOS[[#This Row],[Pos.]]&amp;BASE_DATOS[[#This Row],[Situación Actual]])</f>
        <v>TC-1745Rodando</v>
      </c>
    </row>
    <row r="387" spans="1:51" ht="12" x14ac:dyDescent="0.25">
      <c r="A387" s="227" t="s">
        <v>191</v>
      </c>
      <c r="B387" s="217" t="s">
        <v>192</v>
      </c>
      <c r="C387" s="228" t="s">
        <v>296</v>
      </c>
      <c r="D387" s="229" t="s">
        <v>61</v>
      </c>
      <c r="E387" s="255"/>
      <c r="F387" s="256" t="s">
        <v>273</v>
      </c>
      <c r="G387" s="256" t="s">
        <v>271</v>
      </c>
      <c r="H387" s="257" t="str">
        <f>IF(BASE_DATOS[[#This Row],[N-R]]="N",BASE_DATOS[[#This Row],[Diseño]],"Reencauche")</f>
        <v>Reencauche</v>
      </c>
      <c r="I387" s="256" t="s">
        <v>282</v>
      </c>
      <c r="J387" s="243" t="s">
        <v>82</v>
      </c>
      <c r="K387" s="258">
        <v>22</v>
      </c>
      <c r="L387" s="241">
        <v>110</v>
      </c>
      <c r="M387" s="259"/>
      <c r="N387" s="260"/>
      <c r="O387" s="277"/>
      <c r="P387" s="278"/>
      <c r="Q387" s="279"/>
      <c r="R387" s="309" t="s">
        <v>103</v>
      </c>
      <c r="S387" s="310">
        <v>45386</v>
      </c>
      <c r="T387" s="313"/>
      <c r="U387" s="279"/>
      <c r="V387" s="227">
        <v>10</v>
      </c>
      <c r="W387" s="281"/>
      <c r="X387" s="282">
        <v>10</v>
      </c>
      <c r="Y387" s="293">
        <f t="shared" si="16"/>
        <v>10</v>
      </c>
      <c r="Z387" s="161" t="s">
        <v>73</v>
      </c>
      <c r="AA387" s="342">
        <f>IFERROR(BASE_DATOS[[#This Row],[NSK Original]]-BASE_DATOS[[#This Row],[NSK]]," ")</f>
        <v>12</v>
      </c>
      <c r="AB387" s="343">
        <f>'NSK-TRACTO'!$A$2</f>
        <v>6</v>
      </c>
      <c r="AC387" s="343">
        <f>IF(BASE_DATOS[[#This Row],[NSK]]&gt;=BASE_DATOS[[#This Row],[NSK Reen]],BASE_DATOS[[#This Row],[NSK Reen]],BASE_DATOS[[#This Row],[NSK]])</f>
        <v>6</v>
      </c>
      <c r="AD387" s="344">
        <f>IFERROR(100%-(BASE_DATOS[[#This Row],[NSK Reen]]/BASE_DATOS[[#This Row],[NSK Original]]),"")</f>
        <v>0.72727272727272729</v>
      </c>
      <c r="AE387" s="344">
        <f>IFERROR(100%-BASE_DATOS[[#This Row],[NSK]]/BASE_DATOS[[#This Row],[NSK Original]],"")</f>
        <v>0.54545454545454541</v>
      </c>
      <c r="AF387" s="344">
        <f>IFERROR(BASE_DATOS[[#This Row],[% Max Des.]]-BASE_DATOS[[#This Row],[% Des]],"")</f>
        <v>0.18181818181818188</v>
      </c>
      <c r="AG387" s="287"/>
      <c r="AH387" s="273"/>
      <c r="AI387" s="363" t="str">
        <f>IF(OR(BASE_DATOS[[#This Row],[Hr.]]="",BASE_DATOS[[#This Row],[Hr. Actual]]=""),"",BASE_DATOS[[#This Row],[Hr. Actual]]-BASE_DATOS[[#This Row],[Hr.]]+BASE_DATOS[[#This Row],[Horas Acumuladas]])</f>
        <v/>
      </c>
      <c r="AJ387" s="364" t="str">
        <f>IFERROR(BASE_DATOS[[#This Row],[Precio US$]]/BASE_DATOS[[#This Row],[Horas Rodadas]],"")</f>
        <v/>
      </c>
      <c r="AK387" s="365" t="str">
        <f>IFERROR(BASE_DATOS[[#This Row],[Horas Rodadas]]/(BASE_DATOS[[#This Row],[NSK Original]]-BASE_DATOS[[#This Row],[NSK]]),"")</f>
        <v/>
      </c>
      <c r="AL38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87" s="366" t="str">
        <f>IFERROR(BASE_DATOS[[#This Row],[Precio US$]]/BASE_DATOS[[#This Row],[Horas Proy.]],"")</f>
        <v/>
      </c>
      <c r="AN387" s="176" t="str">
        <f>IF(OR(BASE_DATOS[[#This Row],[Km.]]="",BASE_DATOS[[#This Row],[Km. Actual]]=""),"",BASE_DATOS[[#This Row],[Km. Actual]]-BASE_DATOS[[#This Row],[Km.]]+BASE_DATOS[[#This Row],[Kilómetros Acumulados]])</f>
        <v/>
      </c>
      <c r="AO387" s="177" t="str">
        <f>IFERROR(BASE_DATOS[[#This Row],[Precio US$]]/BASE_DATOS[[#This Row],[Kilómetros Rodados]],"")</f>
        <v/>
      </c>
      <c r="AP387" s="176" t="str">
        <f>IFERROR(BASE_DATOS[[#This Row],[Kilómetros Rodados]]/(BASE_DATOS[[#This Row],[NSK Original]]-BASE_DATOS[[#This Row],[NSK]]),"")</f>
        <v/>
      </c>
      <c r="AQ38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87" s="177" t="str">
        <f>IFERROR(BASE_DATOS[[#This Row],[Precio US$]]/BASE_DATOS[[#This Row],[Kilómetros Proy.]],"")</f>
        <v/>
      </c>
      <c r="AS387" s="167" t="s">
        <v>62</v>
      </c>
      <c r="AT387" s="167"/>
      <c r="AU387" s="167"/>
      <c r="AV387" s="167"/>
      <c r="AW387" s="179"/>
      <c r="AX387" s="179"/>
      <c r="AY387" s="179" t="str">
        <f>CONCATENATE(BASE_DATOS[[#This Row],[Código_U]]&amp;BASE_DATOS[[#This Row],[Pos.]]&amp;BASE_DATOS[[#This Row],[Situación Actual]])</f>
        <v>TC-1746Rodando</v>
      </c>
    </row>
    <row r="388" spans="1:51" ht="12" x14ac:dyDescent="0.25">
      <c r="A388" s="227" t="s">
        <v>191</v>
      </c>
      <c r="B388" s="217" t="s">
        <v>192</v>
      </c>
      <c r="C388" s="228" t="s">
        <v>296</v>
      </c>
      <c r="D388" s="229" t="s">
        <v>61</v>
      </c>
      <c r="E388" s="255"/>
      <c r="F388" s="256" t="s">
        <v>71</v>
      </c>
      <c r="G388" s="256" t="s">
        <v>271</v>
      </c>
      <c r="H388" s="257" t="str">
        <f>IF(BASE_DATOS[[#This Row],[N-R]]="N",BASE_DATOS[[#This Row],[Diseño]],"Reencauche")</f>
        <v>KMAXD</v>
      </c>
      <c r="I388" s="256" t="s">
        <v>294</v>
      </c>
      <c r="J388" s="243" t="s">
        <v>72</v>
      </c>
      <c r="K388" s="258">
        <v>22.2</v>
      </c>
      <c r="L388" s="241">
        <v>110</v>
      </c>
      <c r="M388" s="259"/>
      <c r="N388" s="260"/>
      <c r="O388" s="277"/>
      <c r="P388" s="278"/>
      <c r="Q388" s="279"/>
      <c r="R388" s="309" t="s">
        <v>104</v>
      </c>
      <c r="S388" s="310">
        <v>45386</v>
      </c>
      <c r="T388" s="313"/>
      <c r="U388" s="279"/>
      <c r="V388" s="227">
        <v>14</v>
      </c>
      <c r="W388" s="281"/>
      <c r="X388" s="282">
        <v>14</v>
      </c>
      <c r="Y388" s="293">
        <f t="shared" si="16"/>
        <v>14</v>
      </c>
      <c r="Z388" s="175" t="s">
        <v>85</v>
      </c>
      <c r="AA388" s="342">
        <f>IFERROR(BASE_DATOS[[#This Row],[NSK Original]]-BASE_DATOS[[#This Row],[NSK]]," ")</f>
        <v>8.1999999999999993</v>
      </c>
      <c r="AB388" s="343">
        <f>'NSK-TRACTO'!$A$2</f>
        <v>6</v>
      </c>
      <c r="AC388" s="343">
        <f>IF(BASE_DATOS[[#This Row],[NSK]]&gt;=BASE_DATOS[[#This Row],[NSK Reen]],BASE_DATOS[[#This Row],[NSK Reen]],BASE_DATOS[[#This Row],[NSK]])</f>
        <v>6</v>
      </c>
      <c r="AD388" s="344">
        <f>IFERROR(100%-(BASE_DATOS[[#This Row],[NSK Reen]]/BASE_DATOS[[#This Row],[NSK Original]]),"")</f>
        <v>0.72972972972972971</v>
      </c>
      <c r="AE388" s="344">
        <f>IFERROR(100%-BASE_DATOS[[#This Row],[NSK]]/BASE_DATOS[[#This Row],[NSK Original]],"")</f>
        <v>0.36936936936936937</v>
      </c>
      <c r="AF388" s="344">
        <f>IFERROR(BASE_DATOS[[#This Row],[% Max Des.]]-BASE_DATOS[[#This Row],[% Des]],"")</f>
        <v>0.36036036036036034</v>
      </c>
      <c r="AG388" s="287"/>
      <c r="AH388" s="273"/>
      <c r="AI388" s="363" t="str">
        <f>IF(OR(BASE_DATOS[[#This Row],[Hr.]]="",BASE_DATOS[[#This Row],[Hr. Actual]]=""),"",BASE_DATOS[[#This Row],[Hr. Actual]]-BASE_DATOS[[#This Row],[Hr.]]+BASE_DATOS[[#This Row],[Horas Acumuladas]])</f>
        <v/>
      </c>
      <c r="AJ388" s="364" t="str">
        <f>IFERROR(BASE_DATOS[[#This Row],[Precio US$]]/BASE_DATOS[[#This Row],[Horas Rodadas]],"")</f>
        <v/>
      </c>
      <c r="AK388" s="365" t="str">
        <f>IFERROR(BASE_DATOS[[#This Row],[Horas Rodadas]]/(BASE_DATOS[[#This Row],[NSK Original]]-BASE_DATOS[[#This Row],[NSK]]),"")</f>
        <v/>
      </c>
      <c r="AL38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88" s="366" t="str">
        <f>IFERROR(BASE_DATOS[[#This Row],[Precio US$]]/BASE_DATOS[[#This Row],[Horas Proy.]],"")</f>
        <v/>
      </c>
      <c r="AN388" s="176" t="str">
        <f>IF(OR(BASE_DATOS[[#This Row],[Km.]]="",BASE_DATOS[[#This Row],[Km. Actual]]=""),"",BASE_DATOS[[#This Row],[Km. Actual]]-BASE_DATOS[[#This Row],[Km.]]+BASE_DATOS[[#This Row],[Kilómetros Acumulados]])</f>
        <v/>
      </c>
      <c r="AO388" s="177" t="str">
        <f>IFERROR(BASE_DATOS[[#This Row],[Precio US$]]/BASE_DATOS[[#This Row],[Kilómetros Rodados]],"")</f>
        <v/>
      </c>
      <c r="AP388" s="176" t="str">
        <f>IFERROR(BASE_DATOS[[#This Row],[Kilómetros Rodados]]/(BASE_DATOS[[#This Row],[NSK Original]]-BASE_DATOS[[#This Row],[NSK]]),"")</f>
        <v/>
      </c>
      <c r="AQ38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88" s="177" t="str">
        <f>IFERROR(BASE_DATOS[[#This Row],[Precio US$]]/BASE_DATOS[[#This Row],[Kilómetros Proy.]],"")</f>
        <v/>
      </c>
      <c r="AS388" s="167" t="s">
        <v>62</v>
      </c>
      <c r="AT388" s="167"/>
      <c r="AU388" s="167"/>
      <c r="AV388" s="167"/>
      <c r="AW388" s="179"/>
      <c r="AX388" s="179"/>
      <c r="AY388" s="179" t="str">
        <f>CONCATENATE(BASE_DATOS[[#This Row],[Código_U]]&amp;BASE_DATOS[[#This Row],[Pos.]]&amp;BASE_DATOS[[#This Row],[Situación Actual]])</f>
        <v>TC-1747Rodando</v>
      </c>
    </row>
    <row r="389" spans="1:51" ht="12" x14ac:dyDescent="0.25">
      <c r="A389" s="227" t="s">
        <v>191</v>
      </c>
      <c r="B389" s="217" t="s">
        <v>192</v>
      </c>
      <c r="C389" s="228" t="s">
        <v>296</v>
      </c>
      <c r="D389" s="229" t="s">
        <v>61</v>
      </c>
      <c r="E389" s="255"/>
      <c r="F389" s="256" t="s">
        <v>71</v>
      </c>
      <c r="G389" s="256" t="s">
        <v>271</v>
      </c>
      <c r="H389" s="257" t="str">
        <f>IF(BASE_DATOS[[#This Row],[N-R]]="N",BASE_DATOS[[#This Row],[Diseño]],"Reencauche")</f>
        <v>KMAXD</v>
      </c>
      <c r="I389" s="256" t="s">
        <v>294</v>
      </c>
      <c r="J389" s="243" t="s">
        <v>72</v>
      </c>
      <c r="K389" s="258">
        <v>22.2</v>
      </c>
      <c r="L389" s="241">
        <v>110</v>
      </c>
      <c r="M389" s="259"/>
      <c r="N389" s="260"/>
      <c r="O389" s="277"/>
      <c r="P389" s="278"/>
      <c r="Q389" s="279"/>
      <c r="R389" s="309" t="s">
        <v>105</v>
      </c>
      <c r="S389" s="310">
        <v>45386</v>
      </c>
      <c r="T389" s="313"/>
      <c r="U389" s="279"/>
      <c r="V389" s="227">
        <v>14</v>
      </c>
      <c r="W389" s="281"/>
      <c r="X389" s="282">
        <v>13</v>
      </c>
      <c r="Y389" s="293">
        <f t="shared" si="16"/>
        <v>13</v>
      </c>
      <c r="Z389" s="175" t="s">
        <v>85</v>
      </c>
      <c r="AA389" s="342">
        <f>IFERROR(BASE_DATOS[[#This Row],[NSK Original]]-BASE_DATOS[[#This Row],[NSK]]," ")</f>
        <v>9.1999999999999993</v>
      </c>
      <c r="AB389" s="343">
        <f>'NSK-TRACTO'!$A$2</f>
        <v>6</v>
      </c>
      <c r="AC389" s="343">
        <f>IF(BASE_DATOS[[#This Row],[NSK]]&gt;=BASE_DATOS[[#This Row],[NSK Reen]],BASE_DATOS[[#This Row],[NSK Reen]],BASE_DATOS[[#This Row],[NSK]])</f>
        <v>6</v>
      </c>
      <c r="AD389" s="344">
        <f>IFERROR(100%-(BASE_DATOS[[#This Row],[NSK Reen]]/BASE_DATOS[[#This Row],[NSK Original]]),"")</f>
        <v>0.72972972972972971</v>
      </c>
      <c r="AE389" s="344">
        <f>IFERROR(100%-BASE_DATOS[[#This Row],[NSK]]/BASE_DATOS[[#This Row],[NSK Original]],"")</f>
        <v>0.4144144144144144</v>
      </c>
      <c r="AF389" s="344">
        <f>IFERROR(BASE_DATOS[[#This Row],[% Max Des.]]-BASE_DATOS[[#This Row],[% Des]],"")</f>
        <v>0.31531531531531531</v>
      </c>
      <c r="AG389" s="287"/>
      <c r="AH389" s="273"/>
      <c r="AI389" s="363" t="str">
        <f>IF(OR(BASE_DATOS[[#This Row],[Hr.]]="",BASE_DATOS[[#This Row],[Hr. Actual]]=""),"",BASE_DATOS[[#This Row],[Hr. Actual]]-BASE_DATOS[[#This Row],[Hr.]]+BASE_DATOS[[#This Row],[Horas Acumuladas]])</f>
        <v/>
      </c>
      <c r="AJ389" s="364" t="str">
        <f>IFERROR(BASE_DATOS[[#This Row],[Precio US$]]/BASE_DATOS[[#This Row],[Horas Rodadas]],"")</f>
        <v/>
      </c>
      <c r="AK389" s="365" t="str">
        <f>IFERROR(BASE_DATOS[[#This Row],[Horas Rodadas]]/(BASE_DATOS[[#This Row],[NSK Original]]-BASE_DATOS[[#This Row],[NSK]]),"")</f>
        <v/>
      </c>
      <c r="AL38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89" s="366" t="str">
        <f>IFERROR(BASE_DATOS[[#This Row],[Precio US$]]/BASE_DATOS[[#This Row],[Horas Proy.]],"")</f>
        <v/>
      </c>
      <c r="AN389" s="176" t="str">
        <f>IF(OR(BASE_DATOS[[#This Row],[Km.]]="",BASE_DATOS[[#This Row],[Km. Actual]]=""),"",BASE_DATOS[[#This Row],[Km. Actual]]-BASE_DATOS[[#This Row],[Km.]]+BASE_DATOS[[#This Row],[Kilómetros Acumulados]])</f>
        <v/>
      </c>
      <c r="AO389" s="177" t="str">
        <f>IFERROR(BASE_DATOS[[#This Row],[Precio US$]]/BASE_DATOS[[#This Row],[Kilómetros Rodados]],"")</f>
        <v/>
      </c>
      <c r="AP389" s="176" t="str">
        <f>IFERROR(BASE_DATOS[[#This Row],[Kilómetros Rodados]]/(BASE_DATOS[[#This Row],[NSK Original]]-BASE_DATOS[[#This Row],[NSK]]),"")</f>
        <v/>
      </c>
      <c r="AQ38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89" s="177" t="str">
        <f>IFERROR(BASE_DATOS[[#This Row],[Precio US$]]/BASE_DATOS[[#This Row],[Kilómetros Proy.]],"")</f>
        <v/>
      </c>
      <c r="AS389" s="167" t="s">
        <v>62</v>
      </c>
      <c r="AT389" s="167"/>
      <c r="AU389" s="167"/>
      <c r="AV389" s="167"/>
      <c r="AW389" s="179"/>
      <c r="AX389" s="179"/>
      <c r="AY389" s="179" t="str">
        <f>CONCATENATE(BASE_DATOS[[#This Row],[Código_U]]&amp;BASE_DATOS[[#This Row],[Pos.]]&amp;BASE_DATOS[[#This Row],[Situación Actual]])</f>
        <v>TC-1748Rodando</v>
      </c>
    </row>
    <row r="390" spans="1:51" ht="12" x14ac:dyDescent="0.25">
      <c r="A390" s="227" t="s">
        <v>191</v>
      </c>
      <c r="B390" s="217" t="s">
        <v>192</v>
      </c>
      <c r="C390" s="228" t="s">
        <v>296</v>
      </c>
      <c r="D390" s="229" t="s">
        <v>61</v>
      </c>
      <c r="E390" s="255"/>
      <c r="F390" s="256" t="s">
        <v>71</v>
      </c>
      <c r="G390" s="256" t="s">
        <v>271</v>
      </c>
      <c r="H390" s="257" t="str">
        <f>IF(BASE_DATOS[[#This Row],[N-R]]="N",BASE_DATOS[[#This Row],[Diseño]],"Reencauche")</f>
        <v>KMAXD</v>
      </c>
      <c r="I390" s="256" t="s">
        <v>294</v>
      </c>
      <c r="J390" s="243" t="s">
        <v>72</v>
      </c>
      <c r="K390" s="258">
        <v>22.2</v>
      </c>
      <c r="L390" s="241">
        <v>110</v>
      </c>
      <c r="M390" s="259"/>
      <c r="N390" s="260"/>
      <c r="O390" s="277"/>
      <c r="P390" s="278"/>
      <c r="Q390" s="279"/>
      <c r="R390" s="309" t="s">
        <v>106</v>
      </c>
      <c r="S390" s="310">
        <v>45386</v>
      </c>
      <c r="T390" s="313"/>
      <c r="U390" s="279"/>
      <c r="V390" s="227">
        <v>14</v>
      </c>
      <c r="W390" s="281"/>
      <c r="X390" s="282">
        <v>14</v>
      </c>
      <c r="Y390" s="293">
        <f t="shared" si="16"/>
        <v>14</v>
      </c>
      <c r="Z390" s="161" t="s">
        <v>85</v>
      </c>
      <c r="AA390" s="342">
        <f>IFERROR(BASE_DATOS[[#This Row],[NSK Original]]-BASE_DATOS[[#This Row],[NSK]]," ")</f>
        <v>8.1999999999999993</v>
      </c>
      <c r="AB390" s="343">
        <f>'NSK-TRACTO'!$A$2</f>
        <v>6</v>
      </c>
      <c r="AC390" s="343">
        <f>IF(BASE_DATOS[[#This Row],[NSK]]&gt;=BASE_DATOS[[#This Row],[NSK Reen]],BASE_DATOS[[#This Row],[NSK Reen]],BASE_DATOS[[#This Row],[NSK]])</f>
        <v>6</v>
      </c>
      <c r="AD390" s="344">
        <f>IFERROR(100%-(BASE_DATOS[[#This Row],[NSK Reen]]/BASE_DATOS[[#This Row],[NSK Original]]),"")</f>
        <v>0.72972972972972971</v>
      </c>
      <c r="AE390" s="344">
        <f>IFERROR(100%-BASE_DATOS[[#This Row],[NSK]]/BASE_DATOS[[#This Row],[NSK Original]],"")</f>
        <v>0.36936936936936937</v>
      </c>
      <c r="AF390" s="344">
        <f>IFERROR(BASE_DATOS[[#This Row],[% Max Des.]]-BASE_DATOS[[#This Row],[% Des]],"")</f>
        <v>0.36036036036036034</v>
      </c>
      <c r="AG390" s="287"/>
      <c r="AH390" s="273"/>
      <c r="AI390" s="363" t="str">
        <f>IF(OR(BASE_DATOS[[#This Row],[Hr.]]="",BASE_DATOS[[#This Row],[Hr. Actual]]=""),"",BASE_DATOS[[#This Row],[Hr. Actual]]-BASE_DATOS[[#This Row],[Hr.]]+BASE_DATOS[[#This Row],[Horas Acumuladas]])</f>
        <v/>
      </c>
      <c r="AJ390" s="364" t="str">
        <f>IFERROR(BASE_DATOS[[#This Row],[Precio US$]]/BASE_DATOS[[#This Row],[Horas Rodadas]],"")</f>
        <v/>
      </c>
      <c r="AK390" s="365" t="str">
        <f>IFERROR(BASE_DATOS[[#This Row],[Horas Rodadas]]/(BASE_DATOS[[#This Row],[NSK Original]]-BASE_DATOS[[#This Row],[NSK]]),"")</f>
        <v/>
      </c>
      <c r="AL39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90" s="366" t="str">
        <f>IFERROR(BASE_DATOS[[#This Row],[Precio US$]]/BASE_DATOS[[#This Row],[Horas Proy.]],"")</f>
        <v/>
      </c>
      <c r="AN390" s="176" t="str">
        <f>IF(OR(BASE_DATOS[[#This Row],[Km.]]="",BASE_DATOS[[#This Row],[Km. Actual]]=""),"",BASE_DATOS[[#This Row],[Km. Actual]]-BASE_DATOS[[#This Row],[Km.]]+BASE_DATOS[[#This Row],[Kilómetros Acumulados]])</f>
        <v/>
      </c>
      <c r="AO390" s="177" t="str">
        <f>IFERROR(BASE_DATOS[[#This Row],[Precio US$]]/BASE_DATOS[[#This Row],[Kilómetros Rodados]],"")</f>
        <v/>
      </c>
      <c r="AP390" s="176" t="str">
        <f>IFERROR(BASE_DATOS[[#This Row],[Kilómetros Rodados]]/(BASE_DATOS[[#This Row],[NSK Original]]-BASE_DATOS[[#This Row],[NSK]]),"")</f>
        <v/>
      </c>
      <c r="AQ39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90" s="177" t="str">
        <f>IFERROR(BASE_DATOS[[#This Row],[Precio US$]]/BASE_DATOS[[#This Row],[Kilómetros Proy.]],"")</f>
        <v/>
      </c>
      <c r="AS390" s="167" t="s">
        <v>62</v>
      </c>
      <c r="AT390" s="167"/>
      <c r="AU390" s="167"/>
      <c r="AV390" s="167"/>
      <c r="AW390" s="179"/>
      <c r="AX390" s="179"/>
      <c r="AY390" s="179" t="str">
        <f>CONCATENATE(BASE_DATOS[[#This Row],[Código_U]]&amp;BASE_DATOS[[#This Row],[Pos.]]&amp;BASE_DATOS[[#This Row],[Situación Actual]])</f>
        <v>TC-1749Rodando</v>
      </c>
    </row>
    <row r="391" spans="1:51" ht="12" x14ac:dyDescent="0.25">
      <c r="A391" s="227" t="s">
        <v>191</v>
      </c>
      <c r="B391" s="217" t="s">
        <v>192</v>
      </c>
      <c r="C391" s="228" t="s">
        <v>296</v>
      </c>
      <c r="D391" s="229" t="s">
        <v>61</v>
      </c>
      <c r="E391" s="255" t="s">
        <v>354</v>
      </c>
      <c r="F391" s="256" t="s">
        <v>71</v>
      </c>
      <c r="G391" s="256" t="s">
        <v>271</v>
      </c>
      <c r="H391" s="257" t="str">
        <f>IF(BASE_DATOS[[#This Row],[N-R]]="N",BASE_DATOS[[#This Row],[Diseño]],"Reencauche")</f>
        <v>KMAXD</v>
      </c>
      <c r="I391" s="256" t="s">
        <v>294</v>
      </c>
      <c r="J391" s="243" t="s">
        <v>72</v>
      </c>
      <c r="K391" s="258">
        <v>22.2</v>
      </c>
      <c r="L391" s="241">
        <v>110</v>
      </c>
      <c r="M391" s="259"/>
      <c r="N391" s="260"/>
      <c r="O391" s="277"/>
      <c r="P391" s="278"/>
      <c r="Q391" s="279"/>
      <c r="R391" s="309" t="s">
        <v>107</v>
      </c>
      <c r="S391" s="310">
        <v>45386</v>
      </c>
      <c r="T391" s="313"/>
      <c r="U391" s="279"/>
      <c r="V391" s="227">
        <v>14</v>
      </c>
      <c r="W391" s="281"/>
      <c r="X391" s="282">
        <v>14</v>
      </c>
      <c r="Y391" s="293">
        <f t="shared" si="16"/>
        <v>14</v>
      </c>
      <c r="Z391" s="161" t="s">
        <v>73</v>
      </c>
      <c r="AA391" s="342">
        <f>IFERROR(BASE_DATOS[[#This Row],[NSK Original]]-BASE_DATOS[[#This Row],[NSK]]," ")</f>
        <v>8.1999999999999993</v>
      </c>
      <c r="AB391" s="343">
        <f>'NSK-TRACTO'!$A$2</f>
        <v>6</v>
      </c>
      <c r="AC391" s="343">
        <f>IF(BASE_DATOS[[#This Row],[NSK]]&gt;=BASE_DATOS[[#This Row],[NSK Reen]],BASE_DATOS[[#This Row],[NSK Reen]],BASE_DATOS[[#This Row],[NSK]])</f>
        <v>6</v>
      </c>
      <c r="AD391" s="344">
        <f>IFERROR(100%-(BASE_DATOS[[#This Row],[NSK Reen]]/BASE_DATOS[[#This Row],[NSK Original]]),"")</f>
        <v>0.72972972972972971</v>
      </c>
      <c r="AE391" s="344">
        <f>IFERROR(100%-BASE_DATOS[[#This Row],[NSK]]/BASE_DATOS[[#This Row],[NSK Original]],"")</f>
        <v>0.36936936936936937</v>
      </c>
      <c r="AF391" s="344">
        <f>IFERROR(BASE_DATOS[[#This Row],[% Max Des.]]-BASE_DATOS[[#This Row],[% Des]],"")</f>
        <v>0.36036036036036034</v>
      </c>
      <c r="AG391" s="287"/>
      <c r="AH391" s="273"/>
      <c r="AI391" s="363" t="str">
        <f>IF(OR(BASE_DATOS[[#This Row],[Hr.]]="",BASE_DATOS[[#This Row],[Hr. Actual]]=""),"",BASE_DATOS[[#This Row],[Hr. Actual]]-BASE_DATOS[[#This Row],[Hr.]]+BASE_DATOS[[#This Row],[Horas Acumuladas]])</f>
        <v/>
      </c>
      <c r="AJ391" s="364" t="str">
        <f>IFERROR(BASE_DATOS[[#This Row],[Precio US$]]/BASE_DATOS[[#This Row],[Horas Rodadas]],"")</f>
        <v/>
      </c>
      <c r="AK391" s="365" t="str">
        <f>IFERROR(BASE_DATOS[[#This Row],[Horas Rodadas]]/(BASE_DATOS[[#This Row],[NSK Original]]-BASE_DATOS[[#This Row],[NSK]]),"")</f>
        <v/>
      </c>
      <c r="AL39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91" s="366" t="str">
        <f>IFERROR(BASE_DATOS[[#This Row],[Precio US$]]/BASE_DATOS[[#This Row],[Horas Proy.]],"")</f>
        <v/>
      </c>
      <c r="AN391" s="176" t="str">
        <f>IF(OR(BASE_DATOS[[#This Row],[Km.]]="",BASE_DATOS[[#This Row],[Km. Actual]]=""),"",BASE_DATOS[[#This Row],[Km. Actual]]-BASE_DATOS[[#This Row],[Km.]]+BASE_DATOS[[#This Row],[Kilómetros Acumulados]])</f>
        <v/>
      </c>
      <c r="AO391" s="177" t="str">
        <f>IFERROR(BASE_DATOS[[#This Row],[Precio US$]]/BASE_DATOS[[#This Row],[Kilómetros Rodados]],"")</f>
        <v/>
      </c>
      <c r="AP391" s="176" t="str">
        <f>IFERROR(BASE_DATOS[[#This Row],[Kilómetros Rodados]]/(BASE_DATOS[[#This Row],[NSK Original]]-BASE_DATOS[[#This Row],[NSK]]),"")</f>
        <v/>
      </c>
      <c r="AQ39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91" s="177" t="str">
        <f>IFERROR(BASE_DATOS[[#This Row],[Precio US$]]/BASE_DATOS[[#This Row],[Kilómetros Proy.]],"")</f>
        <v/>
      </c>
      <c r="AS391" s="167" t="s">
        <v>62</v>
      </c>
      <c r="AT391" s="167"/>
      <c r="AU391" s="167"/>
      <c r="AV391" s="167"/>
      <c r="AW391" s="179"/>
      <c r="AX391" s="179"/>
      <c r="AY391" s="179" t="str">
        <f>CONCATENATE(BASE_DATOS[[#This Row],[Código_U]]&amp;BASE_DATOS[[#This Row],[Pos.]]&amp;BASE_DATOS[[#This Row],[Situación Actual]])</f>
        <v>TC-17410Rodando</v>
      </c>
    </row>
    <row r="392" spans="1:51" ht="12" x14ac:dyDescent="0.25">
      <c r="A392" s="224" t="s">
        <v>193</v>
      </c>
      <c r="B392" s="213" t="s">
        <v>194</v>
      </c>
      <c r="C392" s="225" t="s">
        <v>295</v>
      </c>
      <c r="D392" s="226" t="s">
        <v>87</v>
      </c>
      <c r="E392" s="249"/>
      <c r="F392" s="250" t="s">
        <v>278</v>
      </c>
      <c r="G392" s="250" t="s">
        <v>269</v>
      </c>
      <c r="H392" s="251" t="str">
        <f>IF(BASE_DATOS[[#This Row],[N-R]]="N",BASE_DATOS[[#This Row],[Diseño]],"Reencauche")</f>
        <v>HAC3</v>
      </c>
      <c r="I392" s="250" t="s">
        <v>283</v>
      </c>
      <c r="J392" s="235" t="s">
        <v>72</v>
      </c>
      <c r="K392" s="252">
        <v>0</v>
      </c>
      <c r="L392" s="250">
        <v>110</v>
      </c>
      <c r="M392" s="253"/>
      <c r="N392" s="254"/>
      <c r="O392" s="274"/>
      <c r="P392" s="275"/>
      <c r="Q392" s="276"/>
      <c r="R392" s="305" t="s">
        <v>98</v>
      </c>
      <c r="S392" s="306">
        <v>45386</v>
      </c>
      <c r="T392" s="314"/>
      <c r="U392" s="276"/>
      <c r="V392" s="224">
        <v>18</v>
      </c>
      <c r="W392" s="325">
        <v>18</v>
      </c>
      <c r="X392" s="326">
        <v>18</v>
      </c>
      <c r="Y392" s="292">
        <f t="shared" si="16"/>
        <v>18</v>
      </c>
      <c r="Z392" s="194" t="s">
        <v>85</v>
      </c>
      <c r="AA392" s="339">
        <f>IFERROR(BASE_DATOS[[#This Row],[NSK Original]]-BASE_DATOS[[#This Row],[NSK]]," ")</f>
        <v>-18</v>
      </c>
      <c r="AB392" s="340">
        <f>'NSK-TRACTO'!$A$2</f>
        <v>6</v>
      </c>
      <c r="AC392" s="340">
        <f>IF(BASE_DATOS[[#This Row],[NSK]]&gt;=BASE_DATOS[[#This Row],[NSK Reen]],BASE_DATOS[[#This Row],[NSK Reen]],BASE_DATOS[[#This Row],[NSK]])</f>
        <v>6</v>
      </c>
      <c r="AD392" s="341" t="str">
        <f>IFERROR(100%-(BASE_DATOS[[#This Row],[NSK Reen]]/BASE_DATOS[[#This Row],[NSK Original]]),"")</f>
        <v/>
      </c>
      <c r="AE392" s="341" t="str">
        <f>IFERROR(100%-BASE_DATOS[[#This Row],[NSK]]/BASE_DATOS[[#This Row],[NSK Original]],"")</f>
        <v/>
      </c>
      <c r="AF392" s="341" t="str">
        <f>IFERROR(BASE_DATOS[[#This Row],[% Max Des.]]-BASE_DATOS[[#This Row],[% Des]],"")</f>
        <v/>
      </c>
      <c r="AG392" s="284"/>
      <c r="AH392" s="335"/>
      <c r="AI392" s="359" t="str">
        <f>IF(OR(BASE_DATOS[[#This Row],[Hr.]]="",BASE_DATOS[[#This Row],[Hr. Actual]]=""),"",BASE_DATOS[[#This Row],[Hr. Actual]]-BASE_DATOS[[#This Row],[Hr.]]+BASE_DATOS[[#This Row],[Horas Acumuladas]])</f>
        <v/>
      </c>
      <c r="AJ392" s="360" t="str">
        <f>IFERROR(BASE_DATOS[[#This Row],[Precio US$]]/BASE_DATOS[[#This Row],[Horas Rodadas]],"")</f>
        <v/>
      </c>
      <c r="AK392" s="361" t="str">
        <f>IFERROR(BASE_DATOS[[#This Row],[Horas Rodadas]]/(BASE_DATOS[[#This Row],[NSK Original]]-BASE_DATOS[[#This Row],[NSK]]),"")</f>
        <v/>
      </c>
      <c r="AL392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92" s="362" t="str">
        <f>IFERROR(BASE_DATOS[[#This Row],[Precio US$]]/BASE_DATOS[[#This Row],[Horas Proy.]],"")</f>
        <v/>
      </c>
      <c r="AN392" s="195" t="str">
        <f>IF(OR(BASE_DATOS[[#This Row],[Km.]]="",BASE_DATOS[[#This Row],[Km. Actual]]=""),"",BASE_DATOS[[#This Row],[Km. Actual]]-BASE_DATOS[[#This Row],[Km.]]+BASE_DATOS[[#This Row],[Kilómetros Acumulados]])</f>
        <v/>
      </c>
      <c r="AO392" s="196" t="str">
        <f>IFERROR(BASE_DATOS[[#This Row],[Precio US$]]/BASE_DATOS[[#This Row],[Kilómetros Rodados]],"")</f>
        <v/>
      </c>
      <c r="AP392" s="195" t="str">
        <f>IFERROR(BASE_DATOS[[#This Row],[Kilómetros Rodados]]/(BASE_DATOS[[#This Row],[NSK Original]]-BASE_DATOS[[#This Row],[NSK]]),"")</f>
        <v/>
      </c>
      <c r="AQ392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92" s="196" t="str">
        <f>IFERROR(BASE_DATOS[[#This Row],[Precio US$]]/BASE_DATOS[[#This Row],[Kilómetros Proy.]],"")</f>
        <v/>
      </c>
      <c r="AS392" s="191" t="s">
        <v>62</v>
      </c>
      <c r="AT392" s="191"/>
      <c r="AU392" s="191"/>
      <c r="AV392" s="191"/>
      <c r="AW392" s="198"/>
      <c r="AX392" s="198"/>
      <c r="AY392" s="198" t="str">
        <f>CONCATENATE(BASE_DATOS[[#This Row],[Código_U]]&amp;BASE_DATOS[[#This Row],[Pos.]]&amp;BASE_DATOS[[#This Row],[Situación Actual]])</f>
        <v>SR-1741Rodando</v>
      </c>
    </row>
    <row r="393" spans="1:51" ht="12" x14ac:dyDescent="0.25">
      <c r="A393" s="227" t="s">
        <v>193</v>
      </c>
      <c r="B393" s="217" t="s">
        <v>194</v>
      </c>
      <c r="C393" s="228" t="s">
        <v>295</v>
      </c>
      <c r="D393" s="229" t="s">
        <v>87</v>
      </c>
      <c r="E393" s="255"/>
      <c r="F393" s="256" t="s">
        <v>278</v>
      </c>
      <c r="G393" s="256" t="s">
        <v>269</v>
      </c>
      <c r="H393" s="257" t="str">
        <f>IF(BASE_DATOS[[#This Row],[N-R]]="N",BASE_DATOS[[#This Row],[Diseño]],"Reencauche")</f>
        <v>HAC3</v>
      </c>
      <c r="I393" s="256" t="s">
        <v>283</v>
      </c>
      <c r="J393" s="243" t="s">
        <v>72</v>
      </c>
      <c r="K393" s="258">
        <v>0</v>
      </c>
      <c r="L393" s="256">
        <v>110</v>
      </c>
      <c r="M393" s="259"/>
      <c r="N393" s="260"/>
      <c r="O393" s="277"/>
      <c r="P393" s="278"/>
      <c r="Q393" s="279"/>
      <c r="R393" s="309" t="s">
        <v>99</v>
      </c>
      <c r="S393" s="310">
        <v>45386</v>
      </c>
      <c r="T393" s="313"/>
      <c r="U393" s="279"/>
      <c r="V393" s="227">
        <v>18</v>
      </c>
      <c r="W393" s="281">
        <v>18</v>
      </c>
      <c r="X393" s="282">
        <v>18</v>
      </c>
      <c r="Y393" s="293">
        <f t="shared" si="16"/>
        <v>18</v>
      </c>
      <c r="Z393" s="175" t="s">
        <v>85</v>
      </c>
      <c r="AA393" s="342">
        <f>IFERROR(BASE_DATOS[[#This Row],[NSK Original]]-BASE_DATOS[[#This Row],[NSK]]," ")</f>
        <v>-18</v>
      </c>
      <c r="AB393" s="343">
        <f>'NSK-TRACTO'!$A$2</f>
        <v>6</v>
      </c>
      <c r="AC393" s="343">
        <f>IF(BASE_DATOS[[#This Row],[NSK]]&gt;=BASE_DATOS[[#This Row],[NSK Reen]],BASE_DATOS[[#This Row],[NSK Reen]],BASE_DATOS[[#This Row],[NSK]])</f>
        <v>6</v>
      </c>
      <c r="AD393" s="344" t="str">
        <f>IFERROR(100%-(BASE_DATOS[[#This Row],[NSK Reen]]/BASE_DATOS[[#This Row],[NSK Original]]),"")</f>
        <v/>
      </c>
      <c r="AE393" s="344" t="str">
        <f>IFERROR(100%-BASE_DATOS[[#This Row],[NSK]]/BASE_DATOS[[#This Row],[NSK Original]],"")</f>
        <v/>
      </c>
      <c r="AF393" s="344" t="str">
        <f>IFERROR(BASE_DATOS[[#This Row],[% Max Des.]]-BASE_DATOS[[#This Row],[% Des]],"")</f>
        <v/>
      </c>
      <c r="AG393" s="287"/>
      <c r="AH393" s="273"/>
      <c r="AI393" s="363" t="str">
        <f>IF(OR(BASE_DATOS[[#This Row],[Hr.]]="",BASE_DATOS[[#This Row],[Hr. Actual]]=""),"",BASE_DATOS[[#This Row],[Hr. Actual]]-BASE_DATOS[[#This Row],[Hr.]]+BASE_DATOS[[#This Row],[Horas Acumuladas]])</f>
        <v/>
      </c>
      <c r="AJ393" s="364" t="str">
        <f>IFERROR(BASE_DATOS[[#This Row],[Precio US$]]/BASE_DATOS[[#This Row],[Horas Rodadas]],"")</f>
        <v/>
      </c>
      <c r="AK393" s="365" t="str">
        <f>IFERROR(BASE_DATOS[[#This Row],[Horas Rodadas]]/(BASE_DATOS[[#This Row],[NSK Original]]-BASE_DATOS[[#This Row],[NSK]]),"")</f>
        <v/>
      </c>
      <c r="AL39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93" s="366" t="str">
        <f>IFERROR(BASE_DATOS[[#This Row],[Precio US$]]/BASE_DATOS[[#This Row],[Horas Proy.]],"")</f>
        <v/>
      </c>
      <c r="AN393" s="176" t="str">
        <f>IF(OR(BASE_DATOS[[#This Row],[Km.]]="",BASE_DATOS[[#This Row],[Km. Actual]]=""),"",BASE_DATOS[[#This Row],[Km. Actual]]-BASE_DATOS[[#This Row],[Km.]]+BASE_DATOS[[#This Row],[Kilómetros Acumulados]])</f>
        <v/>
      </c>
      <c r="AO393" s="177" t="str">
        <f>IFERROR(BASE_DATOS[[#This Row],[Precio US$]]/BASE_DATOS[[#This Row],[Kilómetros Rodados]],"")</f>
        <v/>
      </c>
      <c r="AP393" s="176" t="str">
        <f>IFERROR(BASE_DATOS[[#This Row],[Kilómetros Rodados]]/(BASE_DATOS[[#This Row],[NSK Original]]-BASE_DATOS[[#This Row],[NSK]]),"")</f>
        <v/>
      </c>
      <c r="AQ39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93" s="177" t="str">
        <f>IFERROR(BASE_DATOS[[#This Row],[Precio US$]]/BASE_DATOS[[#This Row],[Kilómetros Proy.]],"")</f>
        <v/>
      </c>
      <c r="AS393" s="167" t="s">
        <v>62</v>
      </c>
      <c r="AT393" s="167"/>
      <c r="AU393" s="167"/>
      <c r="AV393" s="167"/>
      <c r="AW393" s="179"/>
      <c r="AX393" s="179"/>
      <c r="AY393" s="179" t="str">
        <f>CONCATENATE(BASE_DATOS[[#This Row],[Código_U]]&amp;BASE_DATOS[[#This Row],[Pos.]]&amp;BASE_DATOS[[#This Row],[Situación Actual]])</f>
        <v>SR-1742Rodando</v>
      </c>
    </row>
    <row r="394" spans="1:51" ht="12" x14ac:dyDescent="0.25">
      <c r="A394" s="227" t="s">
        <v>193</v>
      </c>
      <c r="B394" s="217" t="s">
        <v>194</v>
      </c>
      <c r="C394" s="228" t="s">
        <v>295</v>
      </c>
      <c r="D394" s="229" t="s">
        <v>87</v>
      </c>
      <c r="E394" s="255" t="s">
        <v>355</v>
      </c>
      <c r="F394" s="256" t="s">
        <v>97</v>
      </c>
      <c r="G394" s="256" t="s">
        <v>269</v>
      </c>
      <c r="H394" s="257" t="str">
        <f>IF(BASE_DATOS[[#This Row],[N-R]]="N",BASE_DATOS[[#This Row],[Diseño]],"Reencauche")</f>
        <v>AGC28</v>
      </c>
      <c r="I394" s="256" t="s">
        <v>270</v>
      </c>
      <c r="J394" s="243" t="s">
        <v>72</v>
      </c>
      <c r="K394" s="258">
        <v>16.5</v>
      </c>
      <c r="L394" s="256">
        <v>110</v>
      </c>
      <c r="M394" s="259"/>
      <c r="N394" s="260"/>
      <c r="O394" s="277"/>
      <c r="P394" s="278"/>
      <c r="Q394" s="279"/>
      <c r="R394" s="309" t="s">
        <v>100</v>
      </c>
      <c r="S394" s="310">
        <v>45386</v>
      </c>
      <c r="T394" s="313"/>
      <c r="U394" s="279"/>
      <c r="V394" s="227">
        <v>9</v>
      </c>
      <c r="W394" s="281">
        <v>9</v>
      </c>
      <c r="X394" s="282">
        <v>9</v>
      </c>
      <c r="Y394" s="293">
        <f t="shared" si="16"/>
        <v>9</v>
      </c>
      <c r="Z394" s="175" t="s">
        <v>85</v>
      </c>
      <c r="AA394" s="342">
        <f>IFERROR(BASE_DATOS[[#This Row],[NSK Original]]-BASE_DATOS[[#This Row],[NSK]]," ")</f>
        <v>7.5</v>
      </c>
      <c r="AB394" s="343">
        <f>'NSK-TRACTO'!$A$2</f>
        <v>6</v>
      </c>
      <c r="AC394" s="343">
        <f>IF(BASE_DATOS[[#This Row],[NSK]]&gt;=BASE_DATOS[[#This Row],[NSK Reen]],BASE_DATOS[[#This Row],[NSK Reen]],BASE_DATOS[[#This Row],[NSK]])</f>
        <v>6</v>
      </c>
      <c r="AD394" s="344">
        <f>IFERROR(100%-(BASE_DATOS[[#This Row],[NSK Reen]]/BASE_DATOS[[#This Row],[NSK Original]]),"")</f>
        <v>0.63636363636363635</v>
      </c>
      <c r="AE394" s="344">
        <f>IFERROR(100%-BASE_DATOS[[#This Row],[NSK]]/BASE_DATOS[[#This Row],[NSK Original]],"")</f>
        <v>0.45454545454545459</v>
      </c>
      <c r="AF394" s="344">
        <f>IFERROR(BASE_DATOS[[#This Row],[% Max Des.]]-BASE_DATOS[[#This Row],[% Des]],"")</f>
        <v>0.18181818181818177</v>
      </c>
      <c r="AG394" s="287"/>
      <c r="AH394" s="273"/>
      <c r="AI394" s="363" t="str">
        <f>IF(OR(BASE_DATOS[[#This Row],[Hr.]]="",BASE_DATOS[[#This Row],[Hr. Actual]]=""),"",BASE_DATOS[[#This Row],[Hr. Actual]]-BASE_DATOS[[#This Row],[Hr.]]+BASE_DATOS[[#This Row],[Horas Acumuladas]])</f>
        <v/>
      </c>
      <c r="AJ394" s="364" t="str">
        <f>IFERROR(BASE_DATOS[[#This Row],[Precio US$]]/BASE_DATOS[[#This Row],[Horas Rodadas]],"")</f>
        <v/>
      </c>
      <c r="AK394" s="365" t="str">
        <f>IFERROR(BASE_DATOS[[#This Row],[Horas Rodadas]]/(BASE_DATOS[[#This Row],[NSK Original]]-BASE_DATOS[[#This Row],[NSK]]),"")</f>
        <v/>
      </c>
      <c r="AL39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94" s="366" t="str">
        <f>IFERROR(BASE_DATOS[[#This Row],[Precio US$]]/BASE_DATOS[[#This Row],[Horas Proy.]],"")</f>
        <v/>
      </c>
      <c r="AN394" s="176" t="str">
        <f>IF(OR(BASE_DATOS[[#This Row],[Km.]]="",BASE_DATOS[[#This Row],[Km. Actual]]=""),"",BASE_DATOS[[#This Row],[Km. Actual]]-BASE_DATOS[[#This Row],[Km.]]+BASE_DATOS[[#This Row],[Kilómetros Acumulados]])</f>
        <v/>
      </c>
      <c r="AO394" s="177" t="str">
        <f>IFERROR(BASE_DATOS[[#This Row],[Precio US$]]/BASE_DATOS[[#This Row],[Kilómetros Rodados]],"")</f>
        <v/>
      </c>
      <c r="AP394" s="176" t="str">
        <f>IFERROR(BASE_DATOS[[#This Row],[Kilómetros Rodados]]/(BASE_DATOS[[#This Row],[NSK Original]]-BASE_DATOS[[#This Row],[NSK]]),"")</f>
        <v/>
      </c>
      <c r="AQ39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94" s="177" t="str">
        <f>IFERROR(BASE_DATOS[[#This Row],[Precio US$]]/BASE_DATOS[[#This Row],[Kilómetros Proy.]],"")</f>
        <v/>
      </c>
      <c r="AS394" s="167" t="s">
        <v>62</v>
      </c>
      <c r="AT394" s="167"/>
      <c r="AU394" s="167"/>
      <c r="AV394" s="167"/>
      <c r="AW394" s="179"/>
      <c r="AX394" s="179"/>
      <c r="AY394" s="179" t="str">
        <f>CONCATENATE(BASE_DATOS[[#This Row],[Código_U]]&amp;BASE_DATOS[[#This Row],[Pos.]]&amp;BASE_DATOS[[#This Row],[Situación Actual]])</f>
        <v>SR-1743Rodando</v>
      </c>
    </row>
    <row r="395" spans="1:51" ht="12" x14ac:dyDescent="0.25">
      <c r="A395" s="227" t="s">
        <v>193</v>
      </c>
      <c r="B395" s="217" t="s">
        <v>194</v>
      </c>
      <c r="C395" s="228" t="s">
        <v>295</v>
      </c>
      <c r="D395" s="229" t="s">
        <v>87</v>
      </c>
      <c r="E395" s="255" t="s">
        <v>356</v>
      </c>
      <c r="F395" s="256" t="s">
        <v>97</v>
      </c>
      <c r="G395" s="256" t="s">
        <v>269</v>
      </c>
      <c r="H395" s="257" t="str">
        <f>IF(BASE_DATOS[[#This Row],[N-R]]="N",BASE_DATOS[[#This Row],[Diseño]],"Reencauche")</f>
        <v>AGC28</v>
      </c>
      <c r="I395" s="256" t="s">
        <v>270</v>
      </c>
      <c r="J395" s="243" t="s">
        <v>72</v>
      </c>
      <c r="K395" s="258">
        <v>16.5</v>
      </c>
      <c r="L395" s="256">
        <v>110</v>
      </c>
      <c r="M395" s="259"/>
      <c r="N395" s="260"/>
      <c r="O395" s="277"/>
      <c r="P395" s="278"/>
      <c r="Q395" s="279"/>
      <c r="R395" s="309" t="s">
        <v>101</v>
      </c>
      <c r="S395" s="310">
        <v>45386</v>
      </c>
      <c r="T395" s="313"/>
      <c r="U395" s="279"/>
      <c r="V395" s="227">
        <v>9</v>
      </c>
      <c r="W395" s="281">
        <v>9</v>
      </c>
      <c r="X395" s="282">
        <v>9</v>
      </c>
      <c r="Y395" s="293">
        <f t="shared" si="16"/>
        <v>9</v>
      </c>
      <c r="Z395" s="175" t="s">
        <v>85</v>
      </c>
      <c r="AA395" s="342">
        <f>IFERROR(BASE_DATOS[[#This Row],[NSK Original]]-BASE_DATOS[[#This Row],[NSK]]," ")</f>
        <v>7.5</v>
      </c>
      <c r="AB395" s="343">
        <f>'NSK-TRACTO'!$A$2</f>
        <v>6</v>
      </c>
      <c r="AC395" s="343">
        <f>IF(BASE_DATOS[[#This Row],[NSK]]&gt;=BASE_DATOS[[#This Row],[NSK Reen]],BASE_DATOS[[#This Row],[NSK Reen]],BASE_DATOS[[#This Row],[NSK]])</f>
        <v>6</v>
      </c>
      <c r="AD395" s="344">
        <f>IFERROR(100%-(BASE_DATOS[[#This Row],[NSK Reen]]/BASE_DATOS[[#This Row],[NSK Original]]),"")</f>
        <v>0.63636363636363635</v>
      </c>
      <c r="AE395" s="344">
        <f>IFERROR(100%-BASE_DATOS[[#This Row],[NSK]]/BASE_DATOS[[#This Row],[NSK Original]],"")</f>
        <v>0.45454545454545459</v>
      </c>
      <c r="AF395" s="344">
        <f>IFERROR(BASE_DATOS[[#This Row],[% Max Des.]]-BASE_DATOS[[#This Row],[% Des]],"")</f>
        <v>0.18181818181818177</v>
      </c>
      <c r="AG395" s="287"/>
      <c r="AH395" s="273"/>
      <c r="AI395" s="363" t="str">
        <f>IF(OR(BASE_DATOS[[#This Row],[Hr.]]="",BASE_DATOS[[#This Row],[Hr. Actual]]=""),"",BASE_DATOS[[#This Row],[Hr. Actual]]-BASE_DATOS[[#This Row],[Hr.]]+BASE_DATOS[[#This Row],[Horas Acumuladas]])</f>
        <v/>
      </c>
      <c r="AJ395" s="364" t="str">
        <f>IFERROR(BASE_DATOS[[#This Row],[Precio US$]]/BASE_DATOS[[#This Row],[Horas Rodadas]],"")</f>
        <v/>
      </c>
      <c r="AK395" s="365" t="str">
        <f>IFERROR(BASE_DATOS[[#This Row],[Horas Rodadas]]/(BASE_DATOS[[#This Row],[NSK Original]]-BASE_DATOS[[#This Row],[NSK]]),"")</f>
        <v/>
      </c>
      <c r="AL39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95" s="366" t="str">
        <f>IFERROR(BASE_DATOS[[#This Row],[Precio US$]]/BASE_DATOS[[#This Row],[Horas Proy.]],"")</f>
        <v/>
      </c>
      <c r="AN395" s="176" t="str">
        <f>IF(OR(BASE_DATOS[[#This Row],[Km.]]="",BASE_DATOS[[#This Row],[Km. Actual]]=""),"",BASE_DATOS[[#This Row],[Km. Actual]]-BASE_DATOS[[#This Row],[Km.]]+BASE_DATOS[[#This Row],[Kilómetros Acumulados]])</f>
        <v/>
      </c>
      <c r="AO395" s="177" t="str">
        <f>IFERROR(BASE_DATOS[[#This Row],[Precio US$]]/BASE_DATOS[[#This Row],[Kilómetros Rodados]],"")</f>
        <v/>
      </c>
      <c r="AP395" s="176" t="str">
        <f>IFERROR(BASE_DATOS[[#This Row],[Kilómetros Rodados]]/(BASE_DATOS[[#This Row],[NSK Original]]-BASE_DATOS[[#This Row],[NSK]]),"")</f>
        <v/>
      </c>
      <c r="AQ39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95" s="177" t="str">
        <f>IFERROR(BASE_DATOS[[#This Row],[Precio US$]]/BASE_DATOS[[#This Row],[Kilómetros Proy.]],"")</f>
        <v/>
      </c>
      <c r="AS395" s="167" t="s">
        <v>62</v>
      </c>
      <c r="AT395" s="167"/>
      <c r="AU395" s="167"/>
      <c r="AV395" s="167"/>
      <c r="AW395" s="179"/>
      <c r="AX395" s="179"/>
      <c r="AY395" s="179" t="str">
        <f>CONCATENATE(BASE_DATOS[[#This Row],[Código_U]]&amp;BASE_DATOS[[#This Row],[Pos.]]&amp;BASE_DATOS[[#This Row],[Situación Actual]])</f>
        <v>SR-1744Rodando</v>
      </c>
    </row>
    <row r="396" spans="1:51" ht="12" x14ac:dyDescent="0.25">
      <c r="A396" s="227" t="s">
        <v>193</v>
      </c>
      <c r="B396" s="217" t="s">
        <v>194</v>
      </c>
      <c r="C396" s="228" t="s">
        <v>295</v>
      </c>
      <c r="D396" s="229" t="s">
        <v>87</v>
      </c>
      <c r="E396" s="255" t="s">
        <v>357</v>
      </c>
      <c r="F396" s="256" t="s">
        <v>97</v>
      </c>
      <c r="G396" s="256" t="s">
        <v>269</v>
      </c>
      <c r="H396" s="257" t="str">
        <f>IF(BASE_DATOS[[#This Row],[N-R]]="N",BASE_DATOS[[#This Row],[Diseño]],"Reencauche")</f>
        <v>AGC28</v>
      </c>
      <c r="I396" s="256" t="s">
        <v>270</v>
      </c>
      <c r="J396" s="243" t="s">
        <v>72</v>
      </c>
      <c r="K396" s="258">
        <v>16.5</v>
      </c>
      <c r="L396" s="256">
        <v>110</v>
      </c>
      <c r="M396" s="259"/>
      <c r="N396" s="260"/>
      <c r="O396" s="277"/>
      <c r="P396" s="278"/>
      <c r="Q396" s="279"/>
      <c r="R396" s="309" t="s">
        <v>102</v>
      </c>
      <c r="S396" s="310">
        <v>45386</v>
      </c>
      <c r="T396" s="313"/>
      <c r="U396" s="279"/>
      <c r="V396" s="227">
        <v>12</v>
      </c>
      <c r="W396" s="281">
        <v>12</v>
      </c>
      <c r="X396" s="282">
        <v>12</v>
      </c>
      <c r="Y396" s="293">
        <f t="shared" si="16"/>
        <v>12</v>
      </c>
      <c r="Z396" s="175" t="s">
        <v>85</v>
      </c>
      <c r="AA396" s="342">
        <f>IFERROR(BASE_DATOS[[#This Row],[NSK Original]]-BASE_DATOS[[#This Row],[NSK]]," ")</f>
        <v>4.5</v>
      </c>
      <c r="AB396" s="343">
        <f>'NSK-TRACTO'!$A$2</f>
        <v>6</v>
      </c>
      <c r="AC396" s="343">
        <f>IF(BASE_DATOS[[#This Row],[NSK]]&gt;=BASE_DATOS[[#This Row],[NSK Reen]],BASE_DATOS[[#This Row],[NSK Reen]],BASE_DATOS[[#This Row],[NSK]])</f>
        <v>6</v>
      </c>
      <c r="AD396" s="344">
        <f>IFERROR(100%-(BASE_DATOS[[#This Row],[NSK Reen]]/BASE_DATOS[[#This Row],[NSK Original]]),"")</f>
        <v>0.63636363636363635</v>
      </c>
      <c r="AE396" s="344">
        <f>IFERROR(100%-BASE_DATOS[[#This Row],[NSK]]/BASE_DATOS[[#This Row],[NSK Original]],"")</f>
        <v>0.27272727272727271</v>
      </c>
      <c r="AF396" s="344">
        <f>IFERROR(BASE_DATOS[[#This Row],[% Max Des.]]-BASE_DATOS[[#This Row],[% Des]],"")</f>
        <v>0.36363636363636365</v>
      </c>
      <c r="AG396" s="287"/>
      <c r="AH396" s="273"/>
      <c r="AI396" s="363" t="str">
        <f>IF(OR(BASE_DATOS[[#This Row],[Hr.]]="",BASE_DATOS[[#This Row],[Hr. Actual]]=""),"",BASE_DATOS[[#This Row],[Hr. Actual]]-BASE_DATOS[[#This Row],[Hr.]]+BASE_DATOS[[#This Row],[Horas Acumuladas]])</f>
        <v/>
      </c>
      <c r="AJ396" s="364" t="str">
        <f>IFERROR(BASE_DATOS[[#This Row],[Precio US$]]/BASE_DATOS[[#This Row],[Horas Rodadas]],"")</f>
        <v/>
      </c>
      <c r="AK396" s="365" t="str">
        <f>IFERROR(BASE_DATOS[[#This Row],[Horas Rodadas]]/(BASE_DATOS[[#This Row],[NSK Original]]-BASE_DATOS[[#This Row],[NSK]]),"")</f>
        <v/>
      </c>
      <c r="AL39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96" s="366" t="str">
        <f>IFERROR(BASE_DATOS[[#This Row],[Precio US$]]/BASE_DATOS[[#This Row],[Horas Proy.]],"")</f>
        <v/>
      </c>
      <c r="AN396" s="176" t="str">
        <f>IF(OR(BASE_DATOS[[#This Row],[Km.]]="",BASE_DATOS[[#This Row],[Km. Actual]]=""),"",BASE_DATOS[[#This Row],[Km. Actual]]-BASE_DATOS[[#This Row],[Km.]]+BASE_DATOS[[#This Row],[Kilómetros Acumulados]])</f>
        <v/>
      </c>
      <c r="AO396" s="177" t="str">
        <f>IFERROR(BASE_DATOS[[#This Row],[Precio US$]]/BASE_DATOS[[#This Row],[Kilómetros Rodados]],"")</f>
        <v/>
      </c>
      <c r="AP396" s="176" t="str">
        <f>IFERROR(BASE_DATOS[[#This Row],[Kilómetros Rodados]]/(BASE_DATOS[[#This Row],[NSK Original]]-BASE_DATOS[[#This Row],[NSK]]),"")</f>
        <v/>
      </c>
      <c r="AQ39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96" s="177" t="str">
        <f>IFERROR(BASE_DATOS[[#This Row],[Precio US$]]/BASE_DATOS[[#This Row],[Kilómetros Proy.]],"")</f>
        <v/>
      </c>
      <c r="AS396" s="167" t="s">
        <v>62</v>
      </c>
      <c r="AT396" s="167"/>
      <c r="AU396" s="167"/>
      <c r="AV396" s="167"/>
      <c r="AW396" s="179"/>
      <c r="AX396" s="179"/>
      <c r="AY396" s="179" t="str">
        <f>CONCATENATE(BASE_DATOS[[#This Row],[Código_U]]&amp;BASE_DATOS[[#This Row],[Pos.]]&amp;BASE_DATOS[[#This Row],[Situación Actual]])</f>
        <v>SR-1745Rodando</v>
      </c>
    </row>
    <row r="397" spans="1:51" ht="12" x14ac:dyDescent="0.25">
      <c r="A397" s="227" t="s">
        <v>193</v>
      </c>
      <c r="B397" s="217" t="s">
        <v>194</v>
      </c>
      <c r="C397" s="228" t="s">
        <v>295</v>
      </c>
      <c r="D397" s="229" t="s">
        <v>87</v>
      </c>
      <c r="E397" s="255"/>
      <c r="F397" s="256" t="s">
        <v>97</v>
      </c>
      <c r="G397" s="256" t="s">
        <v>269</v>
      </c>
      <c r="H397" s="257" t="str">
        <f>IF(BASE_DATOS[[#This Row],[N-R]]="N",BASE_DATOS[[#This Row],[Diseño]],"Reencauche")</f>
        <v>AGC28</v>
      </c>
      <c r="I397" s="256" t="s">
        <v>270</v>
      </c>
      <c r="J397" s="243" t="s">
        <v>72</v>
      </c>
      <c r="K397" s="258">
        <v>16.5</v>
      </c>
      <c r="L397" s="256">
        <v>110</v>
      </c>
      <c r="M397" s="259"/>
      <c r="N397" s="260"/>
      <c r="O397" s="277"/>
      <c r="P397" s="278"/>
      <c r="Q397" s="279"/>
      <c r="R397" s="309" t="s">
        <v>103</v>
      </c>
      <c r="S397" s="310">
        <v>45386</v>
      </c>
      <c r="T397" s="313"/>
      <c r="U397" s="279"/>
      <c r="V397" s="227">
        <v>12</v>
      </c>
      <c r="W397" s="281">
        <v>12</v>
      </c>
      <c r="X397" s="282">
        <v>12</v>
      </c>
      <c r="Y397" s="293">
        <f t="shared" si="16"/>
        <v>12</v>
      </c>
      <c r="Z397" s="175" t="s">
        <v>85</v>
      </c>
      <c r="AA397" s="342">
        <f>IFERROR(BASE_DATOS[[#This Row],[NSK Original]]-BASE_DATOS[[#This Row],[NSK]]," ")</f>
        <v>4.5</v>
      </c>
      <c r="AB397" s="343">
        <f>'NSK-TRACTO'!$A$2</f>
        <v>6</v>
      </c>
      <c r="AC397" s="343">
        <f>IF(BASE_DATOS[[#This Row],[NSK]]&gt;=BASE_DATOS[[#This Row],[NSK Reen]],BASE_DATOS[[#This Row],[NSK Reen]],BASE_DATOS[[#This Row],[NSK]])</f>
        <v>6</v>
      </c>
      <c r="AD397" s="344">
        <f>IFERROR(100%-(BASE_DATOS[[#This Row],[NSK Reen]]/BASE_DATOS[[#This Row],[NSK Original]]),"")</f>
        <v>0.63636363636363635</v>
      </c>
      <c r="AE397" s="344">
        <f>IFERROR(100%-BASE_DATOS[[#This Row],[NSK]]/BASE_DATOS[[#This Row],[NSK Original]],"")</f>
        <v>0.27272727272727271</v>
      </c>
      <c r="AF397" s="344">
        <f>IFERROR(BASE_DATOS[[#This Row],[% Max Des.]]-BASE_DATOS[[#This Row],[% Des]],"")</f>
        <v>0.36363636363636365</v>
      </c>
      <c r="AG397" s="287"/>
      <c r="AH397" s="273"/>
      <c r="AI397" s="363" t="str">
        <f>IF(OR(BASE_DATOS[[#This Row],[Hr.]]="",BASE_DATOS[[#This Row],[Hr. Actual]]=""),"",BASE_DATOS[[#This Row],[Hr. Actual]]-BASE_DATOS[[#This Row],[Hr.]]+BASE_DATOS[[#This Row],[Horas Acumuladas]])</f>
        <v/>
      </c>
      <c r="AJ397" s="364" t="str">
        <f>IFERROR(BASE_DATOS[[#This Row],[Precio US$]]/BASE_DATOS[[#This Row],[Horas Rodadas]],"")</f>
        <v/>
      </c>
      <c r="AK397" s="365" t="str">
        <f>IFERROR(BASE_DATOS[[#This Row],[Horas Rodadas]]/(BASE_DATOS[[#This Row],[NSK Original]]-BASE_DATOS[[#This Row],[NSK]]),"")</f>
        <v/>
      </c>
      <c r="AL39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97" s="366" t="str">
        <f>IFERROR(BASE_DATOS[[#This Row],[Precio US$]]/BASE_DATOS[[#This Row],[Horas Proy.]],"")</f>
        <v/>
      </c>
      <c r="AN397" s="176" t="str">
        <f>IF(OR(BASE_DATOS[[#This Row],[Km.]]="",BASE_DATOS[[#This Row],[Km. Actual]]=""),"",BASE_DATOS[[#This Row],[Km. Actual]]-BASE_DATOS[[#This Row],[Km.]]+BASE_DATOS[[#This Row],[Kilómetros Acumulados]])</f>
        <v/>
      </c>
      <c r="AO397" s="177" t="str">
        <f>IFERROR(BASE_DATOS[[#This Row],[Precio US$]]/BASE_DATOS[[#This Row],[Kilómetros Rodados]],"")</f>
        <v/>
      </c>
      <c r="AP397" s="176" t="str">
        <f>IFERROR(BASE_DATOS[[#This Row],[Kilómetros Rodados]]/(BASE_DATOS[[#This Row],[NSK Original]]-BASE_DATOS[[#This Row],[NSK]]),"")</f>
        <v/>
      </c>
      <c r="AQ39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97" s="177" t="str">
        <f>IFERROR(BASE_DATOS[[#This Row],[Precio US$]]/BASE_DATOS[[#This Row],[Kilómetros Proy.]],"")</f>
        <v/>
      </c>
      <c r="AS397" s="167" t="s">
        <v>62</v>
      </c>
      <c r="AT397" s="167"/>
      <c r="AU397" s="167"/>
      <c r="AV397" s="167"/>
      <c r="AW397" s="179"/>
      <c r="AX397" s="179"/>
      <c r="AY397" s="179" t="str">
        <f>CONCATENATE(BASE_DATOS[[#This Row],[Código_U]]&amp;BASE_DATOS[[#This Row],[Pos.]]&amp;BASE_DATOS[[#This Row],[Situación Actual]])</f>
        <v>SR-1746Rodando</v>
      </c>
    </row>
    <row r="398" spans="1:51" ht="12" x14ac:dyDescent="0.25">
      <c r="A398" s="227" t="s">
        <v>193</v>
      </c>
      <c r="B398" s="217" t="s">
        <v>194</v>
      </c>
      <c r="C398" s="228" t="s">
        <v>295</v>
      </c>
      <c r="D398" s="229" t="s">
        <v>384</v>
      </c>
      <c r="E398" s="255"/>
      <c r="F398" s="256" t="s">
        <v>71</v>
      </c>
      <c r="G398" s="256" t="s">
        <v>269</v>
      </c>
      <c r="H398" s="257" t="str">
        <f>IF(BASE_DATOS[[#This Row],[N-R]]="N",BASE_DATOS[[#This Row],[Diseño]],"Reencauche")</f>
        <v>OMNITRAC MST2</v>
      </c>
      <c r="I398" s="256" t="s">
        <v>281</v>
      </c>
      <c r="J398" s="243" t="s">
        <v>72</v>
      </c>
      <c r="K398" s="258">
        <v>15.6</v>
      </c>
      <c r="L398" s="256">
        <v>110</v>
      </c>
      <c r="M398" s="259"/>
      <c r="N398" s="260"/>
      <c r="O398" s="277"/>
      <c r="P398" s="278"/>
      <c r="Q398" s="279"/>
      <c r="R398" s="304" t="s">
        <v>509</v>
      </c>
      <c r="S398" s="310">
        <v>45386</v>
      </c>
      <c r="T398" s="313"/>
      <c r="U398" s="279"/>
      <c r="V398" s="227">
        <v>9</v>
      </c>
      <c r="W398" s="281">
        <v>9</v>
      </c>
      <c r="X398" s="282">
        <v>8</v>
      </c>
      <c r="Y398" s="293">
        <f t="shared" si="16"/>
        <v>8</v>
      </c>
      <c r="Z398" s="175" t="s">
        <v>85</v>
      </c>
      <c r="AA398" s="342">
        <f>IFERROR(BASE_DATOS[[#This Row],[NSK Original]]-BASE_DATOS[[#This Row],[NSK]]," ")</f>
        <v>7.6</v>
      </c>
      <c r="AB398" s="343">
        <f>'NSK-TRACTO'!$A$2</f>
        <v>6</v>
      </c>
      <c r="AC398" s="343">
        <f>IF(BASE_DATOS[[#This Row],[NSK]]&gt;=BASE_DATOS[[#This Row],[NSK Reen]],BASE_DATOS[[#This Row],[NSK Reen]],BASE_DATOS[[#This Row],[NSK]])</f>
        <v>6</v>
      </c>
      <c r="AD398" s="344">
        <f>IFERROR(100%-(BASE_DATOS[[#This Row],[NSK Reen]]/BASE_DATOS[[#This Row],[NSK Original]]),"")</f>
        <v>0.61538461538461542</v>
      </c>
      <c r="AE398" s="344">
        <f>IFERROR(100%-BASE_DATOS[[#This Row],[NSK]]/BASE_DATOS[[#This Row],[NSK Original]],"")</f>
        <v>0.48717948717948711</v>
      </c>
      <c r="AF398" s="344">
        <f>IFERROR(BASE_DATOS[[#This Row],[% Max Des.]]-BASE_DATOS[[#This Row],[% Des]],"")</f>
        <v>0.1282051282051283</v>
      </c>
      <c r="AG398" s="287"/>
      <c r="AH398" s="273"/>
      <c r="AI398" s="363" t="str">
        <f>IF(OR(BASE_DATOS[[#This Row],[Hr.]]="",BASE_DATOS[[#This Row],[Hr. Actual]]=""),"",BASE_DATOS[[#This Row],[Hr. Actual]]-BASE_DATOS[[#This Row],[Hr.]]+BASE_DATOS[[#This Row],[Horas Acumuladas]])</f>
        <v/>
      </c>
      <c r="AJ398" s="364" t="str">
        <f>IFERROR(BASE_DATOS[[#This Row],[Precio US$]]/BASE_DATOS[[#This Row],[Horas Rodadas]],"")</f>
        <v/>
      </c>
      <c r="AK398" s="365" t="str">
        <f>IFERROR(BASE_DATOS[[#This Row],[Horas Rodadas]]/(BASE_DATOS[[#This Row],[NSK Original]]-BASE_DATOS[[#This Row],[NSK]]),"")</f>
        <v/>
      </c>
      <c r="AL39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98" s="366" t="str">
        <f>IFERROR(BASE_DATOS[[#This Row],[Precio US$]]/BASE_DATOS[[#This Row],[Horas Proy.]],"")</f>
        <v/>
      </c>
      <c r="AN398" s="176" t="str">
        <f>IF(OR(BASE_DATOS[[#This Row],[Km.]]="",BASE_DATOS[[#This Row],[Km. Actual]]=""),"",BASE_DATOS[[#This Row],[Km. Actual]]-BASE_DATOS[[#This Row],[Km.]]+BASE_DATOS[[#This Row],[Kilómetros Acumulados]])</f>
        <v/>
      </c>
      <c r="AO398" s="177" t="str">
        <f>IFERROR(BASE_DATOS[[#This Row],[Precio US$]]/BASE_DATOS[[#This Row],[Kilómetros Rodados]],"")</f>
        <v/>
      </c>
      <c r="AP398" s="176" t="str">
        <f>IFERROR(BASE_DATOS[[#This Row],[Kilómetros Rodados]]/(BASE_DATOS[[#This Row],[NSK Original]]-BASE_DATOS[[#This Row],[NSK]]),"")</f>
        <v/>
      </c>
      <c r="AQ39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98" s="177" t="str">
        <f>IFERROR(BASE_DATOS[[#This Row],[Precio US$]]/BASE_DATOS[[#This Row],[Kilómetros Proy.]],"")</f>
        <v/>
      </c>
      <c r="AS398" s="167" t="s">
        <v>62</v>
      </c>
      <c r="AT398" s="167"/>
      <c r="AU398" s="167"/>
      <c r="AV398" s="167"/>
      <c r="AW398" s="179"/>
      <c r="AX398" s="179"/>
      <c r="AY398" s="179" t="str">
        <f>CONCATENATE(BASE_DATOS[[#This Row],[Código_U]]&amp;BASE_DATOS[[#This Row],[Pos.]]&amp;BASE_DATOS[[#This Row],[Situación Actual]])</f>
        <v>SR-174RERodando</v>
      </c>
    </row>
    <row r="399" spans="1:51" ht="12" x14ac:dyDescent="0.25">
      <c r="A399" s="227" t="s">
        <v>193</v>
      </c>
      <c r="B399" s="217" t="s">
        <v>194</v>
      </c>
      <c r="C399" s="228" t="s">
        <v>295</v>
      </c>
      <c r="D399" s="229" t="s">
        <v>108</v>
      </c>
      <c r="E399" s="255"/>
      <c r="F399" s="256" t="s">
        <v>278</v>
      </c>
      <c r="G399" s="256" t="s">
        <v>271</v>
      </c>
      <c r="H399" s="257" t="str">
        <f>IF(BASE_DATOS[[#This Row],[N-R]]="N",BASE_DATOS[[#This Row],[Diseño]],"Reencauche")</f>
        <v>HAC3</v>
      </c>
      <c r="I399" s="256" t="s">
        <v>283</v>
      </c>
      <c r="J399" s="243" t="s">
        <v>72</v>
      </c>
      <c r="K399" s="258">
        <v>0</v>
      </c>
      <c r="L399" s="256">
        <v>110</v>
      </c>
      <c r="M399" s="259"/>
      <c r="N399" s="260"/>
      <c r="O399" s="277"/>
      <c r="P399" s="278"/>
      <c r="Q399" s="279"/>
      <c r="R399" s="304" t="s">
        <v>108</v>
      </c>
      <c r="S399" s="310">
        <v>45386</v>
      </c>
      <c r="T399" s="313"/>
      <c r="U399" s="279"/>
      <c r="V399" s="227">
        <v>8</v>
      </c>
      <c r="W399" s="281">
        <v>7</v>
      </c>
      <c r="X399" s="282">
        <v>8</v>
      </c>
      <c r="Y399" s="293">
        <f t="shared" si="16"/>
        <v>7</v>
      </c>
      <c r="Z399" s="175" t="s">
        <v>85</v>
      </c>
      <c r="AA399" s="342">
        <f>IFERROR(BASE_DATOS[[#This Row],[NSK Original]]-BASE_DATOS[[#This Row],[NSK]]," ")</f>
        <v>-7</v>
      </c>
      <c r="AB399" s="343">
        <f>'NSK-TRACTO'!$A$2</f>
        <v>6</v>
      </c>
      <c r="AC399" s="343">
        <f>IF(BASE_DATOS[[#This Row],[NSK]]&gt;=BASE_DATOS[[#This Row],[NSK Reen]],BASE_DATOS[[#This Row],[NSK Reen]],BASE_DATOS[[#This Row],[NSK]])</f>
        <v>6</v>
      </c>
      <c r="AD399" s="344" t="str">
        <f>IFERROR(100%-(BASE_DATOS[[#This Row],[NSK Reen]]/BASE_DATOS[[#This Row],[NSK Original]]),"")</f>
        <v/>
      </c>
      <c r="AE399" s="344" t="str">
        <f>IFERROR(100%-BASE_DATOS[[#This Row],[NSK]]/BASE_DATOS[[#This Row],[NSK Original]],"")</f>
        <v/>
      </c>
      <c r="AF399" s="344" t="str">
        <f>IFERROR(BASE_DATOS[[#This Row],[% Max Des.]]-BASE_DATOS[[#This Row],[% Des]],"")</f>
        <v/>
      </c>
      <c r="AG399" s="287"/>
      <c r="AH399" s="273"/>
      <c r="AI399" s="363" t="str">
        <f>IF(OR(BASE_DATOS[[#This Row],[Hr.]]="",BASE_DATOS[[#This Row],[Hr. Actual]]=""),"",BASE_DATOS[[#This Row],[Hr. Actual]]-BASE_DATOS[[#This Row],[Hr.]]+BASE_DATOS[[#This Row],[Horas Acumuladas]])</f>
        <v/>
      </c>
      <c r="AJ399" s="364" t="str">
        <f>IFERROR(BASE_DATOS[[#This Row],[Precio US$]]/BASE_DATOS[[#This Row],[Horas Rodadas]],"")</f>
        <v/>
      </c>
      <c r="AK399" s="365" t="str">
        <f>IFERROR(BASE_DATOS[[#This Row],[Horas Rodadas]]/(BASE_DATOS[[#This Row],[NSK Original]]-BASE_DATOS[[#This Row],[NSK]]),"")</f>
        <v/>
      </c>
      <c r="AL39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399" s="366" t="str">
        <f>IFERROR(BASE_DATOS[[#This Row],[Precio US$]]/BASE_DATOS[[#This Row],[Horas Proy.]],"")</f>
        <v/>
      </c>
      <c r="AN399" s="176" t="str">
        <f>IF(OR(BASE_DATOS[[#This Row],[Km.]]="",BASE_DATOS[[#This Row],[Km. Actual]]=""),"",BASE_DATOS[[#This Row],[Km. Actual]]-BASE_DATOS[[#This Row],[Km.]]+BASE_DATOS[[#This Row],[Kilómetros Acumulados]])</f>
        <v/>
      </c>
      <c r="AO399" s="177" t="str">
        <f>IFERROR(BASE_DATOS[[#This Row],[Precio US$]]/BASE_DATOS[[#This Row],[Kilómetros Rodados]],"")</f>
        <v/>
      </c>
      <c r="AP399" s="176" t="str">
        <f>IFERROR(BASE_DATOS[[#This Row],[Kilómetros Rodados]]/(BASE_DATOS[[#This Row],[NSK Original]]-BASE_DATOS[[#This Row],[NSK]]),"")</f>
        <v/>
      </c>
      <c r="AQ39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399" s="177" t="str">
        <f>IFERROR(BASE_DATOS[[#This Row],[Precio US$]]/BASE_DATOS[[#This Row],[Kilómetros Proy.]],"")</f>
        <v/>
      </c>
      <c r="AS399" s="167" t="s">
        <v>62</v>
      </c>
      <c r="AT399" s="167"/>
      <c r="AU399" s="167"/>
      <c r="AV399" s="167"/>
      <c r="AW399" s="179"/>
      <c r="AX399" s="179"/>
      <c r="AY399" s="179" t="str">
        <f>CONCATENATE(BASE_DATOS[[#This Row],[Código_U]]&amp;BASE_DATOS[[#This Row],[Pos.]]&amp;BASE_DATOS[[#This Row],[Situación Actual]])</f>
        <v>SR-174RTRodando</v>
      </c>
    </row>
    <row r="400" spans="1:51" ht="12" x14ac:dyDescent="0.25">
      <c r="A400" s="224" t="s">
        <v>195</v>
      </c>
      <c r="B400" s="213" t="s">
        <v>196</v>
      </c>
      <c r="C400" s="225" t="s">
        <v>295</v>
      </c>
      <c r="D400" s="226" t="s">
        <v>87</v>
      </c>
      <c r="E400" s="249"/>
      <c r="F400" s="250" t="s">
        <v>97</v>
      </c>
      <c r="G400" s="250" t="s">
        <v>269</v>
      </c>
      <c r="H400" s="251" t="str">
        <f>IF(BASE_DATOS[[#This Row],[N-R]]="N",BASE_DATOS[[#This Row],[Diseño]],"Reencauche")</f>
        <v>AGC28</v>
      </c>
      <c r="I400" s="250" t="s">
        <v>270</v>
      </c>
      <c r="J400" s="235" t="s">
        <v>72</v>
      </c>
      <c r="K400" s="252">
        <v>16.5</v>
      </c>
      <c r="L400" s="250">
        <v>110</v>
      </c>
      <c r="M400" s="253"/>
      <c r="N400" s="254"/>
      <c r="O400" s="274"/>
      <c r="P400" s="275"/>
      <c r="Q400" s="276"/>
      <c r="R400" s="305" t="s">
        <v>98</v>
      </c>
      <c r="S400" s="306">
        <v>45385</v>
      </c>
      <c r="T400" s="314"/>
      <c r="U400" s="276"/>
      <c r="V400" s="224">
        <v>10</v>
      </c>
      <c r="W400" s="325">
        <v>10</v>
      </c>
      <c r="X400" s="326">
        <v>10</v>
      </c>
      <c r="Y400" s="292">
        <f t="shared" si="16"/>
        <v>10</v>
      </c>
      <c r="Z400" s="194" t="s">
        <v>85</v>
      </c>
      <c r="AA400" s="339">
        <f>IFERROR(BASE_DATOS[[#This Row],[NSK Original]]-BASE_DATOS[[#This Row],[NSK]]," ")</f>
        <v>6.5</v>
      </c>
      <c r="AB400" s="340">
        <f>'NSK-TRACTO'!$A$2</f>
        <v>6</v>
      </c>
      <c r="AC400" s="340">
        <f>IF(BASE_DATOS[[#This Row],[NSK]]&gt;=BASE_DATOS[[#This Row],[NSK Reen]],BASE_DATOS[[#This Row],[NSK Reen]],BASE_DATOS[[#This Row],[NSK]])</f>
        <v>6</v>
      </c>
      <c r="AD400" s="341">
        <f>IFERROR(100%-(BASE_DATOS[[#This Row],[NSK Reen]]/BASE_DATOS[[#This Row],[NSK Original]]),"")</f>
        <v>0.63636363636363635</v>
      </c>
      <c r="AE400" s="341">
        <f>IFERROR(100%-BASE_DATOS[[#This Row],[NSK]]/BASE_DATOS[[#This Row],[NSK Original]],"")</f>
        <v>0.39393939393939392</v>
      </c>
      <c r="AF400" s="341">
        <f>IFERROR(BASE_DATOS[[#This Row],[% Max Des.]]-BASE_DATOS[[#This Row],[% Des]],"")</f>
        <v>0.24242424242424243</v>
      </c>
      <c r="AG400" s="284"/>
      <c r="AH400" s="335"/>
      <c r="AI400" s="359" t="str">
        <f>IF(OR(BASE_DATOS[[#This Row],[Hr.]]="",BASE_DATOS[[#This Row],[Hr. Actual]]=""),"",BASE_DATOS[[#This Row],[Hr. Actual]]-BASE_DATOS[[#This Row],[Hr.]]+BASE_DATOS[[#This Row],[Horas Acumuladas]])</f>
        <v/>
      </c>
      <c r="AJ400" s="360" t="str">
        <f>IFERROR(BASE_DATOS[[#This Row],[Precio US$]]/BASE_DATOS[[#This Row],[Horas Rodadas]],"")</f>
        <v/>
      </c>
      <c r="AK400" s="361" t="str">
        <f>IFERROR(BASE_DATOS[[#This Row],[Horas Rodadas]]/(BASE_DATOS[[#This Row],[NSK Original]]-BASE_DATOS[[#This Row],[NSK]]),"")</f>
        <v/>
      </c>
      <c r="AL400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00" s="362" t="str">
        <f>IFERROR(BASE_DATOS[[#This Row],[Precio US$]]/BASE_DATOS[[#This Row],[Horas Proy.]],"")</f>
        <v/>
      </c>
      <c r="AN400" s="195" t="str">
        <f>IF(OR(BASE_DATOS[[#This Row],[Km.]]="",BASE_DATOS[[#This Row],[Km. Actual]]=""),"",BASE_DATOS[[#This Row],[Km. Actual]]-BASE_DATOS[[#This Row],[Km.]]+BASE_DATOS[[#This Row],[Kilómetros Acumulados]])</f>
        <v/>
      </c>
      <c r="AO400" s="196" t="str">
        <f>IFERROR(BASE_DATOS[[#This Row],[Precio US$]]/BASE_DATOS[[#This Row],[Kilómetros Rodados]],"")</f>
        <v/>
      </c>
      <c r="AP400" s="195" t="str">
        <f>IFERROR(BASE_DATOS[[#This Row],[Kilómetros Rodados]]/(BASE_DATOS[[#This Row],[NSK Original]]-BASE_DATOS[[#This Row],[NSK]]),"")</f>
        <v/>
      </c>
      <c r="AQ400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00" s="196" t="str">
        <f>IFERROR(BASE_DATOS[[#This Row],[Precio US$]]/BASE_DATOS[[#This Row],[Kilómetros Proy.]],"")</f>
        <v/>
      </c>
      <c r="AS400" s="191" t="s">
        <v>62</v>
      </c>
      <c r="AT400" s="191"/>
      <c r="AU400" s="191"/>
      <c r="AV400" s="191"/>
      <c r="AW400" s="198"/>
      <c r="AX400" s="198"/>
      <c r="AY400" s="198" t="str">
        <f>CONCATENATE(BASE_DATOS[[#This Row],[Código_U]]&amp;BASE_DATOS[[#This Row],[Pos.]]&amp;BASE_DATOS[[#This Row],[Situación Actual]])</f>
        <v>SR-1761Rodando</v>
      </c>
    </row>
    <row r="401" spans="1:51" ht="12" x14ac:dyDescent="0.25">
      <c r="A401" s="227" t="s">
        <v>195</v>
      </c>
      <c r="B401" s="217" t="s">
        <v>196</v>
      </c>
      <c r="C401" s="228" t="s">
        <v>295</v>
      </c>
      <c r="D401" s="229" t="s">
        <v>87</v>
      </c>
      <c r="E401" s="255"/>
      <c r="F401" s="256" t="s">
        <v>97</v>
      </c>
      <c r="G401" s="256" t="s">
        <v>269</v>
      </c>
      <c r="H401" s="257" t="str">
        <f>IF(BASE_DATOS[[#This Row],[N-R]]="N",BASE_DATOS[[#This Row],[Diseño]],"Reencauche")</f>
        <v>AGC28</v>
      </c>
      <c r="I401" s="256" t="s">
        <v>270</v>
      </c>
      <c r="J401" s="243" t="s">
        <v>72</v>
      </c>
      <c r="K401" s="258">
        <v>16.5</v>
      </c>
      <c r="L401" s="256">
        <v>110</v>
      </c>
      <c r="M401" s="259"/>
      <c r="N401" s="260"/>
      <c r="O401" s="277"/>
      <c r="P401" s="278"/>
      <c r="Q401" s="279"/>
      <c r="R401" s="309" t="s">
        <v>99</v>
      </c>
      <c r="S401" s="310">
        <v>45385</v>
      </c>
      <c r="T401" s="313"/>
      <c r="U401" s="279"/>
      <c r="V401" s="227">
        <v>9</v>
      </c>
      <c r="W401" s="281">
        <v>9</v>
      </c>
      <c r="X401" s="282">
        <v>9</v>
      </c>
      <c r="Y401" s="293">
        <f t="shared" si="16"/>
        <v>9</v>
      </c>
      <c r="Z401" s="175" t="s">
        <v>85</v>
      </c>
      <c r="AA401" s="342">
        <f>IFERROR(BASE_DATOS[[#This Row],[NSK Original]]-BASE_DATOS[[#This Row],[NSK]]," ")</f>
        <v>7.5</v>
      </c>
      <c r="AB401" s="343">
        <f>'NSK-TRACTO'!$A$2</f>
        <v>6</v>
      </c>
      <c r="AC401" s="343">
        <f>IF(BASE_DATOS[[#This Row],[NSK]]&gt;=BASE_DATOS[[#This Row],[NSK Reen]],BASE_DATOS[[#This Row],[NSK Reen]],BASE_DATOS[[#This Row],[NSK]])</f>
        <v>6</v>
      </c>
      <c r="AD401" s="344">
        <f>IFERROR(100%-(BASE_DATOS[[#This Row],[NSK Reen]]/BASE_DATOS[[#This Row],[NSK Original]]),"")</f>
        <v>0.63636363636363635</v>
      </c>
      <c r="AE401" s="344">
        <f>IFERROR(100%-BASE_DATOS[[#This Row],[NSK]]/BASE_DATOS[[#This Row],[NSK Original]],"")</f>
        <v>0.45454545454545459</v>
      </c>
      <c r="AF401" s="344">
        <f>IFERROR(BASE_DATOS[[#This Row],[% Max Des.]]-BASE_DATOS[[#This Row],[% Des]],"")</f>
        <v>0.18181818181818177</v>
      </c>
      <c r="AG401" s="287"/>
      <c r="AH401" s="273"/>
      <c r="AI401" s="363" t="str">
        <f>IF(OR(BASE_DATOS[[#This Row],[Hr.]]="",BASE_DATOS[[#This Row],[Hr. Actual]]=""),"",BASE_DATOS[[#This Row],[Hr. Actual]]-BASE_DATOS[[#This Row],[Hr.]]+BASE_DATOS[[#This Row],[Horas Acumuladas]])</f>
        <v/>
      </c>
      <c r="AJ401" s="364" t="str">
        <f>IFERROR(BASE_DATOS[[#This Row],[Precio US$]]/BASE_DATOS[[#This Row],[Horas Rodadas]],"")</f>
        <v/>
      </c>
      <c r="AK401" s="365" t="str">
        <f>IFERROR(BASE_DATOS[[#This Row],[Horas Rodadas]]/(BASE_DATOS[[#This Row],[NSK Original]]-BASE_DATOS[[#This Row],[NSK]]),"")</f>
        <v/>
      </c>
      <c r="AL40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01" s="366" t="str">
        <f>IFERROR(BASE_DATOS[[#This Row],[Precio US$]]/BASE_DATOS[[#This Row],[Horas Proy.]],"")</f>
        <v/>
      </c>
      <c r="AN401" s="176" t="str">
        <f>IF(OR(BASE_DATOS[[#This Row],[Km.]]="",BASE_DATOS[[#This Row],[Km. Actual]]=""),"",BASE_DATOS[[#This Row],[Km. Actual]]-BASE_DATOS[[#This Row],[Km.]]+BASE_DATOS[[#This Row],[Kilómetros Acumulados]])</f>
        <v/>
      </c>
      <c r="AO401" s="177" t="str">
        <f>IFERROR(BASE_DATOS[[#This Row],[Precio US$]]/BASE_DATOS[[#This Row],[Kilómetros Rodados]],"")</f>
        <v/>
      </c>
      <c r="AP401" s="176" t="str">
        <f>IFERROR(BASE_DATOS[[#This Row],[Kilómetros Rodados]]/(BASE_DATOS[[#This Row],[NSK Original]]-BASE_DATOS[[#This Row],[NSK]]),"")</f>
        <v/>
      </c>
      <c r="AQ40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01" s="177" t="str">
        <f>IFERROR(BASE_DATOS[[#This Row],[Precio US$]]/BASE_DATOS[[#This Row],[Kilómetros Proy.]],"")</f>
        <v/>
      </c>
      <c r="AS401" s="167" t="s">
        <v>62</v>
      </c>
      <c r="AT401" s="167"/>
      <c r="AU401" s="167"/>
      <c r="AV401" s="167"/>
      <c r="AW401" s="179"/>
      <c r="AX401" s="179"/>
      <c r="AY401" s="179" t="str">
        <f>CONCATENATE(BASE_DATOS[[#This Row],[Código_U]]&amp;BASE_DATOS[[#This Row],[Pos.]]&amp;BASE_DATOS[[#This Row],[Situación Actual]])</f>
        <v>SR-1762Rodando</v>
      </c>
    </row>
    <row r="402" spans="1:51" ht="12" x14ac:dyDescent="0.25">
      <c r="A402" s="227" t="s">
        <v>195</v>
      </c>
      <c r="B402" s="217" t="s">
        <v>196</v>
      </c>
      <c r="C402" s="228" t="s">
        <v>295</v>
      </c>
      <c r="D402" s="229" t="s">
        <v>87</v>
      </c>
      <c r="E402" s="255"/>
      <c r="F402" s="256" t="s">
        <v>97</v>
      </c>
      <c r="G402" s="256" t="s">
        <v>269</v>
      </c>
      <c r="H402" s="257" t="str">
        <f>IF(BASE_DATOS[[#This Row],[N-R]]="N",BASE_DATOS[[#This Row],[Diseño]],"Reencauche")</f>
        <v>AGC28</v>
      </c>
      <c r="I402" s="256" t="s">
        <v>270</v>
      </c>
      <c r="J402" s="243" t="s">
        <v>72</v>
      </c>
      <c r="K402" s="258">
        <v>16.5</v>
      </c>
      <c r="L402" s="256">
        <v>110</v>
      </c>
      <c r="M402" s="259"/>
      <c r="N402" s="260"/>
      <c r="O402" s="277"/>
      <c r="P402" s="278"/>
      <c r="Q402" s="279"/>
      <c r="R402" s="309" t="s">
        <v>100</v>
      </c>
      <c r="S402" s="310">
        <v>45385</v>
      </c>
      <c r="T402" s="313"/>
      <c r="U402" s="279"/>
      <c r="V402" s="227">
        <v>12</v>
      </c>
      <c r="W402" s="281">
        <v>12</v>
      </c>
      <c r="X402" s="282">
        <v>12</v>
      </c>
      <c r="Y402" s="293">
        <f t="shared" si="16"/>
        <v>12</v>
      </c>
      <c r="Z402" s="175" t="s">
        <v>85</v>
      </c>
      <c r="AA402" s="342">
        <f>IFERROR(BASE_DATOS[[#This Row],[NSK Original]]-BASE_DATOS[[#This Row],[NSK]]," ")</f>
        <v>4.5</v>
      </c>
      <c r="AB402" s="343">
        <f>'NSK-TRACTO'!$A$2</f>
        <v>6</v>
      </c>
      <c r="AC402" s="343">
        <f>IF(BASE_DATOS[[#This Row],[NSK]]&gt;=BASE_DATOS[[#This Row],[NSK Reen]],BASE_DATOS[[#This Row],[NSK Reen]],BASE_DATOS[[#This Row],[NSK]])</f>
        <v>6</v>
      </c>
      <c r="AD402" s="344">
        <f>IFERROR(100%-(BASE_DATOS[[#This Row],[NSK Reen]]/BASE_DATOS[[#This Row],[NSK Original]]),"")</f>
        <v>0.63636363636363635</v>
      </c>
      <c r="AE402" s="344">
        <f>IFERROR(100%-BASE_DATOS[[#This Row],[NSK]]/BASE_DATOS[[#This Row],[NSK Original]],"")</f>
        <v>0.27272727272727271</v>
      </c>
      <c r="AF402" s="344">
        <f>IFERROR(BASE_DATOS[[#This Row],[% Max Des.]]-BASE_DATOS[[#This Row],[% Des]],"")</f>
        <v>0.36363636363636365</v>
      </c>
      <c r="AG402" s="287"/>
      <c r="AH402" s="273"/>
      <c r="AI402" s="363" t="str">
        <f>IF(OR(BASE_DATOS[[#This Row],[Hr.]]="",BASE_DATOS[[#This Row],[Hr. Actual]]=""),"",BASE_DATOS[[#This Row],[Hr. Actual]]-BASE_DATOS[[#This Row],[Hr.]]+BASE_DATOS[[#This Row],[Horas Acumuladas]])</f>
        <v/>
      </c>
      <c r="AJ402" s="364" t="str">
        <f>IFERROR(BASE_DATOS[[#This Row],[Precio US$]]/BASE_DATOS[[#This Row],[Horas Rodadas]],"")</f>
        <v/>
      </c>
      <c r="AK402" s="365" t="str">
        <f>IFERROR(BASE_DATOS[[#This Row],[Horas Rodadas]]/(BASE_DATOS[[#This Row],[NSK Original]]-BASE_DATOS[[#This Row],[NSK]]),"")</f>
        <v/>
      </c>
      <c r="AL40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02" s="366" t="str">
        <f>IFERROR(BASE_DATOS[[#This Row],[Precio US$]]/BASE_DATOS[[#This Row],[Horas Proy.]],"")</f>
        <v/>
      </c>
      <c r="AN402" s="176" t="str">
        <f>IF(OR(BASE_DATOS[[#This Row],[Km.]]="",BASE_DATOS[[#This Row],[Km. Actual]]=""),"",BASE_DATOS[[#This Row],[Km. Actual]]-BASE_DATOS[[#This Row],[Km.]]+BASE_DATOS[[#This Row],[Kilómetros Acumulados]])</f>
        <v/>
      </c>
      <c r="AO402" s="177" t="str">
        <f>IFERROR(BASE_DATOS[[#This Row],[Precio US$]]/BASE_DATOS[[#This Row],[Kilómetros Rodados]],"")</f>
        <v/>
      </c>
      <c r="AP402" s="176" t="str">
        <f>IFERROR(BASE_DATOS[[#This Row],[Kilómetros Rodados]]/(BASE_DATOS[[#This Row],[NSK Original]]-BASE_DATOS[[#This Row],[NSK]]),"")</f>
        <v/>
      </c>
      <c r="AQ40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02" s="177" t="str">
        <f>IFERROR(BASE_DATOS[[#This Row],[Precio US$]]/BASE_DATOS[[#This Row],[Kilómetros Proy.]],"")</f>
        <v/>
      </c>
      <c r="AS402" s="167" t="s">
        <v>62</v>
      </c>
      <c r="AT402" s="167"/>
      <c r="AU402" s="167"/>
      <c r="AV402" s="167"/>
      <c r="AW402" s="179"/>
      <c r="AX402" s="179"/>
      <c r="AY402" s="179" t="str">
        <f>CONCATENATE(BASE_DATOS[[#This Row],[Código_U]]&amp;BASE_DATOS[[#This Row],[Pos.]]&amp;BASE_DATOS[[#This Row],[Situación Actual]])</f>
        <v>SR-1763Rodando</v>
      </c>
    </row>
    <row r="403" spans="1:51" ht="12" x14ac:dyDescent="0.25">
      <c r="A403" s="227" t="s">
        <v>195</v>
      </c>
      <c r="B403" s="217" t="s">
        <v>196</v>
      </c>
      <c r="C403" s="228" t="s">
        <v>295</v>
      </c>
      <c r="D403" s="229" t="s">
        <v>87</v>
      </c>
      <c r="E403" s="255"/>
      <c r="F403" s="256" t="s">
        <v>97</v>
      </c>
      <c r="G403" s="256" t="s">
        <v>269</v>
      </c>
      <c r="H403" s="257" t="str">
        <f>IF(BASE_DATOS[[#This Row],[N-R]]="N",BASE_DATOS[[#This Row],[Diseño]],"Reencauche")</f>
        <v>AGC28</v>
      </c>
      <c r="I403" s="256" t="s">
        <v>270</v>
      </c>
      <c r="J403" s="243" t="s">
        <v>72</v>
      </c>
      <c r="K403" s="258">
        <v>16.5</v>
      </c>
      <c r="L403" s="256">
        <v>110</v>
      </c>
      <c r="M403" s="259"/>
      <c r="N403" s="260"/>
      <c r="O403" s="277"/>
      <c r="P403" s="278"/>
      <c r="Q403" s="279"/>
      <c r="R403" s="309" t="s">
        <v>101</v>
      </c>
      <c r="S403" s="310">
        <v>45385</v>
      </c>
      <c r="T403" s="313"/>
      <c r="U403" s="279"/>
      <c r="V403" s="227">
        <v>14</v>
      </c>
      <c r="W403" s="281">
        <v>14</v>
      </c>
      <c r="X403" s="282">
        <v>14</v>
      </c>
      <c r="Y403" s="293">
        <f t="shared" si="16"/>
        <v>14</v>
      </c>
      <c r="Z403" s="175" t="s">
        <v>85</v>
      </c>
      <c r="AA403" s="342">
        <f>IFERROR(BASE_DATOS[[#This Row],[NSK Original]]-BASE_DATOS[[#This Row],[NSK]]," ")</f>
        <v>2.5</v>
      </c>
      <c r="AB403" s="343">
        <f>'NSK-TRACTO'!$A$2</f>
        <v>6</v>
      </c>
      <c r="AC403" s="343">
        <f>IF(BASE_DATOS[[#This Row],[NSK]]&gt;=BASE_DATOS[[#This Row],[NSK Reen]],BASE_DATOS[[#This Row],[NSK Reen]],BASE_DATOS[[#This Row],[NSK]])</f>
        <v>6</v>
      </c>
      <c r="AD403" s="344">
        <f>IFERROR(100%-(BASE_DATOS[[#This Row],[NSK Reen]]/BASE_DATOS[[#This Row],[NSK Original]]),"")</f>
        <v>0.63636363636363635</v>
      </c>
      <c r="AE403" s="344">
        <f>IFERROR(100%-BASE_DATOS[[#This Row],[NSK]]/BASE_DATOS[[#This Row],[NSK Original]],"")</f>
        <v>0.15151515151515149</v>
      </c>
      <c r="AF403" s="344">
        <f>IFERROR(BASE_DATOS[[#This Row],[% Max Des.]]-BASE_DATOS[[#This Row],[% Des]],"")</f>
        <v>0.48484848484848486</v>
      </c>
      <c r="AG403" s="287"/>
      <c r="AH403" s="273"/>
      <c r="AI403" s="363" t="str">
        <f>IF(OR(BASE_DATOS[[#This Row],[Hr.]]="",BASE_DATOS[[#This Row],[Hr. Actual]]=""),"",BASE_DATOS[[#This Row],[Hr. Actual]]-BASE_DATOS[[#This Row],[Hr.]]+BASE_DATOS[[#This Row],[Horas Acumuladas]])</f>
        <v/>
      </c>
      <c r="AJ403" s="364" t="str">
        <f>IFERROR(BASE_DATOS[[#This Row],[Precio US$]]/BASE_DATOS[[#This Row],[Horas Rodadas]],"")</f>
        <v/>
      </c>
      <c r="AK403" s="365" t="str">
        <f>IFERROR(BASE_DATOS[[#This Row],[Horas Rodadas]]/(BASE_DATOS[[#This Row],[NSK Original]]-BASE_DATOS[[#This Row],[NSK]]),"")</f>
        <v/>
      </c>
      <c r="AL40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03" s="366" t="str">
        <f>IFERROR(BASE_DATOS[[#This Row],[Precio US$]]/BASE_DATOS[[#This Row],[Horas Proy.]],"")</f>
        <v/>
      </c>
      <c r="AN403" s="176" t="str">
        <f>IF(OR(BASE_DATOS[[#This Row],[Km.]]="",BASE_DATOS[[#This Row],[Km. Actual]]=""),"",BASE_DATOS[[#This Row],[Km. Actual]]-BASE_DATOS[[#This Row],[Km.]]+BASE_DATOS[[#This Row],[Kilómetros Acumulados]])</f>
        <v/>
      </c>
      <c r="AO403" s="177" t="str">
        <f>IFERROR(BASE_DATOS[[#This Row],[Precio US$]]/BASE_DATOS[[#This Row],[Kilómetros Rodados]],"")</f>
        <v/>
      </c>
      <c r="AP403" s="176" t="str">
        <f>IFERROR(BASE_DATOS[[#This Row],[Kilómetros Rodados]]/(BASE_DATOS[[#This Row],[NSK Original]]-BASE_DATOS[[#This Row],[NSK]]),"")</f>
        <v/>
      </c>
      <c r="AQ40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03" s="177" t="str">
        <f>IFERROR(BASE_DATOS[[#This Row],[Precio US$]]/BASE_DATOS[[#This Row],[Kilómetros Proy.]],"")</f>
        <v/>
      </c>
      <c r="AS403" s="167" t="s">
        <v>62</v>
      </c>
      <c r="AT403" s="167"/>
      <c r="AU403" s="167"/>
      <c r="AV403" s="167"/>
      <c r="AW403" s="179"/>
      <c r="AX403" s="179"/>
      <c r="AY403" s="179" t="str">
        <f>CONCATENATE(BASE_DATOS[[#This Row],[Código_U]]&amp;BASE_DATOS[[#This Row],[Pos.]]&amp;BASE_DATOS[[#This Row],[Situación Actual]])</f>
        <v>SR-1764Rodando</v>
      </c>
    </row>
    <row r="404" spans="1:51" ht="12" x14ac:dyDescent="0.25">
      <c r="A404" s="227" t="s">
        <v>195</v>
      </c>
      <c r="B404" s="217" t="s">
        <v>196</v>
      </c>
      <c r="C404" s="228" t="s">
        <v>295</v>
      </c>
      <c r="D404" s="229" t="s">
        <v>87</v>
      </c>
      <c r="E404" s="255"/>
      <c r="F404" s="256" t="s">
        <v>97</v>
      </c>
      <c r="G404" s="256" t="s">
        <v>269</v>
      </c>
      <c r="H404" s="257" t="str">
        <f>IF(BASE_DATOS[[#This Row],[N-R]]="N",BASE_DATOS[[#This Row],[Diseño]],"Reencauche")</f>
        <v>AGC28</v>
      </c>
      <c r="I404" s="256" t="s">
        <v>270</v>
      </c>
      <c r="J404" s="243" t="s">
        <v>72</v>
      </c>
      <c r="K404" s="258">
        <v>16.5</v>
      </c>
      <c r="L404" s="256">
        <v>110</v>
      </c>
      <c r="M404" s="259"/>
      <c r="N404" s="260"/>
      <c r="O404" s="277"/>
      <c r="P404" s="278"/>
      <c r="Q404" s="279"/>
      <c r="R404" s="309" t="s">
        <v>102</v>
      </c>
      <c r="S404" s="310">
        <v>45385</v>
      </c>
      <c r="T404" s="313"/>
      <c r="U404" s="279"/>
      <c r="V404" s="227">
        <v>13</v>
      </c>
      <c r="W404" s="281">
        <v>13</v>
      </c>
      <c r="X404" s="282">
        <v>13</v>
      </c>
      <c r="Y404" s="293">
        <f t="shared" si="16"/>
        <v>13</v>
      </c>
      <c r="Z404" s="175" t="s">
        <v>85</v>
      </c>
      <c r="AA404" s="342">
        <f>IFERROR(BASE_DATOS[[#This Row],[NSK Original]]-BASE_DATOS[[#This Row],[NSK]]," ")</f>
        <v>3.5</v>
      </c>
      <c r="AB404" s="343">
        <f>'NSK-TRACTO'!$A$2</f>
        <v>6</v>
      </c>
      <c r="AC404" s="343">
        <f>IF(BASE_DATOS[[#This Row],[NSK]]&gt;=BASE_DATOS[[#This Row],[NSK Reen]],BASE_DATOS[[#This Row],[NSK Reen]],BASE_DATOS[[#This Row],[NSK]])</f>
        <v>6</v>
      </c>
      <c r="AD404" s="344">
        <f>IFERROR(100%-(BASE_DATOS[[#This Row],[NSK Reen]]/BASE_DATOS[[#This Row],[NSK Original]]),"")</f>
        <v>0.63636363636363635</v>
      </c>
      <c r="AE404" s="344">
        <f>IFERROR(100%-BASE_DATOS[[#This Row],[NSK]]/BASE_DATOS[[#This Row],[NSK Original]],"")</f>
        <v>0.21212121212121215</v>
      </c>
      <c r="AF404" s="344">
        <f>IFERROR(BASE_DATOS[[#This Row],[% Max Des.]]-BASE_DATOS[[#This Row],[% Des]],"")</f>
        <v>0.4242424242424242</v>
      </c>
      <c r="AG404" s="287"/>
      <c r="AH404" s="273"/>
      <c r="AI404" s="363" t="str">
        <f>IF(OR(BASE_DATOS[[#This Row],[Hr.]]="",BASE_DATOS[[#This Row],[Hr. Actual]]=""),"",BASE_DATOS[[#This Row],[Hr. Actual]]-BASE_DATOS[[#This Row],[Hr.]]+BASE_DATOS[[#This Row],[Horas Acumuladas]])</f>
        <v/>
      </c>
      <c r="AJ404" s="364" t="str">
        <f>IFERROR(BASE_DATOS[[#This Row],[Precio US$]]/BASE_DATOS[[#This Row],[Horas Rodadas]],"")</f>
        <v/>
      </c>
      <c r="AK404" s="365" t="str">
        <f>IFERROR(BASE_DATOS[[#This Row],[Horas Rodadas]]/(BASE_DATOS[[#This Row],[NSK Original]]-BASE_DATOS[[#This Row],[NSK]]),"")</f>
        <v/>
      </c>
      <c r="AL40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04" s="366" t="str">
        <f>IFERROR(BASE_DATOS[[#This Row],[Precio US$]]/BASE_DATOS[[#This Row],[Horas Proy.]],"")</f>
        <v/>
      </c>
      <c r="AN404" s="176" t="str">
        <f>IF(OR(BASE_DATOS[[#This Row],[Km.]]="",BASE_DATOS[[#This Row],[Km. Actual]]=""),"",BASE_DATOS[[#This Row],[Km. Actual]]-BASE_DATOS[[#This Row],[Km.]]+BASE_DATOS[[#This Row],[Kilómetros Acumulados]])</f>
        <v/>
      </c>
      <c r="AO404" s="177" t="str">
        <f>IFERROR(BASE_DATOS[[#This Row],[Precio US$]]/BASE_DATOS[[#This Row],[Kilómetros Rodados]],"")</f>
        <v/>
      </c>
      <c r="AP404" s="176" t="str">
        <f>IFERROR(BASE_DATOS[[#This Row],[Kilómetros Rodados]]/(BASE_DATOS[[#This Row],[NSK Original]]-BASE_DATOS[[#This Row],[NSK]]),"")</f>
        <v/>
      </c>
      <c r="AQ40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04" s="177" t="str">
        <f>IFERROR(BASE_DATOS[[#This Row],[Precio US$]]/BASE_DATOS[[#This Row],[Kilómetros Proy.]],"")</f>
        <v/>
      </c>
      <c r="AS404" s="167" t="s">
        <v>62</v>
      </c>
      <c r="AT404" s="167"/>
      <c r="AU404" s="167"/>
      <c r="AV404" s="167"/>
      <c r="AW404" s="179"/>
      <c r="AX404" s="179"/>
      <c r="AY404" s="179" t="str">
        <f>CONCATENATE(BASE_DATOS[[#This Row],[Código_U]]&amp;BASE_DATOS[[#This Row],[Pos.]]&amp;BASE_DATOS[[#This Row],[Situación Actual]])</f>
        <v>SR-1765Rodando</v>
      </c>
    </row>
    <row r="405" spans="1:51" ht="12" x14ac:dyDescent="0.25">
      <c r="A405" s="227" t="s">
        <v>195</v>
      </c>
      <c r="B405" s="217" t="s">
        <v>196</v>
      </c>
      <c r="C405" s="228" t="s">
        <v>295</v>
      </c>
      <c r="D405" s="229" t="s">
        <v>87</v>
      </c>
      <c r="E405" s="255"/>
      <c r="F405" s="256" t="s">
        <v>97</v>
      </c>
      <c r="G405" s="256" t="s">
        <v>269</v>
      </c>
      <c r="H405" s="257" t="str">
        <f>IF(BASE_DATOS[[#This Row],[N-R]]="N",BASE_DATOS[[#This Row],[Diseño]],"Reencauche")</f>
        <v>AGC28</v>
      </c>
      <c r="I405" s="256" t="s">
        <v>270</v>
      </c>
      <c r="J405" s="243" t="s">
        <v>72</v>
      </c>
      <c r="K405" s="258">
        <v>16.5</v>
      </c>
      <c r="L405" s="256">
        <v>110</v>
      </c>
      <c r="M405" s="259"/>
      <c r="N405" s="260"/>
      <c r="O405" s="277"/>
      <c r="P405" s="278"/>
      <c r="Q405" s="279"/>
      <c r="R405" s="309" t="s">
        <v>103</v>
      </c>
      <c r="S405" s="310">
        <v>45385</v>
      </c>
      <c r="T405" s="313"/>
      <c r="U405" s="279"/>
      <c r="V405" s="227">
        <v>14</v>
      </c>
      <c r="W405" s="281">
        <v>14</v>
      </c>
      <c r="X405" s="282">
        <v>14</v>
      </c>
      <c r="Y405" s="293">
        <f t="shared" si="16"/>
        <v>14</v>
      </c>
      <c r="Z405" s="175" t="s">
        <v>85</v>
      </c>
      <c r="AA405" s="342">
        <f>IFERROR(BASE_DATOS[[#This Row],[NSK Original]]-BASE_DATOS[[#This Row],[NSK]]," ")</f>
        <v>2.5</v>
      </c>
      <c r="AB405" s="343">
        <f>'NSK-TRACTO'!$A$2</f>
        <v>6</v>
      </c>
      <c r="AC405" s="343">
        <f>IF(BASE_DATOS[[#This Row],[NSK]]&gt;=BASE_DATOS[[#This Row],[NSK Reen]],BASE_DATOS[[#This Row],[NSK Reen]],BASE_DATOS[[#This Row],[NSK]])</f>
        <v>6</v>
      </c>
      <c r="AD405" s="344">
        <f>IFERROR(100%-(BASE_DATOS[[#This Row],[NSK Reen]]/BASE_DATOS[[#This Row],[NSK Original]]),"")</f>
        <v>0.63636363636363635</v>
      </c>
      <c r="AE405" s="344">
        <f>IFERROR(100%-BASE_DATOS[[#This Row],[NSK]]/BASE_DATOS[[#This Row],[NSK Original]],"")</f>
        <v>0.15151515151515149</v>
      </c>
      <c r="AF405" s="344">
        <f>IFERROR(BASE_DATOS[[#This Row],[% Max Des.]]-BASE_DATOS[[#This Row],[% Des]],"")</f>
        <v>0.48484848484848486</v>
      </c>
      <c r="AG405" s="287"/>
      <c r="AH405" s="273"/>
      <c r="AI405" s="363" t="str">
        <f>IF(OR(BASE_DATOS[[#This Row],[Hr.]]="",BASE_DATOS[[#This Row],[Hr. Actual]]=""),"",BASE_DATOS[[#This Row],[Hr. Actual]]-BASE_DATOS[[#This Row],[Hr.]]+BASE_DATOS[[#This Row],[Horas Acumuladas]])</f>
        <v/>
      </c>
      <c r="AJ405" s="364" t="str">
        <f>IFERROR(BASE_DATOS[[#This Row],[Precio US$]]/BASE_DATOS[[#This Row],[Horas Rodadas]],"")</f>
        <v/>
      </c>
      <c r="AK405" s="365" t="str">
        <f>IFERROR(BASE_DATOS[[#This Row],[Horas Rodadas]]/(BASE_DATOS[[#This Row],[NSK Original]]-BASE_DATOS[[#This Row],[NSK]]),"")</f>
        <v/>
      </c>
      <c r="AL40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05" s="366" t="str">
        <f>IFERROR(BASE_DATOS[[#This Row],[Precio US$]]/BASE_DATOS[[#This Row],[Horas Proy.]],"")</f>
        <v/>
      </c>
      <c r="AN405" s="176" t="str">
        <f>IF(OR(BASE_DATOS[[#This Row],[Km.]]="",BASE_DATOS[[#This Row],[Km. Actual]]=""),"",BASE_DATOS[[#This Row],[Km. Actual]]-BASE_DATOS[[#This Row],[Km.]]+BASE_DATOS[[#This Row],[Kilómetros Acumulados]])</f>
        <v/>
      </c>
      <c r="AO405" s="177" t="str">
        <f>IFERROR(BASE_DATOS[[#This Row],[Precio US$]]/BASE_DATOS[[#This Row],[Kilómetros Rodados]],"")</f>
        <v/>
      </c>
      <c r="AP405" s="176" t="str">
        <f>IFERROR(BASE_DATOS[[#This Row],[Kilómetros Rodados]]/(BASE_DATOS[[#This Row],[NSK Original]]-BASE_DATOS[[#This Row],[NSK]]),"")</f>
        <v/>
      </c>
      <c r="AQ40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05" s="177" t="str">
        <f>IFERROR(BASE_DATOS[[#This Row],[Precio US$]]/BASE_DATOS[[#This Row],[Kilómetros Proy.]],"")</f>
        <v/>
      </c>
      <c r="AS405" s="167" t="s">
        <v>62</v>
      </c>
      <c r="AT405" s="167"/>
      <c r="AU405" s="167"/>
      <c r="AV405" s="167"/>
      <c r="AW405" s="179"/>
      <c r="AX405" s="179"/>
      <c r="AY405" s="179" t="str">
        <f>CONCATENATE(BASE_DATOS[[#This Row],[Código_U]]&amp;BASE_DATOS[[#This Row],[Pos.]]&amp;BASE_DATOS[[#This Row],[Situación Actual]])</f>
        <v>SR-1766Rodando</v>
      </c>
    </row>
    <row r="406" spans="1:51" ht="12" x14ac:dyDescent="0.25">
      <c r="A406" s="227" t="s">
        <v>195</v>
      </c>
      <c r="B406" s="217" t="s">
        <v>196</v>
      </c>
      <c r="C406" s="228" t="s">
        <v>295</v>
      </c>
      <c r="D406" s="229" t="s">
        <v>384</v>
      </c>
      <c r="E406" s="255"/>
      <c r="F406" s="256" t="s">
        <v>97</v>
      </c>
      <c r="G406" s="256" t="s">
        <v>269</v>
      </c>
      <c r="H406" s="257" t="str">
        <f>IF(BASE_DATOS[[#This Row],[N-R]]="N",BASE_DATOS[[#This Row],[Diseño]],"Reencauche")</f>
        <v>AGC28</v>
      </c>
      <c r="I406" s="256" t="s">
        <v>270</v>
      </c>
      <c r="J406" s="243" t="s">
        <v>72</v>
      </c>
      <c r="K406" s="258">
        <v>16.5</v>
      </c>
      <c r="L406" s="256">
        <v>110</v>
      </c>
      <c r="M406" s="259"/>
      <c r="N406" s="260"/>
      <c r="O406" s="277"/>
      <c r="P406" s="278"/>
      <c r="Q406" s="279"/>
      <c r="R406" s="304" t="s">
        <v>509</v>
      </c>
      <c r="S406" s="310">
        <v>45385</v>
      </c>
      <c r="T406" s="313"/>
      <c r="U406" s="279"/>
      <c r="V406" s="227">
        <v>8</v>
      </c>
      <c r="W406" s="281">
        <v>8</v>
      </c>
      <c r="X406" s="282">
        <v>9</v>
      </c>
      <c r="Y406" s="293">
        <f t="shared" si="16"/>
        <v>8</v>
      </c>
      <c r="Z406" s="175" t="s">
        <v>85</v>
      </c>
      <c r="AA406" s="342">
        <f>IFERROR(BASE_DATOS[[#This Row],[NSK Original]]-BASE_DATOS[[#This Row],[NSK]]," ")</f>
        <v>8.5</v>
      </c>
      <c r="AB406" s="343">
        <f>'NSK-TRACTO'!$A$2</f>
        <v>6</v>
      </c>
      <c r="AC406" s="343">
        <f>IF(BASE_DATOS[[#This Row],[NSK]]&gt;=BASE_DATOS[[#This Row],[NSK Reen]],BASE_DATOS[[#This Row],[NSK Reen]],BASE_DATOS[[#This Row],[NSK]])</f>
        <v>6</v>
      </c>
      <c r="AD406" s="344">
        <f>IFERROR(100%-(BASE_DATOS[[#This Row],[NSK Reen]]/BASE_DATOS[[#This Row],[NSK Original]]),"")</f>
        <v>0.63636363636363635</v>
      </c>
      <c r="AE406" s="344">
        <f>IFERROR(100%-BASE_DATOS[[#This Row],[NSK]]/BASE_DATOS[[#This Row],[NSK Original]],"")</f>
        <v>0.51515151515151514</v>
      </c>
      <c r="AF406" s="344">
        <f>IFERROR(BASE_DATOS[[#This Row],[% Max Des.]]-BASE_DATOS[[#This Row],[% Des]],"")</f>
        <v>0.12121212121212122</v>
      </c>
      <c r="AG406" s="287"/>
      <c r="AH406" s="273"/>
      <c r="AI406" s="363" t="str">
        <f>IF(OR(BASE_DATOS[[#This Row],[Hr.]]="",BASE_DATOS[[#This Row],[Hr. Actual]]=""),"",BASE_DATOS[[#This Row],[Hr. Actual]]-BASE_DATOS[[#This Row],[Hr.]]+BASE_DATOS[[#This Row],[Horas Acumuladas]])</f>
        <v/>
      </c>
      <c r="AJ406" s="364" t="str">
        <f>IFERROR(BASE_DATOS[[#This Row],[Precio US$]]/BASE_DATOS[[#This Row],[Horas Rodadas]],"")</f>
        <v/>
      </c>
      <c r="AK406" s="365" t="str">
        <f>IFERROR(BASE_DATOS[[#This Row],[Horas Rodadas]]/(BASE_DATOS[[#This Row],[NSK Original]]-BASE_DATOS[[#This Row],[NSK]]),"")</f>
        <v/>
      </c>
      <c r="AL40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06" s="366" t="str">
        <f>IFERROR(BASE_DATOS[[#This Row],[Precio US$]]/BASE_DATOS[[#This Row],[Horas Proy.]],"")</f>
        <v/>
      </c>
      <c r="AN406" s="176" t="str">
        <f>IF(OR(BASE_DATOS[[#This Row],[Km.]]="",BASE_DATOS[[#This Row],[Km. Actual]]=""),"",BASE_DATOS[[#This Row],[Km. Actual]]-BASE_DATOS[[#This Row],[Km.]]+BASE_DATOS[[#This Row],[Kilómetros Acumulados]])</f>
        <v/>
      </c>
      <c r="AO406" s="177" t="str">
        <f>IFERROR(BASE_DATOS[[#This Row],[Precio US$]]/BASE_DATOS[[#This Row],[Kilómetros Rodados]],"")</f>
        <v/>
      </c>
      <c r="AP406" s="176" t="str">
        <f>IFERROR(BASE_DATOS[[#This Row],[Kilómetros Rodados]]/(BASE_DATOS[[#This Row],[NSK Original]]-BASE_DATOS[[#This Row],[NSK]]),"")</f>
        <v/>
      </c>
      <c r="AQ40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06" s="177" t="str">
        <f>IFERROR(BASE_DATOS[[#This Row],[Precio US$]]/BASE_DATOS[[#This Row],[Kilómetros Proy.]],"")</f>
        <v/>
      </c>
      <c r="AS406" s="167" t="s">
        <v>62</v>
      </c>
      <c r="AT406" s="167"/>
      <c r="AU406" s="167"/>
      <c r="AV406" s="167"/>
      <c r="AW406" s="179"/>
      <c r="AX406" s="179"/>
      <c r="AY406" s="179" t="str">
        <f>CONCATENATE(BASE_DATOS[[#This Row],[Código_U]]&amp;BASE_DATOS[[#This Row],[Pos.]]&amp;BASE_DATOS[[#This Row],[Situación Actual]])</f>
        <v>SR-176RERodando</v>
      </c>
    </row>
    <row r="407" spans="1:51" ht="12" x14ac:dyDescent="0.25">
      <c r="A407" s="227" t="s">
        <v>195</v>
      </c>
      <c r="B407" s="217" t="s">
        <v>196</v>
      </c>
      <c r="C407" s="228" t="s">
        <v>295</v>
      </c>
      <c r="D407" s="229" t="s">
        <v>108</v>
      </c>
      <c r="E407" s="255"/>
      <c r="F407" s="256" t="s">
        <v>71</v>
      </c>
      <c r="G407" s="256" t="s">
        <v>271</v>
      </c>
      <c r="H407" s="257" t="str">
        <f>IF(BASE_DATOS[[#This Row],[N-R]]="N",BASE_DATOS[[#This Row],[Diseño]],"Reencauche")</f>
        <v>Reencauche</v>
      </c>
      <c r="I407" s="256" t="s">
        <v>282</v>
      </c>
      <c r="J407" s="243" t="s">
        <v>82</v>
      </c>
      <c r="K407" s="258">
        <v>22</v>
      </c>
      <c r="L407" s="256">
        <v>110</v>
      </c>
      <c r="M407" s="259"/>
      <c r="N407" s="260"/>
      <c r="O407" s="277"/>
      <c r="P407" s="278"/>
      <c r="Q407" s="279"/>
      <c r="R407" s="304" t="s">
        <v>108</v>
      </c>
      <c r="S407" s="310">
        <v>45385</v>
      </c>
      <c r="T407" s="313"/>
      <c r="U407" s="279"/>
      <c r="V407" s="227">
        <v>13</v>
      </c>
      <c r="W407" s="281"/>
      <c r="X407" s="282">
        <v>13</v>
      </c>
      <c r="Y407" s="293">
        <f t="shared" si="16"/>
        <v>13</v>
      </c>
      <c r="Z407" s="175" t="s">
        <v>85</v>
      </c>
      <c r="AA407" s="342">
        <f>IFERROR(BASE_DATOS[[#This Row],[NSK Original]]-BASE_DATOS[[#This Row],[NSK]]," ")</f>
        <v>9</v>
      </c>
      <c r="AB407" s="343">
        <f>'NSK-TRACTO'!$A$2</f>
        <v>6</v>
      </c>
      <c r="AC407" s="343">
        <f>IF(BASE_DATOS[[#This Row],[NSK]]&gt;=BASE_DATOS[[#This Row],[NSK Reen]],BASE_DATOS[[#This Row],[NSK Reen]],BASE_DATOS[[#This Row],[NSK]])</f>
        <v>6</v>
      </c>
      <c r="AD407" s="344">
        <f>IFERROR(100%-(BASE_DATOS[[#This Row],[NSK Reen]]/BASE_DATOS[[#This Row],[NSK Original]]),"")</f>
        <v>0.72727272727272729</v>
      </c>
      <c r="AE407" s="344">
        <f>IFERROR(100%-BASE_DATOS[[#This Row],[NSK]]/BASE_DATOS[[#This Row],[NSK Original]],"")</f>
        <v>0.40909090909090906</v>
      </c>
      <c r="AF407" s="344">
        <f>IFERROR(BASE_DATOS[[#This Row],[% Max Des.]]-BASE_DATOS[[#This Row],[% Des]],"")</f>
        <v>0.31818181818181823</v>
      </c>
      <c r="AG407" s="287"/>
      <c r="AH407" s="273"/>
      <c r="AI407" s="363" t="str">
        <f>IF(OR(BASE_DATOS[[#This Row],[Hr.]]="",BASE_DATOS[[#This Row],[Hr. Actual]]=""),"",BASE_DATOS[[#This Row],[Hr. Actual]]-BASE_DATOS[[#This Row],[Hr.]]+BASE_DATOS[[#This Row],[Horas Acumuladas]])</f>
        <v/>
      </c>
      <c r="AJ407" s="364" t="str">
        <f>IFERROR(BASE_DATOS[[#This Row],[Precio US$]]/BASE_DATOS[[#This Row],[Horas Rodadas]],"")</f>
        <v/>
      </c>
      <c r="AK407" s="365" t="str">
        <f>IFERROR(BASE_DATOS[[#This Row],[Horas Rodadas]]/(BASE_DATOS[[#This Row],[NSK Original]]-BASE_DATOS[[#This Row],[NSK]]),"")</f>
        <v/>
      </c>
      <c r="AL40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07" s="366" t="str">
        <f>IFERROR(BASE_DATOS[[#This Row],[Precio US$]]/BASE_DATOS[[#This Row],[Horas Proy.]],"")</f>
        <v/>
      </c>
      <c r="AN407" s="176" t="str">
        <f>IF(OR(BASE_DATOS[[#This Row],[Km.]]="",BASE_DATOS[[#This Row],[Km. Actual]]=""),"",BASE_DATOS[[#This Row],[Km. Actual]]-BASE_DATOS[[#This Row],[Km.]]+BASE_DATOS[[#This Row],[Kilómetros Acumulados]])</f>
        <v/>
      </c>
      <c r="AO407" s="177" t="str">
        <f>IFERROR(BASE_DATOS[[#This Row],[Precio US$]]/BASE_DATOS[[#This Row],[Kilómetros Rodados]],"")</f>
        <v/>
      </c>
      <c r="AP407" s="176" t="str">
        <f>IFERROR(BASE_DATOS[[#This Row],[Kilómetros Rodados]]/(BASE_DATOS[[#This Row],[NSK Original]]-BASE_DATOS[[#This Row],[NSK]]),"")</f>
        <v/>
      </c>
      <c r="AQ40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07" s="177" t="str">
        <f>IFERROR(BASE_DATOS[[#This Row],[Precio US$]]/BASE_DATOS[[#This Row],[Kilómetros Proy.]],"")</f>
        <v/>
      </c>
      <c r="AS407" s="167" t="s">
        <v>62</v>
      </c>
      <c r="AT407" s="167"/>
      <c r="AU407" s="167"/>
      <c r="AV407" s="167"/>
      <c r="AW407" s="179"/>
      <c r="AX407" s="179"/>
      <c r="AY407" s="179" t="str">
        <f>CONCATENATE(BASE_DATOS[[#This Row],[Código_U]]&amp;BASE_DATOS[[#This Row],[Pos.]]&amp;BASE_DATOS[[#This Row],[Situación Actual]])</f>
        <v>SR-176RTRodando</v>
      </c>
    </row>
    <row r="408" spans="1:51" ht="12" x14ac:dyDescent="0.25">
      <c r="A408" s="224" t="s">
        <v>197</v>
      </c>
      <c r="B408" s="213" t="s">
        <v>198</v>
      </c>
      <c r="C408" s="225" t="s">
        <v>296</v>
      </c>
      <c r="D408" s="226" t="s">
        <v>86</v>
      </c>
      <c r="E408" s="249"/>
      <c r="F408" s="250" t="s">
        <v>273</v>
      </c>
      <c r="G408" s="250" t="s">
        <v>271</v>
      </c>
      <c r="H408" s="251" t="str">
        <f>IF(BASE_DATOS[[#This Row],[N-R]]="N",BASE_DATOS[[#This Row],[Diseño]],"Reencauche")</f>
        <v>XMULTI+Z</v>
      </c>
      <c r="I408" s="250" t="s">
        <v>297</v>
      </c>
      <c r="J408" s="235" t="s">
        <v>72</v>
      </c>
      <c r="K408" s="252">
        <v>16</v>
      </c>
      <c r="L408" s="233">
        <v>100</v>
      </c>
      <c r="M408" s="253"/>
      <c r="N408" s="254"/>
      <c r="O408" s="274"/>
      <c r="P408" s="275"/>
      <c r="Q408" s="276"/>
      <c r="R408" s="305" t="s">
        <v>98</v>
      </c>
      <c r="S408" s="306">
        <v>45386</v>
      </c>
      <c r="T408" s="314"/>
      <c r="U408" s="276"/>
      <c r="V408" s="224">
        <v>14</v>
      </c>
      <c r="W408" s="325">
        <v>14</v>
      </c>
      <c r="X408" s="326">
        <v>14</v>
      </c>
      <c r="Y408" s="292">
        <f t="shared" si="16"/>
        <v>14</v>
      </c>
      <c r="Z408" s="194" t="s">
        <v>85</v>
      </c>
      <c r="AA408" s="339">
        <f>IFERROR(BASE_DATOS[[#This Row],[NSK Original]]-BASE_DATOS[[#This Row],[NSK]]," ")</f>
        <v>2</v>
      </c>
      <c r="AB408" s="340">
        <f>'NSK-TRACTO'!$A$2</f>
        <v>6</v>
      </c>
      <c r="AC408" s="340">
        <f>IF(BASE_DATOS[[#This Row],[NSK]]&gt;=BASE_DATOS[[#This Row],[NSK Reen]],BASE_DATOS[[#This Row],[NSK Reen]],BASE_DATOS[[#This Row],[NSK]])</f>
        <v>6</v>
      </c>
      <c r="AD408" s="341">
        <f>IFERROR(100%-(BASE_DATOS[[#This Row],[NSK Reen]]/BASE_DATOS[[#This Row],[NSK Original]]),"")</f>
        <v>0.625</v>
      </c>
      <c r="AE408" s="341">
        <f>IFERROR(100%-BASE_DATOS[[#This Row],[NSK]]/BASE_DATOS[[#This Row],[NSK Original]],"")</f>
        <v>0.125</v>
      </c>
      <c r="AF408" s="341">
        <f>IFERROR(BASE_DATOS[[#This Row],[% Max Des.]]-BASE_DATOS[[#This Row],[% Des]],"")</f>
        <v>0.5</v>
      </c>
      <c r="AG408" s="284"/>
      <c r="AH408" s="335"/>
      <c r="AI408" s="359" t="str">
        <f>IF(OR(BASE_DATOS[[#This Row],[Hr.]]="",BASE_DATOS[[#This Row],[Hr. Actual]]=""),"",BASE_DATOS[[#This Row],[Hr. Actual]]-BASE_DATOS[[#This Row],[Hr.]]+BASE_DATOS[[#This Row],[Horas Acumuladas]])</f>
        <v/>
      </c>
      <c r="AJ408" s="360" t="str">
        <f>IFERROR(BASE_DATOS[[#This Row],[Precio US$]]/BASE_DATOS[[#This Row],[Horas Rodadas]],"")</f>
        <v/>
      </c>
      <c r="AK408" s="361" t="str">
        <f>IFERROR(BASE_DATOS[[#This Row],[Horas Rodadas]]/(BASE_DATOS[[#This Row],[NSK Original]]-BASE_DATOS[[#This Row],[NSK]]),"")</f>
        <v/>
      </c>
      <c r="AL408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08" s="362" t="str">
        <f>IFERROR(BASE_DATOS[[#This Row],[Precio US$]]/BASE_DATOS[[#This Row],[Horas Proy.]],"")</f>
        <v/>
      </c>
      <c r="AN408" s="195" t="str">
        <f>IF(OR(BASE_DATOS[[#This Row],[Km.]]="",BASE_DATOS[[#This Row],[Km. Actual]]=""),"",BASE_DATOS[[#This Row],[Km. Actual]]-BASE_DATOS[[#This Row],[Km.]]+BASE_DATOS[[#This Row],[Kilómetros Acumulados]])</f>
        <v/>
      </c>
      <c r="AO408" s="196" t="str">
        <f>IFERROR(BASE_DATOS[[#This Row],[Precio US$]]/BASE_DATOS[[#This Row],[Kilómetros Rodados]],"")</f>
        <v/>
      </c>
      <c r="AP408" s="195" t="str">
        <f>IFERROR(BASE_DATOS[[#This Row],[Kilómetros Rodados]]/(BASE_DATOS[[#This Row],[NSK Original]]-BASE_DATOS[[#This Row],[NSK]]),"")</f>
        <v/>
      </c>
      <c r="AQ408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08" s="196" t="str">
        <f>IFERROR(BASE_DATOS[[#This Row],[Precio US$]]/BASE_DATOS[[#This Row],[Kilómetros Proy.]],"")</f>
        <v/>
      </c>
      <c r="AS408" s="191" t="s">
        <v>62</v>
      </c>
      <c r="AT408" s="191"/>
      <c r="AU408" s="191"/>
      <c r="AV408" s="191"/>
      <c r="AW408" s="198"/>
      <c r="AX408" s="192"/>
      <c r="AY408" s="192" t="str">
        <f>CONCATENATE(BASE_DATOS[[#This Row],[Código_U]]&amp;BASE_DATOS[[#This Row],[Pos.]]&amp;BASE_DATOS[[#This Row],[Situación Actual]])</f>
        <v>TC-1781Rodando</v>
      </c>
    </row>
    <row r="409" spans="1:51" ht="12" x14ac:dyDescent="0.25">
      <c r="A409" s="227" t="s">
        <v>197</v>
      </c>
      <c r="B409" s="217" t="s">
        <v>198</v>
      </c>
      <c r="C409" s="228" t="s">
        <v>296</v>
      </c>
      <c r="D409" s="229" t="s">
        <v>86</v>
      </c>
      <c r="E409" s="255"/>
      <c r="F409" s="256" t="s">
        <v>273</v>
      </c>
      <c r="G409" s="256" t="s">
        <v>271</v>
      </c>
      <c r="H409" s="257" t="str">
        <f>IF(BASE_DATOS[[#This Row],[N-R]]="N",BASE_DATOS[[#This Row],[Diseño]],"Reencauche")</f>
        <v>XMULTI+Z</v>
      </c>
      <c r="I409" s="256" t="s">
        <v>297</v>
      </c>
      <c r="J409" s="243" t="s">
        <v>72</v>
      </c>
      <c r="K409" s="258">
        <v>16</v>
      </c>
      <c r="L409" s="241">
        <v>100</v>
      </c>
      <c r="M409" s="259"/>
      <c r="N409" s="260"/>
      <c r="O409" s="277"/>
      <c r="P409" s="278"/>
      <c r="Q409" s="279"/>
      <c r="R409" s="309" t="s">
        <v>99</v>
      </c>
      <c r="S409" s="310">
        <v>45386</v>
      </c>
      <c r="T409" s="313"/>
      <c r="U409" s="279"/>
      <c r="V409" s="227">
        <v>14</v>
      </c>
      <c r="W409" s="281">
        <v>14</v>
      </c>
      <c r="X409" s="282">
        <v>14</v>
      </c>
      <c r="Y409" s="293">
        <f t="shared" si="16"/>
        <v>14</v>
      </c>
      <c r="Z409" s="175" t="s">
        <v>85</v>
      </c>
      <c r="AA409" s="342">
        <f>IFERROR(BASE_DATOS[[#This Row],[NSK Original]]-BASE_DATOS[[#This Row],[NSK]]," ")</f>
        <v>2</v>
      </c>
      <c r="AB409" s="343">
        <f>'NSK-TRACTO'!$A$2</f>
        <v>6</v>
      </c>
      <c r="AC409" s="343">
        <f>IF(BASE_DATOS[[#This Row],[NSK]]&gt;=BASE_DATOS[[#This Row],[NSK Reen]],BASE_DATOS[[#This Row],[NSK Reen]],BASE_DATOS[[#This Row],[NSK]])</f>
        <v>6</v>
      </c>
      <c r="AD409" s="344">
        <f>IFERROR(100%-(BASE_DATOS[[#This Row],[NSK Reen]]/BASE_DATOS[[#This Row],[NSK Original]]),"")</f>
        <v>0.625</v>
      </c>
      <c r="AE409" s="344">
        <f>IFERROR(100%-BASE_DATOS[[#This Row],[NSK]]/BASE_DATOS[[#This Row],[NSK Original]],"")</f>
        <v>0.125</v>
      </c>
      <c r="AF409" s="344">
        <f>IFERROR(BASE_DATOS[[#This Row],[% Max Des.]]-BASE_DATOS[[#This Row],[% Des]],"")</f>
        <v>0.5</v>
      </c>
      <c r="AG409" s="287"/>
      <c r="AH409" s="273"/>
      <c r="AI409" s="363" t="str">
        <f>IF(OR(BASE_DATOS[[#This Row],[Hr.]]="",BASE_DATOS[[#This Row],[Hr. Actual]]=""),"",BASE_DATOS[[#This Row],[Hr. Actual]]-BASE_DATOS[[#This Row],[Hr.]]+BASE_DATOS[[#This Row],[Horas Acumuladas]])</f>
        <v/>
      </c>
      <c r="AJ409" s="364" t="str">
        <f>IFERROR(BASE_DATOS[[#This Row],[Precio US$]]/BASE_DATOS[[#This Row],[Horas Rodadas]],"")</f>
        <v/>
      </c>
      <c r="AK409" s="365" t="str">
        <f>IFERROR(BASE_DATOS[[#This Row],[Horas Rodadas]]/(BASE_DATOS[[#This Row],[NSK Original]]-BASE_DATOS[[#This Row],[NSK]]),"")</f>
        <v/>
      </c>
      <c r="AL40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09" s="366" t="str">
        <f>IFERROR(BASE_DATOS[[#This Row],[Precio US$]]/BASE_DATOS[[#This Row],[Horas Proy.]],"")</f>
        <v/>
      </c>
      <c r="AN409" s="176" t="str">
        <f>IF(OR(BASE_DATOS[[#This Row],[Km.]]="",BASE_DATOS[[#This Row],[Km. Actual]]=""),"",BASE_DATOS[[#This Row],[Km. Actual]]-BASE_DATOS[[#This Row],[Km.]]+BASE_DATOS[[#This Row],[Kilómetros Acumulados]])</f>
        <v/>
      </c>
      <c r="AO409" s="177" t="str">
        <f>IFERROR(BASE_DATOS[[#This Row],[Precio US$]]/BASE_DATOS[[#This Row],[Kilómetros Rodados]],"")</f>
        <v/>
      </c>
      <c r="AP409" s="176" t="str">
        <f>IFERROR(BASE_DATOS[[#This Row],[Kilómetros Rodados]]/(BASE_DATOS[[#This Row],[NSK Original]]-BASE_DATOS[[#This Row],[NSK]]),"")</f>
        <v/>
      </c>
      <c r="AQ40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09" s="177" t="str">
        <f>IFERROR(BASE_DATOS[[#This Row],[Precio US$]]/BASE_DATOS[[#This Row],[Kilómetros Proy.]],"")</f>
        <v/>
      </c>
      <c r="AS409" s="167" t="s">
        <v>62</v>
      </c>
      <c r="AT409" s="167"/>
      <c r="AU409" s="167"/>
      <c r="AV409" s="167"/>
      <c r="AW409" s="179"/>
      <c r="AX409" s="169"/>
      <c r="AY409" s="169" t="str">
        <f>CONCATENATE(BASE_DATOS[[#This Row],[Código_U]]&amp;BASE_DATOS[[#This Row],[Pos.]]&amp;BASE_DATOS[[#This Row],[Situación Actual]])</f>
        <v>TC-1782Rodando</v>
      </c>
    </row>
    <row r="410" spans="1:51" ht="12" x14ac:dyDescent="0.25">
      <c r="A410" s="227" t="s">
        <v>197</v>
      </c>
      <c r="B410" s="217" t="s">
        <v>198</v>
      </c>
      <c r="C410" s="228" t="s">
        <v>296</v>
      </c>
      <c r="D410" s="229" t="s">
        <v>61</v>
      </c>
      <c r="E410" s="255"/>
      <c r="F410" s="256" t="s">
        <v>273</v>
      </c>
      <c r="G410" s="256" t="s">
        <v>271</v>
      </c>
      <c r="H410" s="257" t="str">
        <f>IF(BASE_DATOS[[#This Row],[N-R]]="N",BASE_DATOS[[#This Row],[Diseño]],"Reencauche")</f>
        <v>XMULTI2D</v>
      </c>
      <c r="I410" s="256" t="s">
        <v>299</v>
      </c>
      <c r="J410" s="243" t="s">
        <v>72</v>
      </c>
      <c r="K410" s="258">
        <v>21.4</v>
      </c>
      <c r="L410" s="241">
        <v>110</v>
      </c>
      <c r="M410" s="259"/>
      <c r="N410" s="260"/>
      <c r="O410" s="277"/>
      <c r="P410" s="278"/>
      <c r="Q410" s="279"/>
      <c r="R410" s="309" t="s">
        <v>100</v>
      </c>
      <c r="S410" s="310">
        <v>45386</v>
      </c>
      <c r="T410" s="313"/>
      <c r="U410" s="279"/>
      <c r="V410" s="227">
        <v>19</v>
      </c>
      <c r="W410" s="281"/>
      <c r="X410" s="282">
        <v>19</v>
      </c>
      <c r="Y410" s="293">
        <f t="shared" si="16"/>
        <v>19</v>
      </c>
      <c r="Z410" s="175" t="s">
        <v>85</v>
      </c>
      <c r="AA410" s="342">
        <f>IFERROR(BASE_DATOS[[#This Row],[NSK Original]]-BASE_DATOS[[#This Row],[NSK]]," ")</f>
        <v>2.3999999999999986</v>
      </c>
      <c r="AB410" s="343">
        <f>'NSK-TRACTO'!$A$2</f>
        <v>6</v>
      </c>
      <c r="AC410" s="343">
        <f>IF(BASE_DATOS[[#This Row],[NSK]]&gt;=BASE_DATOS[[#This Row],[NSK Reen]],BASE_DATOS[[#This Row],[NSK Reen]],BASE_DATOS[[#This Row],[NSK]])</f>
        <v>6</v>
      </c>
      <c r="AD410" s="344">
        <f>IFERROR(100%-(BASE_DATOS[[#This Row],[NSK Reen]]/BASE_DATOS[[#This Row],[NSK Original]]),"")</f>
        <v>0.71962616822429903</v>
      </c>
      <c r="AE410" s="344">
        <f>IFERROR(100%-BASE_DATOS[[#This Row],[NSK]]/BASE_DATOS[[#This Row],[NSK Original]],"")</f>
        <v>0.11214953271028028</v>
      </c>
      <c r="AF410" s="344">
        <f>IFERROR(BASE_DATOS[[#This Row],[% Max Des.]]-BASE_DATOS[[#This Row],[% Des]],"")</f>
        <v>0.60747663551401876</v>
      </c>
      <c r="AG410" s="287"/>
      <c r="AH410" s="273"/>
      <c r="AI410" s="363" t="str">
        <f>IF(OR(BASE_DATOS[[#This Row],[Hr.]]="",BASE_DATOS[[#This Row],[Hr. Actual]]=""),"",BASE_DATOS[[#This Row],[Hr. Actual]]-BASE_DATOS[[#This Row],[Hr.]]+BASE_DATOS[[#This Row],[Horas Acumuladas]])</f>
        <v/>
      </c>
      <c r="AJ410" s="364" t="str">
        <f>IFERROR(BASE_DATOS[[#This Row],[Precio US$]]/BASE_DATOS[[#This Row],[Horas Rodadas]],"")</f>
        <v/>
      </c>
      <c r="AK410" s="365" t="str">
        <f>IFERROR(BASE_DATOS[[#This Row],[Horas Rodadas]]/(BASE_DATOS[[#This Row],[NSK Original]]-BASE_DATOS[[#This Row],[NSK]]),"")</f>
        <v/>
      </c>
      <c r="AL41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10" s="366" t="str">
        <f>IFERROR(BASE_DATOS[[#This Row],[Precio US$]]/BASE_DATOS[[#This Row],[Horas Proy.]],"")</f>
        <v/>
      </c>
      <c r="AN410" s="176" t="str">
        <f>IF(OR(BASE_DATOS[[#This Row],[Km.]]="",BASE_DATOS[[#This Row],[Km. Actual]]=""),"",BASE_DATOS[[#This Row],[Km. Actual]]-BASE_DATOS[[#This Row],[Km.]]+BASE_DATOS[[#This Row],[Kilómetros Acumulados]])</f>
        <v/>
      </c>
      <c r="AO410" s="177" t="str">
        <f>IFERROR(BASE_DATOS[[#This Row],[Precio US$]]/BASE_DATOS[[#This Row],[Kilómetros Rodados]],"")</f>
        <v/>
      </c>
      <c r="AP410" s="176" t="str">
        <f>IFERROR(BASE_DATOS[[#This Row],[Kilómetros Rodados]]/(BASE_DATOS[[#This Row],[NSK Original]]-BASE_DATOS[[#This Row],[NSK]]),"")</f>
        <v/>
      </c>
      <c r="AQ41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10" s="177" t="str">
        <f>IFERROR(BASE_DATOS[[#This Row],[Precio US$]]/BASE_DATOS[[#This Row],[Kilómetros Proy.]],"")</f>
        <v/>
      </c>
      <c r="AS410" s="167" t="s">
        <v>62</v>
      </c>
      <c r="AT410" s="167"/>
      <c r="AU410" s="167"/>
      <c r="AV410" s="167" t="s">
        <v>515</v>
      </c>
      <c r="AW410" s="179"/>
      <c r="AX410" s="179"/>
      <c r="AY410" s="179" t="str">
        <f>CONCATENATE(BASE_DATOS[[#This Row],[Código_U]]&amp;BASE_DATOS[[#This Row],[Pos.]]&amp;BASE_DATOS[[#This Row],[Situación Actual]])</f>
        <v>TC-1783Rodando</v>
      </c>
    </row>
    <row r="411" spans="1:51" ht="12" x14ac:dyDescent="0.25">
      <c r="A411" s="227" t="s">
        <v>197</v>
      </c>
      <c r="B411" s="217" t="s">
        <v>198</v>
      </c>
      <c r="C411" s="228" t="s">
        <v>296</v>
      </c>
      <c r="D411" s="229" t="s">
        <v>61</v>
      </c>
      <c r="E411" s="255"/>
      <c r="F411" s="256" t="s">
        <v>273</v>
      </c>
      <c r="G411" s="256" t="s">
        <v>271</v>
      </c>
      <c r="H411" s="257" t="str">
        <f>IF(BASE_DATOS[[#This Row],[N-R]]="N",BASE_DATOS[[#This Row],[Diseño]],"Reencauche")</f>
        <v>XMULTI2D</v>
      </c>
      <c r="I411" s="256" t="s">
        <v>299</v>
      </c>
      <c r="J411" s="243" t="s">
        <v>72</v>
      </c>
      <c r="K411" s="258">
        <v>21.4</v>
      </c>
      <c r="L411" s="241">
        <v>110</v>
      </c>
      <c r="M411" s="259"/>
      <c r="N411" s="260"/>
      <c r="O411" s="277"/>
      <c r="P411" s="278"/>
      <c r="Q411" s="279"/>
      <c r="R411" s="309" t="s">
        <v>101</v>
      </c>
      <c r="S411" s="310">
        <v>45386</v>
      </c>
      <c r="T411" s="313"/>
      <c r="U411" s="279"/>
      <c r="V411" s="227">
        <v>19</v>
      </c>
      <c r="W411" s="281"/>
      <c r="X411" s="282">
        <v>19</v>
      </c>
      <c r="Y411" s="293">
        <f t="shared" si="16"/>
        <v>19</v>
      </c>
      <c r="Z411" s="175" t="s">
        <v>85</v>
      </c>
      <c r="AA411" s="342">
        <f>IFERROR(BASE_DATOS[[#This Row],[NSK Original]]-BASE_DATOS[[#This Row],[NSK]]," ")</f>
        <v>2.3999999999999986</v>
      </c>
      <c r="AB411" s="343">
        <f>'NSK-TRACTO'!$A$2</f>
        <v>6</v>
      </c>
      <c r="AC411" s="343">
        <f>IF(BASE_DATOS[[#This Row],[NSK]]&gt;=BASE_DATOS[[#This Row],[NSK Reen]],BASE_DATOS[[#This Row],[NSK Reen]],BASE_DATOS[[#This Row],[NSK]])</f>
        <v>6</v>
      </c>
      <c r="AD411" s="344">
        <f>IFERROR(100%-(BASE_DATOS[[#This Row],[NSK Reen]]/BASE_DATOS[[#This Row],[NSK Original]]),"")</f>
        <v>0.71962616822429903</v>
      </c>
      <c r="AE411" s="344">
        <f>IFERROR(100%-BASE_DATOS[[#This Row],[NSK]]/BASE_DATOS[[#This Row],[NSK Original]],"")</f>
        <v>0.11214953271028028</v>
      </c>
      <c r="AF411" s="344">
        <f>IFERROR(BASE_DATOS[[#This Row],[% Max Des.]]-BASE_DATOS[[#This Row],[% Des]],"")</f>
        <v>0.60747663551401876</v>
      </c>
      <c r="AG411" s="287"/>
      <c r="AH411" s="273"/>
      <c r="AI411" s="363" t="str">
        <f>IF(OR(BASE_DATOS[[#This Row],[Hr.]]="",BASE_DATOS[[#This Row],[Hr. Actual]]=""),"",BASE_DATOS[[#This Row],[Hr. Actual]]-BASE_DATOS[[#This Row],[Hr.]]+BASE_DATOS[[#This Row],[Horas Acumuladas]])</f>
        <v/>
      </c>
      <c r="AJ411" s="364" t="str">
        <f>IFERROR(BASE_DATOS[[#This Row],[Precio US$]]/BASE_DATOS[[#This Row],[Horas Rodadas]],"")</f>
        <v/>
      </c>
      <c r="AK411" s="365" t="str">
        <f>IFERROR(BASE_DATOS[[#This Row],[Horas Rodadas]]/(BASE_DATOS[[#This Row],[NSK Original]]-BASE_DATOS[[#This Row],[NSK]]),"")</f>
        <v/>
      </c>
      <c r="AL41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11" s="366" t="str">
        <f>IFERROR(BASE_DATOS[[#This Row],[Precio US$]]/BASE_DATOS[[#This Row],[Horas Proy.]],"")</f>
        <v/>
      </c>
      <c r="AN411" s="176" t="str">
        <f>IF(OR(BASE_DATOS[[#This Row],[Km.]]="",BASE_DATOS[[#This Row],[Km. Actual]]=""),"",BASE_DATOS[[#This Row],[Km. Actual]]-BASE_DATOS[[#This Row],[Km.]]+BASE_DATOS[[#This Row],[Kilómetros Acumulados]])</f>
        <v/>
      </c>
      <c r="AO411" s="177" t="str">
        <f>IFERROR(BASE_DATOS[[#This Row],[Precio US$]]/BASE_DATOS[[#This Row],[Kilómetros Rodados]],"")</f>
        <v/>
      </c>
      <c r="AP411" s="176" t="str">
        <f>IFERROR(BASE_DATOS[[#This Row],[Kilómetros Rodados]]/(BASE_DATOS[[#This Row],[NSK Original]]-BASE_DATOS[[#This Row],[NSK]]),"")</f>
        <v/>
      </c>
      <c r="AQ41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11" s="177" t="str">
        <f>IFERROR(BASE_DATOS[[#This Row],[Precio US$]]/BASE_DATOS[[#This Row],[Kilómetros Proy.]],"")</f>
        <v/>
      </c>
      <c r="AS411" s="167" t="s">
        <v>62</v>
      </c>
      <c r="AT411" s="167"/>
      <c r="AU411" s="167"/>
      <c r="AV411" s="167" t="s">
        <v>515</v>
      </c>
      <c r="AW411" s="179"/>
      <c r="AX411" s="179"/>
      <c r="AY411" s="179" t="str">
        <f>CONCATENATE(BASE_DATOS[[#This Row],[Código_U]]&amp;BASE_DATOS[[#This Row],[Pos.]]&amp;BASE_DATOS[[#This Row],[Situación Actual]])</f>
        <v>TC-1784Rodando</v>
      </c>
    </row>
    <row r="412" spans="1:51" ht="12" x14ac:dyDescent="0.25">
      <c r="A412" s="227" t="s">
        <v>197</v>
      </c>
      <c r="B412" s="217" t="s">
        <v>198</v>
      </c>
      <c r="C412" s="228" t="s">
        <v>296</v>
      </c>
      <c r="D412" s="229" t="s">
        <v>61</v>
      </c>
      <c r="E412" s="255"/>
      <c r="F412" s="256" t="s">
        <v>273</v>
      </c>
      <c r="G412" s="256" t="s">
        <v>271</v>
      </c>
      <c r="H412" s="257" t="str">
        <f>IF(BASE_DATOS[[#This Row],[N-R]]="N",BASE_DATOS[[#This Row],[Diseño]],"Reencauche")</f>
        <v>XMULTI2D</v>
      </c>
      <c r="I412" s="256" t="s">
        <v>299</v>
      </c>
      <c r="J412" s="243" t="s">
        <v>72</v>
      </c>
      <c r="K412" s="258">
        <v>21.4</v>
      </c>
      <c r="L412" s="241">
        <v>110</v>
      </c>
      <c r="M412" s="259"/>
      <c r="N412" s="260"/>
      <c r="O412" s="277"/>
      <c r="P412" s="278"/>
      <c r="Q412" s="279"/>
      <c r="R412" s="309" t="s">
        <v>102</v>
      </c>
      <c r="S412" s="310">
        <v>45386</v>
      </c>
      <c r="T412" s="313"/>
      <c r="U412" s="279"/>
      <c r="V412" s="227">
        <v>20</v>
      </c>
      <c r="W412" s="281"/>
      <c r="X412" s="282">
        <v>20</v>
      </c>
      <c r="Y412" s="293">
        <f t="shared" si="16"/>
        <v>20</v>
      </c>
      <c r="Z412" s="161" t="s">
        <v>73</v>
      </c>
      <c r="AA412" s="342">
        <f>IFERROR(BASE_DATOS[[#This Row],[NSK Original]]-BASE_DATOS[[#This Row],[NSK]]," ")</f>
        <v>1.3999999999999986</v>
      </c>
      <c r="AB412" s="343">
        <f>'NSK-TRACTO'!$A$2</f>
        <v>6</v>
      </c>
      <c r="AC412" s="343">
        <f>IF(BASE_DATOS[[#This Row],[NSK]]&gt;=BASE_DATOS[[#This Row],[NSK Reen]],BASE_DATOS[[#This Row],[NSK Reen]],BASE_DATOS[[#This Row],[NSK]])</f>
        <v>6</v>
      </c>
      <c r="AD412" s="344">
        <f>IFERROR(100%-(BASE_DATOS[[#This Row],[NSK Reen]]/BASE_DATOS[[#This Row],[NSK Original]]),"")</f>
        <v>0.71962616822429903</v>
      </c>
      <c r="AE412" s="344">
        <f>IFERROR(100%-BASE_DATOS[[#This Row],[NSK]]/BASE_DATOS[[#This Row],[NSK Original]],"")</f>
        <v>6.5420560747663448E-2</v>
      </c>
      <c r="AF412" s="344">
        <f>IFERROR(BASE_DATOS[[#This Row],[% Max Des.]]-BASE_DATOS[[#This Row],[% Des]],"")</f>
        <v>0.65420560747663559</v>
      </c>
      <c r="AG412" s="287"/>
      <c r="AH412" s="273"/>
      <c r="AI412" s="363" t="str">
        <f>IF(OR(BASE_DATOS[[#This Row],[Hr.]]="",BASE_DATOS[[#This Row],[Hr. Actual]]=""),"",BASE_DATOS[[#This Row],[Hr. Actual]]-BASE_DATOS[[#This Row],[Hr.]]+BASE_DATOS[[#This Row],[Horas Acumuladas]])</f>
        <v/>
      </c>
      <c r="AJ412" s="364" t="str">
        <f>IFERROR(BASE_DATOS[[#This Row],[Precio US$]]/BASE_DATOS[[#This Row],[Horas Rodadas]],"")</f>
        <v/>
      </c>
      <c r="AK412" s="365" t="str">
        <f>IFERROR(BASE_DATOS[[#This Row],[Horas Rodadas]]/(BASE_DATOS[[#This Row],[NSK Original]]-BASE_DATOS[[#This Row],[NSK]]),"")</f>
        <v/>
      </c>
      <c r="AL41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12" s="366" t="str">
        <f>IFERROR(BASE_DATOS[[#This Row],[Precio US$]]/BASE_DATOS[[#This Row],[Horas Proy.]],"")</f>
        <v/>
      </c>
      <c r="AN412" s="176" t="str">
        <f>IF(OR(BASE_DATOS[[#This Row],[Km.]]="",BASE_DATOS[[#This Row],[Km. Actual]]=""),"",BASE_DATOS[[#This Row],[Km. Actual]]-BASE_DATOS[[#This Row],[Km.]]+BASE_DATOS[[#This Row],[Kilómetros Acumulados]])</f>
        <v/>
      </c>
      <c r="AO412" s="177" t="str">
        <f>IFERROR(BASE_DATOS[[#This Row],[Precio US$]]/BASE_DATOS[[#This Row],[Kilómetros Rodados]],"")</f>
        <v/>
      </c>
      <c r="AP412" s="176" t="str">
        <f>IFERROR(BASE_DATOS[[#This Row],[Kilómetros Rodados]]/(BASE_DATOS[[#This Row],[NSK Original]]-BASE_DATOS[[#This Row],[NSK]]),"")</f>
        <v/>
      </c>
      <c r="AQ41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12" s="177" t="str">
        <f>IFERROR(BASE_DATOS[[#This Row],[Precio US$]]/BASE_DATOS[[#This Row],[Kilómetros Proy.]],"")</f>
        <v/>
      </c>
      <c r="AS412" s="167" t="s">
        <v>62</v>
      </c>
      <c r="AT412" s="167"/>
      <c r="AU412" s="167"/>
      <c r="AV412" s="167" t="s">
        <v>515</v>
      </c>
      <c r="AW412" s="179"/>
      <c r="AX412" s="179"/>
      <c r="AY412" s="179" t="str">
        <f>CONCATENATE(BASE_DATOS[[#This Row],[Código_U]]&amp;BASE_DATOS[[#This Row],[Pos.]]&amp;BASE_DATOS[[#This Row],[Situación Actual]])</f>
        <v>TC-1785Rodando</v>
      </c>
    </row>
    <row r="413" spans="1:51" ht="12" x14ac:dyDescent="0.25">
      <c r="A413" s="227" t="s">
        <v>197</v>
      </c>
      <c r="B413" s="217" t="s">
        <v>198</v>
      </c>
      <c r="C413" s="228" t="s">
        <v>296</v>
      </c>
      <c r="D413" s="229" t="s">
        <v>61</v>
      </c>
      <c r="E413" s="255"/>
      <c r="F413" s="256" t="s">
        <v>273</v>
      </c>
      <c r="G413" s="256" t="s">
        <v>271</v>
      </c>
      <c r="H413" s="257" t="str">
        <f>IF(BASE_DATOS[[#This Row],[N-R]]="N",BASE_DATOS[[#This Row],[Diseño]],"Reencauche")</f>
        <v>XMULTI2D</v>
      </c>
      <c r="I413" s="256" t="s">
        <v>299</v>
      </c>
      <c r="J413" s="243" t="s">
        <v>72</v>
      </c>
      <c r="K413" s="258">
        <v>21.4</v>
      </c>
      <c r="L413" s="241">
        <v>110</v>
      </c>
      <c r="M413" s="259"/>
      <c r="N413" s="260"/>
      <c r="O413" s="277"/>
      <c r="P413" s="278"/>
      <c r="Q413" s="279"/>
      <c r="R413" s="309" t="s">
        <v>103</v>
      </c>
      <c r="S413" s="310">
        <v>45386</v>
      </c>
      <c r="T413" s="313"/>
      <c r="U413" s="279"/>
      <c r="V413" s="227">
        <v>20</v>
      </c>
      <c r="W413" s="281"/>
      <c r="X413" s="282">
        <v>20</v>
      </c>
      <c r="Y413" s="293">
        <f t="shared" si="16"/>
        <v>20</v>
      </c>
      <c r="Z413" s="175" t="s">
        <v>85</v>
      </c>
      <c r="AA413" s="342">
        <f>IFERROR(BASE_DATOS[[#This Row],[NSK Original]]-BASE_DATOS[[#This Row],[NSK]]," ")</f>
        <v>1.3999999999999986</v>
      </c>
      <c r="AB413" s="343">
        <f>'NSK-TRACTO'!$A$2</f>
        <v>6</v>
      </c>
      <c r="AC413" s="343">
        <f>IF(BASE_DATOS[[#This Row],[NSK]]&gt;=BASE_DATOS[[#This Row],[NSK Reen]],BASE_DATOS[[#This Row],[NSK Reen]],BASE_DATOS[[#This Row],[NSK]])</f>
        <v>6</v>
      </c>
      <c r="AD413" s="344">
        <f>IFERROR(100%-(BASE_DATOS[[#This Row],[NSK Reen]]/BASE_DATOS[[#This Row],[NSK Original]]),"")</f>
        <v>0.71962616822429903</v>
      </c>
      <c r="AE413" s="344">
        <f>IFERROR(100%-BASE_DATOS[[#This Row],[NSK]]/BASE_DATOS[[#This Row],[NSK Original]],"")</f>
        <v>6.5420560747663448E-2</v>
      </c>
      <c r="AF413" s="344">
        <f>IFERROR(BASE_DATOS[[#This Row],[% Max Des.]]-BASE_DATOS[[#This Row],[% Des]],"")</f>
        <v>0.65420560747663559</v>
      </c>
      <c r="AG413" s="287"/>
      <c r="AH413" s="273"/>
      <c r="AI413" s="363" t="str">
        <f>IF(OR(BASE_DATOS[[#This Row],[Hr.]]="",BASE_DATOS[[#This Row],[Hr. Actual]]=""),"",BASE_DATOS[[#This Row],[Hr. Actual]]-BASE_DATOS[[#This Row],[Hr.]]+BASE_DATOS[[#This Row],[Horas Acumuladas]])</f>
        <v/>
      </c>
      <c r="AJ413" s="364" t="str">
        <f>IFERROR(BASE_DATOS[[#This Row],[Precio US$]]/BASE_DATOS[[#This Row],[Horas Rodadas]],"")</f>
        <v/>
      </c>
      <c r="AK413" s="365" t="str">
        <f>IFERROR(BASE_DATOS[[#This Row],[Horas Rodadas]]/(BASE_DATOS[[#This Row],[NSK Original]]-BASE_DATOS[[#This Row],[NSK]]),"")</f>
        <v/>
      </c>
      <c r="AL41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13" s="366" t="str">
        <f>IFERROR(BASE_DATOS[[#This Row],[Precio US$]]/BASE_DATOS[[#This Row],[Horas Proy.]],"")</f>
        <v/>
      </c>
      <c r="AN413" s="176" t="str">
        <f>IF(OR(BASE_DATOS[[#This Row],[Km.]]="",BASE_DATOS[[#This Row],[Km. Actual]]=""),"",BASE_DATOS[[#This Row],[Km. Actual]]-BASE_DATOS[[#This Row],[Km.]]+BASE_DATOS[[#This Row],[Kilómetros Acumulados]])</f>
        <v/>
      </c>
      <c r="AO413" s="177" t="str">
        <f>IFERROR(BASE_DATOS[[#This Row],[Precio US$]]/BASE_DATOS[[#This Row],[Kilómetros Rodados]],"")</f>
        <v/>
      </c>
      <c r="AP413" s="176" t="str">
        <f>IFERROR(BASE_DATOS[[#This Row],[Kilómetros Rodados]]/(BASE_DATOS[[#This Row],[NSK Original]]-BASE_DATOS[[#This Row],[NSK]]),"")</f>
        <v/>
      </c>
      <c r="AQ41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13" s="177" t="str">
        <f>IFERROR(BASE_DATOS[[#This Row],[Precio US$]]/BASE_DATOS[[#This Row],[Kilómetros Proy.]],"")</f>
        <v/>
      </c>
      <c r="AS413" s="167" t="s">
        <v>62</v>
      </c>
      <c r="AT413" s="167"/>
      <c r="AU413" s="167"/>
      <c r="AV413" s="167" t="s">
        <v>515</v>
      </c>
      <c r="AW413" s="179"/>
      <c r="AX413" s="179"/>
      <c r="AY413" s="179" t="str">
        <f>CONCATENATE(BASE_DATOS[[#This Row],[Código_U]]&amp;BASE_DATOS[[#This Row],[Pos.]]&amp;BASE_DATOS[[#This Row],[Situación Actual]])</f>
        <v>TC-1786Rodando</v>
      </c>
    </row>
    <row r="414" spans="1:51" ht="12" x14ac:dyDescent="0.25">
      <c r="A414" s="227" t="s">
        <v>197</v>
      </c>
      <c r="B414" s="217" t="s">
        <v>198</v>
      </c>
      <c r="C414" s="228" t="s">
        <v>296</v>
      </c>
      <c r="D414" s="229" t="s">
        <v>61</v>
      </c>
      <c r="E414" s="255"/>
      <c r="F414" s="256" t="s">
        <v>273</v>
      </c>
      <c r="G414" s="256" t="s">
        <v>271</v>
      </c>
      <c r="H414" s="257" t="str">
        <f>IF(BASE_DATOS[[#This Row],[N-R]]="N",BASE_DATOS[[#This Row],[Diseño]],"Reencauche")</f>
        <v>XMULTI2D</v>
      </c>
      <c r="I414" s="256" t="s">
        <v>299</v>
      </c>
      <c r="J414" s="243" t="s">
        <v>72</v>
      </c>
      <c r="K414" s="258">
        <v>21.4</v>
      </c>
      <c r="L414" s="241">
        <v>110</v>
      </c>
      <c r="M414" s="259"/>
      <c r="N414" s="260"/>
      <c r="O414" s="277"/>
      <c r="P414" s="278"/>
      <c r="Q414" s="279"/>
      <c r="R414" s="309" t="s">
        <v>104</v>
      </c>
      <c r="S414" s="310">
        <v>45386</v>
      </c>
      <c r="T414" s="313"/>
      <c r="U414" s="279"/>
      <c r="V414" s="227">
        <v>17</v>
      </c>
      <c r="W414" s="281"/>
      <c r="X414" s="282">
        <v>16</v>
      </c>
      <c r="Y414" s="293">
        <f t="shared" si="16"/>
        <v>16</v>
      </c>
      <c r="Z414" s="175" t="s">
        <v>85</v>
      </c>
      <c r="AA414" s="342">
        <f>IFERROR(BASE_DATOS[[#This Row],[NSK Original]]-BASE_DATOS[[#This Row],[NSK]]," ")</f>
        <v>5.3999999999999986</v>
      </c>
      <c r="AB414" s="343">
        <f>'NSK-TRACTO'!$A$2</f>
        <v>6</v>
      </c>
      <c r="AC414" s="343">
        <f>IF(BASE_DATOS[[#This Row],[NSK]]&gt;=BASE_DATOS[[#This Row],[NSK Reen]],BASE_DATOS[[#This Row],[NSK Reen]],BASE_DATOS[[#This Row],[NSK]])</f>
        <v>6</v>
      </c>
      <c r="AD414" s="344">
        <f>IFERROR(100%-(BASE_DATOS[[#This Row],[NSK Reen]]/BASE_DATOS[[#This Row],[NSK Original]]),"")</f>
        <v>0.71962616822429903</v>
      </c>
      <c r="AE414" s="344">
        <f>IFERROR(100%-BASE_DATOS[[#This Row],[NSK]]/BASE_DATOS[[#This Row],[NSK Original]],"")</f>
        <v>0.25233644859813076</v>
      </c>
      <c r="AF414" s="344">
        <f>IFERROR(BASE_DATOS[[#This Row],[% Max Des.]]-BASE_DATOS[[#This Row],[% Des]],"")</f>
        <v>0.46728971962616828</v>
      </c>
      <c r="AG414" s="287"/>
      <c r="AH414" s="273"/>
      <c r="AI414" s="363" t="str">
        <f>IF(OR(BASE_DATOS[[#This Row],[Hr.]]="",BASE_DATOS[[#This Row],[Hr. Actual]]=""),"",BASE_DATOS[[#This Row],[Hr. Actual]]-BASE_DATOS[[#This Row],[Hr.]]+BASE_DATOS[[#This Row],[Horas Acumuladas]])</f>
        <v/>
      </c>
      <c r="AJ414" s="364" t="str">
        <f>IFERROR(BASE_DATOS[[#This Row],[Precio US$]]/BASE_DATOS[[#This Row],[Horas Rodadas]],"")</f>
        <v/>
      </c>
      <c r="AK414" s="365" t="str">
        <f>IFERROR(BASE_DATOS[[#This Row],[Horas Rodadas]]/(BASE_DATOS[[#This Row],[NSK Original]]-BASE_DATOS[[#This Row],[NSK]]),"")</f>
        <v/>
      </c>
      <c r="AL41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14" s="366" t="str">
        <f>IFERROR(BASE_DATOS[[#This Row],[Precio US$]]/BASE_DATOS[[#This Row],[Horas Proy.]],"")</f>
        <v/>
      </c>
      <c r="AN414" s="176" t="str">
        <f>IF(OR(BASE_DATOS[[#This Row],[Km.]]="",BASE_DATOS[[#This Row],[Km. Actual]]=""),"",BASE_DATOS[[#This Row],[Km. Actual]]-BASE_DATOS[[#This Row],[Km.]]+BASE_DATOS[[#This Row],[Kilómetros Acumulados]])</f>
        <v/>
      </c>
      <c r="AO414" s="177" t="str">
        <f>IFERROR(BASE_DATOS[[#This Row],[Precio US$]]/BASE_DATOS[[#This Row],[Kilómetros Rodados]],"")</f>
        <v/>
      </c>
      <c r="AP414" s="176" t="str">
        <f>IFERROR(BASE_DATOS[[#This Row],[Kilómetros Rodados]]/(BASE_DATOS[[#This Row],[NSK Original]]-BASE_DATOS[[#This Row],[NSK]]),"")</f>
        <v/>
      </c>
      <c r="AQ41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14" s="177" t="str">
        <f>IFERROR(BASE_DATOS[[#This Row],[Precio US$]]/BASE_DATOS[[#This Row],[Kilómetros Proy.]],"")</f>
        <v/>
      </c>
      <c r="AS414" s="167" t="s">
        <v>62</v>
      </c>
      <c r="AT414" s="167"/>
      <c r="AU414" s="167"/>
      <c r="AV414" s="167" t="s">
        <v>515</v>
      </c>
      <c r="AW414" s="179"/>
      <c r="AX414" s="179"/>
      <c r="AY414" s="179" t="str">
        <f>CONCATENATE(BASE_DATOS[[#This Row],[Código_U]]&amp;BASE_DATOS[[#This Row],[Pos.]]&amp;BASE_DATOS[[#This Row],[Situación Actual]])</f>
        <v>TC-1787Rodando</v>
      </c>
    </row>
    <row r="415" spans="1:51" ht="12" x14ac:dyDescent="0.25">
      <c r="A415" s="227" t="s">
        <v>197</v>
      </c>
      <c r="B415" s="217" t="s">
        <v>198</v>
      </c>
      <c r="C415" s="228" t="s">
        <v>296</v>
      </c>
      <c r="D415" s="229" t="s">
        <v>61</v>
      </c>
      <c r="E415" s="255"/>
      <c r="F415" s="256" t="s">
        <v>273</v>
      </c>
      <c r="G415" s="256" t="s">
        <v>271</v>
      </c>
      <c r="H415" s="257" t="str">
        <f>IF(BASE_DATOS[[#This Row],[N-R]]="N",BASE_DATOS[[#This Row],[Diseño]],"Reencauche")</f>
        <v>XMULTI2D</v>
      </c>
      <c r="I415" s="256" t="s">
        <v>299</v>
      </c>
      <c r="J415" s="243" t="s">
        <v>72</v>
      </c>
      <c r="K415" s="258">
        <v>21.4</v>
      </c>
      <c r="L415" s="241">
        <v>110</v>
      </c>
      <c r="M415" s="259"/>
      <c r="N415" s="260"/>
      <c r="O415" s="277"/>
      <c r="P415" s="278"/>
      <c r="Q415" s="279"/>
      <c r="R415" s="309" t="s">
        <v>105</v>
      </c>
      <c r="S415" s="310">
        <v>45386</v>
      </c>
      <c r="T415" s="313"/>
      <c r="U415" s="279"/>
      <c r="V415" s="227">
        <v>17</v>
      </c>
      <c r="W415" s="281"/>
      <c r="X415" s="282">
        <v>16</v>
      </c>
      <c r="Y415" s="293">
        <f t="shared" si="16"/>
        <v>16</v>
      </c>
      <c r="Z415" s="175" t="s">
        <v>85</v>
      </c>
      <c r="AA415" s="342">
        <f>IFERROR(BASE_DATOS[[#This Row],[NSK Original]]-BASE_DATOS[[#This Row],[NSK]]," ")</f>
        <v>5.3999999999999986</v>
      </c>
      <c r="AB415" s="343">
        <f>'NSK-TRACTO'!$A$2</f>
        <v>6</v>
      </c>
      <c r="AC415" s="343">
        <f>IF(BASE_DATOS[[#This Row],[NSK]]&gt;=BASE_DATOS[[#This Row],[NSK Reen]],BASE_DATOS[[#This Row],[NSK Reen]],BASE_DATOS[[#This Row],[NSK]])</f>
        <v>6</v>
      </c>
      <c r="AD415" s="344">
        <f>IFERROR(100%-(BASE_DATOS[[#This Row],[NSK Reen]]/BASE_DATOS[[#This Row],[NSK Original]]),"")</f>
        <v>0.71962616822429903</v>
      </c>
      <c r="AE415" s="344">
        <f>IFERROR(100%-BASE_DATOS[[#This Row],[NSK]]/BASE_DATOS[[#This Row],[NSK Original]],"")</f>
        <v>0.25233644859813076</v>
      </c>
      <c r="AF415" s="344">
        <f>IFERROR(BASE_DATOS[[#This Row],[% Max Des.]]-BASE_DATOS[[#This Row],[% Des]],"")</f>
        <v>0.46728971962616828</v>
      </c>
      <c r="AG415" s="287"/>
      <c r="AH415" s="273"/>
      <c r="AI415" s="363" t="str">
        <f>IF(OR(BASE_DATOS[[#This Row],[Hr.]]="",BASE_DATOS[[#This Row],[Hr. Actual]]=""),"",BASE_DATOS[[#This Row],[Hr. Actual]]-BASE_DATOS[[#This Row],[Hr.]]+BASE_DATOS[[#This Row],[Horas Acumuladas]])</f>
        <v/>
      </c>
      <c r="AJ415" s="364" t="str">
        <f>IFERROR(BASE_DATOS[[#This Row],[Precio US$]]/BASE_DATOS[[#This Row],[Horas Rodadas]],"")</f>
        <v/>
      </c>
      <c r="AK415" s="365" t="str">
        <f>IFERROR(BASE_DATOS[[#This Row],[Horas Rodadas]]/(BASE_DATOS[[#This Row],[NSK Original]]-BASE_DATOS[[#This Row],[NSK]]),"")</f>
        <v/>
      </c>
      <c r="AL41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15" s="366" t="str">
        <f>IFERROR(BASE_DATOS[[#This Row],[Precio US$]]/BASE_DATOS[[#This Row],[Horas Proy.]],"")</f>
        <v/>
      </c>
      <c r="AN415" s="176" t="str">
        <f>IF(OR(BASE_DATOS[[#This Row],[Km.]]="",BASE_DATOS[[#This Row],[Km. Actual]]=""),"",BASE_DATOS[[#This Row],[Km. Actual]]-BASE_DATOS[[#This Row],[Km.]]+BASE_DATOS[[#This Row],[Kilómetros Acumulados]])</f>
        <v/>
      </c>
      <c r="AO415" s="177" t="str">
        <f>IFERROR(BASE_DATOS[[#This Row],[Precio US$]]/BASE_DATOS[[#This Row],[Kilómetros Rodados]],"")</f>
        <v/>
      </c>
      <c r="AP415" s="176" t="str">
        <f>IFERROR(BASE_DATOS[[#This Row],[Kilómetros Rodados]]/(BASE_DATOS[[#This Row],[NSK Original]]-BASE_DATOS[[#This Row],[NSK]]),"")</f>
        <v/>
      </c>
      <c r="AQ41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15" s="177" t="str">
        <f>IFERROR(BASE_DATOS[[#This Row],[Precio US$]]/BASE_DATOS[[#This Row],[Kilómetros Proy.]],"")</f>
        <v/>
      </c>
      <c r="AS415" s="167" t="s">
        <v>62</v>
      </c>
      <c r="AT415" s="167"/>
      <c r="AU415" s="167"/>
      <c r="AV415" s="167" t="s">
        <v>515</v>
      </c>
      <c r="AW415" s="179"/>
      <c r="AX415" s="179"/>
      <c r="AY415" s="179" t="str">
        <f>CONCATENATE(BASE_DATOS[[#This Row],[Código_U]]&amp;BASE_DATOS[[#This Row],[Pos.]]&amp;BASE_DATOS[[#This Row],[Situación Actual]])</f>
        <v>TC-1788Rodando</v>
      </c>
    </row>
    <row r="416" spans="1:51" ht="12" x14ac:dyDescent="0.25">
      <c r="A416" s="227" t="s">
        <v>197</v>
      </c>
      <c r="B416" s="217" t="s">
        <v>198</v>
      </c>
      <c r="C416" s="228" t="s">
        <v>296</v>
      </c>
      <c r="D416" s="229" t="s">
        <v>61</v>
      </c>
      <c r="E416" s="255"/>
      <c r="F416" s="256" t="s">
        <v>273</v>
      </c>
      <c r="G416" s="256" t="s">
        <v>271</v>
      </c>
      <c r="H416" s="257" t="str">
        <f>IF(BASE_DATOS[[#This Row],[N-R]]="N",BASE_DATOS[[#This Row],[Diseño]],"Reencauche")</f>
        <v>XMULTI2D</v>
      </c>
      <c r="I416" s="256" t="s">
        <v>299</v>
      </c>
      <c r="J416" s="243" t="s">
        <v>72</v>
      </c>
      <c r="K416" s="258">
        <v>21.4</v>
      </c>
      <c r="L416" s="241">
        <v>110</v>
      </c>
      <c r="M416" s="259"/>
      <c r="N416" s="260"/>
      <c r="O416" s="277"/>
      <c r="P416" s="278"/>
      <c r="Q416" s="279"/>
      <c r="R416" s="309" t="s">
        <v>106</v>
      </c>
      <c r="S416" s="310">
        <v>45386</v>
      </c>
      <c r="T416" s="313"/>
      <c r="U416" s="279"/>
      <c r="V416" s="227">
        <v>18</v>
      </c>
      <c r="W416" s="281"/>
      <c r="X416" s="282">
        <v>17</v>
      </c>
      <c r="Y416" s="293">
        <f t="shared" si="16"/>
        <v>17</v>
      </c>
      <c r="Z416" s="175" t="s">
        <v>85</v>
      </c>
      <c r="AA416" s="342">
        <f>IFERROR(BASE_DATOS[[#This Row],[NSK Original]]-BASE_DATOS[[#This Row],[NSK]]," ")</f>
        <v>4.3999999999999986</v>
      </c>
      <c r="AB416" s="343">
        <f>'NSK-TRACTO'!$A$2</f>
        <v>6</v>
      </c>
      <c r="AC416" s="343">
        <f>IF(BASE_DATOS[[#This Row],[NSK]]&gt;=BASE_DATOS[[#This Row],[NSK Reen]],BASE_DATOS[[#This Row],[NSK Reen]],BASE_DATOS[[#This Row],[NSK]])</f>
        <v>6</v>
      </c>
      <c r="AD416" s="344">
        <f>IFERROR(100%-(BASE_DATOS[[#This Row],[NSK Reen]]/BASE_DATOS[[#This Row],[NSK Original]]),"")</f>
        <v>0.71962616822429903</v>
      </c>
      <c r="AE416" s="344">
        <f>IFERROR(100%-BASE_DATOS[[#This Row],[NSK]]/BASE_DATOS[[#This Row],[NSK Original]],"")</f>
        <v>0.20560747663551393</v>
      </c>
      <c r="AF416" s="344">
        <f>IFERROR(BASE_DATOS[[#This Row],[% Max Des.]]-BASE_DATOS[[#This Row],[% Des]],"")</f>
        <v>0.5140186915887851</v>
      </c>
      <c r="AG416" s="287"/>
      <c r="AH416" s="273"/>
      <c r="AI416" s="363" t="str">
        <f>IF(OR(BASE_DATOS[[#This Row],[Hr.]]="",BASE_DATOS[[#This Row],[Hr. Actual]]=""),"",BASE_DATOS[[#This Row],[Hr. Actual]]-BASE_DATOS[[#This Row],[Hr.]]+BASE_DATOS[[#This Row],[Horas Acumuladas]])</f>
        <v/>
      </c>
      <c r="AJ416" s="364" t="str">
        <f>IFERROR(BASE_DATOS[[#This Row],[Precio US$]]/BASE_DATOS[[#This Row],[Horas Rodadas]],"")</f>
        <v/>
      </c>
      <c r="AK416" s="365" t="str">
        <f>IFERROR(BASE_DATOS[[#This Row],[Horas Rodadas]]/(BASE_DATOS[[#This Row],[NSK Original]]-BASE_DATOS[[#This Row],[NSK]]),"")</f>
        <v/>
      </c>
      <c r="AL41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16" s="366" t="str">
        <f>IFERROR(BASE_DATOS[[#This Row],[Precio US$]]/BASE_DATOS[[#This Row],[Horas Proy.]],"")</f>
        <v/>
      </c>
      <c r="AN416" s="176" t="str">
        <f>IF(OR(BASE_DATOS[[#This Row],[Km.]]="",BASE_DATOS[[#This Row],[Km. Actual]]=""),"",BASE_DATOS[[#This Row],[Km. Actual]]-BASE_DATOS[[#This Row],[Km.]]+BASE_DATOS[[#This Row],[Kilómetros Acumulados]])</f>
        <v/>
      </c>
      <c r="AO416" s="177" t="str">
        <f>IFERROR(BASE_DATOS[[#This Row],[Precio US$]]/BASE_DATOS[[#This Row],[Kilómetros Rodados]],"")</f>
        <v/>
      </c>
      <c r="AP416" s="176" t="str">
        <f>IFERROR(BASE_DATOS[[#This Row],[Kilómetros Rodados]]/(BASE_DATOS[[#This Row],[NSK Original]]-BASE_DATOS[[#This Row],[NSK]]),"")</f>
        <v/>
      </c>
      <c r="AQ41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16" s="177" t="str">
        <f>IFERROR(BASE_DATOS[[#This Row],[Precio US$]]/BASE_DATOS[[#This Row],[Kilómetros Proy.]],"")</f>
        <v/>
      </c>
      <c r="AS416" s="167" t="s">
        <v>62</v>
      </c>
      <c r="AT416" s="167"/>
      <c r="AU416" s="167"/>
      <c r="AV416" s="167" t="s">
        <v>515</v>
      </c>
      <c r="AW416" s="179"/>
      <c r="AX416" s="179"/>
      <c r="AY416" s="179" t="str">
        <f>CONCATENATE(BASE_DATOS[[#This Row],[Código_U]]&amp;BASE_DATOS[[#This Row],[Pos.]]&amp;BASE_DATOS[[#This Row],[Situación Actual]])</f>
        <v>TC-1789Rodando</v>
      </c>
    </row>
    <row r="417" spans="1:51" ht="12" x14ac:dyDescent="0.25">
      <c r="A417" s="227" t="s">
        <v>197</v>
      </c>
      <c r="B417" s="217" t="s">
        <v>198</v>
      </c>
      <c r="C417" s="228" t="s">
        <v>296</v>
      </c>
      <c r="D417" s="229" t="s">
        <v>61</v>
      </c>
      <c r="E417" s="255"/>
      <c r="F417" s="256" t="s">
        <v>273</v>
      </c>
      <c r="G417" s="256" t="s">
        <v>271</v>
      </c>
      <c r="H417" s="257" t="str">
        <f>IF(BASE_DATOS[[#This Row],[N-R]]="N",BASE_DATOS[[#This Row],[Diseño]],"Reencauche")</f>
        <v>XMULTI2D</v>
      </c>
      <c r="I417" s="256" t="s">
        <v>299</v>
      </c>
      <c r="J417" s="243" t="s">
        <v>72</v>
      </c>
      <c r="K417" s="258">
        <v>21.4</v>
      </c>
      <c r="L417" s="241">
        <v>110</v>
      </c>
      <c r="M417" s="259"/>
      <c r="N417" s="260"/>
      <c r="O417" s="277"/>
      <c r="P417" s="278"/>
      <c r="Q417" s="279"/>
      <c r="R417" s="309" t="s">
        <v>107</v>
      </c>
      <c r="S417" s="310">
        <v>45386</v>
      </c>
      <c r="T417" s="313"/>
      <c r="U417" s="279"/>
      <c r="V417" s="227">
        <v>18</v>
      </c>
      <c r="W417" s="281"/>
      <c r="X417" s="282">
        <v>17</v>
      </c>
      <c r="Y417" s="293">
        <f t="shared" si="16"/>
        <v>17</v>
      </c>
      <c r="Z417" s="175" t="s">
        <v>85</v>
      </c>
      <c r="AA417" s="342">
        <f>IFERROR(BASE_DATOS[[#This Row],[NSK Original]]-BASE_DATOS[[#This Row],[NSK]]," ")</f>
        <v>4.3999999999999986</v>
      </c>
      <c r="AB417" s="343">
        <f>'NSK-TRACTO'!$A$2</f>
        <v>6</v>
      </c>
      <c r="AC417" s="343">
        <f>IF(BASE_DATOS[[#This Row],[NSK]]&gt;=BASE_DATOS[[#This Row],[NSK Reen]],BASE_DATOS[[#This Row],[NSK Reen]],BASE_DATOS[[#This Row],[NSK]])</f>
        <v>6</v>
      </c>
      <c r="AD417" s="344">
        <f>IFERROR(100%-(BASE_DATOS[[#This Row],[NSK Reen]]/BASE_DATOS[[#This Row],[NSK Original]]),"")</f>
        <v>0.71962616822429903</v>
      </c>
      <c r="AE417" s="344">
        <f>IFERROR(100%-BASE_DATOS[[#This Row],[NSK]]/BASE_DATOS[[#This Row],[NSK Original]],"")</f>
        <v>0.20560747663551393</v>
      </c>
      <c r="AF417" s="344">
        <f>IFERROR(BASE_DATOS[[#This Row],[% Max Des.]]-BASE_DATOS[[#This Row],[% Des]],"")</f>
        <v>0.5140186915887851</v>
      </c>
      <c r="AG417" s="287"/>
      <c r="AH417" s="273"/>
      <c r="AI417" s="363" t="str">
        <f>IF(OR(BASE_DATOS[[#This Row],[Hr.]]="",BASE_DATOS[[#This Row],[Hr. Actual]]=""),"",BASE_DATOS[[#This Row],[Hr. Actual]]-BASE_DATOS[[#This Row],[Hr.]]+BASE_DATOS[[#This Row],[Horas Acumuladas]])</f>
        <v/>
      </c>
      <c r="AJ417" s="364" t="str">
        <f>IFERROR(BASE_DATOS[[#This Row],[Precio US$]]/BASE_DATOS[[#This Row],[Horas Rodadas]],"")</f>
        <v/>
      </c>
      <c r="AK417" s="365" t="str">
        <f>IFERROR(BASE_DATOS[[#This Row],[Horas Rodadas]]/(BASE_DATOS[[#This Row],[NSK Original]]-BASE_DATOS[[#This Row],[NSK]]),"")</f>
        <v/>
      </c>
      <c r="AL41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17" s="366" t="str">
        <f>IFERROR(BASE_DATOS[[#This Row],[Precio US$]]/BASE_DATOS[[#This Row],[Horas Proy.]],"")</f>
        <v/>
      </c>
      <c r="AN417" s="176" t="str">
        <f>IF(OR(BASE_DATOS[[#This Row],[Km.]]="",BASE_DATOS[[#This Row],[Km. Actual]]=""),"",BASE_DATOS[[#This Row],[Km. Actual]]-BASE_DATOS[[#This Row],[Km.]]+BASE_DATOS[[#This Row],[Kilómetros Acumulados]])</f>
        <v/>
      </c>
      <c r="AO417" s="177" t="str">
        <f>IFERROR(BASE_DATOS[[#This Row],[Precio US$]]/BASE_DATOS[[#This Row],[Kilómetros Rodados]],"")</f>
        <v/>
      </c>
      <c r="AP417" s="176" t="str">
        <f>IFERROR(BASE_DATOS[[#This Row],[Kilómetros Rodados]]/(BASE_DATOS[[#This Row],[NSK Original]]-BASE_DATOS[[#This Row],[NSK]]),"")</f>
        <v/>
      </c>
      <c r="AQ41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17" s="177" t="str">
        <f>IFERROR(BASE_DATOS[[#This Row],[Precio US$]]/BASE_DATOS[[#This Row],[Kilómetros Proy.]],"")</f>
        <v/>
      </c>
      <c r="AS417" s="167" t="s">
        <v>62</v>
      </c>
      <c r="AT417" s="167"/>
      <c r="AU417" s="167"/>
      <c r="AV417" s="167" t="s">
        <v>515</v>
      </c>
      <c r="AW417" s="179"/>
      <c r="AX417" s="179"/>
      <c r="AY417" s="179" t="str">
        <f>CONCATENATE(BASE_DATOS[[#This Row],[Código_U]]&amp;BASE_DATOS[[#This Row],[Pos.]]&amp;BASE_DATOS[[#This Row],[Situación Actual]])</f>
        <v>TC-17810Rodando</v>
      </c>
    </row>
    <row r="418" spans="1:51" ht="12" x14ac:dyDescent="0.25">
      <c r="A418" s="224" t="s">
        <v>199</v>
      </c>
      <c r="B418" s="213" t="s">
        <v>200</v>
      </c>
      <c r="C418" s="225" t="s">
        <v>295</v>
      </c>
      <c r="D418" s="226" t="s">
        <v>87</v>
      </c>
      <c r="E418" s="249"/>
      <c r="F418" s="250" t="s">
        <v>97</v>
      </c>
      <c r="G418" s="250" t="s">
        <v>269</v>
      </c>
      <c r="H418" s="251" t="str">
        <f>IF(BASE_DATOS[[#This Row],[N-R]]="N",BASE_DATOS[[#This Row],[Diseño]],"Reencauche")</f>
        <v>Reencauche</v>
      </c>
      <c r="I418" s="250" t="s">
        <v>275</v>
      </c>
      <c r="J418" s="235" t="s">
        <v>82</v>
      </c>
      <c r="K418" s="252">
        <v>20</v>
      </c>
      <c r="L418" s="250">
        <v>110</v>
      </c>
      <c r="M418" s="253"/>
      <c r="N418" s="254"/>
      <c r="O418" s="274"/>
      <c r="P418" s="275"/>
      <c r="Q418" s="276"/>
      <c r="R418" s="305" t="s">
        <v>98</v>
      </c>
      <c r="S418" s="306">
        <v>45386</v>
      </c>
      <c r="T418" s="314"/>
      <c r="U418" s="276"/>
      <c r="V418" s="224">
        <v>20</v>
      </c>
      <c r="W418" s="325">
        <v>20</v>
      </c>
      <c r="X418" s="326">
        <v>20</v>
      </c>
      <c r="Y418" s="292">
        <f t="shared" si="16"/>
        <v>20</v>
      </c>
      <c r="Z418" s="194" t="s">
        <v>85</v>
      </c>
      <c r="AA418" s="339">
        <f>IFERROR(BASE_DATOS[[#This Row],[NSK Original]]-BASE_DATOS[[#This Row],[NSK]]," ")</f>
        <v>0</v>
      </c>
      <c r="AB418" s="340">
        <f>'NSK-TRACTO'!$A$2</f>
        <v>6</v>
      </c>
      <c r="AC418" s="340">
        <f>IF(BASE_DATOS[[#This Row],[NSK]]&gt;=BASE_DATOS[[#This Row],[NSK Reen]],BASE_DATOS[[#This Row],[NSK Reen]],BASE_DATOS[[#This Row],[NSK]])</f>
        <v>6</v>
      </c>
      <c r="AD418" s="341">
        <f>IFERROR(100%-(BASE_DATOS[[#This Row],[NSK Reen]]/BASE_DATOS[[#This Row],[NSK Original]]),"")</f>
        <v>0.7</v>
      </c>
      <c r="AE418" s="341">
        <f>IFERROR(100%-BASE_DATOS[[#This Row],[NSK]]/BASE_DATOS[[#This Row],[NSK Original]],"")</f>
        <v>0</v>
      </c>
      <c r="AF418" s="341">
        <f>IFERROR(BASE_DATOS[[#This Row],[% Max Des.]]-BASE_DATOS[[#This Row],[% Des]],"")</f>
        <v>0.7</v>
      </c>
      <c r="AG418" s="284"/>
      <c r="AH418" s="335"/>
      <c r="AI418" s="359" t="str">
        <f>IF(OR(BASE_DATOS[[#This Row],[Hr.]]="",BASE_DATOS[[#This Row],[Hr. Actual]]=""),"",BASE_DATOS[[#This Row],[Hr. Actual]]-BASE_DATOS[[#This Row],[Hr.]]+BASE_DATOS[[#This Row],[Horas Acumuladas]])</f>
        <v/>
      </c>
      <c r="AJ418" s="360" t="str">
        <f>IFERROR(BASE_DATOS[[#This Row],[Precio US$]]/BASE_DATOS[[#This Row],[Horas Rodadas]],"")</f>
        <v/>
      </c>
      <c r="AK418" s="361" t="str">
        <f>IFERROR(BASE_DATOS[[#This Row],[Horas Rodadas]]/(BASE_DATOS[[#This Row],[NSK Original]]-BASE_DATOS[[#This Row],[NSK]]),"")</f>
        <v/>
      </c>
      <c r="AL418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18" s="362" t="str">
        <f>IFERROR(BASE_DATOS[[#This Row],[Precio US$]]/BASE_DATOS[[#This Row],[Horas Proy.]],"")</f>
        <v/>
      </c>
      <c r="AN418" s="195" t="str">
        <f>IF(OR(BASE_DATOS[[#This Row],[Km.]]="",BASE_DATOS[[#This Row],[Km. Actual]]=""),"",BASE_DATOS[[#This Row],[Km. Actual]]-BASE_DATOS[[#This Row],[Km.]]+BASE_DATOS[[#This Row],[Kilómetros Acumulados]])</f>
        <v/>
      </c>
      <c r="AO418" s="196" t="str">
        <f>IFERROR(BASE_DATOS[[#This Row],[Precio US$]]/BASE_DATOS[[#This Row],[Kilómetros Rodados]],"")</f>
        <v/>
      </c>
      <c r="AP418" s="195" t="str">
        <f>IFERROR(BASE_DATOS[[#This Row],[Kilómetros Rodados]]/(BASE_DATOS[[#This Row],[NSK Original]]-BASE_DATOS[[#This Row],[NSK]]),"")</f>
        <v/>
      </c>
      <c r="AQ418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18" s="196" t="str">
        <f>IFERROR(BASE_DATOS[[#This Row],[Precio US$]]/BASE_DATOS[[#This Row],[Kilómetros Proy.]],"")</f>
        <v/>
      </c>
      <c r="AS418" s="191" t="s">
        <v>62</v>
      </c>
      <c r="AT418" s="191"/>
      <c r="AU418" s="191"/>
      <c r="AV418" s="191"/>
      <c r="AW418" s="198"/>
      <c r="AX418" s="198"/>
      <c r="AY418" s="198" t="str">
        <f>CONCATENATE(BASE_DATOS[[#This Row],[Código_U]]&amp;BASE_DATOS[[#This Row],[Pos.]]&amp;BASE_DATOS[[#This Row],[Situación Actual]])</f>
        <v>SR-1781Rodando</v>
      </c>
    </row>
    <row r="419" spans="1:51" ht="12" x14ac:dyDescent="0.25">
      <c r="A419" s="227" t="s">
        <v>199</v>
      </c>
      <c r="B419" s="217" t="s">
        <v>200</v>
      </c>
      <c r="C419" s="228" t="s">
        <v>295</v>
      </c>
      <c r="D419" s="229" t="s">
        <v>87</v>
      </c>
      <c r="E419" s="255"/>
      <c r="F419" s="256" t="s">
        <v>97</v>
      </c>
      <c r="G419" s="256" t="s">
        <v>269</v>
      </c>
      <c r="H419" s="257" t="str">
        <f>IF(BASE_DATOS[[#This Row],[N-R]]="N",BASE_DATOS[[#This Row],[Diseño]],"Reencauche")</f>
        <v>Reencauche</v>
      </c>
      <c r="I419" s="256" t="s">
        <v>275</v>
      </c>
      <c r="J419" s="243" t="s">
        <v>82</v>
      </c>
      <c r="K419" s="258">
        <v>21</v>
      </c>
      <c r="L419" s="256">
        <v>110</v>
      </c>
      <c r="M419" s="259"/>
      <c r="N419" s="260"/>
      <c r="O419" s="277"/>
      <c r="P419" s="278"/>
      <c r="Q419" s="279"/>
      <c r="R419" s="309" t="s">
        <v>99</v>
      </c>
      <c r="S419" s="310">
        <v>45386</v>
      </c>
      <c r="T419" s="313"/>
      <c r="U419" s="279"/>
      <c r="V419" s="227">
        <v>20</v>
      </c>
      <c r="W419" s="281">
        <v>20</v>
      </c>
      <c r="X419" s="282">
        <v>20</v>
      </c>
      <c r="Y419" s="293">
        <f t="shared" si="16"/>
        <v>20</v>
      </c>
      <c r="Z419" s="175" t="s">
        <v>85</v>
      </c>
      <c r="AA419" s="342">
        <f>IFERROR(BASE_DATOS[[#This Row],[NSK Original]]-BASE_DATOS[[#This Row],[NSK]]," ")</f>
        <v>1</v>
      </c>
      <c r="AB419" s="343">
        <f>'NSK-TRACTO'!$A$2</f>
        <v>6</v>
      </c>
      <c r="AC419" s="343">
        <f>IF(BASE_DATOS[[#This Row],[NSK]]&gt;=BASE_DATOS[[#This Row],[NSK Reen]],BASE_DATOS[[#This Row],[NSK Reen]],BASE_DATOS[[#This Row],[NSK]])</f>
        <v>6</v>
      </c>
      <c r="AD419" s="344">
        <f>IFERROR(100%-(BASE_DATOS[[#This Row],[NSK Reen]]/BASE_DATOS[[#This Row],[NSK Original]]),"")</f>
        <v>0.7142857142857143</v>
      </c>
      <c r="AE419" s="344">
        <f>IFERROR(100%-BASE_DATOS[[#This Row],[NSK]]/BASE_DATOS[[#This Row],[NSK Original]],"")</f>
        <v>4.7619047619047672E-2</v>
      </c>
      <c r="AF419" s="344">
        <f>IFERROR(BASE_DATOS[[#This Row],[% Max Des.]]-BASE_DATOS[[#This Row],[% Des]],"")</f>
        <v>0.66666666666666663</v>
      </c>
      <c r="AG419" s="287"/>
      <c r="AH419" s="273"/>
      <c r="AI419" s="363" t="str">
        <f>IF(OR(BASE_DATOS[[#This Row],[Hr.]]="",BASE_DATOS[[#This Row],[Hr. Actual]]=""),"",BASE_DATOS[[#This Row],[Hr. Actual]]-BASE_DATOS[[#This Row],[Hr.]]+BASE_DATOS[[#This Row],[Horas Acumuladas]])</f>
        <v/>
      </c>
      <c r="AJ419" s="364" t="str">
        <f>IFERROR(BASE_DATOS[[#This Row],[Precio US$]]/BASE_DATOS[[#This Row],[Horas Rodadas]],"")</f>
        <v/>
      </c>
      <c r="AK419" s="365" t="str">
        <f>IFERROR(BASE_DATOS[[#This Row],[Horas Rodadas]]/(BASE_DATOS[[#This Row],[NSK Original]]-BASE_DATOS[[#This Row],[NSK]]),"")</f>
        <v/>
      </c>
      <c r="AL41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19" s="366" t="str">
        <f>IFERROR(BASE_DATOS[[#This Row],[Precio US$]]/BASE_DATOS[[#This Row],[Horas Proy.]],"")</f>
        <v/>
      </c>
      <c r="AN419" s="176" t="str">
        <f>IF(OR(BASE_DATOS[[#This Row],[Km.]]="",BASE_DATOS[[#This Row],[Km. Actual]]=""),"",BASE_DATOS[[#This Row],[Km. Actual]]-BASE_DATOS[[#This Row],[Km.]]+BASE_DATOS[[#This Row],[Kilómetros Acumulados]])</f>
        <v/>
      </c>
      <c r="AO419" s="177" t="str">
        <f>IFERROR(BASE_DATOS[[#This Row],[Precio US$]]/BASE_DATOS[[#This Row],[Kilómetros Rodados]],"")</f>
        <v/>
      </c>
      <c r="AP419" s="176" t="str">
        <f>IFERROR(BASE_DATOS[[#This Row],[Kilómetros Rodados]]/(BASE_DATOS[[#This Row],[NSK Original]]-BASE_DATOS[[#This Row],[NSK]]),"")</f>
        <v/>
      </c>
      <c r="AQ41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19" s="177" t="str">
        <f>IFERROR(BASE_DATOS[[#This Row],[Precio US$]]/BASE_DATOS[[#This Row],[Kilómetros Proy.]],"")</f>
        <v/>
      </c>
      <c r="AS419" s="167" t="s">
        <v>62</v>
      </c>
      <c r="AT419" s="167"/>
      <c r="AU419" s="167"/>
      <c r="AV419" s="167"/>
      <c r="AW419" s="179"/>
      <c r="AX419" s="179"/>
      <c r="AY419" s="179" t="str">
        <f>CONCATENATE(BASE_DATOS[[#This Row],[Código_U]]&amp;BASE_DATOS[[#This Row],[Pos.]]&amp;BASE_DATOS[[#This Row],[Situación Actual]])</f>
        <v>SR-1782Rodando</v>
      </c>
    </row>
    <row r="420" spans="1:51" ht="12" x14ac:dyDescent="0.25">
      <c r="A420" s="227" t="s">
        <v>199</v>
      </c>
      <c r="B420" s="217" t="s">
        <v>200</v>
      </c>
      <c r="C420" s="228" t="s">
        <v>295</v>
      </c>
      <c r="D420" s="229" t="s">
        <v>87</v>
      </c>
      <c r="E420" s="255"/>
      <c r="F420" s="256" t="s">
        <v>97</v>
      </c>
      <c r="G420" s="256" t="s">
        <v>269</v>
      </c>
      <c r="H420" s="257" t="str">
        <f>IF(BASE_DATOS[[#This Row],[N-R]]="N",BASE_DATOS[[#This Row],[Diseño]],"Reencauche")</f>
        <v>Reencauche</v>
      </c>
      <c r="I420" s="256" t="s">
        <v>270</v>
      </c>
      <c r="J420" s="243" t="s">
        <v>495</v>
      </c>
      <c r="K420" s="258">
        <v>16.5</v>
      </c>
      <c r="L420" s="256">
        <v>110</v>
      </c>
      <c r="M420" s="259"/>
      <c r="N420" s="260"/>
      <c r="O420" s="277"/>
      <c r="P420" s="278"/>
      <c r="Q420" s="279"/>
      <c r="R420" s="309" t="s">
        <v>100</v>
      </c>
      <c r="S420" s="310">
        <v>45386</v>
      </c>
      <c r="T420" s="313"/>
      <c r="U420" s="279"/>
      <c r="V420" s="227">
        <v>15</v>
      </c>
      <c r="W420" s="281">
        <v>15</v>
      </c>
      <c r="X420" s="282">
        <v>15</v>
      </c>
      <c r="Y420" s="293">
        <f t="shared" si="16"/>
        <v>15</v>
      </c>
      <c r="Z420" s="175" t="s">
        <v>85</v>
      </c>
      <c r="AA420" s="342">
        <f>IFERROR(BASE_DATOS[[#This Row],[NSK Original]]-BASE_DATOS[[#This Row],[NSK]]," ")</f>
        <v>1.5</v>
      </c>
      <c r="AB420" s="343">
        <f>'NSK-TRACTO'!$A$2</f>
        <v>6</v>
      </c>
      <c r="AC420" s="343">
        <f>IF(BASE_DATOS[[#This Row],[NSK]]&gt;=BASE_DATOS[[#This Row],[NSK Reen]],BASE_DATOS[[#This Row],[NSK Reen]],BASE_DATOS[[#This Row],[NSK]])</f>
        <v>6</v>
      </c>
      <c r="AD420" s="344">
        <f>IFERROR(100%-(BASE_DATOS[[#This Row],[NSK Reen]]/BASE_DATOS[[#This Row],[NSK Original]]),"")</f>
        <v>0.63636363636363635</v>
      </c>
      <c r="AE420" s="344">
        <f>IFERROR(100%-BASE_DATOS[[#This Row],[NSK]]/BASE_DATOS[[#This Row],[NSK Original]],"")</f>
        <v>9.0909090909090939E-2</v>
      </c>
      <c r="AF420" s="344">
        <f>IFERROR(BASE_DATOS[[#This Row],[% Max Des.]]-BASE_DATOS[[#This Row],[% Des]],"")</f>
        <v>0.54545454545454541</v>
      </c>
      <c r="AG420" s="287"/>
      <c r="AH420" s="273"/>
      <c r="AI420" s="363" t="str">
        <f>IF(OR(BASE_DATOS[[#This Row],[Hr.]]="",BASE_DATOS[[#This Row],[Hr. Actual]]=""),"",BASE_DATOS[[#This Row],[Hr. Actual]]-BASE_DATOS[[#This Row],[Hr.]]+BASE_DATOS[[#This Row],[Horas Acumuladas]])</f>
        <v/>
      </c>
      <c r="AJ420" s="364" t="str">
        <f>IFERROR(BASE_DATOS[[#This Row],[Precio US$]]/BASE_DATOS[[#This Row],[Horas Rodadas]],"")</f>
        <v/>
      </c>
      <c r="AK420" s="365" t="str">
        <f>IFERROR(BASE_DATOS[[#This Row],[Horas Rodadas]]/(BASE_DATOS[[#This Row],[NSK Original]]-BASE_DATOS[[#This Row],[NSK]]),"")</f>
        <v/>
      </c>
      <c r="AL42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20" s="366" t="str">
        <f>IFERROR(BASE_DATOS[[#This Row],[Precio US$]]/BASE_DATOS[[#This Row],[Horas Proy.]],"")</f>
        <v/>
      </c>
      <c r="AN420" s="176" t="str">
        <f>IF(OR(BASE_DATOS[[#This Row],[Km.]]="",BASE_DATOS[[#This Row],[Km. Actual]]=""),"",BASE_DATOS[[#This Row],[Km. Actual]]-BASE_DATOS[[#This Row],[Km.]]+BASE_DATOS[[#This Row],[Kilómetros Acumulados]])</f>
        <v/>
      </c>
      <c r="AO420" s="177" t="str">
        <f>IFERROR(BASE_DATOS[[#This Row],[Precio US$]]/BASE_DATOS[[#This Row],[Kilómetros Rodados]],"")</f>
        <v/>
      </c>
      <c r="AP420" s="176" t="str">
        <f>IFERROR(BASE_DATOS[[#This Row],[Kilómetros Rodados]]/(BASE_DATOS[[#This Row],[NSK Original]]-BASE_DATOS[[#This Row],[NSK]]),"")</f>
        <v/>
      </c>
      <c r="AQ42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20" s="177" t="str">
        <f>IFERROR(BASE_DATOS[[#This Row],[Precio US$]]/BASE_DATOS[[#This Row],[Kilómetros Proy.]],"")</f>
        <v/>
      </c>
      <c r="AS420" s="167" t="s">
        <v>62</v>
      </c>
      <c r="AT420" s="167"/>
      <c r="AU420" s="167"/>
      <c r="AV420" s="167" t="s">
        <v>515</v>
      </c>
      <c r="AW420" s="179"/>
      <c r="AX420" s="179"/>
      <c r="AY420" s="179" t="str">
        <f>CONCATENATE(BASE_DATOS[[#This Row],[Código_U]]&amp;BASE_DATOS[[#This Row],[Pos.]]&amp;BASE_DATOS[[#This Row],[Situación Actual]])</f>
        <v>SR-1783Rodando</v>
      </c>
    </row>
    <row r="421" spans="1:51" ht="12" x14ac:dyDescent="0.25">
      <c r="A421" s="227" t="s">
        <v>199</v>
      </c>
      <c r="B421" s="217" t="s">
        <v>200</v>
      </c>
      <c r="C421" s="228" t="s">
        <v>295</v>
      </c>
      <c r="D421" s="229" t="s">
        <v>87</v>
      </c>
      <c r="E421" s="255"/>
      <c r="F421" s="256" t="s">
        <v>97</v>
      </c>
      <c r="G421" s="256" t="s">
        <v>269</v>
      </c>
      <c r="H421" s="257" t="str">
        <f>IF(BASE_DATOS[[#This Row],[N-R]]="N",BASE_DATOS[[#This Row],[Diseño]],"Reencauche")</f>
        <v>Reencauche</v>
      </c>
      <c r="I421" s="256" t="s">
        <v>270</v>
      </c>
      <c r="J421" s="243" t="s">
        <v>495</v>
      </c>
      <c r="K421" s="258">
        <v>16.5</v>
      </c>
      <c r="L421" s="256">
        <v>110</v>
      </c>
      <c r="M421" s="259"/>
      <c r="N421" s="260"/>
      <c r="O421" s="277"/>
      <c r="P421" s="278"/>
      <c r="Q421" s="279"/>
      <c r="R421" s="309" t="s">
        <v>101</v>
      </c>
      <c r="S421" s="310">
        <v>45386</v>
      </c>
      <c r="T421" s="313"/>
      <c r="U421" s="279"/>
      <c r="V421" s="227">
        <v>15</v>
      </c>
      <c r="W421" s="281">
        <v>15</v>
      </c>
      <c r="X421" s="282">
        <v>15</v>
      </c>
      <c r="Y421" s="293">
        <f t="shared" si="16"/>
        <v>15</v>
      </c>
      <c r="Z421" s="175" t="s">
        <v>85</v>
      </c>
      <c r="AA421" s="342">
        <f>IFERROR(BASE_DATOS[[#This Row],[NSK Original]]-BASE_DATOS[[#This Row],[NSK]]," ")</f>
        <v>1.5</v>
      </c>
      <c r="AB421" s="343">
        <f>'NSK-TRACTO'!$A$2</f>
        <v>6</v>
      </c>
      <c r="AC421" s="343">
        <f>IF(BASE_DATOS[[#This Row],[NSK]]&gt;=BASE_DATOS[[#This Row],[NSK Reen]],BASE_DATOS[[#This Row],[NSK Reen]],BASE_DATOS[[#This Row],[NSK]])</f>
        <v>6</v>
      </c>
      <c r="AD421" s="344">
        <f>IFERROR(100%-(BASE_DATOS[[#This Row],[NSK Reen]]/BASE_DATOS[[#This Row],[NSK Original]]),"")</f>
        <v>0.63636363636363635</v>
      </c>
      <c r="AE421" s="344">
        <f>IFERROR(100%-BASE_DATOS[[#This Row],[NSK]]/BASE_DATOS[[#This Row],[NSK Original]],"")</f>
        <v>9.0909090909090939E-2</v>
      </c>
      <c r="AF421" s="344">
        <f>IFERROR(BASE_DATOS[[#This Row],[% Max Des.]]-BASE_DATOS[[#This Row],[% Des]],"")</f>
        <v>0.54545454545454541</v>
      </c>
      <c r="AG421" s="287"/>
      <c r="AH421" s="273"/>
      <c r="AI421" s="363" t="str">
        <f>IF(OR(BASE_DATOS[[#This Row],[Hr.]]="",BASE_DATOS[[#This Row],[Hr. Actual]]=""),"",BASE_DATOS[[#This Row],[Hr. Actual]]-BASE_DATOS[[#This Row],[Hr.]]+BASE_DATOS[[#This Row],[Horas Acumuladas]])</f>
        <v/>
      </c>
      <c r="AJ421" s="364" t="str">
        <f>IFERROR(BASE_DATOS[[#This Row],[Precio US$]]/BASE_DATOS[[#This Row],[Horas Rodadas]],"")</f>
        <v/>
      </c>
      <c r="AK421" s="365" t="str">
        <f>IFERROR(BASE_DATOS[[#This Row],[Horas Rodadas]]/(BASE_DATOS[[#This Row],[NSK Original]]-BASE_DATOS[[#This Row],[NSK]]),"")</f>
        <v/>
      </c>
      <c r="AL42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21" s="366" t="str">
        <f>IFERROR(BASE_DATOS[[#This Row],[Precio US$]]/BASE_DATOS[[#This Row],[Horas Proy.]],"")</f>
        <v/>
      </c>
      <c r="AN421" s="176" t="str">
        <f>IF(OR(BASE_DATOS[[#This Row],[Km.]]="",BASE_DATOS[[#This Row],[Km. Actual]]=""),"",BASE_DATOS[[#This Row],[Km. Actual]]-BASE_DATOS[[#This Row],[Km.]]+BASE_DATOS[[#This Row],[Kilómetros Acumulados]])</f>
        <v/>
      </c>
      <c r="AO421" s="177" t="str">
        <f>IFERROR(BASE_DATOS[[#This Row],[Precio US$]]/BASE_DATOS[[#This Row],[Kilómetros Rodados]],"")</f>
        <v/>
      </c>
      <c r="AP421" s="176" t="str">
        <f>IFERROR(BASE_DATOS[[#This Row],[Kilómetros Rodados]]/(BASE_DATOS[[#This Row],[NSK Original]]-BASE_DATOS[[#This Row],[NSK]]),"")</f>
        <v/>
      </c>
      <c r="AQ42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21" s="177" t="str">
        <f>IFERROR(BASE_DATOS[[#This Row],[Precio US$]]/BASE_DATOS[[#This Row],[Kilómetros Proy.]],"")</f>
        <v/>
      </c>
      <c r="AS421" s="167" t="s">
        <v>62</v>
      </c>
      <c r="AT421" s="167"/>
      <c r="AU421" s="167"/>
      <c r="AV421" s="167" t="s">
        <v>515</v>
      </c>
      <c r="AW421" s="179"/>
      <c r="AX421" s="179"/>
      <c r="AY421" s="179" t="str">
        <f>CONCATENATE(BASE_DATOS[[#This Row],[Código_U]]&amp;BASE_DATOS[[#This Row],[Pos.]]&amp;BASE_DATOS[[#This Row],[Situación Actual]])</f>
        <v>SR-1784Rodando</v>
      </c>
    </row>
    <row r="422" spans="1:51" ht="12" x14ac:dyDescent="0.25">
      <c r="A422" s="227" t="s">
        <v>199</v>
      </c>
      <c r="B422" s="217" t="s">
        <v>200</v>
      </c>
      <c r="C422" s="228" t="s">
        <v>295</v>
      </c>
      <c r="D422" s="229" t="s">
        <v>87</v>
      </c>
      <c r="E422" s="255"/>
      <c r="F422" s="256" t="s">
        <v>97</v>
      </c>
      <c r="G422" s="256" t="s">
        <v>269</v>
      </c>
      <c r="H422" s="257" t="str">
        <f>IF(BASE_DATOS[[#This Row],[N-R]]="N",BASE_DATOS[[#This Row],[Diseño]],"Reencauche")</f>
        <v>AGC28</v>
      </c>
      <c r="I422" s="256" t="s">
        <v>270</v>
      </c>
      <c r="J422" s="243" t="s">
        <v>72</v>
      </c>
      <c r="K422" s="258">
        <v>16.5</v>
      </c>
      <c r="L422" s="256">
        <v>110</v>
      </c>
      <c r="M422" s="259"/>
      <c r="N422" s="260"/>
      <c r="O422" s="277"/>
      <c r="P422" s="278"/>
      <c r="Q422" s="279"/>
      <c r="R422" s="309" t="s">
        <v>102</v>
      </c>
      <c r="S422" s="310">
        <v>45386</v>
      </c>
      <c r="T422" s="313"/>
      <c r="U422" s="279"/>
      <c r="V422" s="227">
        <v>8</v>
      </c>
      <c r="W422" s="281">
        <v>8</v>
      </c>
      <c r="X422" s="282">
        <v>8</v>
      </c>
      <c r="Y422" s="293">
        <f t="shared" si="16"/>
        <v>8</v>
      </c>
      <c r="Z422" s="175" t="s">
        <v>85</v>
      </c>
      <c r="AA422" s="342">
        <f>IFERROR(BASE_DATOS[[#This Row],[NSK Original]]-BASE_DATOS[[#This Row],[NSK]]," ")</f>
        <v>8.5</v>
      </c>
      <c r="AB422" s="343">
        <f>'NSK-TRACTO'!$A$2</f>
        <v>6</v>
      </c>
      <c r="AC422" s="343">
        <f>IF(BASE_DATOS[[#This Row],[NSK]]&gt;=BASE_DATOS[[#This Row],[NSK Reen]],BASE_DATOS[[#This Row],[NSK Reen]],BASE_DATOS[[#This Row],[NSK]])</f>
        <v>6</v>
      </c>
      <c r="AD422" s="344">
        <f>IFERROR(100%-(BASE_DATOS[[#This Row],[NSK Reen]]/BASE_DATOS[[#This Row],[NSK Original]]),"")</f>
        <v>0.63636363636363635</v>
      </c>
      <c r="AE422" s="344">
        <f>IFERROR(100%-BASE_DATOS[[#This Row],[NSK]]/BASE_DATOS[[#This Row],[NSK Original]],"")</f>
        <v>0.51515151515151514</v>
      </c>
      <c r="AF422" s="344">
        <f>IFERROR(BASE_DATOS[[#This Row],[% Max Des.]]-BASE_DATOS[[#This Row],[% Des]],"")</f>
        <v>0.12121212121212122</v>
      </c>
      <c r="AG422" s="287"/>
      <c r="AH422" s="273"/>
      <c r="AI422" s="363" t="str">
        <f>IF(OR(BASE_DATOS[[#This Row],[Hr.]]="",BASE_DATOS[[#This Row],[Hr. Actual]]=""),"",BASE_DATOS[[#This Row],[Hr. Actual]]-BASE_DATOS[[#This Row],[Hr.]]+BASE_DATOS[[#This Row],[Horas Acumuladas]])</f>
        <v/>
      </c>
      <c r="AJ422" s="364" t="str">
        <f>IFERROR(BASE_DATOS[[#This Row],[Precio US$]]/BASE_DATOS[[#This Row],[Horas Rodadas]],"")</f>
        <v/>
      </c>
      <c r="AK422" s="365" t="str">
        <f>IFERROR(BASE_DATOS[[#This Row],[Horas Rodadas]]/(BASE_DATOS[[#This Row],[NSK Original]]-BASE_DATOS[[#This Row],[NSK]]),"")</f>
        <v/>
      </c>
      <c r="AL42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22" s="366" t="str">
        <f>IFERROR(BASE_DATOS[[#This Row],[Precio US$]]/BASE_DATOS[[#This Row],[Horas Proy.]],"")</f>
        <v/>
      </c>
      <c r="AN422" s="176" t="str">
        <f>IF(OR(BASE_DATOS[[#This Row],[Km.]]="",BASE_DATOS[[#This Row],[Km. Actual]]=""),"",BASE_DATOS[[#This Row],[Km. Actual]]-BASE_DATOS[[#This Row],[Km.]]+BASE_DATOS[[#This Row],[Kilómetros Acumulados]])</f>
        <v/>
      </c>
      <c r="AO422" s="177" t="str">
        <f>IFERROR(BASE_DATOS[[#This Row],[Precio US$]]/BASE_DATOS[[#This Row],[Kilómetros Rodados]],"")</f>
        <v/>
      </c>
      <c r="AP422" s="176" t="str">
        <f>IFERROR(BASE_DATOS[[#This Row],[Kilómetros Rodados]]/(BASE_DATOS[[#This Row],[NSK Original]]-BASE_DATOS[[#This Row],[NSK]]),"")</f>
        <v/>
      </c>
      <c r="AQ42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22" s="177" t="str">
        <f>IFERROR(BASE_DATOS[[#This Row],[Precio US$]]/BASE_DATOS[[#This Row],[Kilómetros Proy.]],"")</f>
        <v/>
      </c>
      <c r="AS422" s="167" t="s">
        <v>62</v>
      </c>
      <c r="AT422" s="167"/>
      <c r="AU422" s="167"/>
      <c r="AV422" s="167" t="s">
        <v>515</v>
      </c>
      <c r="AW422" s="179"/>
      <c r="AX422" s="179"/>
      <c r="AY422" s="179" t="str">
        <f>CONCATENATE(BASE_DATOS[[#This Row],[Código_U]]&amp;BASE_DATOS[[#This Row],[Pos.]]&amp;BASE_DATOS[[#This Row],[Situación Actual]])</f>
        <v>SR-1785Rodando</v>
      </c>
    </row>
    <row r="423" spans="1:51" ht="12" x14ac:dyDescent="0.25">
      <c r="A423" s="227" t="s">
        <v>199</v>
      </c>
      <c r="B423" s="217" t="s">
        <v>200</v>
      </c>
      <c r="C423" s="228" t="s">
        <v>295</v>
      </c>
      <c r="D423" s="229" t="s">
        <v>87</v>
      </c>
      <c r="E423" s="255"/>
      <c r="F423" s="256" t="s">
        <v>97</v>
      </c>
      <c r="G423" s="256" t="s">
        <v>269</v>
      </c>
      <c r="H423" s="257" t="str">
        <f>IF(BASE_DATOS[[#This Row],[N-R]]="N",BASE_DATOS[[#This Row],[Diseño]],"Reencauche")</f>
        <v>AGC28</v>
      </c>
      <c r="I423" s="256" t="s">
        <v>270</v>
      </c>
      <c r="J423" s="243" t="s">
        <v>72</v>
      </c>
      <c r="K423" s="258">
        <v>16.5</v>
      </c>
      <c r="L423" s="256">
        <v>110</v>
      </c>
      <c r="M423" s="259"/>
      <c r="N423" s="260"/>
      <c r="O423" s="277"/>
      <c r="P423" s="278"/>
      <c r="Q423" s="279"/>
      <c r="R423" s="309" t="s">
        <v>103</v>
      </c>
      <c r="S423" s="310">
        <v>45386</v>
      </c>
      <c r="T423" s="313"/>
      <c r="U423" s="279"/>
      <c r="V423" s="227">
        <v>9</v>
      </c>
      <c r="W423" s="281">
        <v>8</v>
      </c>
      <c r="X423" s="282">
        <v>8</v>
      </c>
      <c r="Y423" s="293">
        <f t="shared" si="16"/>
        <v>8</v>
      </c>
      <c r="Z423" s="175" t="s">
        <v>85</v>
      </c>
      <c r="AA423" s="342">
        <f>IFERROR(BASE_DATOS[[#This Row],[NSK Original]]-BASE_DATOS[[#This Row],[NSK]]," ")</f>
        <v>8.5</v>
      </c>
      <c r="AB423" s="343">
        <f>'NSK-TRACTO'!$A$2</f>
        <v>6</v>
      </c>
      <c r="AC423" s="343">
        <f>IF(BASE_DATOS[[#This Row],[NSK]]&gt;=BASE_DATOS[[#This Row],[NSK Reen]],BASE_DATOS[[#This Row],[NSK Reen]],BASE_DATOS[[#This Row],[NSK]])</f>
        <v>6</v>
      </c>
      <c r="AD423" s="344">
        <f>IFERROR(100%-(BASE_DATOS[[#This Row],[NSK Reen]]/BASE_DATOS[[#This Row],[NSK Original]]),"")</f>
        <v>0.63636363636363635</v>
      </c>
      <c r="AE423" s="344">
        <f>IFERROR(100%-BASE_DATOS[[#This Row],[NSK]]/BASE_DATOS[[#This Row],[NSK Original]],"")</f>
        <v>0.51515151515151514</v>
      </c>
      <c r="AF423" s="344">
        <f>IFERROR(BASE_DATOS[[#This Row],[% Max Des.]]-BASE_DATOS[[#This Row],[% Des]],"")</f>
        <v>0.12121212121212122</v>
      </c>
      <c r="AG423" s="287"/>
      <c r="AH423" s="273"/>
      <c r="AI423" s="363" t="str">
        <f>IF(OR(BASE_DATOS[[#This Row],[Hr.]]="",BASE_DATOS[[#This Row],[Hr. Actual]]=""),"",BASE_DATOS[[#This Row],[Hr. Actual]]-BASE_DATOS[[#This Row],[Hr.]]+BASE_DATOS[[#This Row],[Horas Acumuladas]])</f>
        <v/>
      </c>
      <c r="AJ423" s="364" t="str">
        <f>IFERROR(BASE_DATOS[[#This Row],[Precio US$]]/BASE_DATOS[[#This Row],[Horas Rodadas]],"")</f>
        <v/>
      </c>
      <c r="AK423" s="365" t="str">
        <f>IFERROR(BASE_DATOS[[#This Row],[Horas Rodadas]]/(BASE_DATOS[[#This Row],[NSK Original]]-BASE_DATOS[[#This Row],[NSK]]),"")</f>
        <v/>
      </c>
      <c r="AL42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23" s="366" t="str">
        <f>IFERROR(BASE_DATOS[[#This Row],[Precio US$]]/BASE_DATOS[[#This Row],[Horas Proy.]],"")</f>
        <v/>
      </c>
      <c r="AN423" s="176" t="str">
        <f>IF(OR(BASE_DATOS[[#This Row],[Km.]]="",BASE_DATOS[[#This Row],[Km. Actual]]=""),"",BASE_DATOS[[#This Row],[Km. Actual]]-BASE_DATOS[[#This Row],[Km.]]+BASE_DATOS[[#This Row],[Kilómetros Acumulados]])</f>
        <v/>
      </c>
      <c r="AO423" s="177" t="str">
        <f>IFERROR(BASE_DATOS[[#This Row],[Precio US$]]/BASE_DATOS[[#This Row],[Kilómetros Rodados]],"")</f>
        <v/>
      </c>
      <c r="AP423" s="176" t="str">
        <f>IFERROR(BASE_DATOS[[#This Row],[Kilómetros Rodados]]/(BASE_DATOS[[#This Row],[NSK Original]]-BASE_DATOS[[#This Row],[NSK]]),"")</f>
        <v/>
      </c>
      <c r="AQ42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23" s="177" t="str">
        <f>IFERROR(BASE_DATOS[[#This Row],[Precio US$]]/BASE_DATOS[[#This Row],[Kilómetros Proy.]],"")</f>
        <v/>
      </c>
      <c r="AS423" s="167" t="s">
        <v>62</v>
      </c>
      <c r="AT423" s="167"/>
      <c r="AU423" s="167"/>
      <c r="AV423" s="167" t="s">
        <v>515</v>
      </c>
      <c r="AW423" s="179"/>
      <c r="AX423" s="179"/>
      <c r="AY423" s="179" t="str">
        <f>CONCATENATE(BASE_DATOS[[#This Row],[Código_U]]&amp;BASE_DATOS[[#This Row],[Pos.]]&amp;BASE_DATOS[[#This Row],[Situación Actual]])</f>
        <v>SR-1786Rodando</v>
      </c>
    </row>
    <row r="424" spans="1:51" ht="12" x14ac:dyDescent="0.25">
      <c r="A424" s="227" t="s">
        <v>199</v>
      </c>
      <c r="B424" s="217" t="s">
        <v>200</v>
      </c>
      <c r="C424" s="228" t="s">
        <v>295</v>
      </c>
      <c r="D424" s="229" t="s">
        <v>384</v>
      </c>
      <c r="E424" s="255"/>
      <c r="F424" s="256" t="s">
        <v>97</v>
      </c>
      <c r="G424" s="256" t="s">
        <v>269</v>
      </c>
      <c r="H424" s="257" t="str">
        <f>IF(BASE_DATOS[[#This Row],[N-R]]="N",BASE_DATOS[[#This Row],[Diseño]],"Reencauche")</f>
        <v>AGC28</v>
      </c>
      <c r="I424" s="256" t="s">
        <v>270</v>
      </c>
      <c r="J424" s="243" t="s">
        <v>72</v>
      </c>
      <c r="K424" s="258">
        <v>16.5</v>
      </c>
      <c r="L424" s="256">
        <v>110</v>
      </c>
      <c r="M424" s="259"/>
      <c r="N424" s="260"/>
      <c r="O424" s="277"/>
      <c r="P424" s="278"/>
      <c r="Q424" s="279"/>
      <c r="R424" s="309" t="s">
        <v>509</v>
      </c>
      <c r="S424" s="310">
        <v>45386</v>
      </c>
      <c r="T424" s="313"/>
      <c r="U424" s="279"/>
      <c r="V424" s="227">
        <v>8</v>
      </c>
      <c r="W424" s="281">
        <v>8</v>
      </c>
      <c r="X424" s="282">
        <v>8</v>
      </c>
      <c r="Y424" s="293">
        <f t="shared" ref="Y424:Y451" si="17">IFERROR(MIN(V424:X424),"")</f>
        <v>8</v>
      </c>
      <c r="Z424" s="175" t="s">
        <v>85</v>
      </c>
      <c r="AA424" s="342">
        <f>IFERROR(BASE_DATOS[[#This Row],[NSK Original]]-BASE_DATOS[[#This Row],[NSK]]," ")</f>
        <v>8.5</v>
      </c>
      <c r="AB424" s="343">
        <f>'NSK-TRACTO'!$A$2</f>
        <v>6</v>
      </c>
      <c r="AC424" s="343">
        <f>IF(BASE_DATOS[[#This Row],[NSK]]&gt;=BASE_DATOS[[#This Row],[NSK Reen]],BASE_DATOS[[#This Row],[NSK Reen]],BASE_DATOS[[#This Row],[NSK]])</f>
        <v>6</v>
      </c>
      <c r="AD424" s="344">
        <f>IFERROR(100%-(BASE_DATOS[[#This Row],[NSK Reen]]/BASE_DATOS[[#This Row],[NSK Original]]),"")</f>
        <v>0.63636363636363635</v>
      </c>
      <c r="AE424" s="344">
        <f>IFERROR(100%-BASE_DATOS[[#This Row],[NSK]]/BASE_DATOS[[#This Row],[NSK Original]],"")</f>
        <v>0.51515151515151514</v>
      </c>
      <c r="AF424" s="344">
        <f>IFERROR(BASE_DATOS[[#This Row],[% Max Des.]]-BASE_DATOS[[#This Row],[% Des]],"")</f>
        <v>0.12121212121212122</v>
      </c>
      <c r="AG424" s="287"/>
      <c r="AH424" s="273"/>
      <c r="AI424" s="363" t="str">
        <f>IF(OR(BASE_DATOS[[#This Row],[Hr.]]="",BASE_DATOS[[#This Row],[Hr. Actual]]=""),"",BASE_DATOS[[#This Row],[Hr. Actual]]-BASE_DATOS[[#This Row],[Hr.]]+BASE_DATOS[[#This Row],[Horas Acumuladas]])</f>
        <v/>
      </c>
      <c r="AJ424" s="364" t="str">
        <f>IFERROR(BASE_DATOS[[#This Row],[Precio US$]]/BASE_DATOS[[#This Row],[Horas Rodadas]],"")</f>
        <v/>
      </c>
      <c r="AK424" s="365" t="str">
        <f>IFERROR(BASE_DATOS[[#This Row],[Horas Rodadas]]/(BASE_DATOS[[#This Row],[NSK Original]]-BASE_DATOS[[#This Row],[NSK]]),"")</f>
        <v/>
      </c>
      <c r="AL42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24" s="366" t="str">
        <f>IFERROR(BASE_DATOS[[#This Row],[Precio US$]]/BASE_DATOS[[#This Row],[Horas Proy.]],"")</f>
        <v/>
      </c>
      <c r="AN424" s="176" t="str">
        <f>IF(OR(BASE_DATOS[[#This Row],[Km.]]="",BASE_DATOS[[#This Row],[Km. Actual]]=""),"",BASE_DATOS[[#This Row],[Km. Actual]]-BASE_DATOS[[#This Row],[Km.]]+BASE_DATOS[[#This Row],[Kilómetros Acumulados]])</f>
        <v/>
      </c>
      <c r="AO424" s="177" t="str">
        <f>IFERROR(BASE_DATOS[[#This Row],[Precio US$]]/BASE_DATOS[[#This Row],[Kilómetros Rodados]],"")</f>
        <v/>
      </c>
      <c r="AP424" s="176" t="str">
        <f>IFERROR(BASE_DATOS[[#This Row],[Kilómetros Rodados]]/(BASE_DATOS[[#This Row],[NSK Original]]-BASE_DATOS[[#This Row],[NSK]]),"")</f>
        <v/>
      </c>
      <c r="AQ42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24" s="177" t="str">
        <f>IFERROR(BASE_DATOS[[#This Row],[Precio US$]]/BASE_DATOS[[#This Row],[Kilómetros Proy.]],"")</f>
        <v/>
      </c>
      <c r="AS424" s="167" t="s">
        <v>62</v>
      </c>
      <c r="AT424" s="167"/>
      <c r="AU424" s="167"/>
      <c r="AV424" s="167"/>
      <c r="AW424" s="179"/>
      <c r="AX424" s="179"/>
      <c r="AY424" s="179" t="str">
        <f>CONCATENATE(BASE_DATOS[[#This Row],[Código_U]]&amp;BASE_DATOS[[#This Row],[Pos.]]&amp;BASE_DATOS[[#This Row],[Situación Actual]])</f>
        <v>SR-178RERodando</v>
      </c>
    </row>
    <row r="425" spans="1:51" ht="12" x14ac:dyDescent="0.25">
      <c r="A425" s="227" t="s">
        <v>199</v>
      </c>
      <c r="B425" s="217" t="s">
        <v>200</v>
      </c>
      <c r="C425" s="228" t="s">
        <v>295</v>
      </c>
      <c r="D425" s="229" t="s">
        <v>108</v>
      </c>
      <c r="E425" s="255"/>
      <c r="F425" s="256" t="s">
        <v>278</v>
      </c>
      <c r="G425" s="256" t="s">
        <v>271</v>
      </c>
      <c r="H425" s="257" t="str">
        <f>IF(BASE_DATOS[[#This Row],[N-R]]="N",BASE_DATOS[[#This Row],[Diseño]],"Reencauche")</f>
        <v>HAC3</v>
      </c>
      <c r="I425" s="256" t="s">
        <v>283</v>
      </c>
      <c r="J425" s="243" t="s">
        <v>72</v>
      </c>
      <c r="K425" s="258">
        <v>0</v>
      </c>
      <c r="L425" s="256">
        <v>110</v>
      </c>
      <c r="M425" s="259"/>
      <c r="N425" s="260"/>
      <c r="O425" s="277"/>
      <c r="P425" s="278"/>
      <c r="Q425" s="279"/>
      <c r="R425" s="309" t="s">
        <v>108</v>
      </c>
      <c r="S425" s="310">
        <v>45386</v>
      </c>
      <c r="T425" s="313"/>
      <c r="U425" s="279"/>
      <c r="V425" s="227">
        <v>6</v>
      </c>
      <c r="W425" s="281">
        <v>6</v>
      </c>
      <c r="X425" s="282">
        <v>9</v>
      </c>
      <c r="Y425" s="293">
        <f t="shared" si="17"/>
        <v>6</v>
      </c>
      <c r="Z425" s="175" t="s">
        <v>85</v>
      </c>
      <c r="AA425" s="342">
        <f>IFERROR(BASE_DATOS[[#This Row],[NSK Original]]-BASE_DATOS[[#This Row],[NSK]]," ")</f>
        <v>-6</v>
      </c>
      <c r="AB425" s="343">
        <f>'NSK-TRACTO'!$A$2</f>
        <v>6</v>
      </c>
      <c r="AC425" s="343">
        <f>IF(BASE_DATOS[[#This Row],[NSK]]&gt;=BASE_DATOS[[#This Row],[NSK Reen]],BASE_DATOS[[#This Row],[NSK Reen]],BASE_DATOS[[#This Row],[NSK]])</f>
        <v>6</v>
      </c>
      <c r="AD425" s="344" t="str">
        <f>IFERROR(100%-(BASE_DATOS[[#This Row],[NSK Reen]]/BASE_DATOS[[#This Row],[NSK Original]]),"")</f>
        <v/>
      </c>
      <c r="AE425" s="344" t="str">
        <f>IFERROR(100%-BASE_DATOS[[#This Row],[NSK]]/BASE_DATOS[[#This Row],[NSK Original]],"")</f>
        <v/>
      </c>
      <c r="AF425" s="344" t="str">
        <f>IFERROR(BASE_DATOS[[#This Row],[% Max Des.]]-BASE_DATOS[[#This Row],[% Des]],"")</f>
        <v/>
      </c>
      <c r="AG425" s="287"/>
      <c r="AH425" s="273"/>
      <c r="AI425" s="363" t="str">
        <f>IF(OR(BASE_DATOS[[#This Row],[Hr.]]="",BASE_DATOS[[#This Row],[Hr. Actual]]=""),"",BASE_DATOS[[#This Row],[Hr. Actual]]-BASE_DATOS[[#This Row],[Hr.]]+BASE_DATOS[[#This Row],[Horas Acumuladas]])</f>
        <v/>
      </c>
      <c r="AJ425" s="364" t="str">
        <f>IFERROR(BASE_DATOS[[#This Row],[Precio US$]]/BASE_DATOS[[#This Row],[Horas Rodadas]],"")</f>
        <v/>
      </c>
      <c r="AK425" s="365" t="str">
        <f>IFERROR(BASE_DATOS[[#This Row],[Horas Rodadas]]/(BASE_DATOS[[#This Row],[NSK Original]]-BASE_DATOS[[#This Row],[NSK]]),"")</f>
        <v/>
      </c>
      <c r="AL42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25" s="366" t="str">
        <f>IFERROR(BASE_DATOS[[#This Row],[Precio US$]]/BASE_DATOS[[#This Row],[Horas Proy.]],"")</f>
        <v/>
      </c>
      <c r="AN425" s="176" t="str">
        <f>IF(OR(BASE_DATOS[[#This Row],[Km.]]="",BASE_DATOS[[#This Row],[Km. Actual]]=""),"",BASE_DATOS[[#This Row],[Km. Actual]]-BASE_DATOS[[#This Row],[Km.]]+BASE_DATOS[[#This Row],[Kilómetros Acumulados]])</f>
        <v/>
      </c>
      <c r="AO425" s="177" t="str">
        <f>IFERROR(BASE_DATOS[[#This Row],[Precio US$]]/BASE_DATOS[[#This Row],[Kilómetros Rodados]],"")</f>
        <v/>
      </c>
      <c r="AP425" s="176" t="str">
        <f>IFERROR(BASE_DATOS[[#This Row],[Kilómetros Rodados]]/(BASE_DATOS[[#This Row],[NSK Original]]-BASE_DATOS[[#This Row],[NSK]]),"")</f>
        <v/>
      </c>
      <c r="AQ42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25" s="177" t="str">
        <f>IFERROR(BASE_DATOS[[#This Row],[Precio US$]]/BASE_DATOS[[#This Row],[Kilómetros Proy.]],"")</f>
        <v/>
      </c>
      <c r="AS425" s="167" t="s">
        <v>62</v>
      </c>
      <c r="AT425" s="167"/>
      <c r="AU425" s="167"/>
      <c r="AV425" s="167"/>
      <c r="AW425" s="179"/>
      <c r="AX425" s="179"/>
      <c r="AY425" s="179" t="str">
        <f>CONCATENATE(BASE_DATOS[[#This Row],[Código_U]]&amp;BASE_DATOS[[#This Row],[Pos.]]&amp;BASE_DATOS[[#This Row],[Situación Actual]])</f>
        <v>SR-178RTRodando</v>
      </c>
    </row>
    <row r="426" spans="1:51" ht="12" x14ac:dyDescent="0.25">
      <c r="A426" s="224" t="s">
        <v>201</v>
      </c>
      <c r="B426" s="213" t="s">
        <v>202</v>
      </c>
      <c r="C426" s="225" t="s">
        <v>295</v>
      </c>
      <c r="D426" s="226" t="s">
        <v>87</v>
      </c>
      <c r="E426" s="249"/>
      <c r="F426" s="250" t="s">
        <v>97</v>
      </c>
      <c r="G426" s="250" t="s">
        <v>269</v>
      </c>
      <c r="H426" s="251" t="str">
        <f>IF(BASE_DATOS[[#This Row],[N-R]]="N",BASE_DATOS[[#This Row],[Diseño]],"Reencauche")</f>
        <v>AGC28</v>
      </c>
      <c r="I426" s="250" t="s">
        <v>270</v>
      </c>
      <c r="J426" s="235" t="s">
        <v>72</v>
      </c>
      <c r="K426" s="252">
        <v>16.5</v>
      </c>
      <c r="L426" s="250">
        <v>110</v>
      </c>
      <c r="M426" s="253"/>
      <c r="N426" s="254"/>
      <c r="O426" s="274"/>
      <c r="P426" s="275"/>
      <c r="Q426" s="276"/>
      <c r="R426" s="305" t="s">
        <v>98</v>
      </c>
      <c r="S426" s="306">
        <v>45384</v>
      </c>
      <c r="T426" s="314"/>
      <c r="U426" s="276"/>
      <c r="V426" s="224">
        <v>8</v>
      </c>
      <c r="W426" s="325">
        <v>5</v>
      </c>
      <c r="X426" s="326">
        <v>8</v>
      </c>
      <c r="Y426" s="292">
        <f t="shared" si="17"/>
        <v>5</v>
      </c>
      <c r="Z426" s="194" t="s">
        <v>85</v>
      </c>
      <c r="AA426" s="339">
        <f>IFERROR(BASE_DATOS[[#This Row],[NSK Original]]-BASE_DATOS[[#This Row],[NSK]]," ")</f>
        <v>11.5</v>
      </c>
      <c r="AB426" s="340">
        <f>'NSK-TRACTO'!$A$2</f>
        <v>6</v>
      </c>
      <c r="AC426" s="340">
        <f>IF(BASE_DATOS[[#This Row],[NSK]]&gt;=BASE_DATOS[[#This Row],[NSK Reen]],BASE_DATOS[[#This Row],[NSK Reen]],BASE_DATOS[[#This Row],[NSK]])</f>
        <v>5</v>
      </c>
      <c r="AD426" s="341">
        <f>IFERROR(100%-(BASE_DATOS[[#This Row],[NSK Reen]]/BASE_DATOS[[#This Row],[NSK Original]]),"")</f>
        <v>0.63636363636363635</v>
      </c>
      <c r="AE426" s="341">
        <f>IFERROR(100%-BASE_DATOS[[#This Row],[NSK]]/BASE_DATOS[[#This Row],[NSK Original]],"")</f>
        <v>0.69696969696969702</v>
      </c>
      <c r="AF426" s="341">
        <f>IFERROR(BASE_DATOS[[#This Row],[% Max Des.]]-BASE_DATOS[[#This Row],[% Des]],"")</f>
        <v>-6.0606060606060663E-2</v>
      </c>
      <c r="AG426" s="284"/>
      <c r="AH426" s="335"/>
      <c r="AI426" s="359" t="str">
        <f>IF(OR(BASE_DATOS[[#This Row],[Hr.]]="",BASE_DATOS[[#This Row],[Hr. Actual]]=""),"",BASE_DATOS[[#This Row],[Hr. Actual]]-BASE_DATOS[[#This Row],[Hr.]]+BASE_DATOS[[#This Row],[Horas Acumuladas]])</f>
        <v/>
      </c>
      <c r="AJ426" s="360" t="str">
        <f>IFERROR(BASE_DATOS[[#This Row],[Precio US$]]/BASE_DATOS[[#This Row],[Horas Rodadas]],"")</f>
        <v/>
      </c>
      <c r="AK426" s="361" t="str">
        <f>IFERROR(BASE_DATOS[[#This Row],[Horas Rodadas]]/(BASE_DATOS[[#This Row],[NSK Original]]-BASE_DATOS[[#This Row],[NSK]]),"")</f>
        <v/>
      </c>
      <c r="AL426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26" s="362" t="str">
        <f>IFERROR(BASE_DATOS[[#This Row],[Precio US$]]/BASE_DATOS[[#This Row],[Horas Proy.]],"")</f>
        <v/>
      </c>
      <c r="AN426" s="195" t="str">
        <f>IF(OR(BASE_DATOS[[#This Row],[Km.]]="",BASE_DATOS[[#This Row],[Km. Actual]]=""),"",BASE_DATOS[[#This Row],[Km. Actual]]-BASE_DATOS[[#This Row],[Km.]]+BASE_DATOS[[#This Row],[Kilómetros Acumulados]])</f>
        <v/>
      </c>
      <c r="AO426" s="196" t="str">
        <f>IFERROR(BASE_DATOS[[#This Row],[Precio US$]]/BASE_DATOS[[#This Row],[Kilómetros Rodados]],"")</f>
        <v/>
      </c>
      <c r="AP426" s="195" t="str">
        <f>IFERROR(BASE_DATOS[[#This Row],[Kilómetros Rodados]]/(BASE_DATOS[[#This Row],[NSK Original]]-BASE_DATOS[[#This Row],[NSK]]),"")</f>
        <v/>
      </c>
      <c r="AQ426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26" s="196" t="str">
        <f>IFERROR(BASE_DATOS[[#This Row],[Precio US$]]/BASE_DATOS[[#This Row],[Kilómetros Proy.]],"")</f>
        <v/>
      </c>
      <c r="AS426" s="191" t="s">
        <v>62</v>
      </c>
      <c r="AT426" s="191"/>
      <c r="AU426" s="191"/>
      <c r="AV426" s="191"/>
      <c r="AW426" s="198"/>
      <c r="AX426" s="198"/>
      <c r="AY426" s="198" t="str">
        <f>CONCATENATE(BASE_DATOS[[#This Row],[Código_U]]&amp;BASE_DATOS[[#This Row],[Pos.]]&amp;BASE_DATOS[[#This Row],[Situación Actual]])</f>
        <v>SR-1801Rodando</v>
      </c>
    </row>
    <row r="427" spans="1:51" ht="12" x14ac:dyDescent="0.25">
      <c r="A427" s="227" t="s">
        <v>201</v>
      </c>
      <c r="B427" s="217" t="s">
        <v>202</v>
      </c>
      <c r="C427" s="228" t="s">
        <v>295</v>
      </c>
      <c r="D427" s="229" t="s">
        <v>87</v>
      </c>
      <c r="E427" s="255"/>
      <c r="F427" s="256" t="s">
        <v>273</v>
      </c>
      <c r="G427" s="256" t="s">
        <v>274</v>
      </c>
      <c r="H427" s="257" t="str">
        <f>IF(BASE_DATOS[[#This Row],[N-R]]="N",BASE_DATOS[[#This Row],[Diseño]],"Reencauche")</f>
        <v>Reencauche</v>
      </c>
      <c r="I427" s="256" t="s">
        <v>275</v>
      </c>
      <c r="J427" s="243" t="s">
        <v>82</v>
      </c>
      <c r="K427" s="258">
        <v>19</v>
      </c>
      <c r="L427" s="256">
        <v>110</v>
      </c>
      <c r="M427" s="259"/>
      <c r="N427" s="260"/>
      <c r="O427" s="277"/>
      <c r="P427" s="278"/>
      <c r="Q427" s="279"/>
      <c r="R427" s="309" t="s">
        <v>99</v>
      </c>
      <c r="S427" s="310">
        <v>45384</v>
      </c>
      <c r="T427" s="313"/>
      <c r="U427" s="279"/>
      <c r="V427" s="227">
        <v>12</v>
      </c>
      <c r="W427" s="281">
        <v>10</v>
      </c>
      <c r="X427" s="282">
        <v>11</v>
      </c>
      <c r="Y427" s="293">
        <f t="shared" si="17"/>
        <v>10</v>
      </c>
      <c r="Z427" s="175" t="s">
        <v>85</v>
      </c>
      <c r="AA427" s="342">
        <f>IFERROR(BASE_DATOS[[#This Row],[NSK Original]]-BASE_DATOS[[#This Row],[NSK]]," ")</f>
        <v>9</v>
      </c>
      <c r="AB427" s="343">
        <f>'NSK-TRACTO'!$A$2</f>
        <v>6</v>
      </c>
      <c r="AC427" s="343">
        <f>IF(BASE_DATOS[[#This Row],[NSK]]&gt;=BASE_DATOS[[#This Row],[NSK Reen]],BASE_DATOS[[#This Row],[NSK Reen]],BASE_DATOS[[#This Row],[NSK]])</f>
        <v>6</v>
      </c>
      <c r="AD427" s="344">
        <f>IFERROR(100%-(BASE_DATOS[[#This Row],[NSK Reen]]/BASE_DATOS[[#This Row],[NSK Original]]),"")</f>
        <v>0.68421052631578949</v>
      </c>
      <c r="AE427" s="344">
        <f>IFERROR(100%-BASE_DATOS[[#This Row],[NSK]]/BASE_DATOS[[#This Row],[NSK Original]],"")</f>
        <v>0.47368421052631582</v>
      </c>
      <c r="AF427" s="344">
        <f>IFERROR(BASE_DATOS[[#This Row],[% Max Des.]]-BASE_DATOS[[#This Row],[% Des]],"")</f>
        <v>0.21052631578947367</v>
      </c>
      <c r="AG427" s="287"/>
      <c r="AH427" s="273"/>
      <c r="AI427" s="363" t="str">
        <f>IF(OR(BASE_DATOS[[#This Row],[Hr.]]="",BASE_DATOS[[#This Row],[Hr. Actual]]=""),"",BASE_DATOS[[#This Row],[Hr. Actual]]-BASE_DATOS[[#This Row],[Hr.]]+BASE_DATOS[[#This Row],[Horas Acumuladas]])</f>
        <v/>
      </c>
      <c r="AJ427" s="364" t="str">
        <f>IFERROR(BASE_DATOS[[#This Row],[Precio US$]]/BASE_DATOS[[#This Row],[Horas Rodadas]],"")</f>
        <v/>
      </c>
      <c r="AK427" s="365" t="str">
        <f>IFERROR(BASE_DATOS[[#This Row],[Horas Rodadas]]/(BASE_DATOS[[#This Row],[NSK Original]]-BASE_DATOS[[#This Row],[NSK]]),"")</f>
        <v/>
      </c>
      <c r="AL42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27" s="366" t="str">
        <f>IFERROR(BASE_DATOS[[#This Row],[Precio US$]]/BASE_DATOS[[#This Row],[Horas Proy.]],"")</f>
        <v/>
      </c>
      <c r="AN427" s="176" t="str">
        <f>IF(OR(BASE_DATOS[[#This Row],[Km.]]="",BASE_DATOS[[#This Row],[Km. Actual]]=""),"",BASE_DATOS[[#This Row],[Km. Actual]]-BASE_DATOS[[#This Row],[Km.]]+BASE_DATOS[[#This Row],[Kilómetros Acumulados]])</f>
        <v/>
      </c>
      <c r="AO427" s="177" t="str">
        <f>IFERROR(BASE_DATOS[[#This Row],[Precio US$]]/BASE_DATOS[[#This Row],[Kilómetros Rodados]],"")</f>
        <v/>
      </c>
      <c r="AP427" s="176" t="str">
        <f>IFERROR(BASE_DATOS[[#This Row],[Kilómetros Rodados]]/(BASE_DATOS[[#This Row],[NSK Original]]-BASE_DATOS[[#This Row],[NSK]]),"")</f>
        <v/>
      </c>
      <c r="AQ42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27" s="177" t="str">
        <f>IFERROR(BASE_DATOS[[#This Row],[Precio US$]]/BASE_DATOS[[#This Row],[Kilómetros Proy.]],"")</f>
        <v/>
      </c>
      <c r="AS427" s="167" t="s">
        <v>62</v>
      </c>
      <c r="AT427" s="167"/>
      <c r="AU427" s="167"/>
      <c r="AV427" s="167"/>
      <c r="AW427" s="179"/>
      <c r="AX427" s="179"/>
      <c r="AY427" s="179" t="str">
        <f>CONCATENATE(BASE_DATOS[[#This Row],[Código_U]]&amp;BASE_DATOS[[#This Row],[Pos.]]&amp;BASE_DATOS[[#This Row],[Situación Actual]])</f>
        <v>SR-1802Rodando</v>
      </c>
    </row>
    <row r="428" spans="1:51" ht="12" x14ac:dyDescent="0.25">
      <c r="A428" s="227" t="s">
        <v>201</v>
      </c>
      <c r="B428" s="217" t="s">
        <v>202</v>
      </c>
      <c r="C428" s="228" t="s">
        <v>295</v>
      </c>
      <c r="D428" s="229" t="s">
        <v>87</v>
      </c>
      <c r="E428" s="255"/>
      <c r="F428" s="256" t="s">
        <v>97</v>
      </c>
      <c r="G428" s="256" t="s">
        <v>269</v>
      </c>
      <c r="H428" s="257" t="str">
        <f>IF(BASE_DATOS[[#This Row],[N-R]]="N",BASE_DATOS[[#This Row],[Diseño]],"Reencauche")</f>
        <v>AGC28</v>
      </c>
      <c r="I428" s="256" t="s">
        <v>270</v>
      </c>
      <c r="J428" s="243" t="s">
        <v>72</v>
      </c>
      <c r="K428" s="258">
        <v>16.5</v>
      </c>
      <c r="L428" s="256">
        <v>110</v>
      </c>
      <c r="M428" s="259"/>
      <c r="N428" s="260"/>
      <c r="O428" s="277"/>
      <c r="P428" s="278"/>
      <c r="Q428" s="279"/>
      <c r="R428" s="309" t="s">
        <v>100</v>
      </c>
      <c r="S428" s="310">
        <v>45384</v>
      </c>
      <c r="T428" s="313"/>
      <c r="U428" s="279"/>
      <c r="V428" s="227">
        <v>16</v>
      </c>
      <c r="W428" s="281">
        <v>16</v>
      </c>
      <c r="X428" s="282">
        <v>16</v>
      </c>
      <c r="Y428" s="293">
        <f t="shared" si="17"/>
        <v>16</v>
      </c>
      <c r="Z428" s="175" t="s">
        <v>85</v>
      </c>
      <c r="AA428" s="342">
        <f>IFERROR(BASE_DATOS[[#This Row],[NSK Original]]-BASE_DATOS[[#This Row],[NSK]]," ")</f>
        <v>0.5</v>
      </c>
      <c r="AB428" s="343">
        <f>'NSK-TRACTO'!$A$2</f>
        <v>6</v>
      </c>
      <c r="AC428" s="343">
        <f>IF(BASE_DATOS[[#This Row],[NSK]]&gt;=BASE_DATOS[[#This Row],[NSK Reen]],BASE_DATOS[[#This Row],[NSK Reen]],BASE_DATOS[[#This Row],[NSK]])</f>
        <v>6</v>
      </c>
      <c r="AD428" s="344">
        <f>IFERROR(100%-(BASE_DATOS[[#This Row],[NSK Reen]]/BASE_DATOS[[#This Row],[NSK Original]]),"")</f>
        <v>0.63636363636363635</v>
      </c>
      <c r="AE428" s="344">
        <f>IFERROR(100%-BASE_DATOS[[#This Row],[NSK]]/BASE_DATOS[[#This Row],[NSK Original]],"")</f>
        <v>3.0303030303030276E-2</v>
      </c>
      <c r="AF428" s="344">
        <f>IFERROR(BASE_DATOS[[#This Row],[% Max Des.]]-BASE_DATOS[[#This Row],[% Des]],"")</f>
        <v>0.60606060606060608</v>
      </c>
      <c r="AG428" s="287"/>
      <c r="AH428" s="273"/>
      <c r="AI428" s="363" t="str">
        <f>IF(OR(BASE_DATOS[[#This Row],[Hr.]]="",BASE_DATOS[[#This Row],[Hr. Actual]]=""),"",BASE_DATOS[[#This Row],[Hr. Actual]]-BASE_DATOS[[#This Row],[Hr.]]+BASE_DATOS[[#This Row],[Horas Acumuladas]])</f>
        <v/>
      </c>
      <c r="AJ428" s="364" t="str">
        <f>IFERROR(BASE_DATOS[[#This Row],[Precio US$]]/BASE_DATOS[[#This Row],[Horas Rodadas]],"")</f>
        <v/>
      </c>
      <c r="AK428" s="365" t="str">
        <f>IFERROR(BASE_DATOS[[#This Row],[Horas Rodadas]]/(BASE_DATOS[[#This Row],[NSK Original]]-BASE_DATOS[[#This Row],[NSK]]),"")</f>
        <v/>
      </c>
      <c r="AL42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28" s="366" t="str">
        <f>IFERROR(BASE_DATOS[[#This Row],[Precio US$]]/BASE_DATOS[[#This Row],[Horas Proy.]],"")</f>
        <v/>
      </c>
      <c r="AN428" s="176" t="str">
        <f>IF(OR(BASE_DATOS[[#This Row],[Km.]]="",BASE_DATOS[[#This Row],[Km. Actual]]=""),"",BASE_DATOS[[#This Row],[Km. Actual]]-BASE_DATOS[[#This Row],[Km.]]+BASE_DATOS[[#This Row],[Kilómetros Acumulados]])</f>
        <v/>
      </c>
      <c r="AO428" s="177" t="str">
        <f>IFERROR(BASE_DATOS[[#This Row],[Precio US$]]/BASE_DATOS[[#This Row],[Kilómetros Rodados]],"")</f>
        <v/>
      </c>
      <c r="AP428" s="176" t="str">
        <f>IFERROR(BASE_DATOS[[#This Row],[Kilómetros Rodados]]/(BASE_DATOS[[#This Row],[NSK Original]]-BASE_DATOS[[#This Row],[NSK]]),"")</f>
        <v/>
      </c>
      <c r="AQ42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28" s="177" t="str">
        <f>IFERROR(BASE_DATOS[[#This Row],[Precio US$]]/BASE_DATOS[[#This Row],[Kilómetros Proy.]],"")</f>
        <v/>
      </c>
      <c r="AS428" s="167" t="s">
        <v>62</v>
      </c>
      <c r="AT428" s="167"/>
      <c r="AU428" s="167"/>
      <c r="AV428" s="167" t="s">
        <v>515</v>
      </c>
      <c r="AW428" s="179"/>
      <c r="AX428" s="179"/>
      <c r="AY428" s="179" t="str">
        <f>CONCATENATE(BASE_DATOS[[#This Row],[Código_U]]&amp;BASE_DATOS[[#This Row],[Pos.]]&amp;BASE_DATOS[[#This Row],[Situación Actual]])</f>
        <v>SR-1803Rodando</v>
      </c>
    </row>
    <row r="429" spans="1:51" ht="12" x14ac:dyDescent="0.25">
      <c r="A429" s="227" t="s">
        <v>201</v>
      </c>
      <c r="B429" s="217" t="s">
        <v>202</v>
      </c>
      <c r="C429" s="228" t="s">
        <v>295</v>
      </c>
      <c r="D429" s="229" t="s">
        <v>87</v>
      </c>
      <c r="E429" s="255"/>
      <c r="F429" s="256" t="s">
        <v>97</v>
      </c>
      <c r="G429" s="256" t="s">
        <v>269</v>
      </c>
      <c r="H429" s="257" t="str">
        <f>IF(BASE_DATOS[[#This Row],[N-R]]="N",BASE_DATOS[[#This Row],[Diseño]],"Reencauche")</f>
        <v>AGC28</v>
      </c>
      <c r="I429" s="256" t="s">
        <v>270</v>
      </c>
      <c r="J429" s="243" t="s">
        <v>72</v>
      </c>
      <c r="K429" s="258">
        <v>16.5</v>
      </c>
      <c r="L429" s="256">
        <v>110</v>
      </c>
      <c r="M429" s="259"/>
      <c r="N429" s="260"/>
      <c r="O429" s="277"/>
      <c r="P429" s="278"/>
      <c r="Q429" s="279"/>
      <c r="R429" s="309" t="s">
        <v>101</v>
      </c>
      <c r="S429" s="310">
        <v>45384</v>
      </c>
      <c r="T429" s="313"/>
      <c r="U429" s="279"/>
      <c r="V429" s="227">
        <v>16</v>
      </c>
      <c r="W429" s="281">
        <v>16</v>
      </c>
      <c r="X429" s="282">
        <v>16</v>
      </c>
      <c r="Y429" s="293">
        <f t="shared" si="17"/>
        <v>16</v>
      </c>
      <c r="Z429" s="175" t="s">
        <v>85</v>
      </c>
      <c r="AA429" s="342">
        <f>IFERROR(BASE_DATOS[[#This Row],[NSK Original]]-BASE_DATOS[[#This Row],[NSK]]," ")</f>
        <v>0.5</v>
      </c>
      <c r="AB429" s="343">
        <f>'NSK-TRACTO'!$A$2</f>
        <v>6</v>
      </c>
      <c r="AC429" s="343">
        <f>IF(BASE_DATOS[[#This Row],[NSK]]&gt;=BASE_DATOS[[#This Row],[NSK Reen]],BASE_DATOS[[#This Row],[NSK Reen]],BASE_DATOS[[#This Row],[NSK]])</f>
        <v>6</v>
      </c>
      <c r="AD429" s="344">
        <f>IFERROR(100%-(BASE_DATOS[[#This Row],[NSK Reen]]/BASE_DATOS[[#This Row],[NSK Original]]),"")</f>
        <v>0.63636363636363635</v>
      </c>
      <c r="AE429" s="344">
        <f>IFERROR(100%-BASE_DATOS[[#This Row],[NSK]]/BASE_DATOS[[#This Row],[NSK Original]],"")</f>
        <v>3.0303030303030276E-2</v>
      </c>
      <c r="AF429" s="344">
        <f>IFERROR(BASE_DATOS[[#This Row],[% Max Des.]]-BASE_DATOS[[#This Row],[% Des]],"")</f>
        <v>0.60606060606060608</v>
      </c>
      <c r="AG429" s="287"/>
      <c r="AH429" s="273"/>
      <c r="AI429" s="363" t="str">
        <f>IF(OR(BASE_DATOS[[#This Row],[Hr.]]="",BASE_DATOS[[#This Row],[Hr. Actual]]=""),"",BASE_DATOS[[#This Row],[Hr. Actual]]-BASE_DATOS[[#This Row],[Hr.]]+BASE_DATOS[[#This Row],[Horas Acumuladas]])</f>
        <v/>
      </c>
      <c r="AJ429" s="364" t="str">
        <f>IFERROR(BASE_DATOS[[#This Row],[Precio US$]]/BASE_DATOS[[#This Row],[Horas Rodadas]],"")</f>
        <v/>
      </c>
      <c r="AK429" s="365" t="str">
        <f>IFERROR(BASE_DATOS[[#This Row],[Horas Rodadas]]/(BASE_DATOS[[#This Row],[NSK Original]]-BASE_DATOS[[#This Row],[NSK]]),"")</f>
        <v/>
      </c>
      <c r="AL42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29" s="366" t="str">
        <f>IFERROR(BASE_DATOS[[#This Row],[Precio US$]]/BASE_DATOS[[#This Row],[Horas Proy.]],"")</f>
        <v/>
      </c>
      <c r="AN429" s="176" t="str">
        <f>IF(OR(BASE_DATOS[[#This Row],[Km.]]="",BASE_DATOS[[#This Row],[Km. Actual]]=""),"",BASE_DATOS[[#This Row],[Km. Actual]]-BASE_DATOS[[#This Row],[Km.]]+BASE_DATOS[[#This Row],[Kilómetros Acumulados]])</f>
        <v/>
      </c>
      <c r="AO429" s="177" t="str">
        <f>IFERROR(BASE_DATOS[[#This Row],[Precio US$]]/BASE_DATOS[[#This Row],[Kilómetros Rodados]],"")</f>
        <v/>
      </c>
      <c r="AP429" s="176" t="str">
        <f>IFERROR(BASE_DATOS[[#This Row],[Kilómetros Rodados]]/(BASE_DATOS[[#This Row],[NSK Original]]-BASE_DATOS[[#This Row],[NSK]]),"")</f>
        <v/>
      </c>
      <c r="AQ42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29" s="177" t="str">
        <f>IFERROR(BASE_DATOS[[#This Row],[Precio US$]]/BASE_DATOS[[#This Row],[Kilómetros Proy.]],"")</f>
        <v/>
      </c>
      <c r="AS429" s="167" t="s">
        <v>62</v>
      </c>
      <c r="AT429" s="167"/>
      <c r="AU429" s="167"/>
      <c r="AV429" s="167" t="s">
        <v>515</v>
      </c>
      <c r="AW429" s="179"/>
      <c r="AX429" s="179"/>
      <c r="AY429" s="179" t="str">
        <f>CONCATENATE(BASE_DATOS[[#This Row],[Código_U]]&amp;BASE_DATOS[[#This Row],[Pos.]]&amp;BASE_DATOS[[#This Row],[Situación Actual]])</f>
        <v>SR-1804Rodando</v>
      </c>
    </row>
    <row r="430" spans="1:51" ht="12" x14ac:dyDescent="0.25">
      <c r="A430" s="227" t="s">
        <v>201</v>
      </c>
      <c r="B430" s="217" t="s">
        <v>202</v>
      </c>
      <c r="C430" s="228" t="s">
        <v>295</v>
      </c>
      <c r="D430" s="229" t="s">
        <v>87</v>
      </c>
      <c r="E430" s="255"/>
      <c r="F430" s="256" t="s">
        <v>97</v>
      </c>
      <c r="G430" s="256" t="s">
        <v>269</v>
      </c>
      <c r="H430" s="257" t="str">
        <f>IF(BASE_DATOS[[#This Row],[N-R]]="N",BASE_DATOS[[#This Row],[Diseño]],"Reencauche")</f>
        <v>AGC28</v>
      </c>
      <c r="I430" s="256" t="s">
        <v>270</v>
      </c>
      <c r="J430" s="243" t="s">
        <v>72</v>
      </c>
      <c r="K430" s="258">
        <v>16.5</v>
      </c>
      <c r="L430" s="256">
        <v>110</v>
      </c>
      <c r="M430" s="259"/>
      <c r="N430" s="260"/>
      <c r="O430" s="277"/>
      <c r="P430" s="278"/>
      <c r="Q430" s="279"/>
      <c r="R430" s="309" t="s">
        <v>102</v>
      </c>
      <c r="S430" s="310">
        <v>45384</v>
      </c>
      <c r="T430" s="313"/>
      <c r="U430" s="279"/>
      <c r="V430" s="227">
        <v>9</v>
      </c>
      <c r="W430" s="281">
        <v>8</v>
      </c>
      <c r="X430" s="282">
        <v>9</v>
      </c>
      <c r="Y430" s="293">
        <f t="shared" si="17"/>
        <v>8</v>
      </c>
      <c r="Z430" s="175" t="s">
        <v>85</v>
      </c>
      <c r="AA430" s="342">
        <f>IFERROR(BASE_DATOS[[#This Row],[NSK Original]]-BASE_DATOS[[#This Row],[NSK]]," ")</f>
        <v>8.5</v>
      </c>
      <c r="AB430" s="343">
        <f>'NSK-TRACTO'!$A$2</f>
        <v>6</v>
      </c>
      <c r="AC430" s="343">
        <f>IF(BASE_DATOS[[#This Row],[NSK]]&gt;=BASE_DATOS[[#This Row],[NSK Reen]],BASE_DATOS[[#This Row],[NSK Reen]],BASE_DATOS[[#This Row],[NSK]])</f>
        <v>6</v>
      </c>
      <c r="AD430" s="344">
        <f>IFERROR(100%-(BASE_DATOS[[#This Row],[NSK Reen]]/BASE_DATOS[[#This Row],[NSK Original]]),"")</f>
        <v>0.63636363636363635</v>
      </c>
      <c r="AE430" s="344">
        <f>IFERROR(100%-BASE_DATOS[[#This Row],[NSK]]/BASE_DATOS[[#This Row],[NSK Original]],"")</f>
        <v>0.51515151515151514</v>
      </c>
      <c r="AF430" s="344">
        <f>IFERROR(BASE_DATOS[[#This Row],[% Max Des.]]-BASE_DATOS[[#This Row],[% Des]],"")</f>
        <v>0.12121212121212122</v>
      </c>
      <c r="AG430" s="287"/>
      <c r="AH430" s="273"/>
      <c r="AI430" s="363" t="str">
        <f>IF(OR(BASE_DATOS[[#This Row],[Hr.]]="",BASE_DATOS[[#This Row],[Hr. Actual]]=""),"",BASE_DATOS[[#This Row],[Hr. Actual]]-BASE_DATOS[[#This Row],[Hr.]]+BASE_DATOS[[#This Row],[Horas Acumuladas]])</f>
        <v/>
      </c>
      <c r="AJ430" s="364" t="str">
        <f>IFERROR(BASE_DATOS[[#This Row],[Precio US$]]/BASE_DATOS[[#This Row],[Horas Rodadas]],"")</f>
        <v/>
      </c>
      <c r="AK430" s="365" t="str">
        <f>IFERROR(BASE_DATOS[[#This Row],[Horas Rodadas]]/(BASE_DATOS[[#This Row],[NSK Original]]-BASE_DATOS[[#This Row],[NSK]]),"")</f>
        <v/>
      </c>
      <c r="AL43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30" s="366" t="str">
        <f>IFERROR(BASE_DATOS[[#This Row],[Precio US$]]/BASE_DATOS[[#This Row],[Horas Proy.]],"")</f>
        <v/>
      </c>
      <c r="AN430" s="176" t="str">
        <f>IF(OR(BASE_DATOS[[#This Row],[Km.]]="",BASE_DATOS[[#This Row],[Km. Actual]]=""),"",BASE_DATOS[[#This Row],[Km. Actual]]-BASE_DATOS[[#This Row],[Km.]]+BASE_DATOS[[#This Row],[Kilómetros Acumulados]])</f>
        <v/>
      </c>
      <c r="AO430" s="177" t="str">
        <f>IFERROR(BASE_DATOS[[#This Row],[Precio US$]]/BASE_DATOS[[#This Row],[Kilómetros Rodados]],"")</f>
        <v/>
      </c>
      <c r="AP430" s="176" t="str">
        <f>IFERROR(BASE_DATOS[[#This Row],[Kilómetros Rodados]]/(BASE_DATOS[[#This Row],[NSK Original]]-BASE_DATOS[[#This Row],[NSK]]),"")</f>
        <v/>
      </c>
      <c r="AQ43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30" s="177" t="str">
        <f>IFERROR(BASE_DATOS[[#This Row],[Precio US$]]/BASE_DATOS[[#This Row],[Kilómetros Proy.]],"")</f>
        <v/>
      </c>
      <c r="AS430" s="167" t="s">
        <v>62</v>
      </c>
      <c r="AT430" s="167"/>
      <c r="AU430" s="167"/>
      <c r="AV430" s="167" t="s">
        <v>515</v>
      </c>
      <c r="AW430" s="179"/>
      <c r="AX430" s="179"/>
      <c r="AY430" s="179" t="str">
        <f>CONCATENATE(BASE_DATOS[[#This Row],[Código_U]]&amp;BASE_DATOS[[#This Row],[Pos.]]&amp;BASE_DATOS[[#This Row],[Situación Actual]])</f>
        <v>SR-1805Rodando</v>
      </c>
    </row>
    <row r="431" spans="1:51" ht="12" x14ac:dyDescent="0.25">
      <c r="A431" s="227" t="s">
        <v>201</v>
      </c>
      <c r="B431" s="217" t="s">
        <v>202</v>
      </c>
      <c r="C431" s="228" t="s">
        <v>295</v>
      </c>
      <c r="D431" s="229" t="s">
        <v>87</v>
      </c>
      <c r="E431" s="255"/>
      <c r="F431" s="256" t="s">
        <v>97</v>
      </c>
      <c r="G431" s="256" t="s">
        <v>269</v>
      </c>
      <c r="H431" s="257" t="str">
        <f>IF(BASE_DATOS[[#This Row],[N-R]]="N",BASE_DATOS[[#This Row],[Diseño]],"Reencauche")</f>
        <v>AGC28</v>
      </c>
      <c r="I431" s="256" t="s">
        <v>270</v>
      </c>
      <c r="J431" s="243" t="s">
        <v>72</v>
      </c>
      <c r="K431" s="258">
        <v>16.5</v>
      </c>
      <c r="L431" s="256">
        <v>110</v>
      </c>
      <c r="M431" s="259"/>
      <c r="N431" s="260"/>
      <c r="O431" s="277"/>
      <c r="P431" s="278"/>
      <c r="Q431" s="279"/>
      <c r="R431" s="309" t="s">
        <v>103</v>
      </c>
      <c r="S431" s="310">
        <v>45384</v>
      </c>
      <c r="T431" s="313"/>
      <c r="U431" s="279"/>
      <c r="V431" s="227">
        <v>8</v>
      </c>
      <c r="W431" s="281">
        <v>8</v>
      </c>
      <c r="X431" s="282">
        <v>8</v>
      </c>
      <c r="Y431" s="293">
        <f t="shared" si="17"/>
        <v>8</v>
      </c>
      <c r="Z431" s="175" t="s">
        <v>85</v>
      </c>
      <c r="AA431" s="342">
        <f>IFERROR(BASE_DATOS[[#This Row],[NSK Original]]-BASE_DATOS[[#This Row],[NSK]]," ")</f>
        <v>8.5</v>
      </c>
      <c r="AB431" s="343">
        <f>'NSK-TRACTO'!$A$2</f>
        <v>6</v>
      </c>
      <c r="AC431" s="343">
        <f>IF(BASE_DATOS[[#This Row],[NSK]]&gt;=BASE_DATOS[[#This Row],[NSK Reen]],BASE_DATOS[[#This Row],[NSK Reen]],BASE_DATOS[[#This Row],[NSK]])</f>
        <v>6</v>
      </c>
      <c r="AD431" s="344">
        <f>IFERROR(100%-(BASE_DATOS[[#This Row],[NSK Reen]]/BASE_DATOS[[#This Row],[NSK Original]]),"")</f>
        <v>0.63636363636363635</v>
      </c>
      <c r="AE431" s="344">
        <f>IFERROR(100%-BASE_DATOS[[#This Row],[NSK]]/BASE_DATOS[[#This Row],[NSK Original]],"")</f>
        <v>0.51515151515151514</v>
      </c>
      <c r="AF431" s="344">
        <f>IFERROR(BASE_DATOS[[#This Row],[% Max Des.]]-BASE_DATOS[[#This Row],[% Des]],"")</f>
        <v>0.12121212121212122</v>
      </c>
      <c r="AG431" s="287"/>
      <c r="AH431" s="273"/>
      <c r="AI431" s="363" t="str">
        <f>IF(OR(BASE_DATOS[[#This Row],[Hr.]]="",BASE_DATOS[[#This Row],[Hr. Actual]]=""),"",BASE_DATOS[[#This Row],[Hr. Actual]]-BASE_DATOS[[#This Row],[Hr.]]+BASE_DATOS[[#This Row],[Horas Acumuladas]])</f>
        <v/>
      </c>
      <c r="AJ431" s="364" t="str">
        <f>IFERROR(BASE_DATOS[[#This Row],[Precio US$]]/BASE_DATOS[[#This Row],[Horas Rodadas]],"")</f>
        <v/>
      </c>
      <c r="AK431" s="365" t="str">
        <f>IFERROR(BASE_DATOS[[#This Row],[Horas Rodadas]]/(BASE_DATOS[[#This Row],[NSK Original]]-BASE_DATOS[[#This Row],[NSK]]),"")</f>
        <v/>
      </c>
      <c r="AL43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31" s="366" t="str">
        <f>IFERROR(BASE_DATOS[[#This Row],[Precio US$]]/BASE_DATOS[[#This Row],[Horas Proy.]],"")</f>
        <v/>
      </c>
      <c r="AN431" s="176" t="str">
        <f>IF(OR(BASE_DATOS[[#This Row],[Km.]]="",BASE_DATOS[[#This Row],[Km. Actual]]=""),"",BASE_DATOS[[#This Row],[Km. Actual]]-BASE_DATOS[[#This Row],[Km.]]+BASE_DATOS[[#This Row],[Kilómetros Acumulados]])</f>
        <v/>
      </c>
      <c r="AO431" s="177" t="str">
        <f>IFERROR(BASE_DATOS[[#This Row],[Precio US$]]/BASE_DATOS[[#This Row],[Kilómetros Rodados]],"")</f>
        <v/>
      </c>
      <c r="AP431" s="176" t="str">
        <f>IFERROR(BASE_DATOS[[#This Row],[Kilómetros Rodados]]/(BASE_DATOS[[#This Row],[NSK Original]]-BASE_DATOS[[#This Row],[NSK]]),"")</f>
        <v/>
      </c>
      <c r="AQ43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31" s="177" t="str">
        <f>IFERROR(BASE_DATOS[[#This Row],[Precio US$]]/BASE_DATOS[[#This Row],[Kilómetros Proy.]],"")</f>
        <v/>
      </c>
      <c r="AS431" s="167" t="s">
        <v>62</v>
      </c>
      <c r="AT431" s="167"/>
      <c r="AU431" s="167"/>
      <c r="AV431" s="167" t="s">
        <v>515</v>
      </c>
      <c r="AW431" s="179"/>
      <c r="AX431" s="179"/>
      <c r="AY431" s="179" t="str">
        <f>CONCATENATE(BASE_DATOS[[#This Row],[Código_U]]&amp;BASE_DATOS[[#This Row],[Pos.]]&amp;BASE_DATOS[[#This Row],[Situación Actual]])</f>
        <v>SR-1806Rodando</v>
      </c>
    </row>
    <row r="432" spans="1:51" ht="12" x14ac:dyDescent="0.25">
      <c r="A432" s="227" t="s">
        <v>201</v>
      </c>
      <c r="B432" s="217" t="s">
        <v>202</v>
      </c>
      <c r="C432" s="228" t="s">
        <v>295</v>
      </c>
      <c r="D432" s="229" t="s">
        <v>384</v>
      </c>
      <c r="E432" s="255"/>
      <c r="F432" s="256" t="s">
        <v>97</v>
      </c>
      <c r="G432" s="256" t="s">
        <v>269</v>
      </c>
      <c r="H432" s="257" t="str">
        <f>IF(BASE_DATOS[[#This Row],[N-R]]="N",BASE_DATOS[[#This Row],[Diseño]],"Reencauche")</f>
        <v>AGC28</v>
      </c>
      <c r="I432" s="256" t="s">
        <v>270</v>
      </c>
      <c r="J432" s="243" t="s">
        <v>72</v>
      </c>
      <c r="K432" s="258">
        <v>16.5</v>
      </c>
      <c r="L432" s="256">
        <v>110</v>
      </c>
      <c r="M432" s="259"/>
      <c r="N432" s="260"/>
      <c r="O432" s="277"/>
      <c r="P432" s="278"/>
      <c r="Q432" s="279"/>
      <c r="R432" s="304" t="s">
        <v>509</v>
      </c>
      <c r="S432" s="310">
        <v>45384</v>
      </c>
      <c r="T432" s="313"/>
      <c r="U432" s="279"/>
      <c r="V432" s="227">
        <v>10</v>
      </c>
      <c r="W432" s="281">
        <v>8</v>
      </c>
      <c r="X432" s="282">
        <v>9</v>
      </c>
      <c r="Y432" s="293">
        <f t="shared" si="17"/>
        <v>8</v>
      </c>
      <c r="Z432" s="175" t="s">
        <v>85</v>
      </c>
      <c r="AA432" s="342">
        <f>IFERROR(BASE_DATOS[[#This Row],[NSK Original]]-BASE_DATOS[[#This Row],[NSK]]," ")</f>
        <v>8.5</v>
      </c>
      <c r="AB432" s="343">
        <f>'NSK-TRACTO'!$A$2</f>
        <v>6</v>
      </c>
      <c r="AC432" s="343">
        <f>IF(BASE_DATOS[[#This Row],[NSK]]&gt;=BASE_DATOS[[#This Row],[NSK Reen]],BASE_DATOS[[#This Row],[NSK Reen]],BASE_DATOS[[#This Row],[NSK]])</f>
        <v>6</v>
      </c>
      <c r="AD432" s="344">
        <f>IFERROR(100%-(BASE_DATOS[[#This Row],[NSK Reen]]/BASE_DATOS[[#This Row],[NSK Original]]),"")</f>
        <v>0.63636363636363635</v>
      </c>
      <c r="AE432" s="344">
        <f>IFERROR(100%-BASE_DATOS[[#This Row],[NSK]]/BASE_DATOS[[#This Row],[NSK Original]],"")</f>
        <v>0.51515151515151514</v>
      </c>
      <c r="AF432" s="344">
        <f>IFERROR(BASE_DATOS[[#This Row],[% Max Des.]]-BASE_DATOS[[#This Row],[% Des]],"")</f>
        <v>0.12121212121212122</v>
      </c>
      <c r="AG432" s="287"/>
      <c r="AH432" s="273"/>
      <c r="AI432" s="363" t="str">
        <f>IF(OR(BASE_DATOS[[#This Row],[Hr.]]="",BASE_DATOS[[#This Row],[Hr. Actual]]=""),"",BASE_DATOS[[#This Row],[Hr. Actual]]-BASE_DATOS[[#This Row],[Hr.]]+BASE_DATOS[[#This Row],[Horas Acumuladas]])</f>
        <v/>
      </c>
      <c r="AJ432" s="364" t="str">
        <f>IFERROR(BASE_DATOS[[#This Row],[Precio US$]]/BASE_DATOS[[#This Row],[Horas Rodadas]],"")</f>
        <v/>
      </c>
      <c r="AK432" s="365" t="str">
        <f>IFERROR(BASE_DATOS[[#This Row],[Horas Rodadas]]/(BASE_DATOS[[#This Row],[NSK Original]]-BASE_DATOS[[#This Row],[NSK]]),"")</f>
        <v/>
      </c>
      <c r="AL43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32" s="366" t="str">
        <f>IFERROR(BASE_DATOS[[#This Row],[Precio US$]]/BASE_DATOS[[#This Row],[Horas Proy.]],"")</f>
        <v/>
      </c>
      <c r="AN432" s="176" t="str">
        <f>IF(OR(BASE_DATOS[[#This Row],[Km.]]="",BASE_DATOS[[#This Row],[Km. Actual]]=""),"",BASE_DATOS[[#This Row],[Km. Actual]]-BASE_DATOS[[#This Row],[Km.]]+BASE_DATOS[[#This Row],[Kilómetros Acumulados]])</f>
        <v/>
      </c>
      <c r="AO432" s="177" t="str">
        <f>IFERROR(BASE_DATOS[[#This Row],[Precio US$]]/BASE_DATOS[[#This Row],[Kilómetros Rodados]],"")</f>
        <v/>
      </c>
      <c r="AP432" s="176" t="str">
        <f>IFERROR(BASE_DATOS[[#This Row],[Kilómetros Rodados]]/(BASE_DATOS[[#This Row],[NSK Original]]-BASE_DATOS[[#This Row],[NSK]]),"")</f>
        <v/>
      </c>
      <c r="AQ43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32" s="177" t="str">
        <f>IFERROR(BASE_DATOS[[#This Row],[Precio US$]]/BASE_DATOS[[#This Row],[Kilómetros Proy.]],"")</f>
        <v/>
      </c>
      <c r="AS432" s="167" t="s">
        <v>62</v>
      </c>
      <c r="AT432" s="167" t="s">
        <v>515</v>
      </c>
      <c r="AU432" s="167"/>
      <c r="AV432" s="167"/>
      <c r="AW432" s="169" t="s">
        <v>386</v>
      </c>
      <c r="AX432" s="179"/>
      <c r="AY432" s="179" t="str">
        <f>CONCATENATE(BASE_DATOS[[#This Row],[Código_U]]&amp;BASE_DATOS[[#This Row],[Pos.]]&amp;BASE_DATOS[[#This Row],[Situación Actual]])</f>
        <v>SR-180RERodando</v>
      </c>
    </row>
    <row r="433" spans="1:51" ht="12" x14ac:dyDescent="0.25">
      <c r="A433" s="227" t="s">
        <v>201</v>
      </c>
      <c r="B433" s="217" t="s">
        <v>202</v>
      </c>
      <c r="C433" s="228" t="s">
        <v>295</v>
      </c>
      <c r="D433" s="229" t="s">
        <v>108</v>
      </c>
      <c r="E433" s="255"/>
      <c r="F433" s="256" t="s">
        <v>278</v>
      </c>
      <c r="G433" s="256" t="s">
        <v>271</v>
      </c>
      <c r="H433" s="257" t="str">
        <f>IF(BASE_DATOS[[#This Row],[N-R]]="N",BASE_DATOS[[#This Row],[Diseño]],"Reencauche")</f>
        <v>HS3+</v>
      </c>
      <c r="I433" s="256" t="s">
        <v>279</v>
      </c>
      <c r="J433" s="243" t="s">
        <v>72</v>
      </c>
      <c r="K433" s="258">
        <v>16</v>
      </c>
      <c r="L433" s="256">
        <v>100</v>
      </c>
      <c r="M433" s="259"/>
      <c r="N433" s="260"/>
      <c r="O433" s="277"/>
      <c r="P433" s="278"/>
      <c r="Q433" s="279"/>
      <c r="R433" s="304" t="s">
        <v>108</v>
      </c>
      <c r="S433" s="310">
        <v>45384</v>
      </c>
      <c r="T433" s="313"/>
      <c r="U433" s="279"/>
      <c r="V433" s="227">
        <v>13</v>
      </c>
      <c r="W433" s="281">
        <v>13</v>
      </c>
      <c r="X433" s="282">
        <v>12</v>
      </c>
      <c r="Y433" s="293">
        <f t="shared" si="17"/>
        <v>12</v>
      </c>
      <c r="Z433" s="175" t="s">
        <v>85</v>
      </c>
      <c r="AA433" s="342">
        <f>IFERROR(BASE_DATOS[[#This Row],[NSK Original]]-BASE_DATOS[[#This Row],[NSK]]," ")</f>
        <v>4</v>
      </c>
      <c r="AB433" s="343">
        <f>'NSK-TRACTO'!$A$2</f>
        <v>6</v>
      </c>
      <c r="AC433" s="343">
        <f>IF(BASE_DATOS[[#This Row],[NSK]]&gt;=BASE_DATOS[[#This Row],[NSK Reen]],BASE_DATOS[[#This Row],[NSK Reen]],BASE_DATOS[[#This Row],[NSK]])</f>
        <v>6</v>
      </c>
      <c r="AD433" s="344">
        <f>IFERROR(100%-(BASE_DATOS[[#This Row],[NSK Reen]]/BASE_DATOS[[#This Row],[NSK Original]]),"")</f>
        <v>0.625</v>
      </c>
      <c r="AE433" s="344">
        <f>IFERROR(100%-BASE_DATOS[[#This Row],[NSK]]/BASE_DATOS[[#This Row],[NSK Original]],"")</f>
        <v>0.25</v>
      </c>
      <c r="AF433" s="344">
        <f>IFERROR(BASE_DATOS[[#This Row],[% Max Des.]]-BASE_DATOS[[#This Row],[% Des]],"")</f>
        <v>0.375</v>
      </c>
      <c r="AG433" s="287"/>
      <c r="AH433" s="273"/>
      <c r="AI433" s="363" t="str">
        <f>IF(OR(BASE_DATOS[[#This Row],[Hr.]]="",BASE_DATOS[[#This Row],[Hr. Actual]]=""),"",BASE_DATOS[[#This Row],[Hr. Actual]]-BASE_DATOS[[#This Row],[Hr.]]+BASE_DATOS[[#This Row],[Horas Acumuladas]])</f>
        <v/>
      </c>
      <c r="AJ433" s="364" t="str">
        <f>IFERROR(BASE_DATOS[[#This Row],[Precio US$]]/BASE_DATOS[[#This Row],[Horas Rodadas]],"")</f>
        <v/>
      </c>
      <c r="AK433" s="365" t="str">
        <f>IFERROR(BASE_DATOS[[#This Row],[Horas Rodadas]]/(BASE_DATOS[[#This Row],[NSK Original]]-BASE_DATOS[[#This Row],[NSK]]),"")</f>
        <v/>
      </c>
      <c r="AL43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33" s="366" t="str">
        <f>IFERROR(BASE_DATOS[[#This Row],[Precio US$]]/BASE_DATOS[[#This Row],[Horas Proy.]],"")</f>
        <v/>
      </c>
      <c r="AN433" s="176" t="str">
        <f>IF(OR(BASE_DATOS[[#This Row],[Km.]]="",BASE_DATOS[[#This Row],[Km. Actual]]=""),"",BASE_DATOS[[#This Row],[Km. Actual]]-BASE_DATOS[[#This Row],[Km.]]+BASE_DATOS[[#This Row],[Kilómetros Acumulados]])</f>
        <v/>
      </c>
      <c r="AO433" s="177" t="str">
        <f>IFERROR(BASE_DATOS[[#This Row],[Precio US$]]/BASE_DATOS[[#This Row],[Kilómetros Rodados]],"")</f>
        <v/>
      </c>
      <c r="AP433" s="176" t="str">
        <f>IFERROR(BASE_DATOS[[#This Row],[Kilómetros Rodados]]/(BASE_DATOS[[#This Row],[NSK Original]]-BASE_DATOS[[#This Row],[NSK]]),"")</f>
        <v/>
      </c>
      <c r="AQ43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33" s="177" t="str">
        <f>IFERROR(BASE_DATOS[[#This Row],[Precio US$]]/BASE_DATOS[[#This Row],[Kilómetros Proy.]],"")</f>
        <v/>
      </c>
      <c r="AS433" s="167" t="s">
        <v>62</v>
      </c>
      <c r="AT433" s="167"/>
      <c r="AU433" s="167"/>
      <c r="AV433" s="167"/>
      <c r="AW433" s="179"/>
      <c r="AX433" s="179"/>
      <c r="AY433" s="179" t="str">
        <f>CONCATENATE(BASE_DATOS[[#This Row],[Código_U]]&amp;BASE_DATOS[[#This Row],[Pos.]]&amp;BASE_DATOS[[#This Row],[Situación Actual]])</f>
        <v>SR-180RTRodando</v>
      </c>
    </row>
    <row r="434" spans="1:51" ht="12" x14ac:dyDescent="0.25">
      <c r="A434" s="224" t="s">
        <v>203</v>
      </c>
      <c r="B434" s="213" t="s">
        <v>204</v>
      </c>
      <c r="C434" s="225" t="s">
        <v>296</v>
      </c>
      <c r="D434" s="226" t="s">
        <v>86</v>
      </c>
      <c r="E434" s="249"/>
      <c r="F434" s="250" t="s">
        <v>273</v>
      </c>
      <c r="G434" s="250" t="s">
        <v>271</v>
      </c>
      <c r="H434" s="251" t="str">
        <f>IF(BASE_DATOS[[#This Row],[N-R]]="N",BASE_DATOS[[#This Row],[Diseño]],"Reencauche")</f>
        <v>XMULTI+Z</v>
      </c>
      <c r="I434" s="250" t="s">
        <v>297</v>
      </c>
      <c r="J434" s="235" t="s">
        <v>72</v>
      </c>
      <c r="K434" s="252">
        <v>16</v>
      </c>
      <c r="L434" s="233">
        <v>100</v>
      </c>
      <c r="M434" s="253"/>
      <c r="N434" s="254"/>
      <c r="O434" s="274"/>
      <c r="P434" s="275"/>
      <c r="Q434" s="276"/>
      <c r="R434" s="305" t="s">
        <v>98</v>
      </c>
      <c r="S434" s="306">
        <v>45385</v>
      </c>
      <c r="T434" s="314"/>
      <c r="U434" s="276"/>
      <c r="V434" s="224">
        <v>16</v>
      </c>
      <c r="W434" s="325">
        <v>16</v>
      </c>
      <c r="X434" s="326">
        <v>16</v>
      </c>
      <c r="Y434" s="292">
        <f t="shared" si="17"/>
        <v>16</v>
      </c>
      <c r="Z434" s="185" t="s">
        <v>73</v>
      </c>
      <c r="AA434" s="339">
        <f>IFERROR(BASE_DATOS[[#This Row],[NSK Original]]-BASE_DATOS[[#This Row],[NSK]]," ")</f>
        <v>0</v>
      </c>
      <c r="AB434" s="340">
        <f>'NSK-TRACTO'!$A$2</f>
        <v>6</v>
      </c>
      <c r="AC434" s="340">
        <f>IF(BASE_DATOS[[#This Row],[NSK]]&gt;=BASE_DATOS[[#This Row],[NSK Reen]],BASE_DATOS[[#This Row],[NSK Reen]],BASE_DATOS[[#This Row],[NSK]])</f>
        <v>6</v>
      </c>
      <c r="AD434" s="341">
        <f>IFERROR(100%-(BASE_DATOS[[#This Row],[NSK Reen]]/BASE_DATOS[[#This Row],[NSK Original]]),"")</f>
        <v>0.625</v>
      </c>
      <c r="AE434" s="341">
        <f>IFERROR(100%-BASE_DATOS[[#This Row],[NSK]]/BASE_DATOS[[#This Row],[NSK Original]],"")</f>
        <v>0</v>
      </c>
      <c r="AF434" s="341">
        <f>IFERROR(BASE_DATOS[[#This Row],[% Max Des.]]-BASE_DATOS[[#This Row],[% Des]],"")</f>
        <v>0.625</v>
      </c>
      <c r="AG434" s="284"/>
      <c r="AH434" s="335"/>
      <c r="AI434" s="359" t="str">
        <f>IF(OR(BASE_DATOS[[#This Row],[Hr.]]="",BASE_DATOS[[#This Row],[Hr. Actual]]=""),"",BASE_DATOS[[#This Row],[Hr. Actual]]-BASE_DATOS[[#This Row],[Hr.]]+BASE_DATOS[[#This Row],[Horas Acumuladas]])</f>
        <v/>
      </c>
      <c r="AJ434" s="360" t="str">
        <f>IFERROR(BASE_DATOS[[#This Row],[Precio US$]]/BASE_DATOS[[#This Row],[Horas Rodadas]],"")</f>
        <v/>
      </c>
      <c r="AK434" s="361" t="str">
        <f>IFERROR(BASE_DATOS[[#This Row],[Horas Rodadas]]/(BASE_DATOS[[#This Row],[NSK Original]]-BASE_DATOS[[#This Row],[NSK]]),"")</f>
        <v/>
      </c>
      <c r="AL434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34" s="362" t="str">
        <f>IFERROR(BASE_DATOS[[#This Row],[Precio US$]]/BASE_DATOS[[#This Row],[Horas Proy.]],"")</f>
        <v/>
      </c>
      <c r="AN434" s="195" t="str">
        <f>IF(OR(BASE_DATOS[[#This Row],[Km.]]="",BASE_DATOS[[#This Row],[Km. Actual]]=""),"",BASE_DATOS[[#This Row],[Km. Actual]]-BASE_DATOS[[#This Row],[Km.]]+BASE_DATOS[[#This Row],[Kilómetros Acumulados]])</f>
        <v/>
      </c>
      <c r="AO434" s="196" t="str">
        <f>IFERROR(BASE_DATOS[[#This Row],[Precio US$]]/BASE_DATOS[[#This Row],[Kilómetros Rodados]],"")</f>
        <v/>
      </c>
      <c r="AP434" s="195" t="str">
        <f>IFERROR(BASE_DATOS[[#This Row],[Kilómetros Rodados]]/(BASE_DATOS[[#This Row],[NSK Original]]-BASE_DATOS[[#This Row],[NSK]]),"")</f>
        <v/>
      </c>
      <c r="AQ434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34" s="196" t="str">
        <f>IFERROR(BASE_DATOS[[#This Row],[Precio US$]]/BASE_DATOS[[#This Row],[Kilómetros Proy.]],"")</f>
        <v/>
      </c>
      <c r="AS434" s="191" t="s">
        <v>62</v>
      </c>
      <c r="AT434" s="191"/>
      <c r="AU434" s="191"/>
      <c r="AV434" s="191"/>
      <c r="AW434" s="198"/>
      <c r="AX434" s="198"/>
      <c r="AY434" s="198" t="str">
        <f>CONCATENATE(BASE_DATOS[[#This Row],[Código_U]]&amp;BASE_DATOS[[#This Row],[Pos.]]&amp;BASE_DATOS[[#This Row],[Situación Actual]])</f>
        <v>TC-1841Rodando</v>
      </c>
    </row>
    <row r="435" spans="1:51" ht="12" x14ac:dyDescent="0.25">
      <c r="A435" s="227" t="s">
        <v>203</v>
      </c>
      <c r="B435" s="217" t="s">
        <v>204</v>
      </c>
      <c r="C435" s="228" t="s">
        <v>296</v>
      </c>
      <c r="D435" s="229" t="s">
        <v>86</v>
      </c>
      <c r="E435" s="255"/>
      <c r="F435" s="256" t="s">
        <v>273</v>
      </c>
      <c r="G435" s="256" t="s">
        <v>271</v>
      </c>
      <c r="H435" s="257" t="str">
        <f>IF(BASE_DATOS[[#This Row],[N-R]]="N",BASE_DATOS[[#This Row],[Diseño]],"Reencauche")</f>
        <v>XMULTI+Z</v>
      </c>
      <c r="I435" s="256" t="s">
        <v>297</v>
      </c>
      <c r="J435" s="243" t="s">
        <v>72</v>
      </c>
      <c r="K435" s="258">
        <v>16</v>
      </c>
      <c r="L435" s="241">
        <v>100</v>
      </c>
      <c r="M435" s="259"/>
      <c r="N435" s="260"/>
      <c r="O435" s="277"/>
      <c r="P435" s="278"/>
      <c r="Q435" s="279"/>
      <c r="R435" s="309" t="s">
        <v>99</v>
      </c>
      <c r="S435" s="310">
        <v>45385</v>
      </c>
      <c r="T435" s="313"/>
      <c r="U435" s="279"/>
      <c r="V435" s="227">
        <v>15</v>
      </c>
      <c r="W435" s="281">
        <v>15</v>
      </c>
      <c r="X435" s="282">
        <v>15</v>
      </c>
      <c r="Y435" s="293">
        <f t="shared" si="17"/>
        <v>15</v>
      </c>
      <c r="Z435" s="161" t="s">
        <v>73</v>
      </c>
      <c r="AA435" s="342">
        <f>IFERROR(BASE_DATOS[[#This Row],[NSK Original]]-BASE_DATOS[[#This Row],[NSK]]," ")</f>
        <v>1</v>
      </c>
      <c r="AB435" s="343">
        <f>'NSK-TRACTO'!$A$2</f>
        <v>6</v>
      </c>
      <c r="AC435" s="343">
        <f>IF(BASE_DATOS[[#This Row],[NSK]]&gt;=BASE_DATOS[[#This Row],[NSK Reen]],BASE_DATOS[[#This Row],[NSK Reen]],BASE_DATOS[[#This Row],[NSK]])</f>
        <v>6</v>
      </c>
      <c r="AD435" s="344">
        <f>IFERROR(100%-(BASE_DATOS[[#This Row],[NSK Reen]]/BASE_DATOS[[#This Row],[NSK Original]]),"")</f>
        <v>0.625</v>
      </c>
      <c r="AE435" s="344">
        <f>IFERROR(100%-BASE_DATOS[[#This Row],[NSK]]/BASE_DATOS[[#This Row],[NSK Original]],"")</f>
        <v>6.25E-2</v>
      </c>
      <c r="AF435" s="344">
        <f>IFERROR(BASE_DATOS[[#This Row],[% Max Des.]]-BASE_DATOS[[#This Row],[% Des]],"")</f>
        <v>0.5625</v>
      </c>
      <c r="AG435" s="287"/>
      <c r="AH435" s="273"/>
      <c r="AI435" s="363" t="str">
        <f>IF(OR(BASE_DATOS[[#This Row],[Hr.]]="",BASE_DATOS[[#This Row],[Hr. Actual]]=""),"",BASE_DATOS[[#This Row],[Hr. Actual]]-BASE_DATOS[[#This Row],[Hr.]]+BASE_DATOS[[#This Row],[Horas Acumuladas]])</f>
        <v/>
      </c>
      <c r="AJ435" s="364" t="str">
        <f>IFERROR(BASE_DATOS[[#This Row],[Precio US$]]/BASE_DATOS[[#This Row],[Horas Rodadas]],"")</f>
        <v/>
      </c>
      <c r="AK435" s="365" t="str">
        <f>IFERROR(BASE_DATOS[[#This Row],[Horas Rodadas]]/(BASE_DATOS[[#This Row],[NSK Original]]-BASE_DATOS[[#This Row],[NSK]]),"")</f>
        <v/>
      </c>
      <c r="AL43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35" s="366" t="str">
        <f>IFERROR(BASE_DATOS[[#This Row],[Precio US$]]/BASE_DATOS[[#This Row],[Horas Proy.]],"")</f>
        <v/>
      </c>
      <c r="AN435" s="176" t="str">
        <f>IF(OR(BASE_DATOS[[#This Row],[Km.]]="",BASE_DATOS[[#This Row],[Km. Actual]]=""),"",BASE_DATOS[[#This Row],[Km. Actual]]-BASE_DATOS[[#This Row],[Km.]]+BASE_DATOS[[#This Row],[Kilómetros Acumulados]])</f>
        <v/>
      </c>
      <c r="AO435" s="177" t="str">
        <f>IFERROR(BASE_DATOS[[#This Row],[Precio US$]]/BASE_DATOS[[#This Row],[Kilómetros Rodados]],"")</f>
        <v/>
      </c>
      <c r="AP435" s="176" t="str">
        <f>IFERROR(BASE_DATOS[[#This Row],[Kilómetros Rodados]]/(BASE_DATOS[[#This Row],[NSK Original]]-BASE_DATOS[[#This Row],[NSK]]),"")</f>
        <v/>
      </c>
      <c r="AQ43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35" s="177" t="str">
        <f>IFERROR(BASE_DATOS[[#This Row],[Precio US$]]/BASE_DATOS[[#This Row],[Kilómetros Proy.]],"")</f>
        <v/>
      </c>
      <c r="AS435" s="167" t="s">
        <v>62</v>
      </c>
      <c r="AT435" s="167"/>
      <c r="AU435" s="167"/>
      <c r="AV435" s="167"/>
      <c r="AW435" s="179"/>
      <c r="AX435" s="179"/>
      <c r="AY435" s="179" t="str">
        <f>CONCATENATE(BASE_DATOS[[#This Row],[Código_U]]&amp;BASE_DATOS[[#This Row],[Pos.]]&amp;BASE_DATOS[[#This Row],[Situación Actual]])</f>
        <v>TC-1842Rodando</v>
      </c>
    </row>
    <row r="436" spans="1:51" ht="12" x14ac:dyDescent="0.25">
      <c r="A436" s="227" t="s">
        <v>203</v>
      </c>
      <c r="B436" s="217" t="s">
        <v>204</v>
      </c>
      <c r="C436" s="228" t="s">
        <v>296</v>
      </c>
      <c r="D436" s="229" t="s">
        <v>61</v>
      </c>
      <c r="E436" s="255"/>
      <c r="F436" s="256" t="s">
        <v>273</v>
      </c>
      <c r="G436" s="256" t="s">
        <v>271</v>
      </c>
      <c r="H436" s="257" t="str">
        <f>IF(BASE_DATOS[[#This Row],[N-R]]="N",BASE_DATOS[[#This Row],[Diseño]],"Reencauche")</f>
        <v>XMULTI2D</v>
      </c>
      <c r="I436" s="256" t="s">
        <v>299</v>
      </c>
      <c r="J436" s="243" t="s">
        <v>72</v>
      </c>
      <c r="K436" s="258">
        <v>21.4</v>
      </c>
      <c r="L436" s="241">
        <v>110</v>
      </c>
      <c r="M436" s="259"/>
      <c r="N436" s="260"/>
      <c r="O436" s="277"/>
      <c r="P436" s="278"/>
      <c r="Q436" s="279"/>
      <c r="R436" s="309" t="s">
        <v>100</v>
      </c>
      <c r="S436" s="310">
        <v>45385</v>
      </c>
      <c r="T436" s="313"/>
      <c r="U436" s="279"/>
      <c r="V436" s="227">
        <v>12</v>
      </c>
      <c r="W436" s="281"/>
      <c r="X436" s="282">
        <v>13</v>
      </c>
      <c r="Y436" s="293">
        <f t="shared" si="17"/>
        <v>12</v>
      </c>
      <c r="Z436" s="175" t="s">
        <v>85</v>
      </c>
      <c r="AA436" s="342">
        <f>IFERROR(BASE_DATOS[[#This Row],[NSK Original]]-BASE_DATOS[[#This Row],[NSK]]," ")</f>
        <v>9.3999999999999986</v>
      </c>
      <c r="AB436" s="343">
        <f>'NSK-TRACTO'!$A$2</f>
        <v>6</v>
      </c>
      <c r="AC436" s="343">
        <f>IF(BASE_DATOS[[#This Row],[NSK]]&gt;=BASE_DATOS[[#This Row],[NSK Reen]],BASE_DATOS[[#This Row],[NSK Reen]],BASE_DATOS[[#This Row],[NSK]])</f>
        <v>6</v>
      </c>
      <c r="AD436" s="344">
        <f>IFERROR(100%-(BASE_DATOS[[#This Row],[NSK Reen]]/BASE_DATOS[[#This Row],[NSK Original]]),"")</f>
        <v>0.71962616822429903</v>
      </c>
      <c r="AE436" s="344">
        <f>IFERROR(100%-BASE_DATOS[[#This Row],[NSK]]/BASE_DATOS[[#This Row],[NSK Original]],"")</f>
        <v>0.43925233644859807</v>
      </c>
      <c r="AF436" s="344">
        <f>IFERROR(BASE_DATOS[[#This Row],[% Max Des.]]-BASE_DATOS[[#This Row],[% Des]],"")</f>
        <v>0.28037383177570097</v>
      </c>
      <c r="AG436" s="287"/>
      <c r="AH436" s="273"/>
      <c r="AI436" s="363" t="str">
        <f>IF(OR(BASE_DATOS[[#This Row],[Hr.]]="",BASE_DATOS[[#This Row],[Hr. Actual]]=""),"",BASE_DATOS[[#This Row],[Hr. Actual]]-BASE_DATOS[[#This Row],[Hr.]]+BASE_DATOS[[#This Row],[Horas Acumuladas]])</f>
        <v/>
      </c>
      <c r="AJ436" s="364" t="str">
        <f>IFERROR(BASE_DATOS[[#This Row],[Precio US$]]/BASE_DATOS[[#This Row],[Horas Rodadas]],"")</f>
        <v/>
      </c>
      <c r="AK436" s="365" t="str">
        <f>IFERROR(BASE_DATOS[[#This Row],[Horas Rodadas]]/(BASE_DATOS[[#This Row],[NSK Original]]-BASE_DATOS[[#This Row],[NSK]]),"")</f>
        <v/>
      </c>
      <c r="AL43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36" s="366" t="str">
        <f>IFERROR(BASE_DATOS[[#This Row],[Precio US$]]/BASE_DATOS[[#This Row],[Horas Proy.]],"")</f>
        <v/>
      </c>
      <c r="AN436" s="176" t="str">
        <f>IF(OR(BASE_DATOS[[#This Row],[Km.]]="",BASE_DATOS[[#This Row],[Km. Actual]]=""),"",BASE_DATOS[[#This Row],[Km. Actual]]-BASE_DATOS[[#This Row],[Km.]]+BASE_DATOS[[#This Row],[Kilómetros Acumulados]])</f>
        <v/>
      </c>
      <c r="AO436" s="177" t="str">
        <f>IFERROR(BASE_DATOS[[#This Row],[Precio US$]]/BASE_DATOS[[#This Row],[Kilómetros Rodados]],"")</f>
        <v/>
      </c>
      <c r="AP436" s="176" t="str">
        <f>IFERROR(BASE_DATOS[[#This Row],[Kilómetros Rodados]]/(BASE_DATOS[[#This Row],[NSK Original]]-BASE_DATOS[[#This Row],[NSK]]),"")</f>
        <v/>
      </c>
      <c r="AQ43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36" s="177" t="str">
        <f>IFERROR(BASE_DATOS[[#This Row],[Precio US$]]/BASE_DATOS[[#This Row],[Kilómetros Proy.]],"")</f>
        <v/>
      </c>
      <c r="AS436" s="167" t="s">
        <v>62</v>
      </c>
      <c r="AT436" s="167"/>
      <c r="AU436" s="167"/>
      <c r="AV436" s="167" t="s">
        <v>515</v>
      </c>
      <c r="AW436" s="179"/>
      <c r="AX436" s="179"/>
      <c r="AY436" s="179" t="str">
        <f>CONCATENATE(BASE_DATOS[[#This Row],[Código_U]]&amp;BASE_DATOS[[#This Row],[Pos.]]&amp;BASE_DATOS[[#This Row],[Situación Actual]])</f>
        <v>TC-1843Rodando</v>
      </c>
    </row>
    <row r="437" spans="1:51" ht="12" x14ac:dyDescent="0.25">
      <c r="A437" s="227" t="s">
        <v>203</v>
      </c>
      <c r="B437" s="217" t="s">
        <v>204</v>
      </c>
      <c r="C437" s="228" t="s">
        <v>296</v>
      </c>
      <c r="D437" s="229" t="s">
        <v>61</v>
      </c>
      <c r="E437" s="255"/>
      <c r="F437" s="256" t="s">
        <v>273</v>
      </c>
      <c r="G437" s="256" t="s">
        <v>271</v>
      </c>
      <c r="H437" s="257" t="str">
        <f>IF(BASE_DATOS[[#This Row],[N-R]]="N",BASE_DATOS[[#This Row],[Diseño]],"Reencauche")</f>
        <v>XMULTI2D</v>
      </c>
      <c r="I437" s="256" t="s">
        <v>299</v>
      </c>
      <c r="J437" s="243" t="s">
        <v>72</v>
      </c>
      <c r="K437" s="258">
        <v>21.4</v>
      </c>
      <c r="L437" s="241">
        <v>110</v>
      </c>
      <c r="M437" s="259"/>
      <c r="N437" s="260"/>
      <c r="O437" s="277"/>
      <c r="P437" s="278"/>
      <c r="Q437" s="279"/>
      <c r="R437" s="309" t="s">
        <v>101</v>
      </c>
      <c r="S437" s="310">
        <v>45385</v>
      </c>
      <c r="T437" s="313"/>
      <c r="U437" s="279"/>
      <c r="V437" s="227">
        <v>13</v>
      </c>
      <c r="W437" s="281"/>
      <c r="X437" s="282">
        <v>12</v>
      </c>
      <c r="Y437" s="293">
        <f t="shared" si="17"/>
        <v>12</v>
      </c>
      <c r="Z437" s="175" t="s">
        <v>85</v>
      </c>
      <c r="AA437" s="342">
        <f>IFERROR(BASE_DATOS[[#This Row],[NSK Original]]-BASE_DATOS[[#This Row],[NSK]]," ")</f>
        <v>9.3999999999999986</v>
      </c>
      <c r="AB437" s="343">
        <f>'NSK-TRACTO'!$A$2</f>
        <v>6</v>
      </c>
      <c r="AC437" s="343">
        <f>IF(BASE_DATOS[[#This Row],[NSK]]&gt;=BASE_DATOS[[#This Row],[NSK Reen]],BASE_DATOS[[#This Row],[NSK Reen]],BASE_DATOS[[#This Row],[NSK]])</f>
        <v>6</v>
      </c>
      <c r="AD437" s="344">
        <f>IFERROR(100%-(BASE_DATOS[[#This Row],[NSK Reen]]/BASE_DATOS[[#This Row],[NSK Original]]),"")</f>
        <v>0.71962616822429903</v>
      </c>
      <c r="AE437" s="344">
        <f>IFERROR(100%-BASE_DATOS[[#This Row],[NSK]]/BASE_DATOS[[#This Row],[NSK Original]],"")</f>
        <v>0.43925233644859807</v>
      </c>
      <c r="AF437" s="344">
        <f>IFERROR(BASE_DATOS[[#This Row],[% Max Des.]]-BASE_DATOS[[#This Row],[% Des]],"")</f>
        <v>0.28037383177570097</v>
      </c>
      <c r="AG437" s="287"/>
      <c r="AH437" s="273"/>
      <c r="AI437" s="363" t="str">
        <f>IF(OR(BASE_DATOS[[#This Row],[Hr.]]="",BASE_DATOS[[#This Row],[Hr. Actual]]=""),"",BASE_DATOS[[#This Row],[Hr. Actual]]-BASE_DATOS[[#This Row],[Hr.]]+BASE_DATOS[[#This Row],[Horas Acumuladas]])</f>
        <v/>
      </c>
      <c r="AJ437" s="364" t="str">
        <f>IFERROR(BASE_DATOS[[#This Row],[Precio US$]]/BASE_DATOS[[#This Row],[Horas Rodadas]],"")</f>
        <v/>
      </c>
      <c r="AK437" s="365" t="str">
        <f>IFERROR(BASE_DATOS[[#This Row],[Horas Rodadas]]/(BASE_DATOS[[#This Row],[NSK Original]]-BASE_DATOS[[#This Row],[NSK]]),"")</f>
        <v/>
      </c>
      <c r="AL43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37" s="366" t="str">
        <f>IFERROR(BASE_DATOS[[#This Row],[Precio US$]]/BASE_DATOS[[#This Row],[Horas Proy.]],"")</f>
        <v/>
      </c>
      <c r="AN437" s="176" t="str">
        <f>IF(OR(BASE_DATOS[[#This Row],[Km.]]="",BASE_DATOS[[#This Row],[Km. Actual]]=""),"",BASE_DATOS[[#This Row],[Km. Actual]]-BASE_DATOS[[#This Row],[Km.]]+BASE_DATOS[[#This Row],[Kilómetros Acumulados]])</f>
        <v/>
      </c>
      <c r="AO437" s="177" t="str">
        <f>IFERROR(BASE_DATOS[[#This Row],[Precio US$]]/BASE_DATOS[[#This Row],[Kilómetros Rodados]],"")</f>
        <v/>
      </c>
      <c r="AP437" s="176" t="str">
        <f>IFERROR(BASE_DATOS[[#This Row],[Kilómetros Rodados]]/(BASE_DATOS[[#This Row],[NSK Original]]-BASE_DATOS[[#This Row],[NSK]]),"")</f>
        <v/>
      </c>
      <c r="AQ43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37" s="177" t="str">
        <f>IFERROR(BASE_DATOS[[#This Row],[Precio US$]]/BASE_DATOS[[#This Row],[Kilómetros Proy.]],"")</f>
        <v/>
      </c>
      <c r="AS437" s="167" t="s">
        <v>62</v>
      </c>
      <c r="AT437" s="167"/>
      <c r="AU437" s="167"/>
      <c r="AV437" s="167" t="s">
        <v>515</v>
      </c>
      <c r="AW437" s="179"/>
      <c r="AX437" s="179"/>
      <c r="AY437" s="179" t="str">
        <f>CONCATENATE(BASE_DATOS[[#This Row],[Código_U]]&amp;BASE_DATOS[[#This Row],[Pos.]]&amp;BASE_DATOS[[#This Row],[Situación Actual]])</f>
        <v>TC-1844Rodando</v>
      </c>
    </row>
    <row r="438" spans="1:51" ht="12" x14ac:dyDescent="0.25">
      <c r="A438" s="227" t="s">
        <v>203</v>
      </c>
      <c r="B438" s="217" t="s">
        <v>204</v>
      </c>
      <c r="C438" s="228" t="s">
        <v>296</v>
      </c>
      <c r="D438" s="229" t="s">
        <v>61</v>
      </c>
      <c r="E438" s="255"/>
      <c r="F438" s="256" t="s">
        <v>273</v>
      </c>
      <c r="G438" s="256" t="s">
        <v>271</v>
      </c>
      <c r="H438" s="257" t="str">
        <f>IF(BASE_DATOS[[#This Row],[N-R]]="N",BASE_DATOS[[#This Row],[Diseño]],"Reencauche")</f>
        <v>XMULTI2D</v>
      </c>
      <c r="I438" s="256" t="s">
        <v>299</v>
      </c>
      <c r="J438" s="243" t="s">
        <v>72</v>
      </c>
      <c r="K438" s="258">
        <v>21.4</v>
      </c>
      <c r="L438" s="241">
        <v>110</v>
      </c>
      <c r="M438" s="259"/>
      <c r="N438" s="260"/>
      <c r="O438" s="277"/>
      <c r="P438" s="278"/>
      <c r="Q438" s="279"/>
      <c r="R438" s="309" t="s">
        <v>102</v>
      </c>
      <c r="S438" s="310">
        <v>45385</v>
      </c>
      <c r="T438" s="313"/>
      <c r="U438" s="279"/>
      <c r="V438" s="227">
        <v>13</v>
      </c>
      <c r="W438" s="281"/>
      <c r="X438" s="282">
        <v>12</v>
      </c>
      <c r="Y438" s="293">
        <f t="shared" si="17"/>
        <v>12</v>
      </c>
      <c r="Z438" s="175" t="s">
        <v>85</v>
      </c>
      <c r="AA438" s="342">
        <f>IFERROR(BASE_DATOS[[#This Row],[NSK Original]]-BASE_DATOS[[#This Row],[NSK]]," ")</f>
        <v>9.3999999999999986</v>
      </c>
      <c r="AB438" s="343">
        <f>'NSK-TRACTO'!$A$2</f>
        <v>6</v>
      </c>
      <c r="AC438" s="343">
        <f>IF(BASE_DATOS[[#This Row],[NSK]]&gt;=BASE_DATOS[[#This Row],[NSK Reen]],BASE_DATOS[[#This Row],[NSK Reen]],BASE_DATOS[[#This Row],[NSK]])</f>
        <v>6</v>
      </c>
      <c r="AD438" s="344">
        <f>IFERROR(100%-(BASE_DATOS[[#This Row],[NSK Reen]]/BASE_DATOS[[#This Row],[NSK Original]]),"")</f>
        <v>0.71962616822429903</v>
      </c>
      <c r="AE438" s="344">
        <f>IFERROR(100%-BASE_DATOS[[#This Row],[NSK]]/BASE_DATOS[[#This Row],[NSK Original]],"")</f>
        <v>0.43925233644859807</v>
      </c>
      <c r="AF438" s="344">
        <f>IFERROR(BASE_DATOS[[#This Row],[% Max Des.]]-BASE_DATOS[[#This Row],[% Des]],"")</f>
        <v>0.28037383177570097</v>
      </c>
      <c r="AG438" s="287"/>
      <c r="AH438" s="273"/>
      <c r="AI438" s="363" t="str">
        <f>IF(OR(BASE_DATOS[[#This Row],[Hr.]]="",BASE_DATOS[[#This Row],[Hr. Actual]]=""),"",BASE_DATOS[[#This Row],[Hr. Actual]]-BASE_DATOS[[#This Row],[Hr.]]+BASE_DATOS[[#This Row],[Horas Acumuladas]])</f>
        <v/>
      </c>
      <c r="AJ438" s="364" t="str">
        <f>IFERROR(BASE_DATOS[[#This Row],[Precio US$]]/BASE_DATOS[[#This Row],[Horas Rodadas]],"")</f>
        <v/>
      </c>
      <c r="AK438" s="365" t="str">
        <f>IFERROR(BASE_DATOS[[#This Row],[Horas Rodadas]]/(BASE_DATOS[[#This Row],[NSK Original]]-BASE_DATOS[[#This Row],[NSK]]),"")</f>
        <v/>
      </c>
      <c r="AL43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38" s="366" t="str">
        <f>IFERROR(BASE_DATOS[[#This Row],[Precio US$]]/BASE_DATOS[[#This Row],[Horas Proy.]],"")</f>
        <v/>
      </c>
      <c r="AN438" s="176" t="str">
        <f>IF(OR(BASE_DATOS[[#This Row],[Km.]]="",BASE_DATOS[[#This Row],[Km. Actual]]=""),"",BASE_DATOS[[#This Row],[Km. Actual]]-BASE_DATOS[[#This Row],[Km.]]+BASE_DATOS[[#This Row],[Kilómetros Acumulados]])</f>
        <v/>
      </c>
      <c r="AO438" s="177" t="str">
        <f>IFERROR(BASE_DATOS[[#This Row],[Precio US$]]/BASE_DATOS[[#This Row],[Kilómetros Rodados]],"")</f>
        <v/>
      </c>
      <c r="AP438" s="176" t="str">
        <f>IFERROR(BASE_DATOS[[#This Row],[Kilómetros Rodados]]/(BASE_DATOS[[#This Row],[NSK Original]]-BASE_DATOS[[#This Row],[NSK]]),"")</f>
        <v/>
      </c>
      <c r="AQ43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38" s="177" t="str">
        <f>IFERROR(BASE_DATOS[[#This Row],[Precio US$]]/BASE_DATOS[[#This Row],[Kilómetros Proy.]],"")</f>
        <v/>
      </c>
      <c r="AS438" s="167" t="s">
        <v>62</v>
      </c>
      <c r="AT438" s="167"/>
      <c r="AU438" s="167"/>
      <c r="AV438" s="167" t="s">
        <v>515</v>
      </c>
      <c r="AW438" s="179"/>
      <c r="AX438" s="179"/>
      <c r="AY438" s="179" t="str">
        <f>CONCATENATE(BASE_DATOS[[#This Row],[Código_U]]&amp;BASE_DATOS[[#This Row],[Pos.]]&amp;BASE_DATOS[[#This Row],[Situación Actual]])</f>
        <v>TC-1845Rodando</v>
      </c>
    </row>
    <row r="439" spans="1:51" ht="12" x14ac:dyDescent="0.25">
      <c r="A439" s="227" t="s">
        <v>203</v>
      </c>
      <c r="B439" s="217" t="s">
        <v>204</v>
      </c>
      <c r="C439" s="228" t="s">
        <v>296</v>
      </c>
      <c r="D439" s="229" t="s">
        <v>61</v>
      </c>
      <c r="E439" s="255"/>
      <c r="F439" s="256" t="s">
        <v>273</v>
      </c>
      <c r="G439" s="256" t="s">
        <v>271</v>
      </c>
      <c r="H439" s="257" t="str">
        <f>IF(BASE_DATOS[[#This Row],[N-R]]="N",BASE_DATOS[[#This Row],[Diseño]],"Reencauche")</f>
        <v>XMULTI2D</v>
      </c>
      <c r="I439" s="256" t="s">
        <v>299</v>
      </c>
      <c r="J439" s="243" t="s">
        <v>72</v>
      </c>
      <c r="K439" s="258">
        <v>21.4</v>
      </c>
      <c r="L439" s="241">
        <v>110</v>
      </c>
      <c r="M439" s="259"/>
      <c r="N439" s="260"/>
      <c r="O439" s="277"/>
      <c r="P439" s="278"/>
      <c r="Q439" s="279"/>
      <c r="R439" s="309" t="s">
        <v>103</v>
      </c>
      <c r="S439" s="310">
        <v>45385</v>
      </c>
      <c r="T439" s="313"/>
      <c r="U439" s="279"/>
      <c r="V439" s="227">
        <v>12</v>
      </c>
      <c r="W439" s="281"/>
      <c r="X439" s="282">
        <v>13</v>
      </c>
      <c r="Y439" s="293">
        <f t="shared" si="17"/>
        <v>12</v>
      </c>
      <c r="Z439" s="175" t="s">
        <v>85</v>
      </c>
      <c r="AA439" s="342">
        <f>IFERROR(BASE_DATOS[[#This Row],[NSK Original]]-BASE_DATOS[[#This Row],[NSK]]," ")</f>
        <v>9.3999999999999986</v>
      </c>
      <c r="AB439" s="343">
        <f>'NSK-TRACTO'!$A$2</f>
        <v>6</v>
      </c>
      <c r="AC439" s="343">
        <f>IF(BASE_DATOS[[#This Row],[NSK]]&gt;=BASE_DATOS[[#This Row],[NSK Reen]],BASE_DATOS[[#This Row],[NSK Reen]],BASE_DATOS[[#This Row],[NSK]])</f>
        <v>6</v>
      </c>
      <c r="AD439" s="344">
        <f>IFERROR(100%-(BASE_DATOS[[#This Row],[NSK Reen]]/BASE_DATOS[[#This Row],[NSK Original]]),"")</f>
        <v>0.71962616822429903</v>
      </c>
      <c r="AE439" s="344">
        <f>IFERROR(100%-BASE_DATOS[[#This Row],[NSK]]/BASE_DATOS[[#This Row],[NSK Original]],"")</f>
        <v>0.43925233644859807</v>
      </c>
      <c r="AF439" s="344">
        <f>IFERROR(BASE_DATOS[[#This Row],[% Max Des.]]-BASE_DATOS[[#This Row],[% Des]],"")</f>
        <v>0.28037383177570097</v>
      </c>
      <c r="AG439" s="287"/>
      <c r="AH439" s="273"/>
      <c r="AI439" s="363" t="str">
        <f>IF(OR(BASE_DATOS[[#This Row],[Hr.]]="",BASE_DATOS[[#This Row],[Hr. Actual]]=""),"",BASE_DATOS[[#This Row],[Hr. Actual]]-BASE_DATOS[[#This Row],[Hr.]]+BASE_DATOS[[#This Row],[Horas Acumuladas]])</f>
        <v/>
      </c>
      <c r="AJ439" s="364" t="str">
        <f>IFERROR(BASE_DATOS[[#This Row],[Precio US$]]/BASE_DATOS[[#This Row],[Horas Rodadas]],"")</f>
        <v/>
      </c>
      <c r="AK439" s="365" t="str">
        <f>IFERROR(BASE_DATOS[[#This Row],[Horas Rodadas]]/(BASE_DATOS[[#This Row],[NSK Original]]-BASE_DATOS[[#This Row],[NSK]]),"")</f>
        <v/>
      </c>
      <c r="AL43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39" s="366" t="str">
        <f>IFERROR(BASE_DATOS[[#This Row],[Precio US$]]/BASE_DATOS[[#This Row],[Horas Proy.]],"")</f>
        <v/>
      </c>
      <c r="AN439" s="176" t="str">
        <f>IF(OR(BASE_DATOS[[#This Row],[Km.]]="",BASE_DATOS[[#This Row],[Km. Actual]]=""),"",BASE_DATOS[[#This Row],[Km. Actual]]-BASE_DATOS[[#This Row],[Km.]]+BASE_DATOS[[#This Row],[Kilómetros Acumulados]])</f>
        <v/>
      </c>
      <c r="AO439" s="177" t="str">
        <f>IFERROR(BASE_DATOS[[#This Row],[Precio US$]]/BASE_DATOS[[#This Row],[Kilómetros Rodados]],"")</f>
        <v/>
      </c>
      <c r="AP439" s="176" t="str">
        <f>IFERROR(BASE_DATOS[[#This Row],[Kilómetros Rodados]]/(BASE_DATOS[[#This Row],[NSK Original]]-BASE_DATOS[[#This Row],[NSK]]),"")</f>
        <v/>
      </c>
      <c r="AQ43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39" s="177" t="str">
        <f>IFERROR(BASE_DATOS[[#This Row],[Precio US$]]/BASE_DATOS[[#This Row],[Kilómetros Proy.]],"")</f>
        <v/>
      </c>
      <c r="AS439" s="167" t="s">
        <v>62</v>
      </c>
      <c r="AT439" s="167"/>
      <c r="AU439" s="167"/>
      <c r="AV439" s="167" t="s">
        <v>515</v>
      </c>
      <c r="AW439" s="179"/>
      <c r="AX439" s="179"/>
      <c r="AY439" s="179" t="str">
        <f>CONCATENATE(BASE_DATOS[[#This Row],[Código_U]]&amp;BASE_DATOS[[#This Row],[Pos.]]&amp;BASE_DATOS[[#This Row],[Situación Actual]])</f>
        <v>TC-1846Rodando</v>
      </c>
    </row>
    <row r="440" spans="1:51" ht="12" x14ac:dyDescent="0.25">
      <c r="A440" s="227" t="s">
        <v>203</v>
      </c>
      <c r="B440" s="217" t="s">
        <v>204</v>
      </c>
      <c r="C440" s="228" t="s">
        <v>296</v>
      </c>
      <c r="D440" s="229" t="s">
        <v>61</v>
      </c>
      <c r="E440" s="255"/>
      <c r="F440" s="256" t="s">
        <v>273</v>
      </c>
      <c r="G440" s="256" t="s">
        <v>271</v>
      </c>
      <c r="H440" s="257" t="str">
        <f>IF(BASE_DATOS[[#This Row],[N-R]]="N",BASE_DATOS[[#This Row],[Diseño]],"Reencauche")</f>
        <v>XMULTI2D</v>
      </c>
      <c r="I440" s="256" t="s">
        <v>299</v>
      </c>
      <c r="J440" s="243" t="s">
        <v>72</v>
      </c>
      <c r="K440" s="258">
        <v>21.4</v>
      </c>
      <c r="L440" s="241">
        <v>110</v>
      </c>
      <c r="M440" s="259"/>
      <c r="N440" s="260"/>
      <c r="O440" s="277"/>
      <c r="P440" s="278"/>
      <c r="Q440" s="279"/>
      <c r="R440" s="309" t="s">
        <v>104</v>
      </c>
      <c r="S440" s="310">
        <v>45385</v>
      </c>
      <c r="T440" s="313"/>
      <c r="U440" s="279"/>
      <c r="V440" s="227">
        <v>10</v>
      </c>
      <c r="W440" s="281"/>
      <c r="X440" s="282">
        <v>11</v>
      </c>
      <c r="Y440" s="293">
        <f t="shared" si="17"/>
        <v>10</v>
      </c>
      <c r="Z440" s="175" t="s">
        <v>85</v>
      </c>
      <c r="AA440" s="342">
        <f>IFERROR(BASE_DATOS[[#This Row],[NSK Original]]-BASE_DATOS[[#This Row],[NSK]]," ")</f>
        <v>11.399999999999999</v>
      </c>
      <c r="AB440" s="343">
        <f>'NSK-TRACTO'!$A$2</f>
        <v>6</v>
      </c>
      <c r="AC440" s="343">
        <f>IF(BASE_DATOS[[#This Row],[NSK]]&gt;=BASE_DATOS[[#This Row],[NSK Reen]],BASE_DATOS[[#This Row],[NSK Reen]],BASE_DATOS[[#This Row],[NSK]])</f>
        <v>6</v>
      </c>
      <c r="AD440" s="344">
        <f>IFERROR(100%-(BASE_DATOS[[#This Row],[NSK Reen]]/BASE_DATOS[[#This Row],[NSK Original]]),"")</f>
        <v>0.71962616822429903</v>
      </c>
      <c r="AE440" s="344">
        <f>IFERROR(100%-BASE_DATOS[[#This Row],[NSK]]/BASE_DATOS[[#This Row],[NSK Original]],"")</f>
        <v>0.53271028037383172</v>
      </c>
      <c r="AF440" s="344">
        <f>IFERROR(BASE_DATOS[[#This Row],[% Max Des.]]-BASE_DATOS[[#This Row],[% Des]],"")</f>
        <v>0.18691588785046731</v>
      </c>
      <c r="AG440" s="287"/>
      <c r="AH440" s="273"/>
      <c r="AI440" s="363" t="str">
        <f>IF(OR(BASE_DATOS[[#This Row],[Hr.]]="",BASE_DATOS[[#This Row],[Hr. Actual]]=""),"",BASE_DATOS[[#This Row],[Hr. Actual]]-BASE_DATOS[[#This Row],[Hr.]]+BASE_DATOS[[#This Row],[Horas Acumuladas]])</f>
        <v/>
      </c>
      <c r="AJ440" s="364" t="str">
        <f>IFERROR(BASE_DATOS[[#This Row],[Precio US$]]/BASE_DATOS[[#This Row],[Horas Rodadas]],"")</f>
        <v/>
      </c>
      <c r="AK440" s="365" t="str">
        <f>IFERROR(BASE_DATOS[[#This Row],[Horas Rodadas]]/(BASE_DATOS[[#This Row],[NSK Original]]-BASE_DATOS[[#This Row],[NSK]]),"")</f>
        <v/>
      </c>
      <c r="AL44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40" s="366" t="str">
        <f>IFERROR(BASE_DATOS[[#This Row],[Precio US$]]/BASE_DATOS[[#This Row],[Horas Proy.]],"")</f>
        <v/>
      </c>
      <c r="AN440" s="176" t="str">
        <f>IF(OR(BASE_DATOS[[#This Row],[Km.]]="",BASE_DATOS[[#This Row],[Km. Actual]]=""),"",BASE_DATOS[[#This Row],[Km. Actual]]-BASE_DATOS[[#This Row],[Km.]]+BASE_DATOS[[#This Row],[Kilómetros Acumulados]])</f>
        <v/>
      </c>
      <c r="AO440" s="177" t="str">
        <f>IFERROR(BASE_DATOS[[#This Row],[Precio US$]]/BASE_DATOS[[#This Row],[Kilómetros Rodados]],"")</f>
        <v/>
      </c>
      <c r="AP440" s="176" t="str">
        <f>IFERROR(BASE_DATOS[[#This Row],[Kilómetros Rodados]]/(BASE_DATOS[[#This Row],[NSK Original]]-BASE_DATOS[[#This Row],[NSK]]),"")</f>
        <v/>
      </c>
      <c r="AQ44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40" s="177" t="str">
        <f>IFERROR(BASE_DATOS[[#This Row],[Precio US$]]/BASE_DATOS[[#This Row],[Kilómetros Proy.]],"")</f>
        <v/>
      </c>
      <c r="AS440" s="167" t="s">
        <v>62</v>
      </c>
      <c r="AT440" s="167"/>
      <c r="AU440" s="167"/>
      <c r="AV440" s="167" t="s">
        <v>515</v>
      </c>
      <c r="AW440" s="179"/>
      <c r="AX440" s="179"/>
      <c r="AY440" s="179" t="str">
        <f>CONCATENATE(BASE_DATOS[[#This Row],[Código_U]]&amp;BASE_DATOS[[#This Row],[Pos.]]&amp;BASE_DATOS[[#This Row],[Situación Actual]])</f>
        <v>TC-1847Rodando</v>
      </c>
    </row>
    <row r="441" spans="1:51" ht="12" x14ac:dyDescent="0.25">
      <c r="A441" s="227" t="s">
        <v>203</v>
      </c>
      <c r="B441" s="217" t="s">
        <v>204</v>
      </c>
      <c r="C441" s="228" t="s">
        <v>296</v>
      </c>
      <c r="D441" s="229" t="s">
        <v>61</v>
      </c>
      <c r="E441" s="255"/>
      <c r="F441" s="256" t="s">
        <v>273</v>
      </c>
      <c r="G441" s="256" t="s">
        <v>271</v>
      </c>
      <c r="H441" s="257" t="str">
        <f>IF(BASE_DATOS[[#This Row],[N-R]]="N",BASE_DATOS[[#This Row],[Diseño]],"Reencauche")</f>
        <v>XMULTI2D</v>
      </c>
      <c r="I441" s="256" t="s">
        <v>299</v>
      </c>
      <c r="J441" s="243" t="s">
        <v>72</v>
      </c>
      <c r="K441" s="258">
        <v>21.4</v>
      </c>
      <c r="L441" s="241">
        <v>110</v>
      </c>
      <c r="M441" s="259"/>
      <c r="N441" s="260"/>
      <c r="O441" s="277"/>
      <c r="P441" s="278"/>
      <c r="Q441" s="279"/>
      <c r="R441" s="309" t="s">
        <v>105</v>
      </c>
      <c r="S441" s="310">
        <v>45385</v>
      </c>
      <c r="T441" s="313"/>
      <c r="U441" s="279"/>
      <c r="V441" s="227">
        <v>10</v>
      </c>
      <c r="W441" s="281"/>
      <c r="X441" s="282">
        <v>10</v>
      </c>
      <c r="Y441" s="293">
        <f t="shared" si="17"/>
        <v>10</v>
      </c>
      <c r="Z441" s="175" t="s">
        <v>85</v>
      </c>
      <c r="AA441" s="342">
        <f>IFERROR(BASE_DATOS[[#This Row],[NSK Original]]-BASE_DATOS[[#This Row],[NSK]]," ")</f>
        <v>11.399999999999999</v>
      </c>
      <c r="AB441" s="343">
        <f>'NSK-TRACTO'!$A$2</f>
        <v>6</v>
      </c>
      <c r="AC441" s="343">
        <f>IF(BASE_DATOS[[#This Row],[NSK]]&gt;=BASE_DATOS[[#This Row],[NSK Reen]],BASE_DATOS[[#This Row],[NSK Reen]],BASE_DATOS[[#This Row],[NSK]])</f>
        <v>6</v>
      </c>
      <c r="AD441" s="344">
        <f>IFERROR(100%-(BASE_DATOS[[#This Row],[NSK Reen]]/BASE_DATOS[[#This Row],[NSK Original]]),"")</f>
        <v>0.71962616822429903</v>
      </c>
      <c r="AE441" s="344">
        <f>IFERROR(100%-BASE_DATOS[[#This Row],[NSK]]/BASE_DATOS[[#This Row],[NSK Original]],"")</f>
        <v>0.53271028037383172</v>
      </c>
      <c r="AF441" s="344">
        <f>IFERROR(BASE_DATOS[[#This Row],[% Max Des.]]-BASE_DATOS[[#This Row],[% Des]],"")</f>
        <v>0.18691588785046731</v>
      </c>
      <c r="AG441" s="287"/>
      <c r="AH441" s="273"/>
      <c r="AI441" s="363" t="str">
        <f>IF(OR(BASE_DATOS[[#This Row],[Hr.]]="",BASE_DATOS[[#This Row],[Hr. Actual]]=""),"",BASE_DATOS[[#This Row],[Hr. Actual]]-BASE_DATOS[[#This Row],[Hr.]]+BASE_DATOS[[#This Row],[Horas Acumuladas]])</f>
        <v/>
      </c>
      <c r="AJ441" s="364" t="str">
        <f>IFERROR(BASE_DATOS[[#This Row],[Precio US$]]/BASE_DATOS[[#This Row],[Horas Rodadas]],"")</f>
        <v/>
      </c>
      <c r="AK441" s="365" t="str">
        <f>IFERROR(BASE_DATOS[[#This Row],[Horas Rodadas]]/(BASE_DATOS[[#This Row],[NSK Original]]-BASE_DATOS[[#This Row],[NSK]]),"")</f>
        <v/>
      </c>
      <c r="AL44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41" s="366" t="str">
        <f>IFERROR(BASE_DATOS[[#This Row],[Precio US$]]/BASE_DATOS[[#This Row],[Horas Proy.]],"")</f>
        <v/>
      </c>
      <c r="AN441" s="176" t="str">
        <f>IF(OR(BASE_DATOS[[#This Row],[Km.]]="",BASE_DATOS[[#This Row],[Km. Actual]]=""),"",BASE_DATOS[[#This Row],[Km. Actual]]-BASE_DATOS[[#This Row],[Km.]]+BASE_DATOS[[#This Row],[Kilómetros Acumulados]])</f>
        <v/>
      </c>
      <c r="AO441" s="177" t="str">
        <f>IFERROR(BASE_DATOS[[#This Row],[Precio US$]]/BASE_DATOS[[#This Row],[Kilómetros Rodados]],"")</f>
        <v/>
      </c>
      <c r="AP441" s="176" t="str">
        <f>IFERROR(BASE_DATOS[[#This Row],[Kilómetros Rodados]]/(BASE_DATOS[[#This Row],[NSK Original]]-BASE_DATOS[[#This Row],[NSK]]),"")</f>
        <v/>
      </c>
      <c r="AQ44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41" s="177" t="str">
        <f>IFERROR(BASE_DATOS[[#This Row],[Precio US$]]/BASE_DATOS[[#This Row],[Kilómetros Proy.]],"")</f>
        <v/>
      </c>
      <c r="AS441" s="167" t="s">
        <v>62</v>
      </c>
      <c r="AT441" s="167"/>
      <c r="AU441" s="167"/>
      <c r="AV441" s="167" t="s">
        <v>515</v>
      </c>
      <c r="AW441" s="179"/>
      <c r="AX441" s="179"/>
      <c r="AY441" s="179" t="str">
        <f>CONCATENATE(BASE_DATOS[[#This Row],[Código_U]]&amp;BASE_DATOS[[#This Row],[Pos.]]&amp;BASE_DATOS[[#This Row],[Situación Actual]])</f>
        <v>TC-1848Rodando</v>
      </c>
    </row>
    <row r="442" spans="1:51" ht="12" x14ac:dyDescent="0.25">
      <c r="A442" s="227" t="s">
        <v>203</v>
      </c>
      <c r="B442" s="217" t="s">
        <v>204</v>
      </c>
      <c r="C442" s="228" t="s">
        <v>296</v>
      </c>
      <c r="D442" s="229" t="s">
        <v>61</v>
      </c>
      <c r="E442" s="255"/>
      <c r="F442" s="256" t="s">
        <v>273</v>
      </c>
      <c r="G442" s="256" t="s">
        <v>271</v>
      </c>
      <c r="H442" s="257" t="str">
        <f>IF(BASE_DATOS[[#This Row],[N-R]]="N",BASE_DATOS[[#This Row],[Diseño]],"Reencauche")</f>
        <v>XMULTI2D</v>
      </c>
      <c r="I442" s="256" t="s">
        <v>299</v>
      </c>
      <c r="J442" s="243" t="s">
        <v>72</v>
      </c>
      <c r="K442" s="258">
        <v>21.4</v>
      </c>
      <c r="L442" s="241">
        <v>110</v>
      </c>
      <c r="M442" s="259"/>
      <c r="N442" s="260"/>
      <c r="O442" s="277"/>
      <c r="P442" s="278"/>
      <c r="Q442" s="279"/>
      <c r="R442" s="309" t="s">
        <v>106</v>
      </c>
      <c r="S442" s="310">
        <v>45385</v>
      </c>
      <c r="T442" s="313"/>
      <c r="U442" s="279"/>
      <c r="V442" s="227">
        <v>10</v>
      </c>
      <c r="W442" s="281"/>
      <c r="X442" s="282">
        <v>11</v>
      </c>
      <c r="Y442" s="293">
        <f t="shared" ref="Y442:Y443" si="18">IFERROR(MIN(V442:X442),"")</f>
        <v>10</v>
      </c>
      <c r="Z442" s="175" t="s">
        <v>85</v>
      </c>
      <c r="AA442" s="342">
        <f>IFERROR(BASE_DATOS[[#This Row],[NSK Original]]-BASE_DATOS[[#This Row],[NSK]]," ")</f>
        <v>11.399999999999999</v>
      </c>
      <c r="AB442" s="343">
        <f>'NSK-TRACTO'!$A$2</f>
        <v>6</v>
      </c>
      <c r="AC442" s="343">
        <f>IF(BASE_DATOS[[#This Row],[NSK]]&gt;=BASE_DATOS[[#This Row],[NSK Reen]],BASE_DATOS[[#This Row],[NSK Reen]],BASE_DATOS[[#This Row],[NSK]])</f>
        <v>6</v>
      </c>
      <c r="AD442" s="344">
        <f>IFERROR(100%-(BASE_DATOS[[#This Row],[NSK Reen]]/BASE_DATOS[[#This Row],[NSK Original]]),"")</f>
        <v>0.71962616822429903</v>
      </c>
      <c r="AE442" s="344">
        <f>IFERROR(100%-BASE_DATOS[[#This Row],[NSK]]/BASE_DATOS[[#This Row],[NSK Original]],"")</f>
        <v>0.53271028037383172</v>
      </c>
      <c r="AF442" s="344">
        <f>IFERROR(BASE_DATOS[[#This Row],[% Max Des.]]-BASE_DATOS[[#This Row],[% Des]],"")</f>
        <v>0.18691588785046731</v>
      </c>
      <c r="AG442" s="287"/>
      <c r="AH442" s="273"/>
      <c r="AI442" s="363" t="str">
        <f>IF(OR(BASE_DATOS[[#This Row],[Hr.]]="",BASE_DATOS[[#This Row],[Hr. Actual]]=""),"",BASE_DATOS[[#This Row],[Hr. Actual]]-BASE_DATOS[[#This Row],[Hr.]]+BASE_DATOS[[#This Row],[Horas Acumuladas]])</f>
        <v/>
      </c>
      <c r="AJ442" s="364" t="str">
        <f>IFERROR(BASE_DATOS[[#This Row],[Precio US$]]/BASE_DATOS[[#This Row],[Horas Rodadas]],"")</f>
        <v/>
      </c>
      <c r="AK442" s="365" t="str">
        <f>IFERROR(BASE_DATOS[[#This Row],[Horas Rodadas]]/(BASE_DATOS[[#This Row],[NSK Original]]-BASE_DATOS[[#This Row],[NSK]]),"")</f>
        <v/>
      </c>
      <c r="AL44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42" s="366" t="str">
        <f>IFERROR(BASE_DATOS[[#This Row],[Precio US$]]/BASE_DATOS[[#This Row],[Horas Proy.]],"")</f>
        <v/>
      </c>
      <c r="AN442" s="176" t="str">
        <f>IF(OR(BASE_DATOS[[#This Row],[Km.]]="",BASE_DATOS[[#This Row],[Km. Actual]]=""),"",BASE_DATOS[[#This Row],[Km. Actual]]-BASE_DATOS[[#This Row],[Km.]]+BASE_DATOS[[#This Row],[Kilómetros Acumulados]])</f>
        <v/>
      </c>
      <c r="AO442" s="177" t="str">
        <f>IFERROR(BASE_DATOS[[#This Row],[Precio US$]]/BASE_DATOS[[#This Row],[Kilómetros Rodados]],"")</f>
        <v/>
      </c>
      <c r="AP442" s="176" t="str">
        <f>IFERROR(BASE_DATOS[[#This Row],[Kilómetros Rodados]]/(BASE_DATOS[[#This Row],[NSK Original]]-BASE_DATOS[[#This Row],[NSK]]),"")</f>
        <v/>
      </c>
      <c r="AQ44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42" s="177" t="str">
        <f>IFERROR(BASE_DATOS[[#This Row],[Precio US$]]/BASE_DATOS[[#This Row],[Kilómetros Proy.]],"")</f>
        <v/>
      </c>
      <c r="AS442" s="167" t="s">
        <v>62</v>
      </c>
      <c r="AT442" s="167"/>
      <c r="AU442" s="167"/>
      <c r="AV442" s="167" t="s">
        <v>515</v>
      </c>
      <c r="AW442" s="179"/>
      <c r="AX442" s="179"/>
      <c r="AY442" s="179" t="str">
        <f>CONCATENATE(BASE_DATOS[[#This Row],[Código_U]]&amp;BASE_DATOS[[#This Row],[Pos.]]&amp;BASE_DATOS[[#This Row],[Situación Actual]])</f>
        <v>TC-1849Rodando</v>
      </c>
    </row>
    <row r="443" spans="1:51" ht="12" x14ac:dyDescent="0.25">
      <c r="A443" s="227" t="s">
        <v>203</v>
      </c>
      <c r="B443" s="217" t="s">
        <v>204</v>
      </c>
      <c r="C443" s="228" t="s">
        <v>296</v>
      </c>
      <c r="D443" s="229" t="s">
        <v>61</v>
      </c>
      <c r="E443" s="255"/>
      <c r="F443" s="256" t="s">
        <v>273</v>
      </c>
      <c r="G443" s="256" t="s">
        <v>271</v>
      </c>
      <c r="H443" s="257" t="str">
        <f>IF(BASE_DATOS[[#This Row],[N-R]]="N",BASE_DATOS[[#This Row],[Diseño]],"Reencauche")</f>
        <v>XMULTI2D</v>
      </c>
      <c r="I443" s="256" t="s">
        <v>299</v>
      </c>
      <c r="J443" s="243" t="s">
        <v>72</v>
      </c>
      <c r="K443" s="258">
        <v>21.4</v>
      </c>
      <c r="L443" s="241">
        <v>110</v>
      </c>
      <c r="M443" s="259"/>
      <c r="N443" s="260"/>
      <c r="O443" s="277"/>
      <c r="P443" s="278"/>
      <c r="Q443" s="279"/>
      <c r="R443" s="309" t="s">
        <v>107</v>
      </c>
      <c r="S443" s="310">
        <v>45385</v>
      </c>
      <c r="T443" s="313"/>
      <c r="U443" s="279"/>
      <c r="V443" s="227">
        <v>10</v>
      </c>
      <c r="W443" s="281"/>
      <c r="X443" s="282">
        <v>11</v>
      </c>
      <c r="Y443" s="293">
        <f t="shared" si="18"/>
        <v>10</v>
      </c>
      <c r="Z443" s="175" t="s">
        <v>85</v>
      </c>
      <c r="AA443" s="342">
        <f>IFERROR(BASE_DATOS[[#This Row],[NSK Original]]-BASE_DATOS[[#This Row],[NSK]]," ")</f>
        <v>11.399999999999999</v>
      </c>
      <c r="AB443" s="343">
        <f>'NSK-TRACTO'!$A$2</f>
        <v>6</v>
      </c>
      <c r="AC443" s="343">
        <f>IF(BASE_DATOS[[#This Row],[NSK]]&gt;=BASE_DATOS[[#This Row],[NSK Reen]],BASE_DATOS[[#This Row],[NSK Reen]],BASE_DATOS[[#This Row],[NSK]])</f>
        <v>6</v>
      </c>
      <c r="AD443" s="344">
        <f>IFERROR(100%-(BASE_DATOS[[#This Row],[NSK Reen]]/BASE_DATOS[[#This Row],[NSK Original]]),"")</f>
        <v>0.71962616822429903</v>
      </c>
      <c r="AE443" s="344">
        <f>IFERROR(100%-BASE_DATOS[[#This Row],[NSK]]/BASE_DATOS[[#This Row],[NSK Original]],"")</f>
        <v>0.53271028037383172</v>
      </c>
      <c r="AF443" s="344">
        <f>IFERROR(BASE_DATOS[[#This Row],[% Max Des.]]-BASE_DATOS[[#This Row],[% Des]],"")</f>
        <v>0.18691588785046731</v>
      </c>
      <c r="AG443" s="287"/>
      <c r="AH443" s="273"/>
      <c r="AI443" s="363" t="str">
        <f>IF(OR(BASE_DATOS[[#This Row],[Hr.]]="",BASE_DATOS[[#This Row],[Hr. Actual]]=""),"",BASE_DATOS[[#This Row],[Hr. Actual]]-BASE_DATOS[[#This Row],[Hr.]]+BASE_DATOS[[#This Row],[Horas Acumuladas]])</f>
        <v/>
      </c>
      <c r="AJ443" s="364" t="str">
        <f>IFERROR(BASE_DATOS[[#This Row],[Precio US$]]/BASE_DATOS[[#This Row],[Horas Rodadas]],"")</f>
        <v/>
      </c>
      <c r="AK443" s="365" t="str">
        <f>IFERROR(BASE_DATOS[[#This Row],[Horas Rodadas]]/(BASE_DATOS[[#This Row],[NSK Original]]-BASE_DATOS[[#This Row],[NSK]]),"")</f>
        <v/>
      </c>
      <c r="AL44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43" s="366" t="str">
        <f>IFERROR(BASE_DATOS[[#This Row],[Precio US$]]/BASE_DATOS[[#This Row],[Horas Proy.]],"")</f>
        <v/>
      </c>
      <c r="AN443" s="176" t="str">
        <f>IF(OR(BASE_DATOS[[#This Row],[Km.]]="",BASE_DATOS[[#This Row],[Km. Actual]]=""),"",BASE_DATOS[[#This Row],[Km. Actual]]-BASE_DATOS[[#This Row],[Km.]]+BASE_DATOS[[#This Row],[Kilómetros Acumulados]])</f>
        <v/>
      </c>
      <c r="AO443" s="177" t="str">
        <f>IFERROR(BASE_DATOS[[#This Row],[Precio US$]]/BASE_DATOS[[#This Row],[Kilómetros Rodados]],"")</f>
        <v/>
      </c>
      <c r="AP443" s="176" t="str">
        <f>IFERROR(BASE_DATOS[[#This Row],[Kilómetros Rodados]]/(BASE_DATOS[[#This Row],[NSK Original]]-BASE_DATOS[[#This Row],[NSK]]),"")</f>
        <v/>
      </c>
      <c r="AQ44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43" s="177" t="str">
        <f>IFERROR(BASE_DATOS[[#This Row],[Precio US$]]/BASE_DATOS[[#This Row],[Kilómetros Proy.]],"")</f>
        <v/>
      </c>
      <c r="AS443" s="167" t="s">
        <v>62</v>
      </c>
      <c r="AT443" s="167"/>
      <c r="AU443" s="167"/>
      <c r="AV443" s="167" t="s">
        <v>515</v>
      </c>
      <c r="AW443" s="179"/>
      <c r="AX443" s="179"/>
      <c r="AY443" s="179" t="str">
        <f>CONCATENATE(BASE_DATOS[[#This Row],[Código_U]]&amp;BASE_DATOS[[#This Row],[Pos.]]&amp;BASE_DATOS[[#This Row],[Situación Actual]])</f>
        <v>TC-18410Rodando</v>
      </c>
    </row>
    <row r="444" spans="1:51" ht="12" x14ac:dyDescent="0.25">
      <c r="A444" s="224" t="s">
        <v>205</v>
      </c>
      <c r="B444" s="213" t="s">
        <v>206</v>
      </c>
      <c r="C444" s="225" t="s">
        <v>295</v>
      </c>
      <c r="D444" s="226" t="s">
        <v>87</v>
      </c>
      <c r="E444" s="249"/>
      <c r="F444" s="250" t="s">
        <v>97</v>
      </c>
      <c r="G444" s="250" t="s">
        <v>269</v>
      </c>
      <c r="H444" s="251" t="str">
        <f>IF(BASE_DATOS[[#This Row],[N-R]]="N",BASE_DATOS[[#This Row],[Diseño]],"Reencauche")</f>
        <v>AGC28</v>
      </c>
      <c r="I444" s="250" t="s">
        <v>270</v>
      </c>
      <c r="J444" s="235" t="s">
        <v>72</v>
      </c>
      <c r="K444" s="252">
        <v>16.5</v>
      </c>
      <c r="L444" s="250">
        <v>110</v>
      </c>
      <c r="M444" s="253"/>
      <c r="N444" s="254"/>
      <c r="O444" s="274"/>
      <c r="P444" s="275"/>
      <c r="Q444" s="276"/>
      <c r="R444" s="305" t="s">
        <v>98</v>
      </c>
      <c r="S444" s="306">
        <v>45385</v>
      </c>
      <c r="T444" s="314"/>
      <c r="U444" s="276"/>
      <c r="V444" s="224">
        <v>14</v>
      </c>
      <c r="W444" s="325">
        <v>14</v>
      </c>
      <c r="X444" s="326">
        <v>14</v>
      </c>
      <c r="Y444" s="292">
        <f t="shared" si="17"/>
        <v>14</v>
      </c>
      <c r="Z444" s="194" t="s">
        <v>85</v>
      </c>
      <c r="AA444" s="339">
        <f>IFERROR(BASE_DATOS[[#This Row],[NSK Original]]-BASE_DATOS[[#This Row],[NSK]]," ")</f>
        <v>2.5</v>
      </c>
      <c r="AB444" s="340">
        <f>'NSK-TRACTO'!$A$2</f>
        <v>6</v>
      </c>
      <c r="AC444" s="340">
        <f>IF(BASE_DATOS[[#This Row],[NSK]]&gt;=BASE_DATOS[[#This Row],[NSK Reen]],BASE_DATOS[[#This Row],[NSK Reen]],BASE_DATOS[[#This Row],[NSK]])</f>
        <v>6</v>
      </c>
      <c r="AD444" s="341">
        <f>IFERROR(100%-(BASE_DATOS[[#This Row],[NSK Reen]]/BASE_DATOS[[#This Row],[NSK Original]]),"")</f>
        <v>0.63636363636363635</v>
      </c>
      <c r="AE444" s="341">
        <f>IFERROR(100%-BASE_DATOS[[#This Row],[NSK]]/BASE_DATOS[[#This Row],[NSK Original]],"")</f>
        <v>0.15151515151515149</v>
      </c>
      <c r="AF444" s="341">
        <f>IFERROR(BASE_DATOS[[#This Row],[% Max Des.]]-BASE_DATOS[[#This Row],[% Des]],"")</f>
        <v>0.48484848484848486</v>
      </c>
      <c r="AG444" s="284"/>
      <c r="AH444" s="335"/>
      <c r="AI444" s="359" t="str">
        <f>IF(OR(BASE_DATOS[[#This Row],[Hr.]]="",BASE_DATOS[[#This Row],[Hr. Actual]]=""),"",BASE_DATOS[[#This Row],[Hr. Actual]]-BASE_DATOS[[#This Row],[Hr.]]+BASE_DATOS[[#This Row],[Horas Acumuladas]])</f>
        <v/>
      </c>
      <c r="AJ444" s="360" t="str">
        <f>IFERROR(BASE_DATOS[[#This Row],[Precio US$]]/BASE_DATOS[[#This Row],[Horas Rodadas]],"")</f>
        <v/>
      </c>
      <c r="AK444" s="361" t="str">
        <f>IFERROR(BASE_DATOS[[#This Row],[Horas Rodadas]]/(BASE_DATOS[[#This Row],[NSK Original]]-BASE_DATOS[[#This Row],[NSK]]),"")</f>
        <v/>
      </c>
      <c r="AL444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44" s="362" t="str">
        <f>IFERROR(BASE_DATOS[[#This Row],[Precio US$]]/BASE_DATOS[[#This Row],[Horas Proy.]],"")</f>
        <v/>
      </c>
      <c r="AN444" s="195" t="str">
        <f>IF(OR(BASE_DATOS[[#This Row],[Km.]]="",BASE_DATOS[[#This Row],[Km. Actual]]=""),"",BASE_DATOS[[#This Row],[Km. Actual]]-BASE_DATOS[[#This Row],[Km.]]+BASE_DATOS[[#This Row],[Kilómetros Acumulados]])</f>
        <v/>
      </c>
      <c r="AO444" s="196" t="str">
        <f>IFERROR(BASE_DATOS[[#This Row],[Precio US$]]/BASE_DATOS[[#This Row],[Kilómetros Rodados]],"")</f>
        <v/>
      </c>
      <c r="AP444" s="195" t="str">
        <f>IFERROR(BASE_DATOS[[#This Row],[Kilómetros Rodados]]/(BASE_DATOS[[#This Row],[NSK Original]]-BASE_DATOS[[#This Row],[NSK]]),"")</f>
        <v/>
      </c>
      <c r="AQ444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44" s="196" t="str">
        <f>IFERROR(BASE_DATOS[[#This Row],[Precio US$]]/BASE_DATOS[[#This Row],[Kilómetros Proy.]],"")</f>
        <v/>
      </c>
      <c r="AS444" s="191" t="s">
        <v>62</v>
      </c>
      <c r="AT444" s="191"/>
      <c r="AU444" s="191"/>
      <c r="AV444" s="191"/>
      <c r="AW444" s="198"/>
      <c r="AX444" s="198"/>
      <c r="AY444" s="198" t="str">
        <f>CONCATENATE(BASE_DATOS[[#This Row],[Código_U]]&amp;BASE_DATOS[[#This Row],[Pos.]]&amp;BASE_DATOS[[#This Row],[Situación Actual]])</f>
        <v>SR-1841Rodando</v>
      </c>
    </row>
    <row r="445" spans="1:51" ht="12" x14ac:dyDescent="0.25">
      <c r="A445" s="227" t="s">
        <v>205</v>
      </c>
      <c r="B445" s="217" t="s">
        <v>206</v>
      </c>
      <c r="C445" s="228" t="s">
        <v>295</v>
      </c>
      <c r="D445" s="229" t="s">
        <v>87</v>
      </c>
      <c r="E445" s="255"/>
      <c r="F445" s="256" t="s">
        <v>97</v>
      </c>
      <c r="G445" s="256" t="s">
        <v>269</v>
      </c>
      <c r="H445" s="257" t="str">
        <f>IF(BASE_DATOS[[#This Row],[N-R]]="N",BASE_DATOS[[#This Row],[Diseño]],"Reencauche")</f>
        <v>AGC28</v>
      </c>
      <c r="I445" s="256" t="s">
        <v>270</v>
      </c>
      <c r="J445" s="243" t="s">
        <v>72</v>
      </c>
      <c r="K445" s="258">
        <v>16.5</v>
      </c>
      <c r="L445" s="256">
        <v>110</v>
      </c>
      <c r="M445" s="259"/>
      <c r="N445" s="260"/>
      <c r="O445" s="277"/>
      <c r="P445" s="278"/>
      <c r="Q445" s="279"/>
      <c r="R445" s="309" t="s">
        <v>99</v>
      </c>
      <c r="S445" s="310">
        <v>45385</v>
      </c>
      <c r="T445" s="313"/>
      <c r="U445" s="279"/>
      <c r="V445" s="227">
        <v>14</v>
      </c>
      <c r="W445" s="281">
        <v>14</v>
      </c>
      <c r="X445" s="282">
        <v>14</v>
      </c>
      <c r="Y445" s="293">
        <f t="shared" si="17"/>
        <v>14</v>
      </c>
      <c r="Z445" s="175" t="s">
        <v>85</v>
      </c>
      <c r="AA445" s="342">
        <f>IFERROR(BASE_DATOS[[#This Row],[NSK Original]]-BASE_DATOS[[#This Row],[NSK]]," ")</f>
        <v>2.5</v>
      </c>
      <c r="AB445" s="343">
        <f>'NSK-TRACTO'!$A$2</f>
        <v>6</v>
      </c>
      <c r="AC445" s="343">
        <f>IF(BASE_DATOS[[#This Row],[NSK]]&gt;=BASE_DATOS[[#This Row],[NSK Reen]],BASE_DATOS[[#This Row],[NSK Reen]],BASE_DATOS[[#This Row],[NSK]])</f>
        <v>6</v>
      </c>
      <c r="AD445" s="344">
        <f>IFERROR(100%-(BASE_DATOS[[#This Row],[NSK Reen]]/BASE_DATOS[[#This Row],[NSK Original]]),"")</f>
        <v>0.63636363636363635</v>
      </c>
      <c r="AE445" s="344">
        <f>IFERROR(100%-BASE_DATOS[[#This Row],[NSK]]/BASE_DATOS[[#This Row],[NSK Original]],"")</f>
        <v>0.15151515151515149</v>
      </c>
      <c r="AF445" s="344">
        <f>IFERROR(BASE_DATOS[[#This Row],[% Max Des.]]-BASE_DATOS[[#This Row],[% Des]],"")</f>
        <v>0.48484848484848486</v>
      </c>
      <c r="AG445" s="287"/>
      <c r="AH445" s="273"/>
      <c r="AI445" s="363" t="str">
        <f>IF(OR(BASE_DATOS[[#This Row],[Hr.]]="",BASE_DATOS[[#This Row],[Hr. Actual]]=""),"",BASE_DATOS[[#This Row],[Hr. Actual]]-BASE_DATOS[[#This Row],[Hr.]]+BASE_DATOS[[#This Row],[Horas Acumuladas]])</f>
        <v/>
      </c>
      <c r="AJ445" s="364" t="str">
        <f>IFERROR(BASE_DATOS[[#This Row],[Precio US$]]/BASE_DATOS[[#This Row],[Horas Rodadas]],"")</f>
        <v/>
      </c>
      <c r="AK445" s="365" t="str">
        <f>IFERROR(BASE_DATOS[[#This Row],[Horas Rodadas]]/(BASE_DATOS[[#This Row],[NSK Original]]-BASE_DATOS[[#This Row],[NSK]]),"")</f>
        <v/>
      </c>
      <c r="AL44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45" s="366" t="str">
        <f>IFERROR(BASE_DATOS[[#This Row],[Precio US$]]/BASE_DATOS[[#This Row],[Horas Proy.]],"")</f>
        <v/>
      </c>
      <c r="AN445" s="176" t="str">
        <f>IF(OR(BASE_DATOS[[#This Row],[Km.]]="",BASE_DATOS[[#This Row],[Km. Actual]]=""),"",BASE_DATOS[[#This Row],[Km. Actual]]-BASE_DATOS[[#This Row],[Km.]]+BASE_DATOS[[#This Row],[Kilómetros Acumulados]])</f>
        <v/>
      </c>
      <c r="AO445" s="177" t="str">
        <f>IFERROR(BASE_DATOS[[#This Row],[Precio US$]]/BASE_DATOS[[#This Row],[Kilómetros Rodados]],"")</f>
        <v/>
      </c>
      <c r="AP445" s="176" t="str">
        <f>IFERROR(BASE_DATOS[[#This Row],[Kilómetros Rodados]]/(BASE_DATOS[[#This Row],[NSK Original]]-BASE_DATOS[[#This Row],[NSK]]),"")</f>
        <v/>
      </c>
      <c r="AQ44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45" s="177" t="str">
        <f>IFERROR(BASE_DATOS[[#This Row],[Precio US$]]/BASE_DATOS[[#This Row],[Kilómetros Proy.]],"")</f>
        <v/>
      </c>
      <c r="AS445" s="167" t="s">
        <v>62</v>
      </c>
      <c r="AT445" s="167"/>
      <c r="AU445" s="167"/>
      <c r="AV445" s="167"/>
      <c r="AW445" s="179"/>
      <c r="AX445" s="179"/>
      <c r="AY445" s="179" t="str">
        <f>CONCATENATE(BASE_DATOS[[#This Row],[Código_U]]&amp;BASE_DATOS[[#This Row],[Pos.]]&amp;BASE_DATOS[[#This Row],[Situación Actual]])</f>
        <v>SR-1842Rodando</v>
      </c>
    </row>
    <row r="446" spans="1:51" ht="12" x14ac:dyDescent="0.25">
      <c r="A446" s="227" t="s">
        <v>205</v>
      </c>
      <c r="B446" s="217" t="s">
        <v>206</v>
      </c>
      <c r="C446" s="228" t="s">
        <v>295</v>
      </c>
      <c r="D446" s="229" t="s">
        <v>87</v>
      </c>
      <c r="E446" s="255"/>
      <c r="F446" s="256" t="s">
        <v>97</v>
      </c>
      <c r="G446" s="256" t="s">
        <v>269</v>
      </c>
      <c r="H446" s="257" t="str">
        <f>IF(BASE_DATOS[[#This Row],[N-R]]="N",BASE_DATOS[[#This Row],[Diseño]],"Reencauche")</f>
        <v>AGC28</v>
      </c>
      <c r="I446" s="256" t="s">
        <v>270</v>
      </c>
      <c r="J446" s="243" t="s">
        <v>72</v>
      </c>
      <c r="K446" s="258">
        <v>16.5</v>
      </c>
      <c r="L446" s="256">
        <v>110</v>
      </c>
      <c r="M446" s="259"/>
      <c r="N446" s="260"/>
      <c r="O446" s="277"/>
      <c r="P446" s="278"/>
      <c r="Q446" s="279"/>
      <c r="R446" s="309" t="s">
        <v>100</v>
      </c>
      <c r="S446" s="310">
        <v>45385</v>
      </c>
      <c r="T446" s="313"/>
      <c r="U446" s="279"/>
      <c r="V446" s="227">
        <v>13</v>
      </c>
      <c r="W446" s="281">
        <v>13</v>
      </c>
      <c r="X446" s="282">
        <v>13</v>
      </c>
      <c r="Y446" s="293">
        <f t="shared" si="17"/>
        <v>13</v>
      </c>
      <c r="Z446" s="175" t="s">
        <v>85</v>
      </c>
      <c r="AA446" s="342">
        <f>IFERROR(BASE_DATOS[[#This Row],[NSK Original]]-BASE_DATOS[[#This Row],[NSK]]," ")</f>
        <v>3.5</v>
      </c>
      <c r="AB446" s="343">
        <f>'NSK-TRACTO'!$A$2</f>
        <v>6</v>
      </c>
      <c r="AC446" s="343">
        <f>IF(BASE_DATOS[[#This Row],[NSK]]&gt;=BASE_DATOS[[#This Row],[NSK Reen]],BASE_DATOS[[#This Row],[NSK Reen]],BASE_DATOS[[#This Row],[NSK]])</f>
        <v>6</v>
      </c>
      <c r="AD446" s="344">
        <f>IFERROR(100%-(BASE_DATOS[[#This Row],[NSK Reen]]/BASE_DATOS[[#This Row],[NSK Original]]),"")</f>
        <v>0.63636363636363635</v>
      </c>
      <c r="AE446" s="344">
        <f>IFERROR(100%-BASE_DATOS[[#This Row],[NSK]]/BASE_DATOS[[#This Row],[NSK Original]],"")</f>
        <v>0.21212121212121215</v>
      </c>
      <c r="AF446" s="344">
        <f>IFERROR(BASE_DATOS[[#This Row],[% Max Des.]]-BASE_DATOS[[#This Row],[% Des]],"")</f>
        <v>0.4242424242424242</v>
      </c>
      <c r="AG446" s="287"/>
      <c r="AH446" s="273"/>
      <c r="AI446" s="363" t="str">
        <f>IF(OR(BASE_DATOS[[#This Row],[Hr.]]="",BASE_DATOS[[#This Row],[Hr. Actual]]=""),"",BASE_DATOS[[#This Row],[Hr. Actual]]-BASE_DATOS[[#This Row],[Hr.]]+BASE_DATOS[[#This Row],[Horas Acumuladas]])</f>
        <v/>
      </c>
      <c r="AJ446" s="364" t="str">
        <f>IFERROR(BASE_DATOS[[#This Row],[Precio US$]]/BASE_DATOS[[#This Row],[Horas Rodadas]],"")</f>
        <v/>
      </c>
      <c r="AK446" s="365" t="str">
        <f>IFERROR(BASE_DATOS[[#This Row],[Horas Rodadas]]/(BASE_DATOS[[#This Row],[NSK Original]]-BASE_DATOS[[#This Row],[NSK]]),"")</f>
        <v/>
      </c>
      <c r="AL44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46" s="366" t="str">
        <f>IFERROR(BASE_DATOS[[#This Row],[Precio US$]]/BASE_DATOS[[#This Row],[Horas Proy.]],"")</f>
        <v/>
      </c>
      <c r="AN446" s="176" t="str">
        <f>IF(OR(BASE_DATOS[[#This Row],[Km.]]="",BASE_DATOS[[#This Row],[Km. Actual]]=""),"",BASE_DATOS[[#This Row],[Km. Actual]]-BASE_DATOS[[#This Row],[Km.]]+BASE_DATOS[[#This Row],[Kilómetros Acumulados]])</f>
        <v/>
      </c>
      <c r="AO446" s="177" t="str">
        <f>IFERROR(BASE_DATOS[[#This Row],[Precio US$]]/BASE_DATOS[[#This Row],[Kilómetros Rodados]],"")</f>
        <v/>
      </c>
      <c r="AP446" s="176" t="str">
        <f>IFERROR(BASE_DATOS[[#This Row],[Kilómetros Rodados]]/(BASE_DATOS[[#This Row],[NSK Original]]-BASE_DATOS[[#This Row],[NSK]]),"")</f>
        <v/>
      </c>
      <c r="AQ44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46" s="177" t="str">
        <f>IFERROR(BASE_DATOS[[#This Row],[Precio US$]]/BASE_DATOS[[#This Row],[Kilómetros Proy.]],"")</f>
        <v/>
      </c>
      <c r="AS446" s="167" t="s">
        <v>62</v>
      </c>
      <c r="AT446" s="167"/>
      <c r="AU446" s="167"/>
      <c r="AV446" s="167" t="s">
        <v>515</v>
      </c>
      <c r="AW446" s="179"/>
      <c r="AX446" s="179"/>
      <c r="AY446" s="179" t="str">
        <f>CONCATENATE(BASE_DATOS[[#This Row],[Código_U]]&amp;BASE_DATOS[[#This Row],[Pos.]]&amp;BASE_DATOS[[#This Row],[Situación Actual]])</f>
        <v>SR-1843Rodando</v>
      </c>
    </row>
    <row r="447" spans="1:51" ht="12" x14ac:dyDescent="0.25">
      <c r="A447" s="227" t="s">
        <v>205</v>
      </c>
      <c r="B447" s="217" t="s">
        <v>206</v>
      </c>
      <c r="C447" s="228" t="s">
        <v>295</v>
      </c>
      <c r="D447" s="229" t="s">
        <v>87</v>
      </c>
      <c r="E447" s="255"/>
      <c r="F447" s="256" t="s">
        <v>97</v>
      </c>
      <c r="G447" s="256" t="s">
        <v>269</v>
      </c>
      <c r="H447" s="257" t="str">
        <f>IF(BASE_DATOS[[#This Row],[N-R]]="N",BASE_DATOS[[#This Row],[Diseño]],"Reencauche")</f>
        <v>AGC28</v>
      </c>
      <c r="I447" s="256" t="s">
        <v>270</v>
      </c>
      <c r="J447" s="243" t="s">
        <v>72</v>
      </c>
      <c r="K447" s="258">
        <v>16.5</v>
      </c>
      <c r="L447" s="256">
        <v>110</v>
      </c>
      <c r="M447" s="259"/>
      <c r="N447" s="260"/>
      <c r="O447" s="277"/>
      <c r="P447" s="278"/>
      <c r="Q447" s="279"/>
      <c r="R447" s="309" t="s">
        <v>101</v>
      </c>
      <c r="S447" s="310">
        <v>45385</v>
      </c>
      <c r="T447" s="313"/>
      <c r="U447" s="279"/>
      <c r="V447" s="227">
        <v>14</v>
      </c>
      <c r="W447" s="281">
        <v>14</v>
      </c>
      <c r="X447" s="282">
        <v>14</v>
      </c>
      <c r="Y447" s="293">
        <f t="shared" si="17"/>
        <v>14</v>
      </c>
      <c r="Z447" s="175" t="s">
        <v>85</v>
      </c>
      <c r="AA447" s="342">
        <f>IFERROR(BASE_DATOS[[#This Row],[NSK Original]]-BASE_DATOS[[#This Row],[NSK]]," ")</f>
        <v>2.5</v>
      </c>
      <c r="AB447" s="343">
        <f>'NSK-TRACTO'!$A$2</f>
        <v>6</v>
      </c>
      <c r="AC447" s="343">
        <f>IF(BASE_DATOS[[#This Row],[NSK]]&gt;=BASE_DATOS[[#This Row],[NSK Reen]],BASE_DATOS[[#This Row],[NSK Reen]],BASE_DATOS[[#This Row],[NSK]])</f>
        <v>6</v>
      </c>
      <c r="AD447" s="344">
        <f>IFERROR(100%-(BASE_DATOS[[#This Row],[NSK Reen]]/BASE_DATOS[[#This Row],[NSK Original]]),"")</f>
        <v>0.63636363636363635</v>
      </c>
      <c r="AE447" s="344">
        <f>IFERROR(100%-BASE_DATOS[[#This Row],[NSK]]/BASE_DATOS[[#This Row],[NSK Original]],"")</f>
        <v>0.15151515151515149</v>
      </c>
      <c r="AF447" s="344">
        <f>IFERROR(BASE_DATOS[[#This Row],[% Max Des.]]-BASE_DATOS[[#This Row],[% Des]],"")</f>
        <v>0.48484848484848486</v>
      </c>
      <c r="AG447" s="287"/>
      <c r="AH447" s="273"/>
      <c r="AI447" s="363" t="str">
        <f>IF(OR(BASE_DATOS[[#This Row],[Hr.]]="",BASE_DATOS[[#This Row],[Hr. Actual]]=""),"",BASE_DATOS[[#This Row],[Hr. Actual]]-BASE_DATOS[[#This Row],[Hr.]]+BASE_DATOS[[#This Row],[Horas Acumuladas]])</f>
        <v/>
      </c>
      <c r="AJ447" s="364" t="str">
        <f>IFERROR(BASE_DATOS[[#This Row],[Precio US$]]/BASE_DATOS[[#This Row],[Horas Rodadas]],"")</f>
        <v/>
      </c>
      <c r="AK447" s="365" t="str">
        <f>IFERROR(BASE_DATOS[[#This Row],[Horas Rodadas]]/(BASE_DATOS[[#This Row],[NSK Original]]-BASE_DATOS[[#This Row],[NSK]]),"")</f>
        <v/>
      </c>
      <c r="AL44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47" s="366" t="str">
        <f>IFERROR(BASE_DATOS[[#This Row],[Precio US$]]/BASE_DATOS[[#This Row],[Horas Proy.]],"")</f>
        <v/>
      </c>
      <c r="AN447" s="176" t="str">
        <f>IF(OR(BASE_DATOS[[#This Row],[Km.]]="",BASE_DATOS[[#This Row],[Km. Actual]]=""),"",BASE_DATOS[[#This Row],[Km. Actual]]-BASE_DATOS[[#This Row],[Km.]]+BASE_DATOS[[#This Row],[Kilómetros Acumulados]])</f>
        <v/>
      </c>
      <c r="AO447" s="177" t="str">
        <f>IFERROR(BASE_DATOS[[#This Row],[Precio US$]]/BASE_DATOS[[#This Row],[Kilómetros Rodados]],"")</f>
        <v/>
      </c>
      <c r="AP447" s="176" t="str">
        <f>IFERROR(BASE_DATOS[[#This Row],[Kilómetros Rodados]]/(BASE_DATOS[[#This Row],[NSK Original]]-BASE_DATOS[[#This Row],[NSK]]),"")</f>
        <v/>
      </c>
      <c r="AQ44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47" s="177" t="str">
        <f>IFERROR(BASE_DATOS[[#This Row],[Precio US$]]/BASE_DATOS[[#This Row],[Kilómetros Proy.]],"")</f>
        <v/>
      </c>
      <c r="AS447" s="167" t="s">
        <v>62</v>
      </c>
      <c r="AT447" s="167"/>
      <c r="AU447" s="167"/>
      <c r="AV447" s="167" t="s">
        <v>515</v>
      </c>
      <c r="AW447" s="179"/>
      <c r="AX447" s="179"/>
      <c r="AY447" s="179" t="str">
        <f>CONCATENATE(BASE_DATOS[[#This Row],[Código_U]]&amp;BASE_DATOS[[#This Row],[Pos.]]&amp;BASE_DATOS[[#This Row],[Situación Actual]])</f>
        <v>SR-1844Rodando</v>
      </c>
    </row>
    <row r="448" spans="1:51" ht="12" x14ac:dyDescent="0.25">
      <c r="A448" s="227" t="s">
        <v>205</v>
      </c>
      <c r="B448" s="217" t="s">
        <v>206</v>
      </c>
      <c r="C448" s="228" t="s">
        <v>295</v>
      </c>
      <c r="D448" s="229" t="s">
        <v>87</v>
      </c>
      <c r="E448" s="255"/>
      <c r="F448" s="256" t="s">
        <v>97</v>
      </c>
      <c r="G448" s="256" t="s">
        <v>269</v>
      </c>
      <c r="H448" s="257" t="str">
        <f>IF(BASE_DATOS[[#This Row],[N-R]]="N",BASE_DATOS[[#This Row],[Diseño]],"Reencauche")</f>
        <v>AGC28</v>
      </c>
      <c r="I448" s="256" t="s">
        <v>270</v>
      </c>
      <c r="J448" s="243" t="s">
        <v>72</v>
      </c>
      <c r="K448" s="258">
        <v>16.5</v>
      </c>
      <c r="L448" s="256">
        <v>110</v>
      </c>
      <c r="M448" s="259"/>
      <c r="N448" s="260"/>
      <c r="O448" s="277"/>
      <c r="P448" s="278"/>
      <c r="Q448" s="279"/>
      <c r="R448" s="309" t="s">
        <v>102</v>
      </c>
      <c r="S448" s="310">
        <v>45385</v>
      </c>
      <c r="T448" s="313"/>
      <c r="U448" s="279"/>
      <c r="V448" s="227">
        <v>10</v>
      </c>
      <c r="W448" s="281">
        <v>10</v>
      </c>
      <c r="X448" s="282">
        <v>10</v>
      </c>
      <c r="Y448" s="293">
        <f t="shared" si="17"/>
        <v>10</v>
      </c>
      <c r="Z448" s="175" t="s">
        <v>85</v>
      </c>
      <c r="AA448" s="342">
        <f>IFERROR(BASE_DATOS[[#This Row],[NSK Original]]-BASE_DATOS[[#This Row],[NSK]]," ")</f>
        <v>6.5</v>
      </c>
      <c r="AB448" s="343">
        <f>'NSK-TRACTO'!$A$2</f>
        <v>6</v>
      </c>
      <c r="AC448" s="343">
        <f>IF(BASE_DATOS[[#This Row],[NSK]]&gt;=BASE_DATOS[[#This Row],[NSK Reen]],BASE_DATOS[[#This Row],[NSK Reen]],BASE_DATOS[[#This Row],[NSK]])</f>
        <v>6</v>
      </c>
      <c r="AD448" s="344">
        <f>IFERROR(100%-(BASE_DATOS[[#This Row],[NSK Reen]]/BASE_DATOS[[#This Row],[NSK Original]]),"")</f>
        <v>0.63636363636363635</v>
      </c>
      <c r="AE448" s="344">
        <f>IFERROR(100%-BASE_DATOS[[#This Row],[NSK]]/BASE_DATOS[[#This Row],[NSK Original]],"")</f>
        <v>0.39393939393939392</v>
      </c>
      <c r="AF448" s="344">
        <f>IFERROR(BASE_DATOS[[#This Row],[% Max Des.]]-BASE_DATOS[[#This Row],[% Des]],"")</f>
        <v>0.24242424242424243</v>
      </c>
      <c r="AG448" s="287"/>
      <c r="AH448" s="273"/>
      <c r="AI448" s="363" t="str">
        <f>IF(OR(BASE_DATOS[[#This Row],[Hr.]]="",BASE_DATOS[[#This Row],[Hr. Actual]]=""),"",BASE_DATOS[[#This Row],[Hr. Actual]]-BASE_DATOS[[#This Row],[Hr.]]+BASE_DATOS[[#This Row],[Horas Acumuladas]])</f>
        <v/>
      </c>
      <c r="AJ448" s="364" t="str">
        <f>IFERROR(BASE_DATOS[[#This Row],[Precio US$]]/BASE_DATOS[[#This Row],[Horas Rodadas]],"")</f>
        <v/>
      </c>
      <c r="AK448" s="365" t="str">
        <f>IFERROR(BASE_DATOS[[#This Row],[Horas Rodadas]]/(BASE_DATOS[[#This Row],[NSK Original]]-BASE_DATOS[[#This Row],[NSK]]),"")</f>
        <v/>
      </c>
      <c r="AL44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48" s="366" t="str">
        <f>IFERROR(BASE_DATOS[[#This Row],[Precio US$]]/BASE_DATOS[[#This Row],[Horas Proy.]],"")</f>
        <v/>
      </c>
      <c r="AN448" s="176" t="str">
        <f>IF(OR(BASE_DATOS[[#This Row],[Km.]]="",BASE_DATOS[[#This Row],[Km. Actual]]=""),"",BASE_DATOS[[#This Row],[Km. Actual]]-BASE_DATOS[[#This Row],[Km.]]+BASE_DATOS[[#This Row],[Kilómetros Acumulados]])</f>
        <v/>
      </c>
      <c r="AO448" s="177" t="str">
        <f>IFERROR(BASE_DATOS[[#This Row],[Precio US$]]/BASE_DATOS[[#This Row],[Kilómetros Rodados]],"")</f>
        <v/>
      </c>
      <c r="AP448" s="176" t="str">
        <f>IFERROR(BASE_DATOS[[#This Row],[Kilómetros Rodados]]/(BASE_DATOS[[#This Row],[NSK Original]]-BASE_DATOS[[#This Row],[NSK]]),"")</f>
        <v/>
      </c>
      <c r="AQ44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48" s="177" t="str">
        <f>IFERROR(BASE_DATOS[[#This Row],[Precio US$]]/BASE_DATOS[[#This Row],[Kilómetros Proy.]],"")</f>
        <v/>
      </c>
      <c r="AS448" s="167" t="s">
        <v>62</v>
      </c>
      <c r="AT448" s="167"/>
      <c r="AU448" s="167"/>
      <c r="AV448" s="167" t="s">
        <v>515</v>
      </c>
      <c r="AW448" s="179"/>
      <c r="AX448" s="179"/>
      <c r="AY448" s="179" t="str">
        <f>CONCATENATE(BASE_DATOS[[#This Row],[Código_U]]&amp;BASE_DATOS[[#This Row],[Pos.]]&amp;BASE_DATOS[[#This Row],[Situación Actual]])</f>
        <v>SR-1845Rodando</v>
      </c>
    </row>
    <row r="449" spans="1:51" ht="12" x14ac:dyDescent="0.25">
      <c r="A449" s="227" t="s">
        <v>205</v>
      </c>
      <c r="B449" s="217" t="s">
        <v>206</v>
      </c>
      <c r="C449" s="228" t="s">
        <v>295</v>
      </c>
      <c r="D449" s="229" t="s">
        <v>87</v>
      </c>
      <c r="E449" s="255"/>
      <c r="F449" s="256" t="s">
        <v>97</v>
      </c>
      <c r="G449" s="256" t="s">
        <v>269</v>
      </c>
      <c r="H449" s="257" t="str">
        <f>IF(BASE_DATOS[[#This Row],[N-R]]="N",BASE_DATOS[[#This Row],[Diseño]],"Reencauche")</f>
        <v>AGC28</v>
      </c>
      <c r="I449" s="256" t="s">
        <v>270</v>
      </c>
      <c r="J449" s="243" t="s">
        <v>72</v>
      </c>
      <c r="K449" s="258">
        <v>16.5</v>
      </c>
      <c r="L449" s="256">
        <v>110</v>
      </c>
      <c r="M449" s="259"/>
      <c r="N449" s="260"/>
      <c r="O449" s="277"/>
      <c r="P449" s="278"/>
      <c r="Q449" s="279"/>
      <c r="R449" s="309" t="s">
        <v>103</v>
      </c>
      <c r="S449" s="310">
        <v>45385</v>
      </c>
      <c r="T449" s="313"/>
      <c r="U449" s="279"/>
      <c r="V449" s="227">
        <v>10</v>
      </c>
      <c r="W449" s="281">
        <v>10</v>
      </c>
      <c r="X449" s="282">
        <v>10</v>
      </c>
      <c r="Y449" s="293">
        <f t="shared" si="17"/>
        <v>10</v>
      </c>
      <c r="Z449" s="161" t="s">
        <v>73</v>
      </c>
      <c r="AA449" s="342">
        <f>IFERROR(BASE_DATOS[[#This Row],[NSK Original]]-BASE_DATOS[[#This Row],[NSK]]," ")</f>
        <v>6.5</v>
      </c>
      <c r="AB449" s="343">
        <f>'NSK-TRACTO'!$A$2</f>
        <v>6</v>
      </c>
      <c r="AC449" s="343">
        <f>IF(BASE_DATOS[[#This Row],[NSK]]&gt;=BASE_DATOS[[#This Row],[NSK Reen]],BASE_DATOS[[#This Row],[NSK Reen]],BASE_DATOS[[#This Row],[NSK]])</f>
        <v>6</v>
      </c>
      <c r="AD449" s="344">
        <f>IFERROR(100%-(BASE_DATOS[[#This Row],[NSK Reen]]/BASE_DATOS[[#This Row],[NSK Original]]),"")</f>
        <v>0.63636363636363635</v>
      </c>
      <c r="AE449" s="344">
        <f>IFERROR(100%-BASE_DATOS[[#This Row],[NSK]]/BASE_DATOS[[#This Row],[NSK Original]],"")</f>
        <v>0.39393939393939392</v>
      </c>
      <c r="AF449" s="344">
        <f>IFERROR(BASE_DATOS[[#This Row],[% Max Des.]]-BASE_DATOS[[#This Row],[% Des]],"")</f>
        <v>0.24242424242424243</v>
      </c>
      <c r="AG449" s="287"/>
      <c r="AH449" s="273"/>
      <c r="AI449" s="363" t="str">
        <f>IF(OR(BASE_DATOS[[#This Row],[Hr.]]="",BASE_DATOS[[#This Row],[Hr. Actual]]=""),"",BASE_DATOS[[#This Row],[Hr. Actual]]-BASE_DATOS[[#This Row],[Hr.]]+BASE_DATOS[[#This Row],[Horas Acumuladas]])</f>
        <v/>
      </c>
      <c r="AJ449" s="364" t="str">
        <f>IFERROR(BASE_DATOS[[#This Row],[Precio US$]]/BASE_DATOS[[#This Row],[Horas Rodadas]],"")</f>
        <v/>
      </c>
      <c r="AK449" s="365" t="str">
        <f>IFERROR(BASE_DATOS[[#This Row],[Horas Rodadas]]/(BASE_DATOS[[#This Row],[NSK Original]]-BASE_DATOS[[#This Row],[NSK]]),"")</f>
        <v/>
      </c>
      <c r="AL44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49" s="366" t="str">
        <f>IFERROR(BASE_DATOS[[#This Row],[Precio US$]]/BASE_DATOS[[#This Row],[Horas Proy.]],"")</f>
        <v/>
      </c>
      <c r="AN449" s="176" t="str">
        <f>IF(OR(BASE_DATOS[[#This Row],[Km.]]="",BASE_DATOS[[#This Row],[Km. Actual]]=""),"",BASE_DATOS[[#This Row],[Km. Actual]]-BASE_DATOS[[#This Row],[Km.]]+BASE_DATOS[[#This Row],[Kilómetros Acumulados]])</f>
        <v/>
      </c>
      <c r="AO449" s="177" t="str">
        <f>IFERROR(BASE_DATOS[[#This Row],[Precio US$]]/BASE_DATOS[[#This Row],[Kilómetros Rodados]],"")</f>
        <v/>
      </c>
      <c r="AP449" s="176" t="str">
        <f>IFERROR(BASE_DATOS[[#This Row],[Kilómetros Rodados]]/(BASE_DATOS[[#This Row],[NSK Original]]-BASE_DATOS[[#This Row],[NSK]]),"")</f>
        <v/>
      </c>
      <c r="AQ44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49" s="177" t="str">
        <f>IFERROR(BASE_DATOS[[#This Row],[Precio US$]]/BASE_DATOS[[#This Row],[Kilómetros Proy.]],"")</f>
        <v/>
      </c>
      <c r="AS449" s="167" t="s">
        <v>62</v>
      </c>
      <c r="AT449" s="167"/>
      <c r="AU449" s="167"/>
      <c r="AV449" s="167" t="s">
        <v>515</v>
      </c>
      <c r="AW449" s="179"/>
      <c r="AX449" s="179"/>
      <c r="AY449" s="179" t="str">
        <f>CONCATENATE(BASE_DATOS[[#This Row],[Código_U]]&amp;BASE_DATOS[[#This Row],[Pos.]]&amp;BASE_DATOS[[#This Row],[Situación Actual]])</f>
        <v>SR-1846Rodando</v>
      </c>
    </row>
    <row r="450" spans="1:51" ht="12" x14ac:dyDescent="0.25">
      <c r="A450" s="227" t="s">
        <v>205</v>
      </c>
      <c r="B450" s="217" t="s">
        <v>206</v>
      </c>
      <c r="C450" s="228" t="s">
        <v>295</v>
      </c>
      <c r="D450" s="229" t="s">
        <v>384</v>
      </c>
      <c r="E450" s="255"/>
      <c r="F450" s="256" t="s">
        <v>97</v>
      </c>
      <c r="G450" s="256" t="s">
        <v>269</v>
      </c>
      <c r="H450" s="257" t="str">
        <f>IF(BASE_DATOS[[#This Row],[N-R]]="N",BASE_DATOS[[#This Row],[Diseño]],"Reencauche")</f>
        <v>AGC28</v>
      </c>
      <c r="I450" s="256" t="s">
        <v>270</v>
      </c>
      <c r="J450" s="243" t="s">
        <v>72</v>
      </c>
      <c r="K450" s="258">
        <v>16.5</v>
      </c>
      <c r="L450" s="256">
        <v>110</v>
      </c>
      <c r="M450" s="259"/>
      <c r="N450" s="260"/>
      <c r="O450" s="277"/>
      <c r="P450" s="278"/>
      <c r="Q450" s="279"/>
      <c r="R450" s="309" t="s">
        <v>509</v>
      </c>
      <c r="S450" s="310">
        <v>45385</v>
      </c>
      <c r="T450" s="313"/>
      <c r="U450" s="279"/>
      <c r="V450" s="227">
        <v>5</v>
      </c>
      <c r="W450" s="281">
        <v>4</v>
      </c>
      <c r="X450" s="282">
        <v>5</v>
      </c>
      <c r="Y450" s="293">
        <f t="shared" si="17"/>
        <v>4</v>
      </c>
      <c r="Z450" s="175" t="s">
        <v>85</v>
      </c>
      <c r="AA450" s="342">
        <f>IFERROR(BASE_DATOS[[#This Row],[NSK Original]]-BASE_DATOS[[#This Row],[NSK]]," ")</f>
        <v>12.5</v>
      </c>
      <c r="AB450" s="343">
        <f>'NSK-TRACTO'!$A$2</f>
        <v>6</v>
      </c>
      <c r="AC450" s="343">
        <f>IF(BASE_DATOS[[#This Row],[NSK]]&gt;=BASE_DATOS[[#This Row],[NSK Reen]],BASE_DATOS[[#This Row],[NSK Reen]],BASE_DATOS[[#This Row],[NSK]])</f>
        <v>4</v>
      </c>
      <c r="AD450" s="344">
        <f>IFERROR(100%-(BASE_DATOS[[#This Row],[NSK Reen]]/BASE_DATOS[[#This Row],[NSK Original]]),"")</f>
        <v>0.63636363636363635</v>
      </c>
      <c r="AE450" s="344">
        <f>IFERROR(100%-BASE_DATOS[[#This Row],[NSK]]/BASE_DATOS[[#This Row],[NSK Original]],"")</f>
        <v>0.75757575757575757</v>
      </c>
      <c r="AF450" s="344">
        <f>IFERROR(BASE_DATOS[[#This Row],[% Max Des.]]-BASE_DATOS[[#This Row],[% Des]],"")</f>
        <v>-0.12121212121212122</v>
      </c>
      <c r="AG450" s="287"/>
      <c r="AH450" s="273"/>
      <c r="AI450" s="363" t="str">
        <f>IF(OR(BASE_DATOS[[#This Row],[Hr.]]="",BASE_DATOS[[#This Row],[Hr. Actual]]=""),"",BASE_DATOS[[#This Row],[Hr. Actual]]-BASE_DATOS[[#This Row],[Hr.]]+BASE_DATOS[[#This Row],[Horas Acumuladas]])</f>
        <v/>
      </c>
      <c r="AJ450" s="364" t="str">
        <f>IFERROR(BASE_DATOS[[#This Row],[Precio US$]]/BASE_DATOS[[#This Row],[Horas Rodadas]],"")</f>
        <v/>
      </c>
      <c r="AK450" s="365" t="str">
        <f>IFERROR(BASE_DATOS[[#This Row],[Horas Rodadas]]/(BASE_DATOS[[#This Row],[NSK Original]]-BASE_DATOS[[#This Row],[NSK]]),"")</f>
        <v/>
      </c>
      <c r="AL45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50" s="366" t="str">
        <f>IFERROR(BASE_DATOS[[#This Row],[Precio US$]]/BASE_DATOS[[#This Row],[Horas Proy.]],"")</f>
        <v/>
      </c>
      <c r="AN450" s="176" t="str">
        <f>IF(OR(BASE_DATOS[[#This Row],[Km.]]="",BASE_DATOS[[#This Row],[Km. Actual]]=""),"",BASE_DATOS[[#This Row],[Km. Actual]]-BASE_DATOS[[#This Row],[Km.]]+BASE_DATOS[[#This Row],[Kilómetros Acumulados]])</f>
        <v/>
      </c>
      <c r="AO450" s="177" t="str">
        <f>IFERROR(BASE_DATOS[[#This Row],[Precio US$]]/BASE_DATOS[[#This Row],[Kilómetros Rodados]],"")</f>
        <v/>
      </c>
      <c r="AP450" s="176" t="str">
        <f>IFERROR(BASE_DATOS[[#This Row],[Kilómetros Rodados]]/(BASE_DATOS[[#This Row],[NSK Original]]-BASE_DATOS[[#This Row],[NSK]]),"")</f>
        <v/>
      </c>
      <c r="AQ45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50" s="177" t="str">
        <f>IFERROR(BASE_DATOS[[#This Row],[Precio US$]]/BASE_DATOS[[#This Row],[Kilómetros Proy.]],"")</f>
        <v/>
      </c>
      <c r="AS450" s="167" t="s">
        <v>62</v>
      </c>
      <c r="AT450" s="167"/>
      <c r="AU450" s="167"/>
      <c r="AV450" s="167"/>
      <c r="AW450" s="179"/>
      <c r="AX450" s="179"/>
      <c r="AY450" s="179" t="str">
        <f>CONCATENATE(BASE_DATOS[[#This Row],[Código_U]]&amp;BASE_DATOS[[#This Row],[Pos.]]&amp;BASE_DATOS[[#This Row],[Situación Actual]])</f>
        <v>SR-184RERodando</v>
      </c>
    </row>
    <row r="451" spans="1:51" ht="12" x14ac:dyDescent="0.25">
      <c r="A451" s="227" t="s">
        <v>205</v>
      </c>
      <c r="B451" s="217" t="s">
        <v>206</v>
      </c>
      <c r="C451" s="228" t="s">
        <v>295</v>
      </c>
      <c r="D451" s="229" t="s">
        <v>108</v>
      </c>
      <c r="E451" s="255"/>
      <c r="F451" s="256" t="s">
        <v>71</v>
      </c>
      <c r="G451" s="256" t="s">
        <v>271</v>
      </c>
      <c r="H451" s="257" t="str">
        <f>IF(BASE_DATOS[[#This Row],[N-R]]="N",BASE_DATOS[[#This Row],[Diseño]],"Reencauche")</f>
        <v>KMAX S</v>
      </c>
      <c r="I451" s="256" t="s">
        <v>287</v>
      </c>
      <c r="J451" s="243" t="s">
        <v>72</v>
      </c>
      <c r="K451" s="258">
        <v>15.8</v>
      </c>
      <c r="L451" s="256">
        <v>100</v>
      </c>
      <c r="M451" s="259"/>
      <c r="N451" s="260"/>
      <c r="O451" s="277"/>
      <c r="P451" s="278"/>
      <c r="Q451" s="279"/>
      <c r="R451" s="309" t="s">
        <v>108</v>
      </c>
      <c r="S451" s="310">
        <v>45385</v>
      </c>
      <c r="T451" s="313"/>
      <c r="U451" s="279"/>
      <c r="V451" s="227">
        <v>7</v>
      </c>
      <c r="W451" s="281">
        <v>9</v>
      </c>
      <c r="X451" s="282">
        <v>8</v>
      </c>
      <c r="Y451" s="293">
        <f t="shared" si="17"/>
        <v>7</v>
      </c>
      <c r="Z451" s="175" t="s">
        <v>85</v>
      </c>
      <c r="AA451" s="342">
        <f>IFERROR(BASE_DATOS[[#This Row],[NSK Original]]-BASE_DATOS[[#This Row],[NSK]]," ")</f>
        <v>8.8000000000000007</v>
      </c>
      <c r="AB451" s="343">
        <f>'NSK-TRACTO'!$A$2</f>
        <v>6</v>
      </c>
      <c r="AC451" s="343">
        <f>IF(BASE_DATOS[[#This Row],[NSK]]&gt;=BASE_DATOS[[#This Row],[NSK Reen]],BASE_DATOS[[#This Row],[NSK Reen]],BASE_DATOS[[#This Row],[NSK]])</f>
        <v>6</v>
      </c>
      <c r="AD451" s="344">
        <f>IFERROR(100%-(BASE_DATOS[[#This Row],[NSK Reen]]/BASE_DATOS[[#This Row],[NSK Original]]),"")</f>
        <v>0.620253164556962</v>
      </c>
      <c r="AE451" s="344">
        <f>IFERROR(100%-BASE_DATOS[[#This Row],[NSK]]/BASE_DATOS[[#This Row],[NSK Original]],"")</f>
        <v>0.55696202531645578</v>
      </c>
      <c r="AF451" s="344">
        <f>IFERROR(BASE_DATOS[[#This Row],[% Max Des.]]-BASE_DATOS[[#This Row],[% Des]],"")</f>
        <v>6.3291139240506222E-2</v>
      </c>
      <c r="AG451" s="287"/>
      <c r="AH451" s="273"/>
      <c r="AI451" s="363" t="str">
        <f>IF(OR(BASE_DATOS[[#This Row],[Hr.]]="",BASE_DATOS[[#This Row],[Hr. Actual]]=""),"",BASE_DATOS[[#This Row],[Hr. Actual]]-BASE_DATOS[[#This Row],[Hr.]]+BASE_DATOS[[#This Row],[Horas Acumuladas]])</f>
        <v/>
      </c>
      <c r="AJ451" s="364" t="str">
        <f>IFERROR(BASE_DATOS[[#This Row],[Precio US$]]/BASE_DATOS[[#This Row],[Horas Rodadas]],"")</f>
        <v/>
      </c>
      <c r="AK451" s="365" t="str">
        <f>IFERROR(BASE_DATOS[[#This Row],[Horas Rodadas]]/(BASE_DATOS[[#This Row],[NSK Original]]-BASE_DATOS[[#This Row],[NSK]]),"")</f>
        <v/>
      </c>
      <c r="AL45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51" s="366" t="str">
        <f>IFERROR(BASE_DATOS[[#This Row],[Precio US$]]/BASE_DATOS[[#This Row],[Horas Proy.]],"")</f>
        <v/>
      </c>
      <c r="AN451" s="176" t="str">
        <f>IF(OR(BASE_DATOS[[#This Row],[Km.]]="",BASE_DATOS[[#This Row],[Km. Actual]]=""),"",BASE_DATOS[[#This Row],[Km. Actual]]-BASE_DATOS[[#This Row],[Km.]]+BASE_DATOS[[#This Row],[Kilómetros Acumulados]])</f>
        <v/>
      </c>
      <c r="AO451" s="177" t="str">
        <f>IFERROR(BASE_DATOS[[#This Row],[Precio US$]]/BASE_DATOS[[#This Row],[Kilómetros Rodados]],"")</f>
        <v/>
      </c>
      <c r="AP451" s="176" t="str">
        <f>IFERROR(BASE_DATOS[[#This Row],[Kilómetros Rodados]]/(BASE_DATOS[[#This Row],[NSK Original]]-BASE_DATOS[[#This Row],[NSK]]),"")</f>
        <v/>
      </c>
      <c r="AQ45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51" s="177" t="str">
        <f>IFERROR(BASE_DATOS[[#This Row],[Precio US$]]/BASE_DATOS[[#This Row],[Kilómetros Proy.]],"")</f>
        <v/>
      </c>
      <c r="AS451" s="167" t="s">
        <v>62</v>
      </c>
      <c r="AT451" s="167"/>
      <c r="AU451" s="167" t="s">
        <v>515</v>
      </c>
      <c r="AV451" s="167"/>
      <c r="AW451" s="179"/>
      <c r="AX451" s="169" t="s">
        <v>371</v>
      </c>
      <c r="AY451" s="169" t="str">
        <f>CONCATENATE(BASE_DATOS[[#This Row],[Código_U]]&amp;BASE_DATOS[[#This Row],[Pos.]]&amp;BASE_DATOS[[#This Row],[Situación Actual]])</f>
        <v>SR-184RTRodando</v>
      </c>
    </row>
    <row r="452" spans="1:51" ht="12" x14ac:dyDescent="0.25">
      <c r="A452" s="224" t="s">
        <v>207</v>
      </c>
      <c r="B452" s="213" t="s">
        <v>208</v>
      </c>
      <c r="C452" s="225" t="s">
        <v>296</v>
      </c>
      <c r="D452" s="226" t="s">
        <v>86</v>
      </c>
      <c r="E452" s="249" t="s">
        <v>300</v>
      </c>
      <c r="F452" s="250" t="s">
        <v>71</v>
      </c>
      <c r="G452" s="250" t="s">
        <v>271</v>
      </c>
      <c r="H452" s="251" t="str">
        <f>IF(BASE_DATOS[[#This Row],[N-R]]="N",BASE_DATOS[[#This Row],[Diseño]],"Reencauche")</f>
        <v>KMAX S</v>
      </c>
      <c r="I452" s="250" t="s">
        <v>287</v>
      </c>
      <c r="J452" s="235" t="s">
        <v>72</v>
      </c>
      <c r="K452" s="252">
        <v>15.8</v>
      </c>
      <c r="L452" s="233">
        <v>100</v>
      </c>
      <c r="M452" s="253"/>
      <c r="N452" s="254"/>
      <c r="O452" s="274"/>
      <c r="P452" s="275"/>
      <c r="Q452" s="276"/>
      <c r="R452" s="305" t="s">
        <v>98</v>
      </c>
      <c r="S452" s="306">
        <v>45385</v>
      </c>
      <c r="T452" s="314"/>
      <c r="U452" s="276"/>
      <c r="V452" s="224">
        <v>9</v>
      </c>
      <c r="W452" s="325">
        <v>12</v>
      </c>
      <c r="X452" s="326">
        <v>11</v>
      </c>
      <c r="Y452" s="292">
        <f t="shared" ref="Y452:Y468" si="19">IFERROR(MIN(V452:X452),"")</f>
        <v>9</v>
      </c>
      <c r="Z452" s="194" t="s">
        <v>85</v>
      </c>
      <c r="AA452" s="339">
        <f>IFERROR(BASE_DATOS[[#This Row],[NSK Original]]-BASE_DATOS[[#This Row],[NSK]]," ")</f>
        <v>6.8000000000000007</v>
      </c>
      <c r="AB452" s="340">
        <f>'NSK-TRACTO'!$A$2</f>
        <v>6</v>
      </c>
      <c r="AC452" s="340">
        <f>IF(BASE_DATOS[[#This Row],[NSK]]&gt;=BASE_DATOS[[#This Row],[NSK Reen]],BASE_DATOS[[#This Row],[NSK Reen]],BASE_DATOS[[#This Row],[NSK]])</f>
        <v>6</v>
      </c>
      <c r="AD452" s="341">
        <f>IFERROR(100%-(BASE_DATOS[[#This Row],[NSK Reen]]/BASE_DATOS[[#This Row],[NSK Original]]),"")</f>
        <v>0.620253164556962</v>
      </c>
      <c r="AE452" s="341">
        <f>IFERROR(100%-BASE_DATOS[[#This Row],[NSK]]/BASE_DATOS[[#This Row],[NSK Original]],"")</f>
        <v>0.43037974683544311</v>
      </c>
      <c r="AF452" s="341">
        <f>IFERROR(BASE_DATOS[[#This Row],[% Max Des.]]-BASE_DATOS[[#This Row],[% Des]],"")</f>
        <v>0.18987341772151889</v>
      </c>
      <c r="AG452" s="284"/>
      <c r="AH452" s="335"/>
      <c r="AI452" s="359" t="str">
        <f>IF(OR(BASE_DATOS[[#This Row],[Hr.]]="",BASE_DATOS[[#This Row],[Hr. Actual]]=""),"",BASE_DATOS[[#This Row],[Hr. Actual]]-BASE_DATOS[[#This Row],[Hr.]]+BASE_DATOS[[#This Row],[Horas Acumuladas]])</f>
        <v/>
      </c>
      <c r="AJ452" s="360" t="str">
        <f>IFERROR(BASE_DATOS[[#This Row],[Precio US$]]/BASE_DATOS[[#This Row],[Horas Rodadas]],"")</f>
        <v/>
      </c>
      <c r="AK452" s="361" t="str">
        <f>IFERROR(BASE_DATOS[[#This Row],[Horas Rodadas]]/(BASE_DATOS[[#This Row],[NSK Original]]-BASE_DATOS[[#This Row],[NSK]]),"")</f>
        <v/>
      </c>
      <c r="AL452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52" s="362" t="str">
        <f>IFERROR(BASE_DATOS[[#This Row],[Precio US$]]/BASE_DATOS[[#This Row],[Horas Proy.]],"")</f>
        <v/>
      </c>
      <c r="AN452" s="195" t="str">
        <f>IF(OR(BASE_DATOS[[#This Row],[Km.]]="",BASE_DATOS[[#This Row],[Km. Actual]]=""),"",BASE_DATOS[[#This Row],[Km. Actual]]-BASE_DATOS[[#This Row],[Km.]]+BASE_DATOS[[#This Row],[Kilómetros Acumulados]])</f>
        <v/>
      </c>
      <c r="AO452" s="196" t="str">
        <f>IFERROR(BASE_DATOS[[#This Row],[Precio US$]]/BASE_DATOS[[#This Row],[Kilómetros Rodados]],"")</f>
        <v/>
      </c>
      <c r="AP452" s="195" t="str">
        <f>IFERROR(BASE_DATOS[[#This Row],[Kilómetros Rodados]]/(BASE_DATOS[[#This Row],[NSK Original]]-BASE_DATOS[[#This Row],[NSK]]),"")</f>
        <v/>
      </c>
      <c r="AQ452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52" s="196" t="str">
        <f>IFERROR(BASE_DATOS[[#This Row],[Precio US$]]/BASE_DATOS[[#This Row],[Kilómetros Proy.]],"")</f>
        <v/>
      </c>
      <c r="AS452" s="191" t="s">
        <v>62</v>
      </c>
      <c r="AT452" s="191"/>
      <c r="AU452" s="191" t="s">
        <v>515</v>
      </c>
      <c r="AV452" s="191" t="s">
        <v>515</v>
      </c>
      <c r="AW452" s="198"/>
      <c r="AX452" s="192" t="s">
        <v>371</v>
      </c>
      <c r="AY452" s="192" t="str">
        <f>CONCATENATE(BASE_DATOS[[#This Row],[Código_U]]&amp;BASE_DATOS[[#This Row],[Pos.]]&amp;BASE_DATOS[[#This Row],[Situación Actual]])</f>
        <v>TC-1901Rodando</v>
      </c>
    </row>
    <row r="453" spans="1:51" ht="12" x14ac:dyDescent="0.25">
      <c r="A453" s="227" t="s">
        <v>207</v>
      </c>
      <c r="B453" s="217" t="s">
        <v>208</v>
      </c>
      <c r="C453" s="228" t="s">
        <v>296</v>
      </c>
      <c r="D453" s="229" t="s">
        <v>86</v>
      </c>
      <c r="E453" s="255" t="s">
        <v>301</v>
      </c>
      <c r="F453" s="256" t="s">
        <v>71</v>
      </c>
      <c r="G453" s="256" t="s">
        <v>271</v>
      </c>
      <c r="H453" s="257" t="str">
        <f>IF(BASE_DATOS[[#This Row],[N-R]]="N",BASE_DATOS[[#This Row],[Diseño]],"Reencauche")</f>
        <v>KMAX S</v>
      </c>
      <c r="I453" s="256" t="s">
        <v>287</v>
      </c>
      <c r="J453" s="243" t="s">
        <v>72</v>
      </c>
      <c r="K453" s="258">
        <v>15.8</v>
      </c>
      <c r="L453" s="241">
        <v>100</v>
      </c>
      <c r="M453" s="259"/>
      <c r="N453" s="260"/>
      <c r="O453" s="277"/>
      <c r="P453" s="278"/>
      <c r="Q453" s="279"/>
      <c r="R453" s="309" t="s">
        <v>99</v>
      </c>
      <c r="S453" s="310">
        <v>45385</v>
      </c>
      <c r="T453" s="313"/>
      <c r="U453" s="279"/>
      <c r="V453" s="227">
        <v>11</v>
      </c>
      <c r="W453" s="281">
        <v>13</v>
      </c>
      <c r="X453" s="282">
        <v>12</v>
      </c>
      <c r="Y453" s="293">
        <f t="shared" si="19"/>
        <v>11</v>
      </c>
      <c r="Z453" s="175" t="s">
        <v>85</v>
      </c>
      <c r="AA453" s="342">
        <f>IFERROR(BASE_DATOS[[#This Row],[NSK Original]]-BASE_DATOS[[#This Row],[NSK]]," ")</f>
        <v>4.8000000000000007</v>
      </c>
      <c r="AB453" s="343">
        <f>'NSK-TRACTO'!$A$2</f>
        <v>6</v>
      </c>
      <c r="AC453" s="343">
        <f>IF(BASE_DATOS[[#This Row],[NSK]]&gt;=BASE_DATOS[[#This Row],[NSK Reen]],BASE_DATOS[[#This Row],[NSK Reen]],BASE_DATOS[[#This Row],[NSK]])</f>
        <v>6</v>
      </c>
      <c r="AD453" s="344">
        <f>IFERROR(100%-(BASE_DATOS[[#This Row],[NSK Reen]]/BASE_DATOS[[#This Row],[NSK Original]]),"")</f>
        <v>0.620253164556962</v>
      </c>
      <c r="AE453" s="344">
        <f>IFERROR(100%-BASE_DATOS[[#This Row],[NSK]]/BASE_DATOS[[#This Row],[NSK Original]],"")</f>
        <v>0.30379746835443044</v>
      </c>
      <c r="AF453" s="344">
        <f>IFERROR(BASE_DATOS[[#This Row],[% Max Des.]]-BASE_DATOS[[#This Row],[% Des]],"")</f>
        <v>0.31645569620253156</v>
      </c>
      <c r="AG453" s="287"/>
      <c r="AH453" s="273"/>
      <c r="AI453" s="363" t="str">
        <f>IF(OR(BASE_DATOS[[#This Row],[Hr.]]="",BASE_DATOS[[#This Row],[Hr. Actual]]=""),"",BASE_DATOS[[#This Row],[Hr. Actual]]-BASE_DATOS[[#This Row],[Hr.]]+BASE_DATOS[[#This Row],[Horas Acumuladas]])</f>
        <v/>
      </c>
      <c r="AJ453" s="364" t="str">
        <f>IFERROR(BASE_DATOS[[#This Row],[Precio US$]]/BASE_DATOS[[#This Row],[Horas Rodadas]],"")</f>
        <v/>
      </c>
      <c r="AK453" s="365" t="str">
        <f>IFERROR(BASE_DATOS[[#This Row],[Horas Rodadas]]/(BASE_DATOS[[#This Row],[NSK Original]]-BASE_DATOS[[#This Row],[NSK]]),"")</f>
        <v/>
      </c>
      <c r="AL45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53" s="366" t="str">
        <f>IFERROR(BASE_DATOS[[#This Row],[Precio US$]]/BASE_DATOS[[#This Row],[Horas Proy.]],"")</f>
        <v/>
      </c>
      <c r="AN453" s="176" t="str">
        <f>IF(OR(BASE_DATOS[[#This Row],[Km.]]="",BASE_DATOS[[#This Row],[Km. Actual]]=""),"",BASE_DATOS[[#This Row],[Km. Actual]]-BASE_DATOS[[#This Row],[Km.]]+BASE_DATOS[[#This Row],[Kilómetros Acumulados]])</f>
        <v/>
      </c>
      <c r="AO453" s="177" t="str">
        <f>IFERROR(BASE_DATOS[[#This Row],[Precio US$]]/BASE_DATOS[[#This Row],[Kilómetros Rodados]],"")</f>
        <v/>
      </c>
      <c r="AP453" s="176" t="str">
        <f>IFERROR(BASE_DATOS[[#This Row],[Kilómetros Rodados]]/(BASE_DATOS[[#This Row],[NSK Original]]-BASE_DATOS[[#This Row],[NSK]]),"")</f>
        <v/>
      </c>
      <c r="AQ45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53" s="177" t="str">
        <f>IFERROR(BASE_DATOS[[#This Row],[Precio US$]]/BASE_DATOS[[#This Row],[Kilómetros Proy.]],"")</f>
        <v/>
      </c>
      <c r="AS453" s="167" t="s">
        <v>62</v>
      </c>
      <c r="AT453" s="167"/>
      <c r="AU453" s="167" t="s">
        <v>515</v>
      </c>
      <c r="AV453" s="167" t="s">
        <v>515</v>
      </c>
      <c r="AW453" s="179"/>
      <c r="AX453" s="169" t="s">
        <v>371</v>
      </c>
      <c r="AY453" s="169" t="str">
        <f>CONCATENATE(BASE_DATOS[[#This Row],[Código_U]]&amp;BASE_DATOS[[#This Row],[Pos.]]&amp;BASE_DATOS[[#This Row],[Situación Actual]])</f>
        <v>TC-1902Rodando</v>
      </c>
    </row>
    <row r="454" spans="1:51" ht="12" x14ac:dyDescent="0.25">
      <c r="A454" s="227" t="s">
        <v>207</v>
      </c>
      <c r="B454" s="217" t="s">
        <v>208</v>
      </c>
      <c r="C454" s="228" t="s">
        <v>296</v>
      </c>
      <c r="D454" s="229" t="s">
        <v>61</v>
      </c>
      <c r="E454" s="255" t="s">
        <v>302</v>
      </c>
      <c r="F454" s="256" t="s">
        <v>71</v>
      </c>
      <c r="G454" s="256" t="s">
        <v>271</v>
      </c>
      <c r="H454" s="257" t="str">
        <f>IF(BASE_DATOS[[#This Row],[N-R]]="N",BASE_DATOS[[#This Row],[Diseño]],"Reencauche")</f>
        <v>KMAXD</v>
      </c>
      <c r="I454" s="256" t="s">
        <v>294</v>
      </c>
      <c r="J454" s="243" t="s">
        <v>72</v>
      </c>
      <c r="K454" s="258">
        <v>22.2</v>
      </c>
      <c r="L454" s="241">
        <v>110</v>
      </c>
      <c r="M454" s="259"/>
      <c r="N454" s="260"/>
      <c r="O454" s="277"/>
      <c r="P454" s="278"/>
      <c r="Q454" s="279"/>
      <c r="R454" s="309" t="s">
        <v>100</v>
      </c>
      <c r="S454" s="310">
        <v>45385</v>
      </c>
      <c r="T454" s="313"/>
      <c r="U454" s="279"/>
      <c r="V454" s="227">
        <v>19</v>
      </c>
      <c r="W454" s="281"/>
      <c r="X454" s="282">
        <v>19</v>
      </c>
      <c r="Y454" s="293">
        <f t="shared" si="19"/>
        <v>19</v>
      </c>
      <c r="Z454" s="175" t="s">
        <v>85</v>
      </c>
      <c r="AA454" s="342">
        <f>IFERROR(BASE_DATOS[[#This Row],[NSK Original]]-BASE_DATOS[[#This Row],[NSK]]," ")</f>
        <v>3.1999999999999993</v>
      </c>
      <c r="AB454" s="343">
        <f>'NSK-TRACTO'!$A$2</f>
        <v>6</v>
      </c>
      <c r="AC454" s="343">
        <f>IF(BASE_DATOS[[#This Row],[NSK]]&gt;=BASE_DATOS[[#This Row],[NSK Reen]],BASE_DATOS[[#This Row],[NSK Reen]],BASE_DATOS[[#This Row],[NSK]])</f>
        <v>6</v>
      </c>
      <c r="AD454" s="344">
        <f>IFERROR(100%-(BASE_DATOS[[#This Row],[NSK Reen]]/BASE_DATOS[[#This Row],[NSK Original]]),"")</f>
        <v>0.72972972972972971</v>
      </c>
      <c r="AE454" s="344">
        <f>IFERROR(100%-BASE_DATOS[[#This Row],[NSK]]/BASE_DATOS[[#This Row],[NSK Original]],"")</f>
        <v>0.14414414414414412</v>
      </c>
      <c r="AF454" s="344">
        <f>IFERROR(BASE_DATOS[[#This Row],[% Max Des.]]-BASE_DATOS[[#This Row],[% Des]],"")</f>
        <v>0.5855855855855856</v>
      </c>
      <c r="AG454" s="287"/>
      <c r="AH454" s="273"/>
      <c r="AI454" s="363" t="str">
        <f>IF(OR(BASE_DATOS[[#This Row],[Hr.]]="",BASE_DATOS[[#This Row],[Hr. Actual]]=""),"",BASE_DATOS[[#This Row],[Hr. Actual]]-BASE_DATOS[[#This Row],[Hr.]]+BASE_DATOS[[#This Row],[Horas Acumuladas]])</f>
        <v/>
      </c>
      <c r="AJ454" s="364" t="str">
        <f>IFERROR(BASE_DATOS[[#This Row],[Precio US$]]/BASE_DATOS[[#This Row],[Horas Rodadas]],"")</f>
        <v/>
      </c>
      <c r="AK454" s="365" t="str">
        <f>IFERROR(BASE_DATOS[[#This Row],[Horas Rodadas]]/(BASE_DATOS[[#This Row],[NSK Original]]-BASE_DATOS[[#This Row],[NSK]]),"")</f>
        <v/>
      </c>
      <c r="AL45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54" s="366" t="str">
        <f>IFERROR(BASE_DATOS[[#This Row],[Precio US$]]/BASE_DATOS[[#This Row],[Horas Proy.]],"")</f>
        <v/>
      </c>
      <c r="AN454" s="176" t="str">
        <f>IF(OR(BASE_DATOS[[#This Row],[Km.]]="",BASE_DATOS[[#This Row],[Km. Actual]]=""),"",BASE_DATOS[[#This Row],[Km. Actual]]-BASE_DATOS[[#This Row],[Km.]]+BASE_DATOS[[#This Row],[Kilómetros Acumulados]])</f>
        <v/>
      </c>
      <c r="AO454" s="177" t="str">
        <f>IFERROR(BASE_DATOS[[#This Row],[Precio US$]]/BASE_DATOS[[#This Row],[Kilómetros Rodados]],"")</f>
        <v/>
      </c>
      <c r="AP454" s="176" t="str">
        <f>IFERROR(BASE_DATOS[[#This Row],[Kilómetros Rodados]]/(BASE_DATOS[[#This Row],[NSK Original]]-BASE_DATOS[[#This Row],[NSK]]),"")</f>
        <v/>
      </c>
      <c r="AQ45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54" s="177" t="str">
        <f>IFERROR(BASE_DATOS[[#This Row],[Precio US$]]/BASE_DATOS[[#This Row],[Kilómetros Proy.]],"")</f>
        <v/>
      </c>
      <c r="AS454" s="167" t="s">
        <v>62</v>
      </c>
      <c r="AT454" s="167"/>
      <c r="AU454" s="167"/>
      <c r="AV454" s="167" t="s">
        <v>515</v>
      </c>
      <c r="AW454" s="179"/>
      <c r="AX454" s="179"/>
      <c r="AY454" s="179" t="str">
        <f>CONCATENATE(BASE_DATOS[[#This Row],[Código_U]]&amp;BASE_DATOS[[#This Row],[Pos.]]&amp;BASE_DATOS[[#This Row],[Situación Actual]])</f>
        <v>TC-1903Rodando</v>
      </c>
    </row>
    <row r="455" spans="1:51" ht="12" x14ac:dyDescent="0.25">
      <c r="A455" s="227" t="s">
        <v>207</v>
      </c>
      <c r="B455" s="217" t="s">
        <v>208</v>
      </c>
      <c r="C455" s="228" t="s">
        <v>296</v>
      </c>
      <c r="D455" s="229" t="s">
        <v>61</v>
      </c>
      <c r="E455" s="255"/>
      <c r="F455" s="256" t="s">
        <v>71</v>
      </c>
      <c r="G455" s="256" t="s">
        <v>271</v>
      </c>
      <c r="H455" s="257" t="str">
        <f>IF(BASE_DATOS[[#This Row],[N-R]]="N",BASE_DATOS[[#This Row],[Diseño]],"Reencauche")</f>
        <v>KMAXD</v>
      </c>
      <c r="I455" s="256" t="s">
        <v>294</v>
      </c>
      <c r="J455" s="243" t="s">
        <v>72</v>
      </c>
      <c r="K455" s="258">
        <v>22.2</v>
      </c>
      <c r="L455" s="241">
        <v>110</v>
      </c>
      <c r="M455" s="259"/>
      <c r="N455" s="260"/>
      <c r="O455" s="277"/>
      <c r="P455" s="278"/>
      <c r="Q455" s="279"/>
      <c r="R455" s="309" t="s">
        <v>101</v>
      </c>
      <c r="S455" s="310">
        <v>45385</v>
      </c>
      <c r="T455" s="313"/>
      <c r="U455" s="279"/>
      <c r="V455" s="227">
        <v>19</v>
      </c>
      <c r="W455" s="281"/>
      <c r="X455" s="282">
        <v>19</v>
      </c>
      <c r="Y455" s="293">
        <f t="shared" si="19"/>
        <v>19</v>
      </c>
      <c r="Z455" s="175" t="s">
        <v>85</v>
      </c>
      <c r="AA455" s="342">
        <f>IFERROR(BASE_DATOS[[#This Row],[NSK Original]]-BASE_DATOS[[#This Row],[NSK]]," ")</f>
        <v>3.1999999999999993</v>
      </c>
      <c r="AB455" s="343">
        <f>'NSK-TRACTO'!$A$2</f>
        <v>6</v>
      </c>
      <c r="AC455" s="343">
        <f>IF(BASE_DATOS[[#This Row],[NSK]]&gt;=BASE_DATOS[[#This Row],[NSK Reen]],BASE_DATOS[[#This Row],[NSK Reen]],BASE_DATOS[[#This Row],[NSK]])</f>
        <v>6</v>
      </c>
      <c r="AD455" s="344">
        <f>IFERROR(100%-(BASE_DATOS[[#This Row],[NSK Reen]]/BASE_DATOS[[#This Row],[NSK Original]]),"")</f>
        <v>0.72972972972972971</v>
      </c>
      <c r="AE455" s="344">
        <f>IFERROR(100%-BASE_DATOS[[#This Row],[NSK]]/BASE_DATOS[[#This Row],[NSK Original]],"")</f>
        <v>0.14414414414414412</v>
      </c>
      <c r="AF455" s="344">
        <f>IFERROR(BASE_DATOS[[#This Row],[% Max Des.]]-BASE_DATOS[[#This Row],[% Des]],"")</f>
        <v>0.5855855855855856</v>
      </c>
      <c r="AG455" s="287"/>
      <c r="AH455" s="273"/>
      <c r="AI455" s="363" t="str">
        <f>IF(OR(BASE_DATOS[[#This Row],[Hr.]]="",BASE_DATOS[[#This Row],[Hr. Actual]]=""),"",BASE_DATOS[[#This Row],[Hr. Actual]]-BASE_DATOS[[#This Row],[Hr.]]+BASE_DATOS[[#This Row],[Horas Acumuladas]])</f>
        <v/>
      </c>
      <c r="AJ455" s="364" t="str">
        <f>IFERROR(BASE_DATOS[[#This Row],[Precio US$]]/BASE_DATOS[[#This Row],[Horas Rodadas]],"")</f>
        <v/>
      </c>
      <c r="AK455" s="365" t="str">
        <f>IFERROR(BASE_DATOS[[#This Row],[Horas Rodadas]]/(BASE_DATOS[[#This Row],[NSK Original]]-BASE_DATOS[[#This Row],[NSK]]),"")</f>
        <v/>
      </c>
      <c r="AL45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55" s="366" t="str">
        <f>IFERROR(BASE_DATOS[[#This Row],[Precio US$]]/BASE_DATOS[[#This Row],[Horas Proy.]],"")</f>
        <v/>
      </c>
      <c r="AN455" s="176" t="str">
        <f>IF(OR(BASE_DATOS[[#This Row],[Km.]]="",BASE_DATOS[[#This Row],[Km. Actual]]=""),"",BASE_DATOS[[#This Row],[Km. Actual]]-BASE_DATOS[[#This Row],[Km.]]+BASE_DATOS[[#This Row],[Kilómetros Acumulados]])</f>
        <v/>
      </c>
      <c r="AO455" s="177" t="str">
        <f>IFERROR(BASE_DATOS[[#This Row],[Precio US$]]/BASE_DATOS[[#This Row],[Kilómetros Rodados]],"")</f>
        <v/>
      </c>
      <c r="AP455" s="176" t="str">
        <f>IFERROR(BASE_DATOS[[#This Row],[Kilómetros Rodados]]/(BASE_DATOS[[#This Row],[NSK Original]]-BASE_DATOS[[#This Row],[NSK]]),"")</f>
        <v/>
      </c>
      <c r="AQ45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55" s="177" t="str">
        <f>IFERROR(BASE_DATOS[[#This Row],[Precio US$]]/BASE_DATOS[[#This Row],[Kilómetros Proy.]],"")</f>
        <v/>
      </c>
      <c r="AS455" s="167" t="s">
        <v>62</v>
      </c>
      <c r="AT455" s="167"/>
      <c r="AU455" s="167"/>
      <c r="AV455" s="167" t="s">
        <v>515</v>
      </c>
      <c r="AW455" s="179"/>
      <c r="AX455" s="179"/>
      <c r="AY455" s="179" t="str">
        <f>CONCATENATE(BASE_DATOS[[#This Row],[Código_U]]&amp;BASE_DATOS[[#This Row],[Pos.]]&amp;BASE_DATOS[[#This Row],[Situación Actual]])</f>
        <v>TC-1904Rodando</v>
      </c>
    </row>
    <row r="456" spans="1:51" ht="12" x14ac:dyDescent="0.25">
      <c r="A456" s="227" t="s">
        <v>207</v>
      </c>
      <c r="B456" s="217" t="s">
        <v>208</v>
      </c>
      <c r="C456" s="228" t="s">
        <v>296</v>
      </c>
      <c r="D456" s="229" t="s">
        <v>61</v>
      </c>
      <c r="E456" s="255"/>
      <c r="F456" s="256" t="s">
        <v>71</v>
      </c>
      <c r="G456" s="256" t="s">
        <v>271</v>
      </c>
      <c r="H456" s="257" t="str">
        <f>IF(BASE_DATOS[[#This Row],[N-R]]="N",BASE_DATOS[[#This Row],[Diseño]],"Reencauche")</f>
        <v>KMAXD</v>
      </c>
      <c r="I456" s="256" t="s">
        <v>294</v>
      </c>
      <c r="J456" s="243" t="s">
        <v>72</v>
      </c>
      <c r="K456" s="258">
        <v>22.2</v>
      </c>
      <c r="L456" s="241">
        <v>110</v>
      </c>
      <c r="M456" s="259"/>
      <c r="N456" s="260"/>
      <c r="O456" s="277"/>
      <c r="P456" s="278"/>
      <c r="Q456" s="279"/>
      <c r="R456" s="309" t="s">
        <v>102</v>
      </c>
      <c r="S456" s="310">
        <v>45385</v>
      </c>
      <c r="T456" s="313"/>
      <c r="U456" s="279"/>
      <c r="V456" s="227">
        <v>19</v>
      </c>
      <c r="W456" s="281"/>
      <c r="X456" s="282">
        <v>19</v>
      </c>
      <c r="Y456" s="293">
        <f t="shared" si="19"/>
        <v>19</v>
      </c>
      <c r="Z456" s="175" t="s">
        <v>85</v>
      </c>
      <c r="AA456" s="342">
        <f>IFERROR(BASE_DATOS[[#This Row],[NSK Original]]-BASE_DATOS[[#This Row],[NSK]]," ")</f>
        <v>3.1999999999999993</v>
      </c>
      <c r="AB456" s="343">
        <f>'NSK-TRACTO'!$A$2</f>
        <v>6</v>
      </c>
      <c r="AC456" s="343">
        <f>IF(BASE_DATOS[[#This Row],[NSK]]&gt;=BASE_DATOS[[#This Row],[NSK Reen]],BASE_DATOS[[#This Row],[NSK Reen]],BASE_DATOS[[#This Row],[NSK]])</f>
        <v>6</v>
      </c>
      <c r="AD456" s="344">
        <f>IFERROR(100%-(BASE_DATOS[[#This Row],[NSK Reen]]/BASE_DATOS[[#This Row],[NSK Original]]),"")</f>
        <v>0.72972972972972971</v>
      </c>
      <c r="AE456" s="344">
        <f>IFERROR(100%-BASE_DATOS[[#This Row],[NSK]]/BASE_DATOS[[#This Row],[NSK Original]],"")</f>
        <v>0.14414414414414412</v>
      </c>
      <c r="AF456" s="344">
        <f>IFERROR(BASE_DATOS[[#This Row],[% Max Des.]]-BASE_DATOS[[#This Row],[% Des]],"")</f>
        <v>0.5855855855855856</v>
      </c>
      <c r="AG456" s="287"/>
      <c r="AH456" s="273"/>
      <c r="AI456" s="363" t="str">
        <f>IF(OR(BASE_DATOS[[#This Row],[Hr.]]="",BASE_DATOS[[#This Row],[Hr. Actual]]=""),"",BASE_DATOS[[#This Row],[Hr. Actual]]-BASE_DATOS[[#This Row],[Hr.]]+BASE_DATOS[[#This Row],[Horas Acumuladas]])</f>
        <v/>
      </c>
      <c r="AJ456" s="364" t="str">
        <f>IFERROR(BASE_DATOS[[#This Row],[Precio US$]]/BASE_DATOS[[#This Row],[Horas Rodadas]],"")</f>
        <v/>
      </c>
      <c r="AK456" s="365" t="str">
        <f>IFERROR(BASE_DATOS[[#This Row],[Horas Rodadas]]/(BASE_DATOS[[#This Row],[NSK Original]]-BASE_DATOS[[#This Row],[NSK]]),"")</f>
        <v/>
      </c>
      <c r="AL45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56" s="366" t="str">
        <f>IFERROR(BASE_DATOS[[#This Row],[Precio US$]]/BASE_DATOS[[#This Row],[Horas Proy.]],"")</f>
        <v/>
      </c>
      <c r="AN456" s="176" t="str">
        <f>IF(OR(BASE_DATOS[[#This Row],[Km.]]="",BASE_DATOS[[#This Row],[Km. Actual]]=""),"",BASE_DATOS[[#This Row],[Km. Actual]]-BASE_DATOS[[#This Row],[Km.]]+BASE_DATOS[[#This Row],[Kilómetros Acumulados]])</f>
        <v/>
      </c>
      <c r="AO456" s="177" t="str">
        <f>IFERROR(BASE_DATOS[[#This Row],[Precio US$]]/BASE_DATOS[[#This Row],[Kilómetros Rodados]],"")</f>
        <v/>
      </c>
      <c r="AP456" s="176" t="str">
        <f>IFERROR(BASE_DATOS[[#This Row],[Kilómetros Rodados]]/(BASE_DATOS[[#This Row],[NSK Original]]-BASE_DATOS[[#This Row],[NSK]]),"")</f>
        <v/>
      </c>
      <c r="AQ45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56" s="177" t="str">
        <f>IFERROR(BASE_DATOS[[#This Row],[Precio US$]]/BASE_DATOS[[#This Row],[Kilómetros Proy.]],"")</f>
        <v/>
      </c>
      <c r="AS456" s="167" t="s">
        <v>62</v>
      </c>
      <c r="AT456" s="167"/>
      <c r="AU456" s="167"/>
      <c r="AV456" s="167" t="s">
        <v>515</v>
      </c>
      <c r="AW456" s="179"/>
      <c r="AX456" s="179"/>
      <c r="AY456" s="179" t="str">
        <f>CONCATENATE(BASE_DATOS[[#This Row],[Código_U]]&amp;BASE_DATOS[[#This Row],[Pos.]]&amp;BASE_DATOS[[#This Row],[Situación Actual]])</f>
        <v>TC-1905Rodando</v>
      </c>
    </row>
    <row r="457" spans="1:51" ht="12" x14ac:dyDescent="0.25">
      <c r="A457" s="227" t="s">
        <v>207</v>
      </c>
      <c r="B457" s="217" t="s">
        <v>208</v>
      </c>
      <c r="C457" s="228" t="s">
        <v>296</v>
      </c>
      <c r="D457" s="229" t="s">
        <v>61</v>
      </c>
      <c r="E457" s="255" t="s">
        <v>303</v>
      </c>
      <c r="F457" s="256" t="s">
        <v>71</v>
      </c>
      <c r="G457" s="256" t="s">
        <v>271</v>
      </c>
      <c r="H457" s="257" t="str">
        <f>IF(BASE_DATOS[[#This Row],[N-R]]="N",BASE_DATOS[[#This Row],[Diseño]],"Reencauche")</f>
        <v>KMAXD</v>
      </c>
      <c r="I457" s="256" t="s">
        <v>294</v>
      </c>
      <c r="J457" s="243" t="s">
        <v>72</v>
      </c>
      <c r="K457" s="258">
        <v>22.2</v>
      </c>
      <c r="L457" s="241">
        <v>110</v>
      </c>
      <c r="M457" s="259"/>
      <c r="N457" s="260"/>
      <c r="O457" s="277"/>
      <c r="P457" s="278"/>
      <c r="Q457" s="279"/>
      <c r="R457" s="309" t="s">
        <v>103</v>
      </c>
      <c r="S457" s="310">
        <v>45385</v>
      </c>
      <c r="T457" s="313"/>
      <c r="U457" s="279"/>
      <c r="V457" s="227">
        <v>19</v>
      </c>
      <c r="W457" s="281"/>
      <c r="X457" s="282">
        <v>19</v>
      </c>
      <c r="Y457" s="293">
        <f t="shared" si="19"/>
        <v>19</v>
      </c>
      <c r="Z457" s="175" t="s">
        <v>85</v>
      </c>
      <c r="AA457" s="342">
        <f>IFERROR(BASE_DATOS[[#This Row],[NSK Original]]-BASE_DATOS[[#This Row],[NSK]]," ")</f>
        <v>3.1999999999999993</v>
      </c>
      <c r="AB457" s="343">
        <f>'NSK-TRACTO'!$A$2</f>
        <v>6</v>
      </c>
      <c r="AC457" s="343">
        <f>IF(BASE_DATOS[[#This Row],[NSK]]&gt;=BASE_DATOS[[#This Row],[NSK Reen]],BASE_DATOS[[#This Row],[NSK Reen]],BASE_DATOS[[#This Row],[NSK]])</f>
        <v>6</v>
      </c>
      <c r="AD457" s="344">
        <f>IFERROR(100%-(BASE_DATOS[[#This Row],[NSK Reen]]/BASE_DATOS[[#This Row],[NSK Original]]),"")</f>
        <v>0.72972972972972971</v>
      </c>
      <c r="AE457" s="344">
        <f>IFERROR(100%-BASE_DATOS[[#This Row],[NSK]]/BASE_DATOS[[#This Row],[NSK Original]],"")</f>
        <v>0.14414414414414412</v>
      </c>
      <c r="AF457" s="344">
        <f>IFERROR(BASE_DATOS[[#This Row],[% Max Des.]]-BASE_DATOS[[#This Row],[% Des]],"")</f>
        <v>0.5855855855855856</v>
      </c>
      <c r="AG457" s="287"/>
      <c r="AH457" s="273"/>
      <c r="AI457" s="363" t="str">
        <f>IF(OR(BASE_DATOS[[#This Row],[Hr.]]="",BASE_DATOS[[#This Row],[Hr. Actual]]=""),"",BASE_DATOS[[#This Row],[Hr. Actual]]-BASE_DATOS[[#This Row],[Hr.]]+BASE_DATOS[[#This Row],[Horas Acumuladas]])</f>
        <v/>
      </c>
      <c r="AJ457" s="364" t="str">
        <f>IFERROR(BASE_DATOS[[#This Row],[Precio US$]]/BASE_DATOS[[#This Row],[Horas Rodadas]],"")</f>
        <v/>
      </c>
      <c r="AK457" s="365" t="str">
        <f>IFERROR(BASE_DATOS[[#This Row],[Horas Rodadas]]/(BASE_DATOS[[#This Row],[NSK Original]]-BASE_DATOS[[#This Row],[NSK]]),"")</f>
        <v/>
      </c>
      <c r="AL45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57" s="366" t="str">
        <f>IFERROR(BASE_DATOS[[#This Row],[Precio US$]]/BASE_DATOS[[#This Row],[Horas Proy.]],"")</f>
        <v/>
      </c>
      <c r="AN457" s="176" t="str">
        <f>IF(OR(BASE_DATOS[[#This Row],[Km.]]="",BASE_DATOS[[#This Row],[Km. Actual]]=""),"",BASE_DATOS[[#This Row],[Km. Actual]]-BASE_DATOS[[#This Row],[Km.]]+BASE_DATOS[[#This Row],[Kilómetros Acumulados]])</f>
        <v/>
      </c>
      <c r="AO457" s="177" t="str">
        <f>IFERROR(BASE_DATOS[[#This Row],[Precio US$]]/BASE_DATOS[[#This Row],[Kilómetros Rodados]],"")</f>
        <v/>
      </c>
      <c r="AP457" s="176" t="str">
        <f>IFERROR(BASE_DATOS[[#This Row],[Kilómetros Rodados]]/(BASE_DATOS[[#This Row],[NSK Original]]-BASE_DATOS[[#This Row],[NSK]]),"")</f>
        <v/>
      </c>
      <c r="AQ45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57" s="177" t="str">
        <f>IFERROR(BASE_DATOS[[#This Row],[Precio US$]]/BASE_DATOS[[#This Row],[Kilómetros Proy.]],"")</f>
        <v/>
      </c>
      <c r="AS457" s="167" t="s">
        <v>62</v>
      </c>
      <c r="AT457" s="167"/>
      <c r="AU457" s="167"/>
      <c r="AV457" s="167" t="s">
        <v>515</v>
      </c>
      <c r="AW457" s="179"/>
      <c r="AX457" s="179"/>
      <c r="AY457" s="179" t="str">
        <f>CONCATENATE(BASE_DATOS[[#This Row],[Código_U]]&amp;BASE_DATOS[[#This Row],[Pos.]]&amp;BASE_DATOS[[#This Row],[Situación Actual]])</f>
        <v>TC-1906Rodando</v>
      </c>
    </row>
    <row r="458" spans="1:51" ht="12" x14ac:dyDescent="0.25">
      <c r="A458" s="227" t="s">
        <v>207</v>
      </c>
      <c r="B458" s="217" t="s">
        <v>208</v>
      </c>
      <c r="C458" s="228" t="s">
        <v>296</v>
      </c>
      <c r="D458" s="229" t="s">
        <v>61</v>
      </c>
      <c r="E458" s="255" t="s">
        <v>304</v>
      </c>
      <c r="F458" s="256" t="s">
        <v>71</v>
      </c>
      <c r="G458" s="256" t="s">
        <v>271</v>
      </c>
      <c r="H458" s="257" t="str">
        <f>IF(BASE_DATOS[[#This Row],[N-R]]="N",BASE_DATOS[[#This Row],[Diseño]],"Reencauche")</f>
        <v>KMAXD</v>
      </c>
      <c r="I458" s="256" t="s">
        <v>294</v>
      </c>
      <c r="J458" s="243" t="s">
        <v>72</v>
      </c>
      <c r="K458" s="258">
        <v>22.2</v>
      </c>
      <c r="L458" s="241">
        <v>110</v>
      </c>
      <c r="M458" s="259"/>
      <c r="N458" s="260"/>
      <c r="O458" s="277"/>
      <c r="P458" s="278"/>
      <c r="Q458" s="279"/>
      <c r="R458" s="309" t="s">
        <v>104</v>
      </c>
      <c r="S458" s="310">
        <v>45385</v>
      </c>
      <c r="T458" s="313"/>
      <c r="U458" s="279"/>
      <c r="V458" s="227">
        <v>17</v>
      </c>
      <c r="W458" s="281"/>
      <c r="X458" s="282">
        <v>17</v>
      </c>
      <c r="Y458" s="293">
        <f t="shared" si="19"/>
        <v>17</v>
      </c>
      <c r="Z458" s="175" t="s">
        <v>85</v>
      </c>
      <c r="AA458" s="342">
        <f>IFERROR(BASE_DATOS[[#This Row],[NSK Original]]-BASE_DATOS[[#This Row],[NSK]]," ")</f>
        <v>5.1999999999999993</v>
      </c>
      <c r="AB458" s="343">
        <f>'NSK-TRACTO'!$A$2</f>
        <v>6</v>
      </c>
      <c r="AC458" s="343">
        <f>IF(BASE_DATOS[[#This Row],[NSK]]&gt;=BASE_DATOS[[#This Row],[NSK Reen]],BASE_DATOS[[#This Row],[NSK Reen]],BASE_DATOS[[#This Row],[NSK]])</f>
        <v>6</v>
      </c>
      <c r="AD458" s="344">
        <f>IFERROR(100%-(BASE_DATOS[[#This Row],[NSK Reen]]/BASE_DATOS[[#This Row],[NSK Original]]),"")</f>
        <v>0.72972972972972971</v>
      </c>
      <c r="AE458" s="344">
        <f>IFERROR(100%-BASE_DATOS[[#This Row],[NSK]]/BASE_DATOS[[#This Row],[NSK Original]],"")</f>
        <v>0.23423423423423417</v>
      </c>
      <c r="AF458" s="344">
        <f>IFERROR(BASE_DATOS[[#This Row],[% Max Des.]]-BASE_DATOS[[#This Row],[% Des]],"")</f>
        <v>0.49549549549549554</v>
      </c>
      <c r="AG458" s="287"/>
      <c r="AH458" s="273"/>
      <c r="AI458" s="363" t="str">
        <f>IF(OR(BASE_DATOS[[#This Row],[Hr.]]="",BASE_DATOS[[#This Row],[Hr. Actual]]=""),"",BASE_DATOS[[#This Row],[Hr. Actual]]-BASE_DATOS[[#This Row],[Hr.]]+BASE_DATOS[[#This Row],[Horas Acumuladas]])</f>
        <v/>
      </c>
      <c r="AJ458" s="364" t="str">
        <f>IFERROR(BASE_DATOS[[#This Row],[Precio US$]]/BASE_DATOS[[#This Row],[Horas Rodadas]],"")</f>
        <v/>
      </c>
      <c r="AK458" s="365" t="str">
        <f>IFERROR(BASE_DATOS[[#This Row],[Horas Rodadas]]/(BASE_DATOS[[#This Row],[NSK Original]]-BASE_DATOS[[#This Row],[NSK]]),"")</f>
        <v/>
      </c>
      <c r="AL45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58" s="366" t="str">
        <f>IFERROR(BASE_DATOS[[#This Row],[Precio US$]]/BASE_DATOS[[#This Row],[Horas Proy.]],"")</f>
        <v/>
      </c>
      <c r="AN458" s="176" t="str">
        <f>IF(OR(BASE_DATOS[[#This Row],[Km.]]="",BASE_DATOS[[#This Row],[Km. Actual]]=""),"",BASE_DATOS[[#This Row],[Km. Actual]]-BASE_DATOS[[#This Row],[Km.]]+BASE_DATOS[[#This Row],[Kilómetros Acumulados]])</f>
        <v/>
      </c>
      <c r="AO458" s="177" t="str">
        <f>IFERROR(BASE_DATOS[[#This Row],[Precio US$]]/BASE_DATOS[[#This Row],[Kilómetros Rodados]],"")</f>
        <v/>
      </c>
      <c r="AP458" s="176" t="str">
        <f>IFERROR(BASE_DATOS[[#This Row],[Kilómetros Rodados]]/(BASE_DATOS[[#This Row],[NSK Original]]-BASE_DATOS[[#This Row],[NSK]]),"")</f>
        <v/>
      </c>
      <c r="AQ45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58" s="177" t="str">
        <f>IFERROR(BASE_DATOS[[#This Row],[Precio US$]]/BASE_DATOS[[#This Row],[Kilómetros Proy.]],"")</f>
        <v/>
      </c>
      <c r="AS458" s="167" t="s">
        <v>62</v>
      </c>
      <c r="AT458" s="167"/>
      <c r="AU458" s="167"/>
      <c r="AV458" s="167" t="s">
        <v>515</v>
      </c>
      <c r="AW458" s="179"/>
      <c r="AX458" s="179"/>
      <c r="AY458" s="179" t="str">
        <f>CONCATENATE(BASE_DATOS[[#This Row],[Código_U]]&amp;BASE_DATOS[[#This Row],[Pos.]]&amp;BASE_DATOS[[#This Row],[Situación Actual]])</f>
        <v>TC-1907Rodando</v>
      </c>
    </row>
    <row r="459" spans="1:51" ht="12" x14ac:dyDescent="0.25">
      <c r="A459" s="227" t="s">
        <v>207</v>
      </c>
      <c r="B459" s="217" t="s">
        <v>208</v>
      </c>
      <c r="C459" s="228" t="s">
        <v>296</v>
      </c>
      <c r="D459" s="229" t="s">
        <v>61</v>
      </c>
      <c r="E459" s="255"/>
      <c r="F459" s="256" t="s">
        <v>71</v>
      </c>
      <c r="G459" s="256" t="s">
        <v>271</v>
      </c>
      <c r="H459" s="257" t="str">
        <f>IF(BASE_DATOS[[#This Row],[N-R]]="N",BASE_DATOS[[#This Row],[Diseño]],"Reencauche")</f>
        <v>KMAXD</v>
      </c>
      <c r="I459" s="256" t="s">
        <v>294</v>
      </c>
      <c r="J459" s="243" t="s">
        <v>72</v>
      </c>
      <c r="K459" s="258">
        <v>22.2</v>
      </c>
      <c r="L459" s="241">
        <v>110</v>
      </c>
      <c r="M459" s="259"/>
      <c r="N459" s="260"/>
      <c r="O459" s="277"/>
      <c r="P459" s="278"/>
      <c r="Q459" s="279"/>
      <c r="R459" s="309" t="s">
        <v>105</v>
      </c>
      <c r="S459" s="310">
        <v>45385</v>
      </c>
      <c r="T459" s="313"/>
      <c r="U459" s="279"/>
      <c r="V459" s="227">
        <v>17</v>
      </c>
      <c r="W459" s="281"/>
      <c r="X459" s="282">
        <v>17</v>
      </c>
      <c r="Y459" s="293">
        <f t="shared" si="19"/>
        <v>17</v>
      </c>
      <c r="Z459" s="175" t="s">
        <v>85</v>
      </c>
      <c r="AA459" s="342">
        <f>IFERROR(BASE_DATOS[[#This Row],[NSK Original]]-BASE_DATOS[[#This Row],[NSK]]," ")</f>
        <v>5.1999999999999993</v>
      </c>
      <c r="AB459" s="343">
        <f>'NSK-TRACTO'!$A$2</f>
        <v>6</v>
      </c>
      <c r="AC459" s="343">
        <f>IF(BASE_DATOS[[#This Row],[NSK]]&gt;=BASE_DATOS[[#This Row],[NSK Reen]],BASE_DATOS[[#This Row],[NSK Reen]],BASE_DATOS[[#This Row],[NSK]])</f>
        <v>6</v>
      </c>
      <c r="AD459" s="344">
        <f>IFERROR(100%-(BASE_DATOS[[#This Row],[NSK Reen]]/BASE_DATOS[[#This Row],[NSK Original]]),"")</f>
        <v>0.72972972972972971</v>
      </c>
      <c r="AE459" s="344">
        <f>IFERROR(100%-BASE_DATOS[[#This Row],[NSK]]/BASE_DATOS[[#This Row],[NSK Original]],"")</f>
        <v>0.23423423423423417</v>
      </c>
      <c r="AF459" s="344">
        <f>IFERROR(BASE_DATOS[[#This Row],[% Max Des.]]-BASE_DATOS[[#This Row],[% Des]],"")</f>
        <v>0.49549549549549554</v>
      </c>
      <c r="AG459" s="287"/>
      <c r="AH459" s="273"/>
      <c r="AI459" s="363" t="str">
        <f>IF(OR(BASE_DATOS[[#This Row],[Hr.]]="",BASE_DATOS[[#This Row],[Hr. Actual]]=""),"",BASE_DATOS[[#This Row],[Hr. Actual]]-BASE_DATOS[[#This Row],[Hr.]]+BASE_DATOS[[#This Row],[Horas Acumuladas]])</f>
        <v/>
      </c>
      <c r="AJ459" s="364" t="str">
        <f>IFERROR(BASE_DATOS[[#This Row],[Precio US$]]/BASE_DATOS[[#This Row],[Horas Rodadas]],"")</f>
        <v/>
      </c>
      <c r="AK459" s="365" t="str">
        <f>IFERROR(BASE_DATOS[[#This Row],[Horas Rodadas]]/(BASE_DATOS[[#This Row],[NSK Original]]-BASE_DATOS[[#This Row],[NSK]]),"")</f>
        <v/>
      </c>
      <c r="AL45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59" s="366" t="str">
        <f>IFERROR(BASE_DATOS[[#This Row],[Precio US$]]/BASE_DATOS[[#This Row],[Horas Proy.]],"")</f>
        <v/>
      </c>
      <c r="AN459" s="176" t="str">
        <f>IF(OR(BASE_DATOS[[#This Row],[Km.]]="",BASE_DATOS[[#This Row],[Km. Actual]]=""),"",BASE_DATOS[[#This Row],[Km. Actual]]-BASE_DATOS[[#This Row],[Km.]]+BASE_DATOS[[#This Row],[Kilómetros Acumulados]])</f>
        <v/>
      </c>
      <c r="AO459" s="177" t="str">
        <f>IFERROR(BASE_DATOS[[#This Row],[Precio US$]]/BASE_DATOS[[#This Row],[Kilómetros Rodados]],"")</f>
        <v/>
      </c>
      <c r="AP459" s="176" t="str">
        <f>IFERROR(BASE_DATOS[[#This Row],[Kilómetros Rodados]]/(BASE_DATOS[[#This Row],[NSK Original]]-BASE_DATOS[[#This Row],[NSK]]),"")</f>
        <v/>
      </c>
      <c r="AQ45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59" s="177" t="str">
        <f>IFERROR(BASE_DATOS[[#This Row],[Precio US$]]/BASE_DATOS[[#This Row],[Kilómetros Proy.]],"")</f>
        <v/>
      </c>
      <c r="AS459" s="167" t="s">
        <v>62</v>
      </c>
      <c r="AT459" s="167"/>
      <c r="AU459" s="167"/>
      <c r="AV459" s="167" t="s">
        <v>515</v>
      </c>
      <c r="AW459" s="179"/>
      <c r="AX459" s="179"/>
      <c r="AY459" s="179" t="str">
        <f>CONCATENATE(BASE_DATOS[[#This Row],[Código_U]]&amp;BASE_DATOS[[#This Row],[Pos.]]&amp;BASE_DATOS[[#This Row],[Situación Actual]])</f>
        <v>TC-1908Rodando</v>
      </c>
    </row>
    <row r="460" spans="1:51" ht="12" x14ac:dyDescent="0.25">
      <c r="A460" s="227" t="s">
        <v>207</v>
      </c>
      <c r="B460" s="217" t="s">
        <v>208</v>
      </c>
      <c r="C460" s="228" t="s">
        <v>296</v>
      </c>
      <c r="D460" s="229" t="s">
        <v>61</v>
      </c>
      <c r="E460" s="255"/>
      <c r="F460" s="256" t="s">
        <v>71</v>
      </c>
      <c r="G460" s="256" t="s">
        <v>271</v>
      </c>
      <c r="H460" s="257" t="str">
        <f>IF(BASE_DATOS[[#This Row],[N-R]]="N",BASE_DATOS[[#This Row],[Diseño]],"Reencauche")</f>
        <v>KMAXD</v>
      </c>
      <c r="I460" s="256" t="s">
        <v>294</v>
      </c>
      <c r="J460" s="243" t="s">
        <v>72</v>
      </c>
      <c r="K460" s="258">
        <v>22.2</v>
      </c>
      <c r="L460" s="241">
        <v>110</v>
      </c>
      <c r="M460" s="259"/>
      <c r="N460" s="260"/>
      <c r="O460" s="277"/>
      <c r="P460" s="278"/>
      <c r="Q460" s="279"/>
      <c r="R460" s="309" t="s">
        <v>106</v>
      </c>
      <c r="S460" s="310">
        <v>45385</v>
      </c>
      <c r="T460" s="313"/>
      <c r="U460" s="279"/>
      <c r="V460" s="227">
        <v>17</v>
      </c>
      <c r="W460" s="281"/>
      <c r="X460" s="282">
        <v>17</v>
      </c>
      <c r="Y460" s="293">
        <f t="shared" si="19"/>
        <v>17</v>
      </c>
      <c r="Z460" s="175" t="s">
        <v>85</v>
      </c>
      <c r="AA460" s="342">
        <f>IFERROR(BASE_DATOS[[#This Row],[NSK Original]]-BASE_DATOS[[#This Row],[NSK]]," ")</f>
        <v>5.1999999999999993</v>
      </c>
      <c r="AB460" s="343">
        <f>'NSK-TRACTO'!$A$2</f>
        <v>6</v>
      </c>
      <c r="AC460" s="343">
        <f>IF(BASE_DATOS[[#This Row],[NSK]]&gt;=BASE_DATOS[[#This Row],[NSK Reen]],BASE_DATOS[[#This Row],[NSK Reen]],BASE_DATOS[[#This Row],[NSK]])</f>
        <v>6</v>
      </c>
      <c r="AD460" s="344">
        <f>IFERROR(100%-(BASE_DATOS[[#This Row],[NSK Reen]]/BASE_DATOS[[#This Row],[NSK Original]]),"")</f>
        <v>0.72972972972972971</v>
      </c>
      <c r="AE460" s="344">
        <f>IFERROR(100%-BASE_DATOS[[#This Row],[NSK]]/BASE_DATOS[[#This Row],[NSK Original]],"")</f>
        <v>0.23423423423423417</v>
      </c>
      <c r="AF460" s="344">
        <f>IFERROR(BASE_DATOS[[#This Row],[% Max Des.]]-BASE_DATOS[[#This Row],[% Des]],"")</f>
        <v>0.49549549549549554</v>
      </c>
      <c r="AG460" s="287"/>
      <c r="AH460" s="273"/>
      <c r="AI460" s="363" t="str">
        <f>IF(OR(BASE_DATOS[[#This Row],[Hr.]]="",BASE_DATOS[[#This Row],[Hr. Actual]]=""),"",BASE_DATOS[[#This Row],[Hr. Actual]]-BASE_DATOS[[#This Row],[Hr.]]+BASE_DATOS[[#This Row],[Horas Acumuladas]])</f>
        <v/>
      </c>
      <c r="AJ460" s="364" t="str">
        <f>IFERROR(BASE_DATOS[[#This Row],[Precio US$]]/BASE_DATOS[[#This Row],[Horas Rodadas]],"")</f>
        <v/>
      </c>
      <c r="AK460" s="365" t="str">
        <f>IFERROR(BASE_DATOS[[#This Row],[Horas Rodadas]]/(BASE_DATOS[[#This Row],[NSK Original]]-BASE_DATOS[[#This Row],[NSK]]),"")</f>
        <v/>
      </c>
      <c r="AL46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60" s="366" t="str">
        <f>IFERROR(BASE_DATOS[[#This Row],[Precio US$]]/BASE_DATOS[[#This Row],[Horas Proy.]],"")</f>
        <v/>
      </c>
      <c r="AN460" s="176" t="str">
        <f>IF(OR(BASE_DATOS[[#This Row],[Km.]]="",BASE_DATOS[[#This Row],[Km. Actual]]=""),"",BASE_DATOS[[#This Row],[Km. Actual]]-BASE_DATOS[[#This Row],[Km.]]+BASE_DATOS[[#This Row],[Kilómetros Acumulados]])</f>
        <v/>
      </c>
      <c r="AO460" s="177" t="str">
        <f>IFERROR(BASE_DATOS[[#This Row],[Precio US$]]/BASE_DATOS[[#This Row],[Kilómetros Rodados]],"")</f>
        <v/>
      </c>
      <c r="AP460" s="176" t="str">
        <f>IFERROR(BASE_DATOS[[#This Row],[Kilómetros Rodados]]/(BASE_DATOS[[#This Row],[NSK Original]]-BASE_DATOS[[#This Row],[NSK]]),"")</f>
        <v/>
      </c>
      <c r="AQ46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60" s="177" t="str">
        <f>IFERROR(BASE_DATOS[[#This Row],[Precio US$]]/BASE_DATOS[[#This Row],[Kilómetros Proy.]],"")</f>
        <v/>
      </c>
      <c r="AS460" s="167" t="s">
        <v>62</v>
      </c>
      <c r="AT460" s="167"/>
      <c r="AU460" s="167"/>
      <c r="AV460" s="167" t="s">
        <v>515</v>
      </c>
      <c r="AW460" s="179"/>
      <c r="AX460" s="179"/>
      <c r="AY460" s="179" t="str">
        <f>CONCATENATE(BASE_DATOS[[#This Row],[Código_U]]&amp;BASE_DATOS[[#This Row],[Pos.]]&amp;BASE_DATOS[[#This Row],[Situación Actual]])</f>
        <v>TC-1909Rodando</v>
      </c>
    </row>
    <row r="461" spans="1:51" ht="12" x14ac:dyDescent="0.25">
      <c r="A461" s="227" t="s">
        <v>207</v>
      </c>
      <c r="B461" s="217" t="s">
        <v>208</v>
      </c>
      <c r="C461" s="228" t="s">
        <v>296</v>
      </c>
      <c r="D461" s="229" t="s">
        <v>61</v>
      </c>
      <c r="E461" s="255" t="s">
        <v>305</v>
      </c>
      <c r="F461" s="256" t="s">
        <v>71</v>
      </c>
      <c r="G461" s="256" t="s">
        <v>271</v>
      </c>
      <c r="H461" s="257" t="str">
        <f>IF(BASE_DATOS[[#This Row],[N-R]]="N",BASE_DATOS[[#This Row],[Diseño]],"Reencauche")</f>
        <v>KMAXD</v>
      </c>
      <c r="I461" s="256" t="s">
        <v>294</v>
      </c>
      <c r="J461" s="243" t="s">
        <v>72</v>
      </c>
      <c r="K461" s="258">
        <v>22.2</v>
      </c>
      <c r="L461" s="241">
        <v>110</v>
      </c>
      <c r="M461" s="259"/>
      <c r="N461" s="260"/>
      <c r="O461" s="277"/>
      <c r="P461" s="278"/>
      <c r="Q461" s="279"/>
      <c r="R461" s="309" t="s">
        <v>107</v>
      </c>
      <c r="S461" s="310">
        <v>45385</v>
      </c>
      <c r="T461" s="313"/>
      <c r="U461" s="279"/>
      <c r="V461" s="227">
        <v>17</v>
      </c>
      <c r="W461" s="281"/>
      <c r="X461" s="282">
        <v>17</v>
      </c>
      <c r="Y461" s="293">
        <f t="shared" si="19"/>
        <v>17</v>
      </c>
      <c r="Z461" s="175" t="s">
        <v>85</v>
      </c>
      <c r="AA461" s="342">
        <f>IFERROR(BASE_DATOS[[#This Row],[NSK Original]]-BASE_DATOS[[#This Row],[NSK]]," ")</f>
        <v>5.1999999999999993</v>
      </c>
      <c r="AB461" s="343">
        <f>'NSK-TRACTO'!$A$2</f>
        <v>6</v>
      </c>
      <c r="AC461" s="343">
        <f>IF(BASE_DATOS[[#This Row],[NSK]]&gt;=BASE_DATOS[[#This Row],[NSK Reen]],BASE_DATOS[[#This Row],[NSK Reen]],BASE_DATOS[[#This Row],[NSK]])</f>
        <v>6</v>
      </c>
      <c r="AD461" s="344">
        <f>IFERROR(100%-(BASE_DATOS[[#This Row],[NSK Reen]]/BASE_DATOS[[#This Row],[NSK Original]]),"")</f>
        <v>0.72972972972972971</v>
      </c>
      <c r="AE461" s="344">
        <f>IFERROR(100%-BASE_DATOS[[#This Row],[NSK]]/BASE_DATOS[[#This Row],[NSK Original]],"")</f>
        <v>0.23423423423423417</v>
      </c>
      <c r="AF461" s="344">
        <f>IFERROR(BASE_DATOS[[#This Row],[% Max Des.]]-BASE_DATOS[[#This Row],[% Des]],"")</f>
        <v>0.49549549549549554</v>
      </c>
      <c r="AG461" s="287"/>
      <c r="AH461" s="273"/>
      <c r="AI461" s="363" t="str">
        <f>IF(OR(BASE_DATOS[[#This Row],[Hr.]]="",BASE_DATOS[[#This Row],[Hr. Actual]]=""),"",BASE_DATOS[[#This Row],[Hr. Actual]]-BASE_DATOS[[#This Row],[Hr.]]+BASE_DATOS[[#This Row],[Horas Acumuladas]])</f>
        <v/>
      </c>
      <c r="AJ461" s="364" t="str">
        <f>IFERROR(BASE_DATOS[[#This Row],[Precio US$]]/BASE_DATOS[[#This Row],[Horas Rodadas]],"")</f>
        <v/>
      </c>
      <c r="AK461" s="365" t="str">
        <f>IFERROR(BASE_DATOS[[#This Row],[Horas Rodadas]]/(BASE_DATOS[[#This Row],[NSK Original]]-BASE_DATOS[[#This Row],[NSK]]),"")</f>
        <v/>
      </c>
      <c r="AL46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61" s="366" t="str">
        <f>IFERROR(BASE_DATOS[[#This Row],[Precio US$]]/BASE_DATOS[[#This Row],[Horas Proy.]],"")</f>
        <v/>
      </c>
      <c r="AN461" s="176" t="str">
        <f>IF(OR(BASE_DATOS[[#This Row],[Km.]]="",BASE_DATOS[[#This Row],[Km. Actual]]=""),"",BASE_DATOS[[#This Row],[Km. Actual]]-BASE_DATOS[[#This Row],[Km.]]+BASE_DATOS[[#This Row],[Kilómetros Acumulados]])</f>
        <v/>
      </c>
      <c r="AO461" s="177" t="str">
        <f>IFERROR(BASE_DATOS[[#This Row],[Precio US$]]/BASE_DATOS[[#This Row],[Kilómetros Rodados]],"")</f>
        <v/>
      </c>
      <c r="AP461" s="176" t="str">
        <f>IFERROR(BASE_DATOS[[#This Row],[Kilómetros Rodados]]/(BASE_DATOS[[#This Row],[NSK Original]]-BASE_DATOS[[#This Row],[NSK]]),"")</f>
        <v/>
      </c>
      <c r="AQ46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61" s="177" t="str">
        <f>IFERROR(BASE_DATOS[[#This Row],[Precio US$]]/BASE_DATOS[[#This Row],[Kilómetros Proy.]],"")</f>
        <v/>
      </c>
      <c r="AS461" s="167" t="s">
        <v>62</v>
      </c>
      <c r="AT461" s="167"/>
      <c r="AU461" s="167"/>
      <c r="AV461" s="167" t="s">
        <v>515</v>
      </c>
      <c r="AW461" s="179"/>
      <c r="AX461" s="179"/>
      <c r="AY461" s="179" t="str">
        <f>CONCATENATE(BASE_DATOS[[#This Row],[Código_U]]&amp;BASE_DATOS[[#This Row],[Pos.]]&amp;BASE_DATOS[[#This Row],[Situación Actual]])</f>
        <v>TC-19010Rodando</v>
      </c>
    </row>
    <row r="462" spans="1:51" ht="12" x14ac:dyDescent="0.25">
      <c r="A462" s="224" t="s">
        <v>209</v>
      </c>
      <c r="B462" s="213" t="s">
        <v>210</v>
      </c>
      <c r="C462" s="225" t="s">
        <v>295</v>
      </c>
      <c r="D462" s="226" t="s">
        <v>87</v>
      </c>
      <c r="E462" s="249"/>
      <c r="F462" s="250" t="s">
        <v>97</v>
      </c>
      <c r="G462" s="250" t="s">
        <v>269</v>
      </c>
      <c r="H462" s="251" t="str">
        <f>IF(BASE_DATOS[[#This Row],[N-R]]="N",BASE_DATOS[[#This Row],[Diseño]],"Reencauche")</f>
        <v>AGC28</v>
      </c>
      <c r="I462" s="250" t="s">
        <v>270</v>
      </c>
      <c r="J462" s="235" t="s">
        <v>72</v>
      </c>
      <c r="K462" s="252">
        <v>16.5</v>
      </c>
      <c r="L462" s="250">
        <v>110</v>
      </c>
      <c r="M462" s="253"/>
      <c r="N462" s="254"/>
      <c r="O462" s="274"/>
      <c r="P462" s="275"/>
      <c r="Q462" s="276"/>
      <c r="R462" s="305" t="s">
        <v>98</v>
      </c>
      <c r="S462" s="306">
        <v>45385</v>
      </c>
      <c r="T462" s="314"/>
      <c r="U462" s="276"/>
      <c r="V462" s="224">
        <v>8</v>
      </c>
      <c r="W462" s="325">
        <v>9</v>
      </c>
      <c r="X462" s="326">
        <v>9</v>
      </c>
      <c r="Y462" s="292">
        <f t="shared" si="19"/>
        <v>8</v>
      </c>
      <c r="Z462" s="194" t="s">
        <v>85</v>
      </c>
      <c r="AA462" s="339">
        <f>IFERROR(BASE_DATOS[[#This Row],[NSK Original]]-BASE_DATOS[[#This Row],[NSK]]," ")</f>
        <v>8.5</v>
      </c>
      <c r="AB462" s="340">
        <f>'NSK-TRACTO'!$A$2</f>
        <v>6</v>
      </c>
      <c r="AC462" s="340">
        <f>IF(BASE_DATOS[[#This Row],[NSK]]&gt;=BASE_DATOS[[#This Row],[NSK Reen]],BASE_DATOS[[#This Row],[NSK Reen]],BASE_DATOS[[#This Row],[NSK]])</f>
        <v>6</v>
      </c>
      <c r="AD462" s="341">
        <f>IFERROR(100%-(BASE_DATOS[[#This Row],[NSK Reen]]/BASE_DATOS[[#This Row],[NSK Original]]),"")</f>
        <v>0.63636363636363635</v>
      </c>
      <c r="AE462" s="341">
        <f>IFERROR(100%-BASE_DATOS[[#This Row],[NSK]]/BASE_DATOS[[#This Row],[NSK Original]],"")</f>
        <v>0.51515151515151514</v>
      </c>
      <c r="AF462" s="341">
        <f>IFERROR(BASE_DATOS[[#This Row],[% Max Des.]]-BASE_DATOS[[#This Row],[% Des]],"")</f>
        <v>0.12121212121212122</v>
      </c>
      <c r="AG462" s="284"/>
      <c r="AH462" s="335"/>
      <c r="AI462" s="359" t="str">
        <f>IF(OR(BASE_DATOS[[#This Row],[Hr.]]="",BASE_DATOS[[#This Row],[Hr. Actual]]=""),"",BASE_DATOS[[#This Row],[Hr. Actual]]-BASE_DATOS[[#This Row],[Hr.]]+BASE_DATOS[[#This Row],[Horas Acumuladas]])</f>
        <v/>
      </c>
      <c r="AJ462" s="360" t="str">
        <f>IFERROR(BASE_DATOS[[#This Row],[Precio US$]]/BASE_DATOS[[#This Row],[Horas Rodadas]],"")</f>
        <v/>
      </c>
      <c r="AK462" s="361" t="str">
        <f>IFERROR(BASE_DATOS[[#This Row],[Horas Rodadas]]/(BASE_DATOS[[#This Row],[NSK Original]]-BASE_DATOS[[#This Row],[NSK]]),"")</f>
        <v/>
      </c>
      <c r="AL462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62" s="362" t="str">
        <f>IFERROR(BASE_DATOS[[#This Row],[Precio US$]]/BASE_DATOS[[#This Row],[Horas Proy.]],"")</f>
        <v/>
      </c>
      <c r="AN462" s="195" t="str">
        <f>IF(OR(BASE_DATOS[[#This Row],[Km.]]="",BASE_DATOS[[#This Row],[Km. Actual]]=""),"",BASE_DATOS[[#This Row],[Km. Actual]]-BASE_DATOS[[#This Row],[Km.]]+BASE_DATOS[[#This Row],[Kilómetros Acumulados]])</f>
        <v/>
      </c>
      <c r="AO462" s="196" t="str">
        <f>IFERROR(BASE_DATOS[[#This Row],[Precio US$]]/BASE_DATOS[[#This Row],[Kilómetros Rodados]],"")</f>
        <v/>
      </c>
      <c r="AP462" s="195" t="str">
        <f>IFERROR(BASE_DATOS[[#This Row],[Kilómetros Rodados]]/(BASE_DATOS[[#This Row],[NSK Original]]-BASE_DATOS[[#This Row],[NSK]]),"")</f>
        <v/>
      </c>
      <c r="AQ462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62" s="196" t="str">
        <f>IFERROR(BASE_DATOS[[#This Row],[Precio US$]]/BASE_DATOS[[#This Row],[Kilómetros Proy.]],"")</f>
        <v/>
      </c>
      <c r="AS462" s="191" t="s">
        <v>62</v>
      </c>
      <c r="AT462" s="191"/>
      <c r="AU462" s="191"/>
      <c r="AV462" s="191"/>
      <c r="AW462" s="198"/>
      <c r="AX462" s="198"/>
      <c r="AY462" s="198" t="str">
        <f>CONCATENATE(BASE_DATOS[[#This Row],[Código_U]]&amp;BASE_DATOS[[#This Row],[Pos.]]&amp;BASE_DATOS[[#This Row],[Situación Actual]])</f>
        <v>SR-1901Rodando</v>
      </c>
    </row>
    <row r="463" spans="1:51" ht="12" x14ac:dyDescent="0.25">
      <c r="A463" s="227" t="s">
        <v>209</v>
      </c>
      <c r="B463" s="217" t="s">
        <v>210</v>
      </c>
      <c r="C463" s="228" t="s">
        <v>295</v>
      </c>
      <c r="D463" s="229" t="s">
        <v>87</v>
      </c>
      <c r="E463" s="255"/>
      <c r="F463" s="256" t="s">
        <v>97</v>
      </c>
      <c r="G463" s="256" t="s">
        <v>269</v>
      </c>
      <c r="H463" s="257" t="str">
        <f>IF(BASE_DATOS[[#This Row],[N-R]]="N",BASE_DATOS[[#This Row],[Diseño]],"Reencauche")</f>
        <v>AGC28</v>
      </c>
      <c r="I463" s="256" t="s">
        <v>270</v>
      </c>
      <c r="J463" s="243" t="s">
        <v>72</v>
      </c>
      <c r="K463" s="258">
        <v>16.5</v>
      </c>
      <c r="L463" s="256">
        <v>110</v>
      </c>
      <c r="M463" s="259"/>
      <c r="N463" s="260"/>
      <c r="O463" s="277"/>
      <c r="P463" s="278"/>
      <c r="Q463" s="279"/>
      <c r="R463" s="309" t="s">
        <v>99</v>
      </c>
      <c r="S463" s="310">
        <v>45385</v>
      </c>
      <c r="T463" s="313"/>
      <c r="U463" s="279"/>
      <c r="V463" s="227">
        <v>9</v>
      </c>
      <c r="W463" s="281">
        <v>8</v>
      </c>
      <c r="X463" s="282">
        <v>8</v>
      </c>
      <c r="Y463" s="293">
        <f t="shared" si="19"/>
        <v>8</v>
      </c>
      <c r="Z463" s="175" t="s">
        <v>85</v>
      </c>
      <c r="AA463" s="342">
        <f>IFERROR(BASE_DATOS[[#This Row],[NSK Original]]-BASE_DATOS[[#This Row],[NSK]]," ")</f>
        <v>8.5</v>
      </c>
      <c r="AB463" s="343">
        <f>'NSK-TRACTO'!$A$2</f>
        <v>6</v>
      </c>
      <c r="AC463" s="343">
        <f>IF(BASE_DATOS[[#This Row],[NSK]]&gt;=BASE_DATOS[[#This Row],[NSK Reen]],BASE_DATOS[[#This Row],[NSK Reen]],BASE_DATOS[[#This Row],[NSK]])</f>
        <v>6</v>
      </c>
      <c r="AD463" s="344">
        <f>IFERROR(100%-(BASE_DATOS[[#This Row],[NSK Reen]]/BASE_DATOS[[#This Row],[NSK Original]]),"")</f>
        <v>0.63636363636363635</v>
      </c>
      <c r="AE463" s="344">
        <f>IFERROR(100%-BASE_DATOS[[#This Row],[NSK]]/BASE_DATOS[[#This Row],[NSK Original]],"")</f>
        <v>0.51515151515151514</v>
      </c>
      <c r="AF463" s="344">
        <f>IFERROR(BASE_DATOS[[#This Row],[% Max Des.]]-BASE_DATOS[[#This Row],[% Des]],"")</f>
        <v>0.12121212121212122</v>
      </c>
      <c r="AG463" s="287"/>
      <c r="AH463" s="273"/>
      <c r="AI463" s="363" t="str">
        <f>IF(OR(BASE_DATOS[[#This Row],[Hr.]]="",BASE_DATOS[[#This Row],[Hr. Actual]]=""),"",BASE_DATOS[[#This Row],[Hr. Actual]]-BASE_DATOS[[#This Row],[Hr.]]+BASE_DATOS[[#This Row],[Horas Acumuladas]])</f>
        <v/>
      </c>
      <c r="AJ463" s="364" t="str">
        <f>IFERROR(BASE_DATOS[[#This Row],[Precio US$]]/BASE_DATOS[[#This Row],[Horas Rodadas]],"")</f>
        <v/>
      </c>
      <c r="AK463" s="365" t="str">
        <f>IFERROR(BASE_DATOS[[#This Row],[Horas Rodadas]]/(BASE_DATOS[[#This Row],[NSK Original]]-BASE_DATOS[[#This Row],[NSK]]),"")</f>
        <v/>
      </c>
      <c r="AL46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63" s="366" t="str">
        <f>IFERROR(BASE_DATOS[[#This Row],[Precio US$]]/BASE_DATOS[[#This Row],[Horas Proy.]],"")</f>
        <v/>
      </c>
      <c r="AN463" s="176" t="str">
        <f>IF(OR(BASE_DATOS[[#This Row],[Km.]]="",BASE_DATOS[[#This Row],[Km. Actual]]=""),"",BASE_DATOS[[#This Row],[Km. Actual]]-BASE_DATOS[[#This Row],[Km.]]+BASE_DATOS[[#This Row],[Kilómetros Acumulados]])</f>
        <v/>
      </c>
      <c r="AO463" s="177" t="str">
        <f>IFERROR(BASE_DATOS[[#This Row],[Precio US$]]/BASE_DATOS[[#This Row],[Kilómetros Rodados]],"")</f>
        <v/>
      </c>
      <c r="AP463" s="176" t="str">
        <f>IFERROR(BASE_DATOS[[#This Row],[Kilómetros Rodados]]/(BASE_DATOS[[#This Row],[NSK Original]]-BASE_DATOS[[#This Row],[NSK]]),"")</f>
        <v/>
      </c>
      <c r="AQ46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63" s="177" t="str">
        <f>IFERROR(BASE_DATOS[[#This Row],[Precio US$]]/BASE_DATOS[[#This Row],[Kilómetros Proy.]],"")</f>
        <v/>
      </c>
      <c r="AS463" s="167" t="s">
        <v>62</v>
      </c>
      <c r="AT463" s="167"/>
      <c r="AU463" s="167"/>
      <c r="AV463" s="167"/>
      <c r="AW463" s="179"/>
      <c r="AX463" s="179"/>
      <c r="AY463" s="179" t="str">
        <f>CONCATENATE(BASE_DATOS[[#This Row],[Código_U]]&amp;BASE_DATOS[[#This Row],[Pos.]]&amp;BASE_DATOS[[#This Row],[Situación Actual]])</f>
        <v>SR-1902Rodando</v>
      </c>
    </row>
    <row r="464" spans="1:51" ht="12" x14ac:dyDescent="0.25">
      <c r="A464" s="227" t="s">
        <v>209</v>
      </c>
      <c r="B464" s="217" t="s">
        <v>210</v>
      </c>
      <c r="C464" s="228" t="s">
        <v>295</v>
      </c>
      <c r="D464" s="229" t="s">
        <v>87</v>
      </c>
      <c r="E464" s="255"/>
      <c r="F464" s="256" t="s">
        <v>97</v>
      </c>
      <c r="G464" s="256" t="s">
        <v>269</v>
      </c>
      <c r="H464" s="257" t="str">
        <f>IF(BASE_DATOS[[#This Row],[N-R]]="N",BASE_DATOS[[#This Row],[Diseño]],"Reencauche")</f>
        <v>AGC28</v>
      </c>
      <c r="I464" s="256" t="s">
        <v>270</v>
      </c>
      <c r="J464" s="243" t="s">
        <v>72</v>
      </c>
      <c r="K464" s="258">
        <v>16.5</v>
      </c>
      <c r="L464" s="256">
        <v>110</v>
      </c>
      <c r="M464" s="259"/>
      <c r="N464" s="260"/>
      <c r="O464" s="277"/>
      <c r="P464" s="278"/>
      <c r="Q464" s="279"/>
      <c r="R464" s="309" t="s">
        <v>100</v>
      </c>
      <c r="S464" s="310">
        <v>45385</v>
      </c>
      <c r="T464" s="313"/>
      <c r="U464" s="279"/>
      <c r="V464" s="227">
        <v>7</v>
      </c>
      <c r="W464" s="281">
        <v>7</v>
      </c>
      <c r="X464" s="282">
        <v>7</v>
      </c>
      <c r="Y464" s="293">
        <f t="shared" si="19"/>
        <v>7</v>
      </c>
      <c r="Z464" s="175" t="s">
        <v>85</v>
      </c>
      <c r="AA464" s="342">
        <f>IFERROR(BASE_DATOS[[#This Row],[NSK Original]]-BASE_DATOS[[#This Row],[NSK]]," ")</f>
        <v>9.5</v>
      </c>
      <c r="AB464" s="343">
        <f>'NSK-TRACTO'!$A$2</f>
        <v>6</v>
      </c>
      <c r="AC464" s="343">
        <f>IF(BASE_DATOS[[#This Row],[NSK]]&gt;=BASE_DATOS[[#This Row],[NSK Reen]],BASE_DATOS[[#This Row],[NSK Reen]],BASE_DATOS[[#This Row],[NSK]])</f>
        <v>6</v>
      </c>
      <c r="AD464" s="344">
        <f>IFERROR(100%-(BASE_DATOS[[#This Row],[NSK Reen]]/BASE_DATOS[[#This Row],[NSK Original]]),"")</f>
        <v>0.63636363636363635</v>
      </c>
      <c r="AE464" s="344">
        <f>IFERROR(100%-BASE_DATOS[[#This Row],[NSK]]/BASE_DATOS[[#This Row],[NSK Original]],"")</f>
        <v>0.57575757575757569</v>
      </c>
      <c r="AF464" s="344">
        <f>IFERROR(BASE_DATOS[[#This Row],[% Max Des.]]-BASE_DATOS[[#This Row],[% Des]],"")</f>
        <v>6.0606060606060663E-2</v>
      </c>
      <c r="AG464" s="287"/>
      <c r="AH464" s="273"/>
      <c r="AI464" s="363" t="str">
        <f>IF(OR(BASE_DATOS[[#This Row],[Hr.]]="",BASE_DATOS[[#This Row],[Hr. Actual]]=""),"",BASE_DATOS[[#This Row],[Hr. Actual]]-BASE_DATOS[[#This Row],[Hr.]]+BASE_DATOS[[#This Row],[Horas Acumuladas]])</f>
        <v/>
      </c>
      <c r="AJ464" s="364" t="str">
        <f>IFERROR(BASE_DATOS[[#This Row],[Precio US$]]/BASE_DATOS[[#This Row],[Horas Rodadas]],"")</f>
        <v/>
      </c>
      <c r="AK464" s="365" t="str">
        <f>IFERROR(BASE_DATOS[[#This Row],[Horas Rodadas]]/(BASE_DATOS[[#This Row],[NSK Original]]-BASE_DATOS[[#This Row],[NSK]]),"")</f>
        <v/>
      </c>
      <c r="AL46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64" s="366" t="str">
        <f>IFERROR(BASE_DATOS[[#This Row],[Precio US$]]/BASE_DATOS[[#This Row],[Horas Proy.]],"")</f>
        <v/>
      </c>
      <c r="AN464" s="176" t="str">
        <f>IF(OR(BASE_DATOS[[#This Row],[Km.]]="",BASE_DATOS[[#This Row],[Km. Actual]]=""),"",BASE_DATOS[[#This Row],[Km. Actual]]-BASE_DATOS[[#This Row],[Km.]]+BASE_DATOS[[#This Row],[Kilómetros Acumulados]])</f>
        <v/>
      </c>
      <c r="AO464" s="177" t="str">
        <f>IFERROR(BASE_DATOS[[#This Row],[Precio US$]]/BASE_DATOS[[#This Row],[Kilómetros Rodados]],"")</f>
        <v/>
      </c>
      <c r="AP464" s="176" t="str">
        <f>IFERROR(BASE_DATOS[[#This Row],[Kilómetros Rodados]]/(BASE_DATOS[[#This Row],[NSK Original]]-BASE_DATOS[[#This Row],[NSK]]),"")</f>
        <v/>
      </c>
      <c r="AQ46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64" s="177" t="str">
        <f>IFERROR(BASE_DATOS[[#This Row],[Precio US$]]/BASE_DATOS[[#This Row],[Kilómetros Proy.]],"")</f>
        <v/>
      </c>
      <c r="AS464" s="167" t="s">
        <v>62</v>
      </c>
      <c r="AT464" s="167"/>
      <c r="AU464" s="167"/>
      <c r="AV464" s="167"/>
      <c r="AW464" s="179"/>
      <c r="AX464" s="179"/>
      <c r="AY464" s="179" t="str">
        <f>CONCATENATE(BASE_DATOS[[#This Row],[Código_U]]&amp;BASE_DATOS[[#This Row],[Pos.]]&amp;BASE_DATOS[[#This Row],[Situación Actual]])</f>
        <v>SR-1903Rodando</v>
      </c>
    </row>
    <row r="465" spans="1:51" ht="12" x14ac:dyDescent="0.25">
      <c r="A465" s="227" t="s">
        <v>209</v>
      </c>
      <c r="B465" s="217" t="s">
        <v>210</v>
      </c>
      <c r="C465" s="228" t="s">
        <v>295</v>
      </c>
      <c r="D465" s="229" t="s">
        <v>87</v>
      </c>
      <c r="E465" s="255"/>
      <c r="F465" s="256" t="s">
        <v>97</v>
      </c>
      <c r="G465" s="256" t="s">
        <v>269</v>
      </c>
      <c r="H465" s="257" t="str">
        <f>IF(BASE_DATOS[[#This Row],[N-R]]="N",BASE_DATOS[[#This Row],[Diseño]],"Reencauche")</f>
        <v>AGC28</v>
      </c>
      <c r="I465" s="256" t="s">
        <v>270</v>
      </c>
      <c r="J465" s="243" t="s">
        <v>72</v>
      </c>
      <c r="K465" s="258">
        <v>16.5</v>
      </c>
      <c r="L465" s="256">
        <v>110</v>
      </c>
      <c r="M465" s="259"/>
      <c r="N465" s="260"/>
      <c r="O465" s="277"/>
      <c r="P465" s="278"/>
      <c r="Q465" s="279"/>
      <c r="R465" s="309" t="s">
        <v>101</v>
      </c>
      <c r="S465" s="310">
        <v>45385</v>
      </c>
      <c r="T465" s="313"/>
      <c r="U465" s="279"/>
      <c r="V465" s="227">
        <v>7</v>
      </c>
      <c r="W465" s="281">
        <v>6</v>
      </c>
      <c r="X465" s="282">
        <v>7</v>
      </c>
      <c r="Y465" s="293">
        <f t="shared" si="19"/>
        <v>6</v>
      </c>
      <c r="Z465" s="175" t="s">
        <v>85</v>
      </c>
      <c r="AA465" s="342">
        <f>IFERROR(BASE_DATOS[[#This Row],[NSK Original]]-BASE_DATOS[[#This Row],[NSK]]," ")</f>
        <v>10.5</v>
      </c>
      <c r="AB465" s="343">
        <f>'NSK-TRACTO'!$A$2</f>
        <v>6</v>
      </c>
      <c r="AC465" s="343">
        <f>IF(BASE_DATOS[[#This Row],[NSK]]&gt;=BASE_DATOS[[#This Row],[NSK Reen]],BASE_DATOS[[#This Row],[NSK Reen]],BASE_DATOS[[#This Row],[NSK]])</f>
        <v>6</v>
      </c>
      <c r="AD465" s="344">
        <f>IFERROR(100%-(BASE_DATOS[[#This Row],[NSK Reen]]/BASE_DATOS[[#This Row],[NSK Original]]),"")</f>
        <v>0.63636363636363635</v>
      </c>
      <c r="AE465" s="344">
        <f>IFERROR(100%-BASE_DATOS[[#This Row],[NSK]]/BASE_DATOS[[#This Row],[NSK Original]],"")</f>
        <v>0.63636363636363635</v>
      </c>
      <c r="AF465" s="344">
        <f>IFERROR(BASE_DATOS[[#This Row],[% Max Des.]]-BASE_DATOS[[#This Row],[% Des]],"")</f>
        <v>0</v>
      </c>
      <c r="AG465" s="287"/>
      <c r="AH465" s="273"/>
      <c r="AI465" s="363" t="str">
        <f>IF(OR(BASE_DATOS[[#This Row],[Hr.]]="",BASE_DATOS[[#This Row],[Hr. Actual]]=""),"",BASE_DATOS[[#This Row],[Hr. Actual]]-BASE_DATOS[[#This Row],[Hr.]]+BASE_DATOS[[#This Row],[Horas Acumuladas]])</f>
        <v/>
      </c>
      <c r="AJ465" s="364" t="str">
        <f>IFERROR(BASE_DATOS[[#This Row],[Precio US$]]/BASE_DATOS[[#This Row],[Horas Rodadas]],"")</f>
        <v/>
      </c>
      <c r="AK465" s="365" t="str">
        <f>IFERROR(BASE_DATOS[[#This Row],[Horas Rodadas]]/(BASE_DATOS[[#This Row],[NSK Original]]-BASE_DATOS[[#This Row],[NSK]]),"")</f>
        <v/>
      </c>
      <c r="AL46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65" s="366" t="str">
        <f>IFERROR(BASE_DATOS[[#This Row],[Precio US$]]/BASE_DATOS[[#This Row],[Horas Proy.]],"")</f>
        <v/>
      </c>
      <c r="AN465" s="176" t="str">
        <f>IF(OR(BASE_DATOS[[#This Row],[Km.]]="",BASE_DATOS[[#This Row],[Km. Actual]]=""),"",BASE_DATOS[[#This Row],[Km. Actual]]-BASE_DATOS[[#This Row],[Km.]]+BASE_DATOS[[#This Row],[Kilómetros Acumulados]])</f>
        <v/>
      </c>
      <c r="AO465" s="177" t="str">
        <f>IFERROR(BASE_DATOS[[#This Row],[Precio US$]]/BASE_DATOS[[#This Row],[Kilómetros Rodados]],"")</f>
        <v/>
      </c>
      <c r="AP465" s="176" t="str">
        <f>IFERROR(BASE_DATOS[[#This Row],[Kilómetros Rodados]]/(BASE_DATOS[[#This Row],[NSK Original]]-BASE_DATOS[[#This Row],[NSK]]),"")</f>
        <v/>
      </c>
      <c r="AQ46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65" s="177" t="str">
        <f>IFERROR(BASE_DATOS[[#This Row],[Precio US$]]/BASE_DATOS[[#This Row],[Kilómetros Proy.]],"")</f>
        <v/>
      </c>
      <c r="AS465" s="167" t="s">
        <v>62</v>
      </c>
      <c r="AT465" s="167"/>
      <c r="AU465" s="167"/>
      <c r="AV465" s="167"/>
      <c r="AW465" s="179"/>
      <c r="AX465" s="179"/>
      <c r="AY465" s="179" t="str">
        <f>CONCATENATE(BASE_DATOS[[#This Row],[Código_U]]&amp;BASE_DATOS[[#This Row],[Pos.]]&amp;BASE_DATOS[[#This Row],[Situación Actual]])</f>
        <v>SR-1904Rodando</v>
      </c>
    </row>
    <row r="466" spans="1:51" ht="12" x14ac:dyDescent="0.25">
      <c r="A466" s="227" t="s">
        <v>209</v>
      </c>
      <c r="B466" s="217" t="s">
        <v>210</v>
      </c>
      <c r="C466" s="228" t="s">
        <v>295</v>
      </c>
      <c r="D466" s="229" t="s">
        <v>87</v>
      </c>
      <c r="E466" s="255"/>
      <c r="F466" s="256" t="s">
        <v>97</v>
      </c>
      <c r="G466" s="256" t="s">
        <v>269</v>
      </c>
      <c r="H466" s="257" t="str">
        <f>IF(BASE_DATOS[[#This Row],[N-R]]="N",BASE_DATOS[[#This Row],[Diseño]],"Reencauche")</f>
        <v>AGC28</v>
      </c>
      <c r="I466" s="256" t="s">
        <v>270</v>
      </c>
      <c r="J466" s="243" t="s">
        <v>72</v>
      </c>
      <c r="K466" s="258">
        <v>16.5</v>
      </c>
      <c r="L466" s="256">
        <v>110</v>
      </c>
      <c r="M466" s="259"/>
      <c r="N466" s="260"/>
      <c r="O466" s="277"/>
      <c r="P466" s="278"/>
      <c r="Q466" s="279"/>
      <c r="R466" s="309" t="s">
        <v>102</v>
      </c>
      <c r="S466" s="310">
        <v>45385</v>
      </c>
      <c r="T466" s="313"/>
      <c r="U466" s="279"/>
      <c r="V466" s="227">
        <v>7</v>
      </c>
      <c r="W466" s="281">
        <v>7</v>
      </c>
      <c r="X466" s="282">
        <v>7</v>
      </c>
      <c r="Y466" s="293">
        <f t="shared" si="19"/>
        <v>7</v>
      </c>
      <c r="Z466" s="175" t="s">
        <v>85</v>
      </c>
      <c r="AA466" s="342">
        <f>IFERROR(BASE_DATOS[[#This Row],[NSK Original]]-BASE_DATOS[[#This Row],[NSK]]," ")</f>
        <v>9.5</v>
      </c>
      <c r="AB466" s="343">
        <f>'NSK-TRACTO'!$A$2</f>
        <v>6</v>
      </c>
      <c r="AC466" s="343">
        <f>IF(BASE_DATOS[[#This Row],[NSK]]&gt;=BASE_DATOS[[#This Row],[NSK Reen]],BASE_DATOS[[#This Row],[NSK Reen]],BASE_DATOS[[#This Row],[NSK]])</f>
        <v>6</v>
      </c>
      <c r="AD466" s="344">
        <f>IFERROR(100%-(BASE_DATOS[[#This Row],[NSK Reen]]/BASE_DATOS[[#This Row],[NSK Original]]),"")</f>
        <v>0.63636363636363635</v>
      </c>
      <c r="AE466" s="344">
        <f>IFERROR(100%-BASE_DATOS[[#This Row],[NSK]]/BASE_DATOS[[#This Row],[NSK Original]],"")</f>
        <v>0.57575757575757569</v>
      </c>
      <c r="AF466" s="344">
        <f>IFERROR(BASE_DATOS[[#This Row],[% Max Des.]]-BASE_DATOS[[#This Row],[% Des]],"")</f>
        <v>6.0606060606060663E-2</v>
      </c>
      <c r="AG466" s="287"/>
      <c r="AH466" s="273"/>
      <c r="AI466" s="363" t="str">
        <f>IF(OR(BASE_DATOS[[#This Row],[Hr.]]="",BASE_DATOS[[#This Row],[Hr. Actual]]=""),"",BASE_DATOS[[#This Row],[Hr. Actual]]-BASE_DATOS[[#This Row],[Hr.]]+BASE_DATOS[[#This Row],[Horas Acumuladas]])</f>
        <v/>
      </c>
      <c r="AJ466" s="364" t="str">
        <f>IFERROR(BASE_DATOS[[#This Row],[Precio US$]]/BASE_DATOS[[#This Row],[Horas Rodadas]],"")</f>
        <v/>
      </c>
      <c r="AK466" s="365" t="str">
        <f>IFERROR(BASE_DATOS[[#This Row],[Horas Rodadas]]/(BASE_DATOS[[#This Row],[NSK Original]]-BASE_DATOS[[#This Row],[NSK]]),"")</f>
        <v/>
      </c>
      <c r="AL46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66" s="366" t="str">
        <f>IFERROR(BASE_DATOS[[#This Row],[Precio US$]]/BASE_DATOS[[#This Row],[Horas Proy.]],"")</f>
        <v/>
      </c>
      <c r="AN466" s="176" t="str">
        <f>IF(OR(BASE_DATOS[[#This Row],[Km.]]="",BASE_DATOS[[#This Row],[Km. Actual]]=""),"",BASE_DATOS[[#This Row],[Km. Actual]]-BASE_DATOS[[#This Row],[Km.]]+BASE_DATOS[[#This Row],[Kilómetros Acumulados]])</f>
        <v/>
      </c>
      <c r="AO466" s="177" t="str">
        <f>IFERROR(BASE_DATOS[[#This Row],[Precio US$]]/BASE_DATOS[[#This Row],[Kilómetros Rodados]],"")</f>
        <v/>
      </c>
      <c r="AP466" s="176" t="str">
        <f>IFERROR(BASE_DATOS[[#This Row],[Kilómetros Rodados]]/(BASE_DATOS[[#This Row],[NSK Original]]-BASE_DATOS[[#This Row],[NSK]]),"")</f>
        <v/>
      </c>
      <c r="AQ46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66" s="177" t="str">
        <f>IFERROR(BASE_DATOS[[#This Row],[Precio US$]]/BASE_DATOS[[#This Row],[Kilómetros Proy.]],"")</f>
        <v/>
      </c>
      <c r="AS466" s="167" t="s">
        <v>62</v>
      </c>
      <c r="AT466" s="167"/>
      <c r="AU466" s="167"/>
      <c r="AV466" s="167"/>
      <c r="AW466" s="179"/>
      <c r="AX466" s="179"/>
      <c r="AY466" s="179" t="str">
        <f>CONCATENATE(BASE_DATOS[[#This Row],[Código_U]]&amp;BASE_DATOS[[#This Row],[Pos.]]&amp;BASE_DATOS[[#This Row],[Situación Actual]])</f>
        <v>SR-1905Rodando</v>
      </c>
    </row>
    <row r="467" spans="1:51" ht="12" x14ac:dyDescent="0.25">
      <c r="A467" s="227" t="s">
        <v>209</v>
      </c>
      <c r="B467" s="217" t="s">
        <v>210</v>
      </c>
      <c r="C467" s="228" t="s">
        <v>295</v>
      </c>
      <c r="D467" s="229" t="s">
        <v>87</v>
      </c>
      <c r="E467" s="255"/>
      <c r="F467" s="256" t="s">
        <v>97</v>
      </c>
      <c r="G467" s="256" t="s">
        <v>269</v>
      </c>
      <c r="H467" s="257" t="str">
        <f>IF(BASE_DATOS[[#This Row],[N-R]]="N",BASE_DATOS[[#This Row],[Diseño]],"Reencauche")</f>
        <v>AGC28</v>
      </c>
      <c r="I467" s="256" t="s">
        <v>270</v>
      </c>
      <c r="J467" s="243" t="s">
        <v>72</v>
      </c>
      <c r="K467" s="258">
        <v>16.5</v>
      </c>
      <c r="L467" s="256">
        <v>110</v>
      </c>
      <c r="M467" s="259"/>
      <c r="N467" s="260"/>
      <c r="O467" s="277"/>
      <c r="P467" s="278"/>
      <c r="Q467" s="279"/>
      <c r="R467" s="309" t="s">
        <v>103</v>
      </c>
      <c r="S467" s="310">
        <v>45385</v>
      </c>
      <c r="T467" s="313"/>
      <c r="U467" s="279"/>
      <c r="V467" s="227">
        <v>8</v>
      </c>
      <c r="W467" s="281">
        <v>8</v>
      </c>
      <c r="X467" s="282">
        <v>8</v>
      </c>
      <c r="Y467" s="293">
        <f t="shared" si="19"/>
        <v>8</v>
      </c>
      <c r="Z467" s="175" t="s">
        <v>85</v>
      </c>
      <c r="AA467" s="342">
        <f>IFERROR(BASE_DATOS[[#This Row],[NSK Original]]-BASE_DATOS[[#This Row],[NSK]]," ")</f>
        <v>8.5</v>
      </c>
      <c r="AB467" s="343">
        <f>'NSK-TRACTO'!$A$2</f>
        <v>6</v>
      </c>
      <c r="AC467" s="343">
        <f>IF(BASE_DATOS[[#This Row],[NSK]]&gt;=BASE_DATOS[[#This Row],[NSK Reen]],BASE_DATOS[[#This Row],[NSK Reen]],BASE_DATOS[[#This Row],[NSK]])</f>
        <v>6</v>
      </c>
      <c r="AD467" s="344">
        <f>IFERROR(100%-(BASE_DATOS[[#This Row],[NSK Reen]]/BASE_DATOS[[#This Row],[NSK Original]]),"")</f>
        <v>0.63636363636363635</v>
      </c>
      <c r="AE467" s="344">
        <f>IFERROR(100%-BASE_DATOS[[#This Row],[NSK]]/BASE_DATOS[[#This Row],[NSK Original]],"")</f>
        <v>0.51515151515151514</v>
      </c>
      <c r="AF467" s="344">
        <f>IFERROR(BASE_DATOS[[#This Row],[% Max Des.]]-BASE_DATOS[[#This Row],[% Des]],"")</f>
        <v>0.12121212121212122</v>
      </c>
      <c r="AG467" s="287"/>
      <c r="AH467" s="273"/>
      <c r="AI467" s="363" t="str">
        <f>IF(OR(BASE_DATOS[[#This Row],[Hr.]]="",BASE_DATOS[[#This Row],[Hr. Actual]]=""),"",BASE_DATOS[[#This Row],[Hr. Actual]]-BASE_DATOS[[#This Row],[Hr.]]+BASE_DATOS[[#This Row],[Horas Acumuladas]])</f>
        <v/>
      </c>
      <c r="AJ467" s="364" t="str">
        <f>IFERROR(BASE_DATOS[[#This Row],[Precio US$]]/BASE_DATOS[[#This Row],[Horas Rodadas]],"")</f>
        <v/>
      </c>
      <c r="AK467" s="365" t="str">
        <f>IFERROR(BASE_DATOS[[#This Row],[Horas Rodadas]]/(BASE_DATOS[[#This Row],[NSK Original]]-BASE_DATOS[[#This Row],[NSK]]),"")</f>
        <v/>
      </c>
      <c r="AL46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67" s="366" t="str">
        <f>IFERROR(BASE_DATOS[[#This Row],[Precio US$]]/BASE_DATOS[[#This Row],[Horas Proy.]],"")</f>
        <v/>
      </c>
      <c r="AN467" s="176" t="str">
        <f>IF(OR(BASE_DATOS[[#This Row],[Km.]]="",BASE_DATOS[[#This Row],[Km. Actual]]=""),"",BASE_DATOS[[#This Row],[Km. Actual]]-BASE_DATOS[[#This Row],[Km.]]+BASE_DATOS[[#This Row],[Kilómetros Acumulados]])</f>
        <v/>
      </c>
      <c r="AO467" s="177" t="str">
        <f>IFERROR(BASE_DATOS[[#This Row],[Precio US$]]/BASE_DATOS[[#This Row],[Kilómetros Rodados]],"")</f>
        <v/>
      </c>
      <c r="AP467" s="176" t="str">
        <f>IFERROR(BASE_DATOS[[#This Row],[Kilómetros Rodados]]/(BASE_DATOS[[#This Row],[NSK Original]]-BASE_DATOS[[#This Row],[NSK]]),"")</f>
        <v/>
      </c>
      <c r="AQ46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67" s="177" t="str">
        <f>IFERROR(BASE_DATOS[[#This Row],[Precio US$]]/BASE_DATOS[[#This Row],[Kilómetros Proy.]],"")</f>
        <v/>
      </c>
      <c r="AS467" s="167" t="s">
        <v>62</v>
      </c>
      <c r="AT467" s="167"/>
      <c r="AU467" s="167"/>
      <c r="AV467" s="167"/>
      <c r="AW467" s="179"/>
      <c r="AX467" s="179"/>
      <c r="AY467" s="179" t="str">
        <f>CONCATENATE(BASE_DATOS[[#This Row],[Código_U]]&amp;BASE_DATOS[[#This Row],[Pos.]]&amp;BASE_DATOS[[#This Row],[Situación Actual]])</f>
        <v>SR-1906Rodando</v>
      </c>
    </row>
    <row r="468" spans="1:51" ht="12" x14ac:dyDescent="0.25">
      <c r="A468" s="227" t="s">
        <v>209</v>
      </c>
      <c r="B468" s="217" t="s">
        <v>210</v>
      </c>
      <c r="C468" s="228" t="s">
        <v>295</v>
      </c>
      <c r="D468" s="229" t="s">
        <v>384</v>
      </c>
      <c r="E468" s="255"/>
      <c r="F468" s="256" t="s">
        <v>97</v>
      </c>
      <c r="G468" s="256" t="s">
        <v>269</v>
      </c>
      <c r="H468" s="257" t="str">
        <f>IF(BASE_DATOS[[#This Row],[N-R]]="N",BASE_DATOS[[#This Row],[Diseño]],"Reencauche")</f>
        <v>AGC28</v>
      </c>
      <c r="I468" s="256" t="s">
        <v>270</v>
      </c>
      <c r="J468" s="243" t="s">
        <v>72</v>
      </c>
      <c r="K468" s="258">
        <v>16.5</v>
      </c>
      <c r="L468" s="256">
        <v>110</v>
      </c>
      <c r="M468" s="259"/>
      <c r="N468" s="260"/>
      <c r="O468" s="277"/>
      <c r="P468" s="278"/>
      <c r="Q468" s="279"/>
      <c r="R468" s="304" t="s">
        <v>509</v>
      </c>
      <c r="S468" s="310">
        <v>45385</v>
      </c>
      <c r="T468" s="313"/>
      <c r="U468" s="279"/>
      <c r="V468" s="227">
        <v>9</v>
      </c>
      <c r="W468" s="281">
        <v>8</v>
      </c>
      <c r="X468" s="282">
        <v>8</v>
      </c>
      <c r="Y468" s="293">
        <f t="shared" si="19"/>
        <v>8</v>
      </c>
      <c r="Z468" s="175" t="s">
        <v>85</v>
      </c>
      <c r="AA468" s="342">
        <f>IFERROR(BASE_DATOS[[#This Row],[NSK Original]]-BASE_DATOS[[#This Row],[NSK]]," ")</f>
        <v>8.5</v>
      </c>
      <c r="AB468" s="343">
        <f>'NSK-TRACTO'!$A$2</f>
        <v>6</v>
      </c>
      <c r="AC468" s="343">
        <f>IF(BASE_DATOS[[#This Row],[NSK]]&gt;=BASE_DATOS[[#This Row],[NSK Reen]],BASE_DATOS[[#This Row],[NSK Reen]],BASE_DATOS[[#This Row],[NSK]])</f>
        <v>6</v>
      </c>
      <c r="AD468" s="344">
        <f>IFERROR(100%-(BASE_DATOS[[#This Row],[NSK Reen]]/BASE_DATOS[[#This Row],[NSK Original]]),"")</f>
        <v>0.63636363636363635</v>
      </c>
      <c r="AE468" s="344">
        <f>IFERROR(100%-BASE_DATOS[[#This Row],[NSK]]/BASE_DATOS[[#This Row],[NSK Original]],"")</f>
        <v>0.51515151515151514</v>
      </c>
      <c r="AF468" s="344">
        <f>IFERROR(BASE_DATOS[[#This Row],[% Max Des.]]-BASE_DATOS[[#This Row],[% Des]],"")</f>
        <v>0.12121212121212122</v>
      </c>
      <c r="AG468" s="287"/>
      <c r="AH468" s="273"/>
      <c r="AI468" s="363" t="str">
        <f>IF(OR(BASE_DATOS[[#This Row],[Hr.]]="",BASE_DATOS[[#This Row],[Hr. Actual]]=""),"",BASE_DATOS[[#This Row],[Hr. Actual]]-BASE_DATOS[[#This Row],[Hr.]]+BASE_DATOS[[#This Row],[Horas Acumuladas]])</f>
        <v/>
      </c>
      <c r="AJ468" s="364" t="str">
        <f>IFERROR(BASE_DATOS[[#This Row],[Precio US$]]/BASE_DATOS[[#This Row],[Horas Rodadas]],"")</f>
        <v/>
      </c>
      <c r="AK468" s="365" t="str">
        <f>IFERROR(BASE_DATOS[[#This Row],[Horas Rodadas]]/(BASE_DATOS[[#This Row],[NSK Original]]-BASE_DATOS[[#This Row],[NSK]]),"")</f>
        <v/>
      </c>
      <c r="AL46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68" s="366" t="str">
        <f>IFERROR(BASE_DATOS[[#This Row],[Precio US$]]/BASE_DATOS[[#This Row],[Horas Proy.]],"")</f>
        <v/>
      </c>
      <c r="AN468" s="176" t="str">
        <f>IF(OR(BASE_DATOS[[#This Row],[Km.]]="",BASE_DATOS[[#This Row],[Km. Actual]]=""),"",BASE_DATOS[[#This Row],[Km. Actual]]-BASE_DATOS[[#This Row],[Km.]]+BASE_DATOS[[#This Row],[Kilómetros Acumulados]])</f>
        <v/>
      </c>
      <c r="AO468" s="177" t="str">
        <f>IFERROR(BASE_DATOS[[#This Row],[Precio US$]]/BASE_DATOS[[#This Row],[Kilómetros Rodados]],"")</f>
        <v/>
      </c>
      <c r="AP468" s="176" t="str">
        <f>IFERROR(BASE_DATOS[[#This Row],[Kilómetros Rodados]]/(BASE_DATOS[[#This Row],[NSK Original]]-BASE_DATOS[[#This Row],[NSK]]),"")</f>
        <v/>
      </c>
      <c r="AQ46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68" s="177" t="str">
        <f>IFERROR(BASE_DATOS[[#This Row],[Precio US$]]/BASE_DATOS[[#This Row],[Kilómetros Proy.]],"")</f>
        <v/>
      </c>
      <c r="AS468" s="167" t="s">
        <v>62</v>
      </c>
      <c r="AT468" s="167"/>
      <c r="AU468" s="167"/>
      <c r="AV468" s="167"/>
      <c r="AW468" s="179"/>
      <c r="AX468" s="179"/>
      <c r="AY468" s="179" t="str">
        <f>CONCATENATE(BASE_DATOS[[#This Row],[Código_U]]&amp;BASE_DATOS[[#This Row],[Pos.]]&amp;BASE_DATOS[[#This Row],[Situación Actual]])</f>
        <v>SR-190RERodando</v>
      </c>
    </row>
    <row r="469" spans="1:51" ht="12" x14ac:dyDescent="0.25">
      <c r="A469" s="224" t="s">
        <v>211</v>
      </c>
      <c r="B469" s="213" t="s">
        <v>212</v>
      </c>
      <c r="C469" s="225" t="s">
        <v>296</v>
      </c>
      <c r="D469" s="226" t="s">
        <v>86</v>
      </c>
      <c r="E469" s="249"/>
      <c r="F469" s="250" t="s">
        <v>71</v>
      </c>
      <c r="G469" s="250" t="s">
        <v>271</v>
      </c>
      <c r="H469" s="251" t="str">
        <f>IF(BASE_DATOS[[#This Row],[N-R]]="N",BASE_DATOS[[#This Row],[Diseño]],"Reencauche")</f>
        <v>KMAX S</v>
      </c>
      <c r="I469" s="250" t="s">
        <v>287</v>
      </c>
      <c r="J469" s="235" t="s">
        <v>72</v>
      </c>
      <c r="K469" s="252">
        <v>15.8</v>
      </c>
      <c r="L469" s="233">
        <v>100</v>
      </c>
      <c r="M469" s="253"/>
      <c r="N469" s="254"/>
      <c r="O469" s="274"/>
      <c r="P469" s="275"/>
      <c r="Q469" s="276"/>
      <c r="R469" s="305" t="s">
        <v>98</v>
      </c>
      <c r="S469" s="306">
        <v>45385</v>
      </c>
      <c r="T469" s="314"/>
      <c r="U469" s="276"/>
      <c r="V469" s="224">
        <v>14</v>
      </c>
      <c r="W469" s="325">
        <v>14</v>
      </c>
      <c r="X469" s="326">
        <v>14</v>
      </c>
      <c r="Y469" s="292">
        <f t="shared" ref="Y469:Y481" si="20">IFERROR(MIN(V469:X469),"")</f>
        <v>14</v>
      </c>
      <c r="Z469" s="194" t="s">
        <v>73</v>
      </c>
      <c r="AA469" s="339">
        <f>IFERROR(BASE_DATOS[[#This Row],[NSK Original]]-BASE_DATOS[[#This Row],[NSK]]," ")</f>
        <v>1.8000000000000007</v>
      </c>
      <c r="AB469" s="340">
        <f>'NSK-TRACTO'!$A$2</f>
        <v>6</v>
      </c>
      <c r="AC469" s="340">
        <f>IF(BASE_DATOS[[#This Row],[NSK]]&gt;=BASE_DATOS[[#This Row],[NSK Reen]],BASE_DATOS[[#This Row],[NSK Reen]],BASE_DATOS[[#This Row],[NSK]])</f>
        <v>6</v>
      </c>
      <c r="AD469" s="341">
        <f>IFERROR(100%-(BASE_DATOS[[#This Row],[NSK Reen]]/BASE_DATOS[[#This Row],[NSK Original]]),"")</f>
        <v>0.620253164556962</v>
      </c>
      <c r="AE469" s="341">
        <f>IFERROR(100%-BASE_DATOS[[#This Row],[NSK]]/BASE_DATOS[[#This Row],[NSK Original]],"")</f>
        <v>0.11392405063291144</v>
      </c>
      <c r="AF469" s="341">
        <f>IFERROR(BASE_DATOS[[#This Row],[% Max Des.]]-BASE_DATOS[[#This Row],[% Des]],"")</f>
        <v>0.50632911392405056</v>
      </c>
      <c r="AG469" s="284"/>
      <c r="AH469" s="335"/>
      <c r="AI469" s="359" t="str">
        <f>IF(OR(BASE_DATOS[[#This Row],[Hr.]]="",BASE_DATOS[[#This Row],[Hr. Actual]]=""),"",BASE_DATOS[[#This Row],[Hr. Actual]]-BASE_DATOS[[#This Row],[Hr.]]+BASE_DATOS[[#This Row],[Horas Acumuladas]])</f>
        <v/>
      </c>
      <c r="AJ469" s="360" t="str">
        <f>IFERROR(BASE_DATOS[[#This Row],[Precio US$]]/BASE_DATOS[[#This Row],[Horas Rodadas]],"")</f>
        <v/>
      </c>
      <c r="AK469" s="361" t="str">
        <f>IFERROR(BASE_DATOS[[#This Row],[Horas Rodadas]]/(BASE_DATOS[[#This Row],[NSK Original]]-BASE_DATOS[[#This Row],[NSK]]),"")</f>
        <v/>
      </c>
      <c r="AL469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69" s="362" t="str">
        <f>IFERROR(BASE_DATOS[[#This Row],[Precio US$]]/BASE_DATOS[[#This Row],[Horas Proy.]],"")</f>
        <v/>
      </c>
      <c r="AN469" s="195" t="str">
        <f>IF(OR(BASE_DATOS[[#This Row],[Km.]]="",BASE_DATOS[[#This Row],[Km. Actual]]=""),"",BASE_DATOS[[#This Row],[Km. Actual]]-BASE_DATOS[[#This Row],[Km.]]+BASE_DATOS[[#This Row],[Kilómetros Acumulados]])</f>
        <v/>
      </c>
      <c r="AO469" s="196" t="str">
        <f>IFERROR(BASE_DATOS[[#This Row],[Precio US$]]/BASE_DATOS[[#This Row],[Kilómetros Rodados]],"")</f>
        <v/>
      </c>
      <c r="AP469" s="195" t="str">
        <f>IFERROR(BASE_DATOS[[#This Row],[Kilómetros Rodados]]/(BASE_DATOS[[#This Row],[NSK Original]]-BASE_DATOS[[#This Row],[NSK]]),"")</f>
        <v/>
      </c>
      <c r="AQ469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69" s="196" t="str">
        <f>IFERROR(BASE_DATOS[[#This Row],[Precio US$]]/BASE_DATOS[[#This Row],[Kilómetros Proy.]],"")</f>
        <v/>
      </c>
      <c r="AS469" s="191" t="s">
        <v>62</v>
      </c>
      <c r="AT469" s="191"/>
      <c r="AU469" s="191"/>
      <c r="AV469" s="191"/>
      <c r="AW469" s="198"/>
      <c r="AX469" s="198"/>
      <c r="AY469" s="198" t="str">
        <f>CONCATENATE(BASE_DATOS[[#This Row],[Código_U]]&amp;BASE_DATOS[[#This Row],[Pos.]]&amp;BASE_DATOS[[#This Row],[Situación Actual]])</f>
        <v>TC-1941Rodando</v>
      </c>
    </row>
    <row r="470" spans="1:51" ht="12" x14ac:dyDescent="0.25">
      <c r="A470" s="227" t="s">
        <v>211</v>
      </c>
      <c r="B470" s="217" t="s">
        <v>212</v>
      </c>
      <c r="C470" s="228" t="s">
        <v>296</v>
      </c>
      <c r="D470" s="229" t="s">
        <v>86</v>
      </c>
      <c r="E470" s="255"/>
      <c r="F470" s="256" t="s">
        <v>71</v>
      </c>
      <c r="G470" s="256" t="s">
        <v>271</v>
      </c>
      <c r="H470" s="257" t="str">
        <f>IF(BASE_DATOS[[#This Row],[N-R]]="N",BASE_DATOS[[#This Row],[Diseño]],"Reencauche")</f>
        <v>KMAX S</v>
      </c>
      <c r="I470" s="256" t="s">
        <v>287</v>
      </c>
      <c r="J470" s="243" t="s">
        <v>72</v>
      </c>
      <c r="K470" s="258">
        <v>15.8</v>
      </c>
      <c r="L470" s="241">
        <v>100</v>
      </c>
      <c r="M470" s="259"/>
      <c r="N470" s="260"/>
      <c r="O470" s="277"/>
      <c r="P470" s="278"/>
      <c r="Q470" s="279"/>
      <c r="R470" s="309" t="s">
        <v>99</v>
      </c>
      <c r="S470" s="310">
        <v>45385</v>
      </c>
      <c r="T470" s="313"/>
      <c r="U470" s="279"/>
      <c r="V470" s="227">
        <v>15</v>
      </c>
      <c r="W470" s="281">
        <v>15</v>
      </c>
      <c r="X470" s="282">
        <v>15</v>
      </c>
      <c r="Y470" s="293">
        <f t="shared" si="20"/>
        <v>15</v>
      </c>
      <c r="Z470" s="175" t="s">
        <v>73</v>
      </c>
      <c r="AA470" s="342">
        <f>IFERROR(BASE_DATOS[[#This Row],[NSK Original]]-BASE_DATOS[[#This Row],[NSK]]," ")</f>
        <v>0.80000000000000071</v>
      </c>
      <c r="AB470" s="343">
        <f>'NSK-TRACTO'!$A$2</f>
        <v>6</v>
      </c>
      <c r="AC470" s="343">
        <f>IF(BASE_DATOS[[#This Row],[NSK]]&gt;=BASE_DATOS[[#This Row],[NSK Reen]],BASE_DATOS[[#This Row],[NSK Reen]],BASE_DATOS[[#This Row],[NSK]])</f>
        <v>6</v>
      </c>
      <c r="AD470" s="344">
        <f>IFERROR(100%-(BASE_DATOS[[#This Row],[NSK Reen]]/BASE_DATOS[[#This Row],[NSK Original]]),"")</f>
        <v>0.620253164556962</v>
      </c>
      <c r="AE470" s="344">
        <f>IFERROR(100%-BASE_DATOS[[#This Row],[NSK]]/BASE_DATOS[[#This Row],[NSK Original]],"")</f>
        <v>5.0632911392405111E-2</v>
      </c>
      <c r="AF470" s="344">
        <f>IFERROR(BASE_DATOS[[#This Row],[% Max Des.]]-BASE_DATOS[[#This Row],[% Des]],"")</f>
        <v>0.56962025316455689</v>
      </c>
      <c r="AG470" s="287"/>
      <c r="AH470" s="273"/>
      <c r="AI470" s="363" t="str">
        <f>IF(OR(BASE_DATOS[[#This Row],[Hr.]]="",BASE_DATOS[[#This Row],[Hr. Actual]]=""),"",BASE_DATOS[[#This Row],[Hr. Actual]]-BASE_DATOS[[#This Row],[Hr.]]+BASE_DATOS[[#This Row],[Horas Acumuladas]])</f>
        <v/>
      </c>
      <c r="AJ470" s="364" t="str">
        <f>IFERROR(BASE_DATOS[[#This Row],[Precio US$]]/BASE_DATOS[[#This Row],[Horas Rodadas]],"")</f>
        <v/>
      </c>
      <c r="AK470" s="365" t="str">
        <f>IFERROR(BASE_DATOS[[#This Row],[Horas Rodadas]]/(BASE_DATOS[[#This Row],[NSK Original]]-BASE_DATOS[[#This Row],[NSK]]),"")</f>
        <v/>
      </c>
      <c r="AL47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70" s="366" t="str">
        <f>IFERROR(BASE_DATOS[[#This Row],[Precio US$]]/BASE_DATOS[[#This Row],[Horas Proy.]],"")</f>
        <v/>
      </c>
      <c r="AN470" s="176" t="str">
        <f>IF(OR(BASE_DATOS[[#This Row],[Km.]]="",BASE_DATOS[[#This Row],[Km. Actual]]=""),"",BASE_DATOS[[#This Row],[Km. Actual]]-BASE_DATOS[[#This Row],[Km.]]+BASE_DATOS[[#This Row],[Kilómetros Acumulados]])</f>
        <v/>
      </c>
      <c r="AO470" s="177" t="str">
        <f>IFERROR(BASE_DATOS[[#This Row],[Precio US$]]/BASE_DATOS[[#This Row],[Kilómetros Rodados]],"")</f>
        <v/>
      </c>
      <c r="AP470" s="176" t="str">
        <f>IFERROR(BASE_DATOS[[#This Row],[Kilómetros Rodados]]/(BASE_DATOS[[#This Row],[NSK Original]]-BASE_DATOS[[#This Row],[NSK]]),"")</f>
        <v/>
      </c>
      <c r="AQ47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70" s="177" t="str">
        <f>IFERROR(BASE_DATOS[[#This Row],[Precio US$]]/BASE_DATOS[[#This Row],[Kilómetros Proy.]],"")</f>
        <v/>
      </c>
      <c r="AS470" s="167" t="s">
        <v>62</v>
      </c>
      <c r="AT470" s="167"/>
      <c r="AU470" s="167"/>
      <c r="AV470" s="167"/>
      <c r="AW470" s="179"/>
      <c r="AX470" s="179"/>
      <c r="AY470" s="179" t="str">
        <f>CONCATENATE(BASE_DATOS[[#This Row],[Código_U]]&amp;BASE_DATOS[[#This Row],[Pos.]]&amp;BASE_DATOS[[#This Row],[Situación Actual]])</f>
        <v>TC-1942Rodando</v>
      </c>
    </row>
    <row r="471" spans="1:51" ht="12" x14ac:dyDescent="0.25">
      <c r="A471" s="227" t="s">
        <v>211</v>
      </c>
      <c r="B471" s="217" t="s">
        <v>212</v>
      </c>
      <c r="C471" s="228" t="s">
        <v>296</v>
      </c>
      <c r="D471" s="229" t="s">
        <v>61</v>
      </c>
      <c r="E471" s="255"/>
      <c r="F471" s="256" t="s">
        <v>71</v>
      </c>
      <c r="G471" s="256" t="s">
        <v>271</v>
      </c>
      <c r="H471" s="257" t="str">
        <f>IF(BASE_DATOS[[#This Row],[N-R]]="N",BASE_DATOS[[#This Row],[Diseño]],"Reencauche")</f>
        <v>KMAXD</v>
      </c>
      <c r="I471" s="256" t="s">
        <v>294</v>
      </c>
      <c r="J471" s="243" t="s">
        <v>72</v>
      </c>
      <c r="K471" s="258">
        <v>22.2</v>
      </c>
      <c r="L471" s="241">
        <v>110</v>
      </c>
      <c r="M471" s="259"/>
      <c r="N471" s="260"/>
      <c r="O471" s="277"/>
      <c r="P471" s="278"/>
      <c r="Q471" s="279"/>
      <c r="R471" s="309" t="s">
        <v>100</v>
      </c>
      <c r="S471" s="310">
        <v>45385</v>
      </c>
      <c r="T471" s="313"/>
      <c r="U471" s="279"/>
      <c r="V471" s="227">
        <v>20</v>
      </c>
      <c r="W471" s="281"/>
      <c r="X471" s="282">
        <v>20</v>
      </c>
      <c r="Y471" s="293">
        <f t="shared" si="20"/>
        <v>20</v>
      </c>
      <c r="Z471" s="161" t="s">
        <v>85</v>
      </c>
      <c r="AA471" s="342">
        <f>IFERROR(BASE_DATOS[[#This Row],[NSK Original]]-BASE_DATOS[[#This Row],[NSK]]," ")</f>
        <v>2.1999999999999993</v>
      </c>
      <c r="AB471" s="343">
        <f>'NSK-TRACTO'!$A$2</f>
        <v>6</v>
      </c>
      <c r="AC471" s="343">
        <f>IF(BASE_DATOS[[#This Row],[NSK]]&gt;=BASE_DATOS[[#This Row],[NSK Reen]],BASE_DATOS[[#This Row],[NSK Reen]],BASE_DATOS[[#This Row],[NSK]])</f>
        <v>6</v>
      </c>
      <c r="AD471" s="344">
        <f>IFERROR(100%-(BASE_DATOS[[#This Row],[NSK Reen]]/BASE_DATOS[[#This Row],[NSK Original]]),"")</f>
        <v>0.72972972972972971</v>
      </c>
      <c r="AE471" s="344">
        <f>IFERROR(100%-BASE_DATOS[[#This Row],[NSK]]/BASE_DATOS[[#This Row],[NSK Original]],"")</f>
        <v>9.9099099099099086E-2</v>
      </c>
      <c r="AF471" s="344">
        <f>IFERROR(BASE_DATOS[[#This Row],[% Max Des.]]-BASE_DATOS[[#This Row],[% Des]],"")</f>
        <v>0.63063063063063063</v>
      </c>
      <c r="AG471" s="287"/>
      <c r="AH471" s="273"/>
      <c r="AI471" s="363" t="str">
        <f>IF(OR(BASE_DATOS[[#This Row],[Hr.]]="",BASE_DATOS[[#This Row],[Hr. Actual]]=""),"",BASE_DATOS[[#This Row],[Hr. Actual]]-BASE_DATOS[[#This Row],[Hr.]]+BASE_DATOS[[#This Row],[Horas Acumuladas]])</f>
        <v/>
      </c>
      <c r="AJ471" s="364" t="str">
        <f>IFERROR(BASE_DATOS[[#This Row],[Precio US$]]/BASE_DATOS[[#This Row],[Horas Rodadas]],"")</f>
        <v/>
      </c>
      <c r="AK471" s="365" t="str">
        <f>IFERROR(BASE_DATOS[[#This Row],[Horas Rodadas]]/(BASE_DATOS[[#This Row],[NSK Original]]-BASE_DATOS[[#This Row],[NSK]]),"")</f>
        <v/>
      </c>
      <c r="AL47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71" s="366" t="str">
        <f>IFERROR(BASE_DATOS[[#This Row],[Precio US$]]/BASE_DATOS[[#This Row],[Horas Proy.]],"")</f>
        <v/>
      </c>
      <c r="AN471" s="176" t="str">
        <f>IF(OR(BASE_DATOS[[#This Row],[Km.]]="",BASE_DATOS[[#This Row],[Km. Actual]]=""),"",BASE_DATOS[[#This Row],[Km. Actual]]-BASE_DATOS[[#This Row],[Km.]]+BASE_DATOS[[#This Row],[Kilómetros Acumulados]])</f>
        <v/>
      </c>
      <c r="AO471" s="177" t="str">
        <f>IFERROR(BASE_DATOS[[#This Row],[Precio US$]]/BASE_DATOS[[#This Row],[Kilómetros Rodados]],"")</f>
        <v/>
      </c>
      <c r="AP471" s="176" t="str">
        <f>IFERROR(BASE_DATOS[[#This Row],[Kilómetros Rodados]]/(BASE_DATOS[[#This Row],[NSK Original]]-BASE_DATOS[[#This Row],[NSK]]),"")</f>
        <v/>
      </c>
      <c r="AQ47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71" s="177" t="str">
        <f>IFERROR(BASE_DATOS[[#This Row],[Precio US$]]/BASE_DATOS[[#This Row],[Kilómetros Proy.]],"")</f>
        <v/>
      </c>
      <c r="AS471" s="167" t="s">
        <v>62</v>
      </c>
      <c r="AT471" s="167"/>
      <c r="AU471" s="167"/>
      <c r="AV471" s="167"/>
      <c r="AW471" s="179"/>
      <c r="AX471" s="179"/>
      <c r="AY471" s="179" t="str">
        <f>CONCATENATE(BASE_DATOS[[#This Row],[Código_U]]&amp;BASE_DATOS[[#This Row],[Pos.]]&amp;BASE_DATOS[[#This Row],[Situación Actual]])</f>
        <v>TC-1943Rodando</v>
      </c>
    </row>
    <row r="472" spans="1:51" ht="12" x14ac:dyDescent="0.25">
      <c r="A472" s="227" t="s">
        <v>211</v>
      </c>
      <c r="B472" s="217" t="s">
        <v>212</v>
      </c>
      <c r="C472" s="228" t="s">
        <v>296</v>
      </c>
      <c r="D472" s="229" t="s">
        <v>61</v>
      </c>
      <c r="E472" s="255"/>
      <c r="F472" s="256" t="s">
        <v>71</v>
      </c>
      <c r="G472" s="256" t="s">
        <v>271</v>
      </c>
      <c r="H472" s="257" t="str">
        <f>IF(BASE_DATOS[[#This Row],[N-R]]="N",BASE_DATOS[[#This Row],[Diseño]],"Reencauche")</f>
        <v>KMAXD</v>
      </c>
      <c r="I472" s="256" t="s">
        <v>294</v>
      </c>
      <c r="J472" s="243" t="s">
        <v>72</v>
      </c>
      <c r="K472" s="258">
        <v>22.2</v>
      </c>
      <c r="L472" s="241">
        <v>110</v>
      </c>
      <c r="M472" s="259"/>
      <c r="N472" s="260"/>
      <c r="O472" s="277"/>
      <c r="P472" s="278"/>
      <c r="Q472" s="279"/>
      <c r="R472" s="309" t="s">
        <v>101</v>
      </c>
      <c r="S472" s="310">
        <v>45385</v>
      </c>
      <c r="T472" s="313"/>
      <c r="U472" s="279"/>
      <c r="V472" s="227">
        <v>20</v>
      </c>
      <c r="W472" s="281"/>
      <c r="X472" s="282">
        <v>20</v>
      </c>
      <c r="Y472" s="293">
        <f t="shared" si="20"/>
        <v>20</v>
      </c>
      <c r="Z472" s="161" t="s">
        <v>85</v>
      </c>
      <c r="AA472" s="342">
        <f>IFERROR(BASE_DATOS[[#This Row],[NSK Original]]-BASE_DATOS[[#This Row],[NSK]]," ")</f>
        <v>2.1999999999999993</v>
      </c>
      <c r="AB472" s="343">
        <f>'NSK-TRACTO'!$A$2</f>
        <v>6</v>
      </c>
      <c r="AC472" s="343">
        <f>IF(BASE_DATOS[[#This Row],[NSK]]&gt;=BASE_DATOS[[#This Row],[NSK Reen]],BASE_DATOS[[#This Row],[NSK Reen]],BASE_DATOS[[#This Row],[NSK]])</f>
        <v>6</v>
      </c>
      <c r="AD472" s="344">
        <f>IFERROR(100%-(BASE_DATOS[[#This Row],[NSK Reen]]/BASE_DATOS[[#This Row],[NSK Original]]),"")</f>
        <v>0.72972972972972971</v>
      </c>
      <c r="AE472" s="344">
        <f>IFERROR(100%-BASE_DATOS[[#This Row],[NSK]]/BASE_DATOS[[#This Row],[NSK Original]],"")</f>
        <v>9.9099099099099086E-2</v>
      </c>
      <c r="AF472" s="344">
        <f>IFERROR(BASE_DATOS[[#This Row],[% Max Des.]]-BASE_DATOS[[#This Row],[% Des]],"")</f>
        <v>0.63063063063063063</v>
      </c>
      <c r="AG472" s="287"/>
      <c r="AH472" s="273"/>
      <c r="AI472" s="363" t="str">
        <f>IF(OR(BASE_DATOS[[#This Row],[Hr.]]="",BASE_DATOS[[#This Row],[Hr. Actual]]=""),"",BASE_DATOS[[#This Row],[Hr. Actual]]-BASE_DATOS[[#This Row],[Hr.]]+BASE_DATOS[[#This Row],[Horas Acumuladas]])</f>
        <v/>
      </c>
      <c r="AJ472" s="364" t="str">
        <f>IFERROR(BASE_DATOS[[#This Row],[Precio US$]]/BASE_DATOS[[#This Row],[Horas Rodadas]],"")</f>
        <v/>
      </c>
      <c r="AK472" s="365" t="str">
        <f>IFERROR(BASE_DATOS[[#This Row],[Horas Rodadas]]/(BASE_DATOS[[#This Row],[NSK Original]]-BASE_DATOS[[#This Row],[NSK]]),"")</f>
        <v/>
      </c>
      <c r="AL47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72" s="366" t="str">
        <f>IFERROR(BASE_DATOS[[#This Row],[Precio US$]]/BASE_DATOS[[#This Row],[Horas Proy.]],"")</f>
        <v/>
      </c>
      <c r="AN472" s="176" t="str">
        <f>IF(OR(BASE_DATOS[[#This Row],[Km.]]="",BASE_DATOS[[#This Row],[Km. Actual]]=""),"",BASE_DATOS[[#This Row],[Km. Actual]]-BASE_DATOS[[#This Row],[Km.]]+BASE_DATOS[[#This Row],[Kilómetros Acumulados]])</f>
        <v/>
      </c>
      <c r="AO472" s="177" t="str">
        <f>IFERROR(BASE_DATOS[[#This Row],[Precio US$]]/BASE_DATOS[[#This Row],[Kilómetros Rodados]],"")</f>
        <v/>
      </c>
      <c r="AP472" s="176" t="str">
        <f>IFERROR(BASE_DATOS[[#This Row],[Kilómetros Rodados]]/(BASE_DATOS[[#This Row],[NSK Original]]-BASE_DATOS[[#This Row],[NSK]]),"")</f>
        <v/>
      </c>
      <c r="AQ47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72" s="177" t="str">
        <f>IFERROR(BASE_DATOS[[#This Row],[Precio US$]]/BASE_DATOS[[#This Row],[Kilómetros Proy.]],"")</f>
        <v/>
      </c>
      <c r="AS472" s="167" t="s">
        <v>62</v>
      </c>
      <c r="AT472" s="167"/>
      <c r="AU472" s="167"/>
      <c r="AV472" s="167"/>
      <c r="AW472" s="179"/>
      <c r="AX472" s="179"/>
      <c r="AY472" s="179" t="str">
        <f>CONCATENATE(BASE_DATOS[[#This Row],[Código_U]]&amp;BASE_DATOS[[#This Row],[Pos.]]&amp;BASE_DATOS[[#This Row],[Situación Actual]])</f>
        <v>TC-1944Rodando</v>
      </c>
    </row>
    <row r="473" spans="1:51" ht="12" x14ac:dyDescent="0.25">
      <c r="A473" s="227" t="s">
        <v>211</v>
      </c>
      <c r="B473" s="217" t="s">
        <v>212</v>
      </c>
      <c r="C473" s="228" t="s">
        <v>296</v>
      </c>
      <c r="D473" s="229" t="s">
        <v>61</v>
      </c>
      <c r="E473" s="255"/>
      <c r="F473" s="256" t="s">
        <v>71</v>
      </c>
      <c r="G473" s="256" t="s">
        <v>271</v>
      </c>
      <c r="H473" s="257" t="str">
        <f>IF(BASE_DATOS[[#This Row],[N-R]]="N",BASE_DATOS[[#This Row],[Diseño]],"Reencauche")</f>
        <v>KMAXD</v>
      </c>
      <c r="I473" s="256" t="s">
        <v>294</v>
      </c>
      <c r="J473" s="243" t="s">
        <v>72</v>
      </c>
      <c r="K473" s="258">
        <v>22.2</v>
      </c>
      <c r="L473" s="241">
        <v>110</v>
      </c>
      <c r="M473" s="259"/>
      <c r="N473" s="260"/>
      <c r="O473" s="277"/>
      <c r="P473" s="278"/>
      <c r="Q473" s="279"/>
      <c r="R473" s="309" t="s">
        <v>102</v>
      </c>
      <c r="S473" s="310">
        <v>45385</v>
      </c>
      <c r="T473" s="313"/>
      <c r="U473" s="279"/>
      <c r="V473" s="227">
        <v>20</v>
      </c>
      <c r="W473" s="281"/>
      <c r="X473" s="282">
        <v>20</v>
      </c>
      <c r="Y473" s="293">
        <f t="shared" si="20"/>
        <v>20</v>
      </c>
      <c r="Z473" s="161" t="s">
        <v>85</v>
      </c>
      <c r="AA473" s="342">
        <f>IFERROR(BASE_DATOS[[#This Row],[NSK Original]]-BASE_DATOS[[#This Row],[NSK]]," ")</f>
        <v>2.1999999999999993</v>
      </c>
      <c r="AB473" s="343">
        <f>'NSK-TRACTO'!$A$2</f>
        <v>6</v>
      </c>
      <c r="AC473" s="343">
        <f>IF(BASE_DATOS[[#This Row],[NSK]]&gt;=BASE_DATOS[[#This Row],[NSK Reen]],BASE_DATOS[[#This Row],[NSK Reen]],BASE_DATOS[[#This Row],[NSK]])</f>
        <v>6</v>
      </c>
      <c r="AD473" s="344">
        <f>IFERROR(100%-(BASE_DATOS[[#This Row],[NSK Reen]]/BASE_DATOS[[#This Row],[NSK Original]]),"")</f>
        <v>0.72972972972972971</v>
      </c>
      <c r="AE473" s="344">
        <f>IFERROR(100%-BASE_DATOS[[#This Row],[NSK]]/BASE_DATOS[[#This Row],[NSK Original]],"")</f>
        <v>9.9099099099099086E-2</v>
      </c>
      <c r="AF473" s="344">
        <f>IFERROR(BASE_DATOS[[#This Row],[% Max Des.]]-BASE_DATOS[[#This Row],[% Des]],"")</f>
        <v>0.63063063063063063</v>
      </c>
      <c r="AG473" s="287"/>
      <c r="AH473" s="273"/>
      <c r="AI473" s="363" t="str">
        <f>IF(OR(BASE_DATOS[[#This Row],[Hr.]]="",BASE_DATOS[[#This Row],[Hr. Actual]]=""),"",BASE_DATOS[[#This Row],[Hr. Actual]]-BASE_DATOS[[#This Row],[Hr.]]+BASE_DATOS[[#This Row],[Horas Acumuladas]])</f>
        <v/>
      </c>
      <c r="AJ473" s="364" t="str">
        <f>IFERROR(BASE_DATOS[[#This Row],[Precio US$]]/BASE_DATOS[[#This Row],[Horas Rodadas]],"")</f>
        <v/>
      </c>
      <c r="AK473" s="365" t="str">
        <f>IFERROR(BASE_DATOS[[#This Row],[Horas Rodadas]]/(BASE_DATOS[[#This Row],[NSK Original]]-BASE_DATOS[[#This Row],[NSK]]),"")</f>
        <v/>
      </c>
      <c r="AL47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73" s="366" t="str">
        <f>IFERROR(BASE_DATOS[[#This Row],[Precio US$]]/BASE_DATOS[[#This Row],[Horas Proy.]],"")</f>
        <v/>
      </c>
      <c r="AN473" s="176" t="str">
        <f>IF(OR(BASE_DATOS[[#This Row],[Km.]]="",BASE_DATOS[[#This Row],[Km. Actual]]=""),"",BASE_DATOS[[#This Row],[Km. Actual]]-BASE_DATOS[[#This Row],[Km.]]+BASE_DATOS[[#This Row],[Kilómetros Acumulados]])</f>
        <v/>
      </c>
      <c r="AO473" s="177" t="str">
        <f>IFERROR(BASE_DATOS[[#This Row],[Precio US$]]/BASE_DATOS[[#This Row],[Kilómetros Rodados]],"")</f>
        <v/>
      </c>
      <c r="AP473" s="176" t="str">
        <f>IFERROR(BASE_DATOS[[#This Row],[Kilómetros Rodados]]/(BASE_DATOS[[#This Row],[NSK Original]]-BASE_DATOS[[#This Row],[NSK]]),"")</f>
        <v/>
      </c>
      <c r="AQ47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73" s="177" t="str">
        <f>IFERROR(BASE_DATOS[[#This Row],[Precio US$]]/BASE_DATOS[[#This Row],[Kilómetros Proy.]],"")</f>
        <v/>
      </c>
      <c r="AS473" s="167" t="s">
        <v>62</v>
      </c>
      <c r="AT473" s="167"/>
      <c r="AU473" s="167"/>
      <c r="AV473" s="167"/>
      <c r="AW473" s="179"/>
      <c r="AX473" s="179"/>
      <c r="AY473" s="179" t="str">
        <f>CONCATENATE(BASE_DATOS[[#This Row],[Código_U]]&amp;BASE_DATOS[[#This Row],[Pos.]]&amp;BASE_DATOS[[#This Row],[Situación Actual]])</f>
        <v>TC-1945Rodando</v>
      </c>
    </row>
    <row r="474" spans="1:51" ht="12" x14ac:dyDescent="0.25">
      <c r="A474" s="227" t="s">
        <v>211</v>
      </c>
      <c r="B474" s="217" t="s">
        <v>212</v>
      </c>
      <c r="C474" s="228" t="s">
        <v>296</v>
      </c>
      <c r="D474" s="229" t="s">
        <v>61</v>
      </c>
      <c r="E474" s="255"/>
      <c r="F474" s="256" t="s">
        <v>71</v>
      </c>
      <c r="G474" s="256" t="s">
        <v>271</v>
      </c>
      <c r="H474" s="257" t="str">
        <f>IF(BASE_DATOS[[#This Row],[N-R]]="N",BASE_DATOS[[#This Row],[Diseño]],"Reencauche")</f>
        <v>KMAXD</v>
      </c>
      <c r="I474" s="256" t="s">
        <v>294</v>
      </c>
      <c r="J474" s="243" t="s">
        <v>72</v>
      </c>
      <c r="K474" s="258">
        <v>22.2</v>
      </c>
      <c r="L474" s="241">
        <v>110</v>
      </c>
      <c r="M474" s="259"/>
      <c r="N474" s="260"/>
      <c r="O474" s="277"/>
      <c r="P474" s="278"/>
      <c r="Q474" s="279"/>
      <c r="R474" s="309" t="s">
        <v>103</v>
      </c>
      <c r="S474" s="310">
        <v>45385</v>
      </c>
      <c r="T474" s="313"/>
      <c r="U474" s="279"/>
      <c r="V474" s="227">
        <v>20</v>
      </c>
      <c r="W474" s="281"/>
      <c r="X474" s="282">
        <v>20</v>
      </c>
      <c r="Y474" s="293">
        <f t="shared" si="20"/>
        <v>20</v>
      </c>
      <c r="Z474" s="175" t="s">
        <v>73</v>
      </c>
      <c r="AA474" s="342">
        <f>IFERROR(BASE_DATOS[[#This Row],[NSK Original]]-BASE_DATOS[[#This Row],[NSK]]," ")</f>
        <v>2.1999999999999993</v>
      </c>
      <c r="AB474" s="343">
        <f>'NSK-TRACTO'!$A$2</f>
        <v>6</v>
      </c>
      <c r="AC474" s="343">
        <f>IF(BASE_DATOS[[#This Row],[NSK]]&gt;=BASE_DATOS[[#This Row],[NSK Reen]],BASE_DATOS[[#This Row],[NSK Reen]],BASE_DATOS[[#This Row],[NSK]])</f>
        <v>6</v>
      </c>
      <c r="AD474" s="344">
        <f>IFERROR(100%-(BASE_DATOS[[#This Row],[NSK Reen]]/BASE_DATOS[[#This Row],[NSK Original]]),"")</f>
        <v>0.72972972972972971</v>
      </c>
      <c r="AE474" s="344">
        <f>IFERROR(100%-BASE_DATOS[[#This Row],[NSK]]/BASE_DATOS[[#This Row],[NSK Original]],"")</f>
        <v>9.9099099099099086E-2</v>
      </c>
      <c r="AF474" s="344">
        <f>IFERROR(BASE_DATOS[[#This Row],[% Max Des.]]-BASE_DATOS[[#This Row],[% Des]],"")</f>
        <v>0.63063063063063063</v>
      </c>
      <c r="AG474" s="287"/>
      <c r="AH474" s="273"/>
      <c r="AI474" s="363" t="str">
        <f>IF(OR(BASE_DATOS[[#This Row],[Hr.]]="",BASE_DATOS[[#This Row],[Hr. Actual]]=""),"",BASE_DATOS[[#This Row],[Hr. Actual]]-BASE_DATOS[[#This Row],[Hr.]]+BASE_DATOS[[#This Row],[Horas Acumuladas]])</f>
        <v/>
      </c>
      <c r="AJ474" s="364" t="str">
        <f>IFERROR(BASE_DATOS[[#This Row],[Precio US$]]/BASE_DATOS[[#This Row],[Horas Rodadas]],"")</f>
        <v/>
      </c>
      <c r="AK474" s="365" t="str">
        <f>IFERROR(BASE_DATOS[[#This Row],[Horas Rodadas]]/(BASE_DATOS[[#This Row],[NSK Original]]-BASE_DATOS[[#This Row],[NSK]]),"")</f>
        <v/>
      </c>
      <c r="AL47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74" s="366" t="str">
        <f>IFERROR(BASE_DATOS[[#This Row],[Precio US$]]/BASE_DATOS[[#This Row],[Horas Proy.]],"")</f>
        <v/>
      </c>
      <c r="AN474" s="176" t="str">
        <f>IF(OR(BASE_DATOS[[#This Row],[Km.]]="",BASE_DATOS[[#This Row],[Km. Actual]]=""),"",BASE_DATOS[[#This Row],[Km. Actual]]-BASE_DATOS[[#This Row],[Km.]]+BASE_DATOS[[#This Row],[Kilómetros Acumulados]])</f>
        <v/>
      </c>
      <c r="AO474" s="177" t="str">
        <f>IFERROR(BASE_DATOS[[#This Row],[Precio US$]]/BASE_DATOS[[#This Row],[Kilómetros Rodados]],"")</f>
        <v/>
      </c>
      <c r="AP474" s="176" t="str">
        <f>IFERROR(BASE_DATOS[[#This Row],[Kilómetros Rodados]]/(BASE_DATOS[[#This Row],[NSK Original]]-BASE_DATOS[[#This Row],[NSK]]),"")</f>
        <v/>
      </c>
      <c r="AQ47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74" s="177" t="str">
        <f>IFERROR(BASE_DATOS[[#This Row],[Precio US$]]/BASE_DATOS[[#This Row],[Kilómetros Proy.]],"")</f>
        <v/>
      </c>
      <c r="AS474" s="167" t="s">
        <v>62</v>
      </c>
      <c r="AT474" s="167"/>
      <c r="AU474" s="167"/>
      <c r="AV474" s="167"/>
      <c r="AW474" s="179"/>
      <c r="AX474" s="179"/>
      <c r="AY474" s="179" t="str">
        <f>CONCATENATE(BASE_DATOS[[#This Row],[Código_U]]&amp;BASE_DATOS[[#This Row],[Pos.]]&amp;BASE_DATOS[[#This Row],[Situación Actual]])</f>
        <v>TC-1946Rodando</v>
      </c>
    </row>
    <row r="475" spans="1:51" ht="12" x14ac:dyDescent="0.25">
      <c r="A475" s="227" t="s">
        <v>211</v>
      </c>
      <c r="B475" s="217" t="s">
        <v>212</v>
      </c>
      <c r="C475" s="228" t="s">
        <v>296</v>
      </c>
      <c r="D475" s="229" t="s">
        <v>61</v>
      </c>
      <c r="E475" s="255"/>
      <c r="F475" s="256" t="s">
        <v>71</v>
      </c>
      <c r="G475" s="256" t="s">
        <v>271</v>
      </c>
      <c r="H475" s="257" t="str">
        <f>IF(BASE_DATOS[[#This Row],[N-R]]="N",BASE_DATOS[[#This Row],[Diseño]],"Reencauche")</f>
        <v>KMAXD</v>
      </c>
      <c r="I475" s="256" t="s">
        <v>294</v>
      </c>
      <c r="J475" s="243" t="s">
        <v>72</v>
      </c>
      <c r="K475" s="258">
        <v>22.2</v>
      </c>
      <c r="L475" s="241">
        <v>110</v>
      </c>
      <c r="M475" s="259"/>
      <c r="N475" s="260"/>
      <c r="O475" s="277"/>
      <c r="P475" s="278"/>
      <c r="Q475" s="279"/>
      <c r="R475" s="309" t="s">
        <v>104</v>
      </c>
      <c r="S475" s="310">
        <v>45385</v>
      </c>
      <c r="T475" s="313"/>
      <c r="U475" s="279"/>
      <c r="V475" s="227">
        <v>19</v>
      </c>
      <c r="W475" s="281"/>
      <c r="X475" s="282">
        <v>19</v>
      </c>
      <c r="Y475" s="293">
        <f t="shared" si="20"/>
        <v>19</v>
      </c>
      <c r="Z475" s="175" t="s">
        <v>73</v>
      </c>
      <c r="AA475" s="342">
        <f>IFERROR(BASE_DATOS[[#This Row],[NSK Original]]-BASE_DATOS[[#This Row],[NSK]]," ")</f>
        <v>3.1999999999999993</v>
      </c>
      <c r="AB475" s="343">
        <f>'NSK-TRACTO'!$A$2</f>
        <v>6</v>
      </c>
      <c r="AC475" s="343">
        <f>IF(BASE_DATOS[[#This Row],[NSK]]&gt;=BASE_DATOS[[#This Row],[NSK Reen]],BASE_DATOS[[#This Row],[NSK Reen]],BASE_DATOS[[#This Row],[NSK]])</f>
        <v>6</v>
      </c>
      <c r="AD475" s="344">
        <f>IFERROR(100%-(BASE_DATOS[[#This Row],[NSK Reen]]/BASE_DATOS[[#This Row],[NSK Original]]),"")</f>
        <v>0.72972972972972971</v>
      </c>
      <c r="AE475" s="344">
        <f>IFERROR(100%-BASE_DATOS[[#This Row],[NSK]]/BASE_DATOS[[#This Row],[NSK Original]],"")</f>
        <v>0.14414414414414412</v>
      </c>
      <c r="AF475" s="344">
        <f>IFERROR(BASE_DATOS[[#This Row],[% Max Des.]]-BASE_DATOS[[#This Row],[% Des]],"")</f>
        <v>0.5855855855855856</v>
      </c>
      <c r="AG475" s="287"/>
      <c r="AH475" s="273"/>
      <c r="AI475" s="363" t="str">
        <f>IF(OR(BASE_DATOS[[#This Row],[Hr.]]="",BASE_DATOS[[#This Row],[Hr. Actual]]=""),"",BASE_DATOS[[#This Row],[Hr. Actual]]-BASE_DATOS[[#This Row],[Hr.]]+BASE_DATOS[[#This Row],[Horas Acumuladas]])</f>
        <v/>
      </c>
      <c r="AJ475" s="364" t="str">
        <f>IFERROR(BASE_DATOS[[#This Row],[Precio US$]]/BASE_DATOS[[#This Row],[Horas Rodadas]],"")</f>
        <v/>
      </c>
      <c r="AK475" s="365" t="str">
        <f>IFERROR(BASE_DATOS[[#This Row],[Horas Rodadas]]/(BASE_DATOS[[#This Row],[NSK Original]]-BASE_DATOS[[#This Row],[NSK]]),"")</f>
        <v/>
      </c>
      <c r="AL47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75" s="366" t="str">
        <f>IFERROR(BASE_DATOS[[#This Row],[Precio US$]]/BASE_DATOS[[#This Row],[Horas Proy.]],"")</f>
        <v/>
      </c>
      <c r="AN475" s="176" t="str">
        <f>IF(OR(BASE_DATOS[[#This Row],[Km.]]="",BASE_DATOS[[#This Row],[Km. Actual]]=""),"",BASE_DATOS[[#This Row],[Km. Actual]]-BASE_DATOS[[#This Row],[Km.]]+BASE_DATOS[[#This Row],[Kilómetros Acumulados]])</f>
        <v/>
      </c>
      <c r="AO475" s="177" t="str">
        <f>IFERROR(BASE_DATOS[[#This Row],[Precio US$]]/BASE_DATOS[[#This Row],[Kilómetros Rodados]],"")</f>
        <v/>
      </c>
      <c r="AP475" s="176" t="str">
        <f>IFERROR(BASE_DATOS[[#This Row],[Kilómetros Rodados]]/(BASE_DATOS[[#This Row],[NSK Original]]-BASE_DATOS[[#This Row],[NSK]]),"")</f>
        <v/>
      </c>
      <c r="AQ47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75" s="177" t="str">
        <f>IFERROR(BASE_DATOS[[#This Row],[Precio US$]]/BASE_DATOS[[#This Row],[Kilómetros Proy.]],"")</f>
        <v/>
      </c>
      <c r="AS475" s="167" t="s">
        <v>62</v>
      </c>
      <c r="AT475" s="167"/>
      <c r="AU475" s="167"/>
      <c r="AV475" s="167"/>
      <c r="AW475" s="179"/>
      <c r="AX475" s="179"/>
      <c r="AY475" s="179" t="str">
        <f>CONCATENATE(BASE_DATOS[[#This Row],[Código_U]]&amp;BASE_DATOS[[#This Row],[Pos.]]&amp;BASE_DATOS[[#This Row],[Situación Actual]])</f>
        <v>TC-1947Rodando</v>
      </c>
    </row>
    <row r="476" spans="1:51" ht="12" x14ac:dyDescent="0.25">
      <c r="A476" s="227" t="s">
        <v>211</v>
      </c>
      <c r="B476" s="217" t="s">
        <v>212</v>
      </c>
      <c r="C476" s="228" t="s">
        <v>296</v>
      </c>
      <c r="D476" s="229" t="s">
        <v>61</v>
      </c>
      <c r="E476" s="255"/>
      <c r="F476" s="256" t="s">
        <v>71</v>
      </c>
      <c r="G476" s="256" t="s">
        <v>271</v>
      </c>
      <c r="H476" s="257" t="str">
        <f>IF(BASE_DATOS[[#This Row],[N-R]]="N",BASE_DATOS[[#This Row],[Diseño]],"Reencauche")</f>
        <v>KMAXD</v>
      </c>
      <c r="I476" s="256" t="s">
        <v>294</v>
      </c>
      <c r="J476" s="243" t="s">
        <v>72</v>
      </c>
      <c r="K476" s="258">
        <v>22.2</v>
      </c>
      <c r="L476" s="241">
        <v>110</v>
      </c>
      <c r="M476" s="259"/>
      <c r="N476" s="260"/>
      <c r="O476" s="277"/>
      <c r="P476" s="278"/>
      <c r="Q476" s="279"/>
      <c r="R476" s="309" t="s">
        <v>105</v>
      </c>
      <c r="S476" s="310">
        <v>45385</v>
      </c>
      <c r="T476" s="313"/>
      <c r="U476" s="279"/>
      <c r="V476" s="227">
        <v>19</v>
      </c>
      <c r="W476" s="281"/>
      <c r="X476" s="282">
        <v>19</v>
      </c>
      <c r="Y476" s="293">
        <f t="shared" si="20"/>
        <v>19</v>
      </c>
      <c r="Z476" s="175" t="s">
        <v>73</v>
      </c>
      <c r="AA476" s="342">
        <f>IFERROR(BASE_DATOS[[#This Row],[NSK Original]]-BASE_DATOS[[#This Row],[NSK]]," ")</f>
        <v>3.1999999999999993</v>
      </c>
      <c r="AB476" s="343">
        <f>'NSK-TRACTO'!$A$2</f>
        <v>6</v>
      </c>
      <c r="AC476" s="343">
        <f>IF(BASE_DATOS[[#This Row],[NSK]]&gt;=BASE_DATOS[[#This Row],[NSK Reen]],BASE_DATOS[[#This Row],[NSK Reen]],BASE_DATOS[[#This Row],[NSK]])</f>
        <v>6</v>
      </c>
      <c r="AD476" s="344">
        <f>IFERROR(100%-(BASE_DATOS[[#This Row],[NSK Reen]]/BASE_DATOS[[#This Row],[NSK Original]]),"")</f>
        <v>0.72972972972972971</v>
      </c>
      <c r="AE476" s="344">
        <f>IFERROR(100%-BASE_DATOS[[#This Row],[NSK]]/BASE_DATOS[[#This Row],[NSK Original]],"")</f>
        <v>0.14414414414414412</v>
      </c>
      <c r="AF476" s="344">
        <f>IFERROR(BASE_DATOS[[#This Row],[% Max Des.]]-BASE_DATOS[[#This Row],[% Des]],"")</f>
        <v>0.5855855855855856</v>
      </c>
      <c r="AG476" s="287"/>
      <c r="AH476" s="273"/>
      <c r="AI476" s="363" t="str">
        <f>IF(OR(BASE_DATOS[[#This Row],[Hr.]]="",BASE_DATOS[[#This Row],[Hr. Actual]]=""),"",BASE_DATOS[[#This Row],[Hr. Actual]]-BASE_DATOS[[#This Row],[Hr.]]+BASE_DATOS[[#This Row],[Horas Acumuladas]])</f>
        <v/>
      </c>
      <c r="AJ476" s="364" t="str">
        <f>IFERROR(BASE_DATOS[[#This Row],[Precio US$]]/BASE_DATOS[[#This Row],[Horas Rodadas]],"")</f>
        <v/>
      </c>
      <c r="AK476" s="365" t="str">
        <f>IFERROR(BASE_DATOS[[#This Row],[Horas Rodadas]]/(BASE_DATOS[[#This Row],[NSK Original]]-BASE_DATOS[[#This Row],[NSK]]),"")</f>
        <v/>
      </c>
      <c r="AL47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76" s="366" t="str">
        <f>IFERROR(BASE_DATOS[[#This Row],[Precio US$]]/BASE_DATOS[[#This Row],[Horas Proy.]],"")</f>
        <v/>
      </c>
      <c r="AN476" s="176" t="str">
        <f>IF(OR(BASE_DATOS[[#This Row],[Km.]]="",BASE_DATOS[[#This Row],[Km. Actual]]=""),"",BASE_DATOS[[#This Row],[Km. Actual]]-BASE_DATOS[[#This Row],[Km.]]+BASE_DATOS[[#This Row],[Kilómetros Acumulados]])</f>
        <v/>
      </c>
      <c r="AO476" s="177" t="str">
        <f>IFERROR(BASE_DATOS[[#This Row],[Precio US$]]/BASE_DATOS[[#This Row],[Kilómetros Rodados]],"")</f>
        <v/>
      </c>
      <c r="AP476" s="176" t="str">
        <f>IFERROR(BASE_DATOS[[#This Row],[Kilómetros Rodados]]/(BASE_DATOS[[#This Row],[NSK Original]]-BASE_DATOS[[#This Row],[NSK]]),"")</f>
        <v/>
      </c>
      <c r="AQ47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76" s="177" t="str">
        <f>IFERROR(BASE_DATOS[[#This Row],[Precio US$]]/BASE_DATOS[[#This Row],[Kilómetros Proy.]],"")</f>
        <v/>
      </c>
      <c r="AS476" s="167" t="s">
        <v>62</v>
      </c>
      <c r="AT476" s="167"/>
      <c r="AU476" s="167"/>
      <c r="AV476" s="167"/>
      <c r="AW476" s="179"/>
      <c r="AX476" s="179"/>
      <c r="AY476" s="179" t="str">
        <f>CONCATENATE(BASE_DATOS[[#This Row],[Código_U]]&amp;BASE_DATOS[[#This Row],[Pos.]]&amp;BASE_DATOS[[#This Row],[Situación Actual]])</f>
        <v>TC-1948Rodando</v>
      </c>
    </row>
    <row r="477" spans="1:51" ht="12" x14ac:dyDescent="0.25">
      <c r="A477" s="227" t="s">
        <v>211</v>
      </c>
      <c r="B477" s="217" t="s">
        <v>212</v>
      </c>
      <c r="C477" s="228" t="s">
        <v>296</v>
      </c>
      <c r="D477" s="229" t="s">
        <v>61</v>
      </c>
      <c r="E477" s="255"/>
      <c r="F477" s="256" t="s">
        <v>71</v>
      </c>
      <c r="G477" s="256" t="s">
        <v>271</v>
      </c>
      <c r="H477" s="257" t="str">
        <f>IF(BASE_DATOS[[#This Row],[N-R]]="N",BASE_DATOS[[#This Row],[Diseño]],"Reencauche")</f>
        <v>KMAXD</v>
      </c>
      <c r="I477" s="256" t="s">
        <v>294</v>
      </c>
      <c r="J477" s="243" t="s">
        <v>72</v>
      </c>
      <c r="K477" s="258">
        <v>22.2</v>
      </c>
      <c r="L477" s="241">
        <v>110</v>
      </c>
      <c r="M477" s="259"/>
      <c r="N477" s="260"/>
      <c r="O477" s="277"/>
      <c r="P477" s="278"/>
      <c r="Q477" s="279"/>
      <c r="R477" s="309" t="s">
        <v>106</v>
      </c>
      <c r="S477" s="310">
        <v>45385</v>
      </c>
      <c r="T477" s="313"/>
      <c r="U477" s="279"/>
      <c r="V477" s="227">
        <v>19</v>
      </c>
      <c r="W477" s="281"/>
      <c r="X477" s="282">
        <v>19</v>
      </c>
      <c r="Y477" s="293">
        <f t="shared" si="20"/>
        <v>19</v>
      </c>
      <c r="Z477" s="175" t="s">
        <v>73</v>
      </c>
      <c r="AA477" s="342">
        <f>IFERROR(BASE_DATOS[[#This Row],[NSK Original]]-BASE_DATOS[[#This Row],[NSK]]," ")</f>
        <v>3.1999999999999993</v>
      </c>
      <c r="AB477" s="343">
        <f>'NSK-TRACTO'!$A$2</f>
        <v>6</v>
      </c>
      <c r="AC477" s="343">
        <f>IF(BASE_DATOS[[#This Row],[NSK]]&gt;=BASE_DATOS[[#This Row],[NSK Reen]],BASE_DATOS[[#This Row],[NSK Reen]],BASE_DATOS[[#This Row],[NSK]])</f>
        <v>6</v>
      </c>
      <c r="AD477" s="344">
        <f>IFERROR(100%-(BASE_DATOS[[#This Row],[NSK Reen]]/BASE_DATOS[[#This Row],[NSK Original]]),"")</f>
        <v>0.72972972972972971</v>
      </c>
      <c r="AE477" s="344">
        <f>IFERROR(100%-BASE_DATOS[[#This Row],[NSK]]/BASE_DATOS[[#This Row],[NSK Original]],"")</f>
        <v>0.14414414414414412</v>
      </c>
      <c r="AF477" s="344">
        <f>IFERROR(BASE_DATOS[[#This Row],[% Max Des.]]-BASE_DATOS[[#This Row],[% Des]],"")</f>
        <v>0.5855855855855856</v>
      </c>
      <c r="AG477" s="287"/>
      <c r="AH477" s="273"/>
      <c r="AI477" s="363" t="str">
        <f>IF(OR(BASE_DATOS[[#This Row],[Hr.]]="",BASE_DATOS[[#This Row],[Hr. Actual]]=""),"",BASE_DATOS[[#This Row],[Hr. Actual]]-BASE_DATOS[[#This Row],[Hr.]]+BASE_DATOS[[#This Row],[Horas Acumuladas]])</f>
        <v/>
      </c>
      <c r="AJ477" s="364" t="str">
        <f>IFERROR(BASE_DATOS[[#This Row],[Precio US$]]/BASE_DATOS[[#This Row],[Horas Rodadas]],"")</f>
        <v/>
      </c>
      <c r="AK477" s="365" t="str">
        <f>IFERROR(BASE_DATOS[[#This Row],[Horas Rodadas]]/(BASE_DATOS[[#This Row],[NSK Original]]-BASE_DATOS[[#This Row],[NSK]]),"")</f>
        <v/>
      </c>
      <c r="AL47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77" s="366" t="str">
        <f>IFERROR(BASE_DATOS[[#This Row],[Precio US$]]/BASE_DATOS[[#This Row],[Horas Proy.]],"")</f>
        <v/>
      </c>
      <c r="AN477" s="176" t="str">
        <f>IF(OR(BASE_DATOS[[#This Row],[Km.]]="",BASE_DATOS[[#This Row],[Km. Actual]]=""),"",BASE_DATOS[[#This Row],[Km. Actual]]-BASE_DATOS[[#This Row],[Km.]]+BASE_DATOS[[#This Row],[Kilómetros Acumulados]])</f>
        <v/>
      </c>
      <c r="AO477" s="177" t="str">
        <f>IFERROR(BASE_DATOS[[#This Row],[Precio US$]]/BASE_DATOS[[#This Row],[Kilómetros Rodados]],"")</f>
        <v/>
      </c>
      <c r="AP477" s="176" t="str">
        <f>IFERROR(BASE_DATOS[[#This Row],[Kilómetros Rodados]]/(BASE_DATOS[[#This Row],[NSK Original]]-BASE_DATOS[[#This Row],[NSK]]),"")</f>
        <v/>
      </c>
      <c r="AQ47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77" s="177" t="str">
        <f>IFERROR(BASE_DATOS[[#This Row],[Precio US$]]/BASE_DATOS[[#This Row],[Kilómetros Proy.]],"")</f>
        <v/>
      </c>
      <c r="AS477" s="167" t="s">
        <v>62</v>
      </c>
      <c r="AT477" s="167"/>
      <c r="AU477" s="167"/>
      <c r="AV477" s="167"/>
      <c r="AW477" s="179"/>
      <c r="AX477" s="179"/>
      <c r="AY477" s="179" t="str">
        <f>CONCATENATE(BASE_DATOS[[#This Row],[Código_U]]&amp;BASE_DATOS[[#This Row],[Pos.]]&amp;BASE_DATOS[[#This Row],[Situación Actual]])</f>
        <v>TC-1949Rodando</v>
      </c>
    </row>
    <row r="478" spans="1:51" ht="12" x14ac:dyDescent="0.25">
      <c r="A478" s="227" t="s">
        <v>211</v>
      </c>
      <c r="B478" s="217" t="s">
        <v>212</v>
      </c>
      <c r="C478" s="228" t="s">
        <v>296</v>
      </c>
      <c r="D478" s="229" t="s">
        <v>61</v>
      </c>
      <c r="E478" s="255"/>
      <c r="F478" s="256" t="s">
        <v>71</v>
      </c>
      <c r="G478" s="256" t="s">
        <v>271</v>
      </c>
      <c r="H478" s="257" t="str">
        <f>IF(BASE_DATOS[[#This Row],[N-R]]="N",BASE_DATOS[[#This Row],[Diseño]],"Reencauche")</f>
        <v>KMAXD</v>
      </c>
      <c r="I478" s="256" t="s">
        <v>294</v>
      </c>
      <c r="J478" s="243" t="s">
        <v>72</v>
      </c>
      <c r="K478" s="258">
        <v>22.2</v>
      </c>
      <c r="L478" s="241">
        <v>110</v>
      </c>
      <c r="M478" s="259"/>
      <c r="N478" s="260"/>
      <c r="O478" s="277"/>
      <c r="P478" s="278"/>
      <c r="Q478" s="279"/>
      <c r="R478" s="309" t="s">
        <v>107</v>
      </c>
      <c r="S478" s="310">
        <v>45385</v>
      </c>
      <c r="T478" s="313"/>
      <c r="U478" s="279"/>
      <c r="V478" s="227">
        <v>19</v>
      </c>
      <c r="W478" s="281"/>
      <c r="X478" s="282">
        <v>19</v>
      </c>
      <c r="Y478" s="293">
        <f t="shared" si="20"/>
        <v>19</v>
      </c>
      <c r="Z478" s="175" t="s">
        <v>73</v>
      </c>
      <c r="AA478" s="342">
        <f>IFERROR(BASE_DATOS[[#This Row],[NSK Original]]-BASE_DATOS[[#This Row],[NSK]]," ")</f>
        <v>3.1999999999999993</v>
      </c>
      <c r="AB478" s="343">
        <f>'NSK-TRACTO'!$A$2</f>
        <v>6</v>
      </c>
      <c r="AC478" s="343">
        <f>IF(BASE_DATOS[[#This Row],[NSK]]&gt;=BASE_DATOS[[#This Row],[NSK Reen]],BASE_DATOS[[#This Row],[NSK Reen]],BASE_DATOS[[#This Row],[NSK]])</f>
        <v>6</v>
      </c>
      <c r="AD478" s="344">
        <f>IFERROR(100%-(BASE_DATOS[[#This Row],[NSK Reen]]/BASE_DATOS[[#This Row],[NSK Original]]),"")</f>
        <v>0.72972972972972971</v>
      </c>
      <c r="AE478" s="344">
        <f>IFERROR(100%-BASE_DATOS[[#This Row],[NSK]]/BASE_DATOS[[#This Row],[NSK Original]],"")</f>
        <v>0.14414414414414412</v>
      </c>
      <c r="AF478" s="344">
        <f>IFERROR(BASE_DATOS[[#This Row],[% Max Des.]]-BASE_DATOS[[#This Row],[% Des]],"")</f>
        <v>0.5855855855855856</v>
      </c>
      <c r="AG478" s="287"/>
      <c r="AH478" s="273"/>
      <c r="AI478" s="363" t="str">
        <f>IF(OR(BASE_DATOS[[#This Row],[Hr.]]="",BASE_DATOS[[#This Row],[Hr. Actual]]=""),"",BASE_DATOS[[#This Row],[Hr. Actual]]-BASE_DATOS[[#This Row],[Hr.]]+BASE_DATOS[[#This Row],[Horas Acumuladas]])</f>
        <v/>
      </c>
      <c r="AJ478" s="364" t="str">
        <f>IFERROR(BASE_DATOS[[#This Row],[Precio US$]]/BASE_DATOS[[#This Row],[Horas Rodadas]],"")</f>
        <v/>
      </c>
      <c r="AK478" s="365" t="str">
        <f>IFERROR(BASE_DATOS[[#This Row],[Horas Rodadas]]/(BASE_DATOS[[#This Row],[NSK Original]]-BASE_DATOS[[#This Row],[NSK]]),"")</f>
        <v/>
      </c>
      <c r="AL47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78" s="366" t="str">
        <f>IFERROR(BASE_DATOS[[#This Row],[Precio US$]]/BASE_DATOS[[#This Row],[Horas Proy.]],"")</f>
        <v/>
      </c>
      <c r="AN478" s="176" t="str">
        <f>IF(OR(BASE_DATOS[[#This Row],[Km.]]="",BASE_DATOS[[#This Row],[Km. Actual]]=""),"",BASE_DATOS[[#This Row],[Km. Actual]]-BASE_DATOS[[#This Row],[Km.]]+BASE_DATOS[[#This Row],[Kilómetros Acumulados]])</f>
        <v/>
      </c>
      <c r="AO478" s="177" t="str">
        <f>IFERROR(BASE_DATOS[[#This Row],[Precio US$]]/BASE_DATOS[[#This Row],[Kilómetros Rodados]],"")</f>
        <v/>
      </c>
      <c r="AP478" s="176" t="str">
        <f>IFERROR(BASE_DATOS[[#This Row],[Kilómetros Rodados]]/(BASE_DATOS[[#This Row],[NSK Original]]-BASE_DATOS[[#This Row],[NSK]]),"")</f>
        <v/>
      </c>
      <c r="AQ47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78" s="177" t="str">
        <f>IFERROR(BASE_DATOS[[#This Row],[Precio US$]]/BASE_DATOS[[#This Row],[Kilómetros Proy.]],"")</f>
        <v/>
      </c>
      <c r="AS478" s="167" t="s">
        <v>62</v>
      </c>
      <c r="AT478" s="167"/>
      <c r="AU478" s="167"/>
      <c r="AV478" s="167"/>
      <c r="AW478" s="179"/>
      <c r="AX478" s="179"/>
      <c r="AY478" s="179" t="str">
        <f>CONCATENATE(BASE_DATOS[[#This Row],[Código_U]]&amp;BASE_DATOS[[#This Row],[Pos.]]&amp;BASE_DATOS[[#This Row],[Situación Actual]])</f>
        <v>TC-19410Rodando</v>
      </c>
    </row>
    <row r="479" spans="1:51" ht="12" x14ac:dyDescent="0.25">
      <c r="A479" s="224" t="s">
        <v>213</v>
      </c>
      <c r="B479" s="213" t="s">
        <v>214</v>
      </c>
      <c r="C479" s="225" t="s">
        <v>295</v>
      </c>
      <c r="D479" s="226" t="s">
        <v>87</v>
      </c>
      <c r="E479" s="232" t="s">
        <v>451</v>
      </c>
      <c r="F479" s="250" t="s">
        <v>97</v>
      </c>
      <c r="G479" s="250" t="s">
        <v>269</v>
      </c>
      <c r="H479" s="251" t="str">
        <f>IF(BASE_DATOS[[#This Row],[N-R]]="N",BASE_DATOS[[#This Row],[Diseño]],"Reencauche")</f>
        <v>AGC28</v>
      </c>
      <c r="I479" s="250" t="s">
        <v>270</v>
      </c>
      <c r="J479" s="235" t="s">
        <v>72</v>
      </c>
      <c r="K479" s="252">
        <v>16.5</v>
      </c>
      <c r="L479" s="250">
        <v>110</v>
      </c>
      <c r="M479" s="253"/>
      <c r="N479" s="254"/>
      <c r="O479" s="274"/>
      <c r="P479" s="275"/>
      <c r="Q479" s="276"/>
      <c r="R479" s="305" t="s">
        <v>98</v>
      </c>
      <c r="S479" s="306">
        <v>45385</v>
      </c>
      <c r="T479" s="314"/>
      <c r="U479" s="276"/>
      <c r="V479" s="224">
        <v>11</v>
      </c>
      <c r="W479" s="325">
        <v>10</v>
      </c>
      <c r="X479" s="326">
        <v>10</v>
      </c>
      <c r="Y479" s="292">
        <f t="shared" si="20"/>
        <v>10</v>
      </c>
      <c r="Z479" s="185" t="s">
        <v>73</v>
      </c>
      <c r="AA479" s="339">
        <f>IFERROR(BASE_DATOS[[#This Row],[NSK Original]]-BASE_DATOS[[#This Row],[NSK]]," ")</f>
        <v>6.5</v>
      </c>
      <c r="AB479" s="340">
        <f>'NSK-TRACTO'!$A$2</f>
        <v>6</v>
      </c>
      <c r="AC479" s="340">
        <f>IF(BASE_DATOS[[#This Row],[NSK]]&gt;=BASE_DATOS[[#This Row],[NSK Reen]],BASE_DATOS[[#This Row],[NSK Reen]],BASE_DATOS[[#This Row],[NSK]])</f>
        <v>6</v>
      </c>
      <c r="AD479" s="341">
        <f>IFERROR(100%-(BASE_DATOS[[#This Row],[NSK Reen]]/BASE_DATOS[[#This Row],[NSK Original]]),"")</f>
        <v>0.63636363636363635</v>
      </c>
      <c r="AE479" s="341">
        <f>IFERROR(100%-BASE_DATOS[[#This Row],[NSK]]/BASE_DATOS[[#This Row],[NSK Original]],"")</f>
        <v>0.39393939393939392</v>
      </c>
      <c r="AF479" s="341">
        <f>IFERROR(BASE_DATOS[[#This Row],[% Max Des.]]-BASE_DATOS[[#This Row],[% Des]],"")</f>
        <v>0.24242424242424243</v>
      </c>
      <c r="AG479" s="284"/>
      <c r="AH479" s="335"/>
      <c r="AI479" s="359" t="str">
        <f>IF(OR(BASE_DATOS[[#This Row],[Hr.]]="",BASE_DATOS[[#This Row],[Hr. Actual]]=""),"",BASE_DATOS[[#This Row],[Hr. Actual]]-BASE_DATOS[[#This Row],[Hr.]]+BASE_DATOS[[#This Row],[Horas Acumuladas]])</f>
        <v/>
      </c>
      <c r="AJ479" s="360" t="str">
        <f>IFERROR(BASE_DATOS[[#This Row],[Precio US$]]/BASE_DATOS[[#This Row],[Horas Rodadas]],"")</f>
        <v/>
      </c>
      <c r="AK479" s="361" t="str">
        <f>IFERROR(BASE_DATOS[[#This Row],[Horas Rodadas]]/(BASE_DATOS[[#This Row],[NSK Original]]-BASE_DATOS[[#This Row],[NSK]]),"")</f>
        <v/>
      </c>
      <c r="AL479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79" s="362" t="str">
        <f>IFERROR(BASE_DATOS[[#This Row],[Precio US$]]/BASE_DATOS[[#This Row],[Horas Proy.]],"")</f>
        <v/>
      </c>
      <c r="AN479" s="195" t="str">
        <f>IF(OR(BASE_DATOS[[#This Row],[Km.]]="",BASE_DATOS[[#This Row],[Km. Actual]]=""),"",BASE_DATOS[[#This Row],[Km. Actual]]-BASE_DATOS[[#This Row],[Km.]]+BASE_DATOS[[#This Row],[Kilómetros Acumulados]])</f>
        <v/>
      </c>
      <c r="AO479" s="196" t="str">
        <f>IFERROR(BASE_DATOS[[#This Row],[Precio US$]]/BASE_DATOS[[#This Row],[Kilómetros Rodados]],"")</f>
        <v/>
      </c>
      <c r="AP479" s="195" t="str">
        <f>IFERROR(BASE_DATOS[[#This Row],[Kilómetros Rodados]]/(BASE_DATOS[[#This Row],[NSK Original]]-BASE_DATOS[[#This Row],[NSK]]),"")</f>
        <v/>
      </c>
      <c r="AQ479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79" s="196" t="str">
        <f>IFERROR(BASE_DATOS[[#This Row],[Precio US$]]/BASE_DATOS[[#This Row],[Kilómetros Proy.]],"")</f>
        <v/>
      </c>
      <c r="AS479" s="191" t="s">
        <v>62</v>
      </c>
      <c r="AT479" s="191"/>
      <c r="AU479" s="191"/>
      <c r="AV479" s="191"/>
      <c r="AW479" s="198"/>
      <c r="AX479" s="198"/>
      <c r="AY479" s="198" t="str">
        <f>CONCATENATE(BASE_DATOS[[#This Row],[Código_U]]&amp;BASE_DATOS[[#This Row],[Pos.]]&amp;BASE_DATOS[[#This Row],[Situación Actual]])</f>
        <v>SR-1941Rodando</v>
      </c>
    </row>
    <row r="480" spans="1:51" ht="12" x14ac:dyDescent="0.25">
      <c r="A480" s="227" t="s">
        <v>213</v>
      </c>
      <c r="B480" s="217" t="s">
        <v>214</v>
      </c>
      <c r="C480" s="228" t="s">
        <v>295</v>
      </c>
      <c r="D480" s="229" t="s">
        <v>87</v>
      </c>
      <c r="E480" s="248" t="s">
        <v>452</v>
      </c>
      <c r="F480" s="256" t="s">
        <v>97</v>
      </c>
      <c r="G480" s="256" t="s">
        <v>269</v>
      </c>
      <c r="H480" s="257" t="str">
        <f>IF(BASE_DATOS[[#This Row],[N-R]]="N",BASE_DATOS[[#This Row],[Diseño]],"Reencauche")</f>
        <v>AGC28</v>
      </c>
      <c r="I480" s="256" t="s">
        <v>270</v>
      </c>
      <c r="J480" s="243" t="s">
        <v>72</v>
      </c>
      <c r="K480" s="258">
        <v>16.5</v>
      </c>
      <c r="L480" s="256">
        <v>110</v>
      </c>
      <c r="M480" s="259"/>
      <c r="N480" s="260"/>
      <c r="O480" s="277"/>
      <c r="P480" s="278"/>
      <c r="Q480" s="279"/>
      <c r="R480" s="309" t="s">
        <v>99</v>
      </c>
      <c r="S480" s="310">
        <v>45385</v>
      </c>
      <c r="T480" s="313"/>
      <c r="U480" s="279"/>
      <c r="V480" s="227">
        <v>11</v>
      </c>
      <c r="W480" s="281">
        <v>11</v>
      </c>
      <c r="X480" s="282">
        <v>11</v>
      </c>
      <c r="Y480" s="293">
        <f t="shared" si="20"/>
        <v>11</v>
      </c>
      <c r="Z480" s="161" t="s">
        <v>73</v>
      </c>
      <c r="AA480" s="342">
        <f>IFERROR(BASE_DATOS[[#This Row],[NSK Original]]-BASE_DATOS[[#This Row],[NSK]]," ")</f>
        <v>5.5</v>
      </c>
      <c r="AB480" s="343">
        <f>'NSK-TRACTO'!$A$2</f>
        <v>6</v>
      </c>
      <c r="AC480" s="343">
        <f>IF(BASE_DATOS[[#This Row],[NSK]]&gt;=BASE_DATOS[[#This Row],[NSK Reen]],BASE_DATOS[[#This Row],[NSK Reen]],BASE_DATOS[[#This Row],[NSK]])</f>
        <v>6</v>
      </c>
      <c r="AD480" s="344">
        <f>IFERROR(100%-(BASE_DATOS[[#This Row],[NSK Reen]]/BASE_DATOS[[#This Row],[NSK Original]]),"")</f>
        <v>0.63636363636363635</v>
      </c>
      <c r="AE480" s="344">
        <f>IFERROR(100%-BASE_DATOS[[#This Row],[NSK]]/BASE_DATOS[[#This Row],[NSK Original]],"")</f>
        <v>0.33333333333333337</v>
      </c>
      <c r="AF480" s="344">
        <f>IFERROR(BASE_DATOS[[#This Row],[% Max Des.]]-BASE_DATOS[[#This Row],[% Des]],"")</f>
        <v>0.30303030303030298</v>
      </c>
      <c r="AG480" s="287"/>
      <c r="AH480" s="273"/>
      <c r="AI480" s="363" t="str">
        <f>IF(OR(BASE_DATOS[[#This Row],[Hr.]]="",BASE_DATOS[[#This Row],[Hr. Actual]]=""),"",BASE_DATOS[[#This Row],[Hr. Actual]]-BASE_DATOS[[#This Row],[Hr.]]+BASE_DATOS[[#This Row],[Horas Acumuladas]])</f>
        <v/>
      </c>
      <c r="AJ480" s="364" t="str">
        <f>IFERROR(BASE_DATOS[[#This Row],[Precio US$]]/BASE_DATOS[[#This Row],[Horas Rodadas]],"")</f>
        <v/>
      </c>
      <c r="AK480" s="365" t="str">
        <f>IFERROR(BASE_DATOS[[#This Row],[Horas Rodadas]]/(BASE_DATOS[[#This Row],[NSK Original]]-BASE_DATOS[[#This Row],[NSK]]),"")</f>
        <v/>
      </c>
      <c r="AL48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80" s="366" t="str">
        <f>IFERROR(BASE_DATOS[[#This Row],[Precio US$]]/BASE_DATOS[[#This Row],[Horas Proy.]],"")</f>
        <v/>
      </c>
      <c r="AN480" s="176" t="str">
        <f>IF(OR(BASE_DATOS[[#This Row],[Km.]]="",BASE_DATOS[[#This Row],[Km. Actual]]=""),"",BASE_DATOS[[#This Row],[Km. Actual]]-BASE_DATOS[[#This Row],[Km.]]+BASE_DATOS[[#This Row],[Kilómetros Acumulados]])</f>
        <v/>
      </c>
      <c r="AO480" s="177" t="str">
        <f>IFERROR(BASE_DATOS[[#This Row],[Precio US$]]/BASE_DATOS[[#This Row],[Kilómetros Rodados]],"")</f>
        <v/>
      </c>
      <c r="AP480" s="176" t="str">
        <f>IFERROR(BASE_DATOS[[#This Row],[Kilómetros Rodados]]/(BASE_DATOS[[#This Row],[NSK Original]]-BASE_DATOS[[#This Row],[NSK]]),"")</f>
        <v/>
      </c>
      <c r="AQ48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80" s="177" t="str">
        <f>IFERROR(BASE_DATOS[[#This Row],[Precio US$]]/BASE_DATOS[[#This Row],[Kilómetros Proy.]],"")</f>
        <v/>
      </c>
      <c r="AS480" s="167" t="s">
        <v>62</v>
      </c>
      <c r="AT480" s="167"/>
      <c r="AU480" s="167"/>
      <c r="AV480" s="167"/>
      <c r="AW480" s="179"/>
      <c r="AX480" s="179"/>
      <c r="AY480" s="179" t="str">
        <f>CONCATENATE(BASE_DATOS[[#This Row],[Código_U]]&amp;BASE_DATOS[[#This Row],[Pos.]]&amp;BASE_DATOS[[#This Row],[Situación Actual]])</f>
        <v>SR-1942Rodando</v>
      </c>
    </row>
    <row r="481" spans="1:51" ht="12" x14ac:dyDescent="0.25">
      <c r="A481" s="227" t="s">
        <v>213</v>
      </c>
      <c r="B481" s="217" t="s">
        <v>214</v>
      </c>
      <c r="C481" s="228" t="s">
        <v>295</v>
      </c>
      <c r="D481" s="229" t="s">
        <v>87</v>
      </c>
      <c r="E481" s="255"/>
      <c r="F481" s="256" t="s">
        <v>97</v>
      </c>
      <c r="G481" s="256" t="s">
        <v>269</v>
      </c>
      <c r="H481" s="257" t="str">
        <f>IF(BASE_DATOS[[#This Row],[N-R]]="N",BASE_DATOS[[#This Row],[Diseño]],"Reencauche")</f>
        <v>Reencauche</v>
      </c>
      <c r="I481" s="256" t="s">
        <v>275</v>
      </c>
      <c r="J481" s="243" t="s">
        <v>82</v>
      </c>
      <c r="K481" s="258">
        <v>21</v>
      </c>
      <c r="L481" s="256">
        <v>110</v>
      </c>
      <c r="M481" s="259"/>
      <c r="N481" s="260"/>
      <c r="O481" s="277"/>
      <c r="P481" s="278"/>
      <c r="Q481" s="279"/>
      <c r="R481" s="309" t="s">
        <v>100</v>
      </c>
      <c r="S481" s="310">
        <v>45385</v>
      </c>
      <c r="T481" s="313"/>
      <c r="U481" s="279"/>
      <c r="V481" s="227">
        <v>19</v>
      </c>
      <c r="W481" s="281">
        <v>19</v>
      </c>
      <c r="X481" s="282">
        <v>19</v>
      </c>
      <c r="Y481" s="293">
        <f t="shared" si="20"/>
        <v>19</v>
      </c>
      <c r="Z481" s="161" t="s">
        <v>73</v>
      </c>
      <c r="AA481" s="342">
        <f>IFERROR(BASE_DATOS[[#This Row],[NSK Original]]-BASE_DATOS[[#This Row],[NSK]]," ")</f>
        <v>2</v>
      </c>
      <c r="AB481" s="343">
        <f>'NSK-TRACTO'!$A$2</f>
        <v>6</v>
      </c>
      <c r="AC481" s="343">
        <f>IF(BASE_DATOS[[#This Row],[NSK]]&gt;=BASE_DATOS[[#This Row],[NSK Reen]],BASE_DATOS[[#This Row],[NSK Reen]],BASE_DATOS[[#This Row],[NSK]])</f>
        <v>6</v>
      </c>
      <c r="AD481" s="344">
        <f>IFERROR(100%-(BASE_DATOS[[#This Row],[NSK Reen]]/BASE_DATOS[[#This Row],[NSK Original]]),"")</f>
        <v>0.7142857142857143</v>
      </c>
      <c r="AE481" s="344">
        <f>IFERROR(100%-BASE_DATOS[[#This Row],[NSK]]/BASE_DATOS[[#This Row],[NSK Original]],"")</f>
        <v>9.5238095238095233E-2</v>
      </c>
      <c r="AF481" s="344">
        <f>IFERROR(BASE_DATOS[[#This Row],[% Max Des.]]-BASE_DATOS[[#This Row],[% Des]],"")</f>
        <v>0.61904761904761907</v>
      </c>
      <c r="AG481" s="287"/>
      <c r="AH481" s="273"/>
      <c r="AI481" s="363" t="str">
        <f>IF(OR(BASE_DATOS[[#This Row],[Hr.]]="",BASE_DATOS[[#This Row],[Hr. Actual]]=""),"",BASE_DATOS[[#This Row],[Hr. Actual]]-BASE_DATOS[[#This Row],[Hr.]]+BASE_DATOS[[#This Row],[Horas Acumuladas]])</f>
        <v/>
      </c>
      <c r="AJ481" s="364" t="str">
        <f>IFERROR(BASE_DATOS[[#This Row],[Precio US$]]/BASE_DATOS[[#This Row],[Horas Rodadas]],"")</f>
        <v/>
      </c>
      <c r="AK481" s="365" t="str">
        <f>IFERROR(BASE_DATOS[[#This Row],[Horas Rodadas]]/(BASE_DATOS[[#This Row],[NSK Original]]-BASE_DATOS[[#This Row],[NSK]]),"")</f>
        <v/>
      </c>
      <c r="AL48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81" s="366" t="str">
        <f>IFERROR(BASE_DATOS[[#This Row],[Precio US$]]/BASE_DATOS[[#This Row],[Horas Proy.]],"")</f>
        <v/>
      </c>
      <c r="AN481" s="176" t="str">
        <f>IF(OR(BASE_DATOS[[#This Row],[Km.]]="",BASE_DATOS[[#This Row],[Km. Actual]]=""),"",BASE_DATOS[[#This Row],[Km. Actual]]-BASE_DATOS[[#This Row],[Km.]]+BASE_DATOS[[#This Row],[Kilómetros Acumulados]])</f>
        <v/>
      </c>
      <c r="AO481" s="177" t="str">
        <f>IFERROR(BASE_DATOS[[#This Row],[Precio US$]]/BASE_DATOS[[#This Row],[Kilómetros Rodados]],"")</f>
        <v/>
      </c>
      <c r="AP481" s="176" t="str">
        <f>IFERROR(BASE_DATOS[[#This Row],[Kilómetros Rodados]]/(BASE_DATOS[[#This Row],[NSK Original]]-BASE_DATOS[[#This Row],[NSK]]),"")</f>
        <v/>
      </c>
      <c r="AQ48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81" s="177" t="str">
        <f>IFERROR(BASE_DATOS[[#This Row],[Precio US$]]/BASE_DATOS[[#This Row],[Kilómetros Proy.]],"")</f>
        <v/>
      </c>
      <c r="AS481" s="167" t="s">
        <v>62</v>
      </c>
      <c r="AT481" s="167"/>
      <c r="AU481" s="167"/>
      <c r="AV481" s="167" t="s">
        <v>515</v>
      </c>
      <c r="AW481" s="179"/>
      <c r="AX481" s="179"/>
      <c r="AY481" s="179" t="str">
        <f>CONCATENATE(BASE_DATOS[[#This Row],[Código_U]]&amp;BASE_DATOS[[#This Row],[Pos.]]&amp;BASE_DATOS[[#This Row],[Situación Actual]])</f>
        <v>SR-1943Rodando</v>
      </c>
    </row>
    <row r="482" spans="1:51" ht="12" x14ac:dyDescent="0.25">
      <c r="A482" s="227" t="s">
        <v>213</v>
      </c>
      <c r="B482" s="217" t="s">
        <v>214</v>
      </c>
      <c r="C482" s="228" t="s">
        <v>295</v>
      </c>
      <c r="D482" s="229" t="s">
        <v>87</v>
      </c>
      <c r="E482" s="255"/>
      <c r="F482" s="256" t="s">
        <v>97</v>
      </c>
      <c r="G482" s="256" t="s">
        <v>269</v>
      </c>
      <c r="H482" s="257" t="str">
        <f>IF(BASE_DATOS[[#This Row],[N-R]]="N",BASE_DATOS[[#This Row],[Diseño]],"Reencauche")</f>
        <v>Reencauche</v>
      </c>
      <c r="I482" s="256" t="s">
        <v>275</v>
      </c>
      <c r="J482" s="243" t="s">
        <v>82</v>
      </c>
      <c r="K482" s="258">
        <v>21</v>
      </c>
      <c r="L482" s="256">
        <v>110</v>
      </c>
      <c r="M482" s="259"/>
      <c r="N482" s="260"/>
      <c r="O482" s="277"/>
      <c r="P482" s="278"/>
      <c r="Q482" s="279"/>
      <c r="R482" s="309" t="s">
        <v>101</v>
      </c>
      <c r="S482" s="310">
        <v>45385</v>
      </c>
      <c r="T482" s="313"/>
      <c r="U482" s="279"/>
      <c r="V482" s="227">
        <v>19</v>
      </c>
      <c r="W482" s="281">
        <v>19</v>
      </c>
      <c r="X482" s="282">
        <v>19</v>
      </c>
      <c r="Y482" s="293">
        <f t="shared" ref="Y482:Y513" si="21">IFERROR(MIN(V482:X482),"")</f>
        <v>19</v>
      </c>
      <c r="Z482" s="161" t="s">
        <v>73</v>
      </c>
      <c r="AA482" s="342">
        <f>IFERROR(BASE_DATOS[[#This Row],[NSK Original]]-BASE_DATOS[[#This Row],[NSK]]," ")</f>
        <v>2</v>
      </c>
      <c r="AB482" s="343">
        <f>'NSK-TRACTO'!$A$2</f>
        <v>6</v>
      </c>
      <c r="AC482" s="343">
        <f>IF(BASE_DATOS[[#This Row],[NSK]]&gt;=BASE_DATOS[[#This Row],[NSK Reen]],BASE_DATOS[[#This Row],[NSK Reen]],BASE_DATOS[[#This Row],[NSK]])</f>
        <v>6</v>
      </c>
      <c r="AD482" s="344">
        <f>IFERROR(100%-(BASE_DATOS[[#This Row],[NSK Reen]]/BASE_DATOS[[#This Row],[NSK Original]]),"")</f>
        <v>0.7142857142857143</v>
      </c>
      <c r="AE482" s="344">
        <f>IFERROR(100%-BASE_DATOS[[#This Row],[NSK]]/BASE_DATOS[[#This Row],[NSK Original]],"")</f>
        <v>9.5238095238095233E-2</v>
      </c>
      <c r="AF482" s="344">
        <f>IFERROR(BASE_DATOS[[#This Row],[% Max Des.]]-BASE_DATOS[[#This Row],[% Des]],"")</f>
        <v>0.61904761904761907</v>
      </c>
      <c r="AG482" s="287"/>
      <c r="AH482" s="273"/>
      <c r="AI482" s="363" t="str">
        <f>IF(OR(BASE_DATOS[[#This Row],[Hr.]]="",BASE_DATOS[[#This Row],[Hr. Actual]]=""),"",BASE_DATOS[[#This Row],[Hr. Actual]]-BASE_DATOS[[#This Row],[Hr.]]+BASE_DATOS[[#This Row],[Horas Acumuladas]])</f>
        <v/>
      </c>
      <c r="AJ482" s="364" t="str">
        <f>IFERROR(BASE_DATOS[[#This Row],[Precio US$]]/BASE_DATOS[[#This Row],[Horas Rodadas]],"")</f>
        <v/>
      </c>
      <c r="AK482" s="365" t="str">
        <f>IFERROR(BASE_DATOS[[#This Row],[Horas Rodadas]]/(BASE_DATOS[[#This Row],[NSK Original]]-BASE_DATOS[[#This Row],[NSK]]),"")</f>
        <v/>
      </c>
      <c r="AL48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82" s="366" t="str">
        <f>IFERROR(BASE_DATOS[[#This Row],[Precio US$]]/BASE_DATOS[[#This Row],[Horas Proy.]],"")</f>
        <v/>
      </c>
      <c r="AN482" s="176" t="str">
        <f>IF(OR(BASE_DATOS[[#This Row],[Km.]]="",BASE_DATOS[[#This Row],[Km. Actual]]=""),"",BASE_DATOS[[#This Row],[Km. Actual]]-BASE_DATOS[[#This Row],[Km.]]+BASE_DATOS[[#This Row],[Kilómetros Acumulados]])</f>
        <v/>
      </c>
      <c r="AO482" s="177" t="str">
        <f>IFERROR(BASE_DATOS[[#This Row],[Precio US$]]/BASE_DATOS[[#This Row],[Kilómetros Rodados]],"")</f>
        <v/>
      </c>
      <c r="AP482" s="176" t="str">
        <f>IFERROR(BASE_DATOS[[#This Row],[Kilómetros Rodados]]/(BASE_DATOS[[#This Row],[NSK Original]]-BASE_DATOS[[#This Row],[NSK]]),"")</f>
        <v/>
      </c>
      <c r="AQ48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82" s="177" t="str">
        <f>IFERROR(BASE_DATOS[[#This Row],[Precio US$]]/BASE_DATOS[[#This Row],[Kilómetros Proy.]],"")</f>
        <v/>
      </c>
      <c r="AS482" s="167" t="s">
        <v>62</v>
      </c>
      <c r="AT482" s="167"/>
      <c r="AU482" s="167"/>
      <c r="AV482" s="167" t="s">
        <v>515</v>
      </c>
      <c r="AW482" s="179"/>
      <c r="AX482" s="179"/>
      <c r="AY482" s="179" t="str">
        <f>CONCATENATE(BASE_DATOS[[#This Row],[Código_U]]&amp;BASE_DATOS[[#This Row],[Pos.]]&amp;BASE_DATOS[[#This Row],[Situación Actual]])</f>
        <v>SR-1944Rodando</v>
      </c>
    </row>
    <row r="483" spans="1:51" ht="12" x14ac:dyDescent="0.25">
      <c r="A483" s="227" t="s">
        <v>213</v>
      </c>
      <c r="B483" s="217" t="s">
        <v>214</v>
      </c>
      <c r="C483" s="228" t="s">
        <v>295</v>
      </c>
      <c r="D483" s="229" t="s">
        <v>87</v>
      </c>
      <c r="E483" s="248" t="s">
        <v>453</v>
      </c>
      <c r="F483" s="256" t="s">
        <v>97</v>
      </c>
      <c r="G483" s="256" t="s">
        <v>269</v>
      </c>
      <c r="H483" s="257" t="str">
        <f>IF(BASE_DATOS[[#This Row],[N-R]]="N",BASE_DATOS[[#This Row],[Diseño]],"Reencauche")</f>
        <v>AGC28</v>
      </c>
      <c r="I483" s="256" t="s">
        <v>270</v>
      </c>
      <c r="J483" s="243" t="s">
        <v>72</v>
      </c>
      <c r="K483" s="258">
        <v>16.5</v>
      </c>
      <c r="L483" s="256">
        <v>110</v>
      </c>
      <c r="M483" s="259"/>
      <c r="N483" s="260"/>
      <c r="O483" s="277"/>
      <c r="P483" s="278"/>
      <c r="Q483" s="279"/>
      <c r="R483" s="309" t="s">
        <v>102</v>
      </c>
      <c r="S483" s="310">
        <v>45385</v>
      </c>
      <c r="T483" s="313"/>
      <c r="U483" s="279"/>
      <c r="V483" s="227">
        <v>14</v>
      </c>
      <c r="W483" s="281">
        <v>14</v>
      </c>
      <c r="X483" s="282">
        <v>14</v>
      </c>
      <c r="Y483" s="293">
        <f t="shared" si="21"/>
        <v>14</v>
      </c>
      <c r="Z483" s="161" t="s">
        <v>73</v>
      </c>
      <c r="AA483" s="342">
        <f>IFERROR(BASE_DATOS[[#This Row],[NSK Original]]-BASE_DATOS[[#This Row],[NSK]]," ")</f>
        <v>2.5</v>
      </c>
      <c r="AB483" s="343">
        <f>'NSK-TRACTO'!$A$2</f>
        <v>6</v>
      </c>
      <c r="AC483" s="343">
        <f>IF(BASE_DATOS[[#This Row],[NSK]]&gt;=BASE_DATOS[[#This Row],[NSK Reen]],BASE_DATOS[[#This Row],[NSK Reen]],BASE_DATOS[[#This Row],[NSK]])</f>
        <v>6</v>
      </c>
      <c r="AD483" s="344">
        <f>IFERROR(100%-(BASE_DATOS[[#This Row],[NSK Reen]]/BASE_DATOS[[#This Row],[NSK Original]]),"")</f>
        <v>0.63636363636363635</v>
      </c>
      <c r="AE483" s="344">
        <f>IFERROR(100%-BASE_DATOS[[#This Row],[NSK]]/BASE_DATOS[[#This Row],[NSK Original]],"")</f>
        <v>0.15151515151515149</v>
      </c>
      <c r="AF483" s="344">
        <f>IFERROR(BASE_DATOS[[#This Row],[% Max Des.]]-BASE_DATOS[[#This Row],[% Des]],"")</f>
        <v>0.48484848484848486</v>
      </c>
      <c r="AG483" s="287"/>
      <c r="AH483" s="273"/>
      <c r="AI483" s="363" t="str">
        <f>IF(OR(BASE_DATOS[[#This Row],[Hr.]]="",BASE_DATOS[[#This Row],[Hr. Actual]]=""),"",BASE_DATOS[[#This Row],[Hr. Actual]]-BASE_DATOS[[#This Row],[Hr.]]+BASE_DATOS[[#This Row],[Horas Acumuladas]])</f>
        <v/>
      </c>
      <c r="AJ483" s="364" t="str">
        <f>IFERROR(BASE_DATOS[[#This Row],[Precio US$]]/BASE_DATOS[[#This Row],[Horas Rodadas]],"")</f>
        <v/>
      </c>
      <c r="AK483" s="365" t="str">
        <f>IFERROR(BASE_DATOS[[#This Row],[Horas Rodadas]]/(BASE_DATOS[[#This Row],[NSK Original]]-BASE_DATOS[[#This Row],[NSK]]),"")</f>
        <v/>
      </c>
      <c r="AL48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83" s="366" t="str">
        <f>IFERROR(BASE_DATOS[[#This Row],[Precio US$]]/BASE_DATOS[[#This Row],[Horas Proy.]],"")</f>
        <v/>
      </c>
      <c r="AN483" s="176" t="str">
        <f>IF(OR(BASE_DATOS[[#This Row],[Km.]]="",BASE_DATOS[[#This Row],[Km. Actual]]=""),"",BASE_DATOS[[#This Row],[Km. Actual]]-BASE_DATOS[[#This Row],[Km.]]+BASE_DATOS[[#This Row],[Kilómetros Acumulados]])</f>
        <v/>
      </c>
      <c r="AO483" s="177" t="str">
        <f>IFERROR(BASE_DATOS[[#This Row],[Precio US$]]/BASE_DATOS[[#This Row],[Kilómetros Rodados]],"")</f>
        <v/>
      </c>
      <c r="AP483" s="176" t="str">
        <f>IFERROR(BASE_DATOS[[#This Row],[Kilómetros Rodados]]/(BASE_DATOS[[#This Row],[NSK Original]]-BASE_DATOS[[#This Row],[NSK]]),"")</f>
        <v/>
      </c>
      <c r="AQ48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83" s="177" t="str">
        <f>IFERROR(BASE_DATOS[[#This Row],[Precio US$]]/BASE_DATOS[[#This Row],[Kilómetros Proy.]],"")</f>
        <v/>
      </c>
      <c r="AS483" s="167" t="s">
        <v>62</v>
      </c>
      <c r="AT483" s="167"/>
      <c r="AU483" s="167"/>
      <c r="AV483" s="167" t="s">
        <v>515</v>
      </c>
      <c r="AW483" s="179"/>
      <c r="AX483" s="179"/>
      <c r="AY483" s="179" t="str">
        <f>CONCATENATE(BASE_DATOS[[#This Row],[Código_U]]&amp;BASE_DATOS[[#This Row],[Pos.]]&amp;BASE_DATOS[[#This Row],[Situación Actual]])</f>
        <v>SR-1945Rodando</v>
      </c>
    </row>
    <row r="484" spans="1:51" ht="12" x14ac:dyDescent="0.25">
      <c r="A484" s="227" t="s">
        <v>213</v>
      </c>
      <c r="B484" s="217" t="s">
        <v>214</v>
      </c>
      <c r="C484" s="228" t="s">
        <v>295</v>
      </c>
      <c r="D484" s="229" t="s">
        <v>87</v>
      </c>
      <c r="E484" s="248" t="s">
        <v>453</v>
      </c>
      <c r="F484" s="256" t="s">
        <v>97</v>
      </c>
      <c r="G484" s="256" t="s">
        <v>269</v>
      </c>
      <c r="H484" s="257" t="str">
        <f>IF(BASE_DATOS[[#This Row],[N-R]]="N",BASE_DATOS[[#This Row],[Diseño]],"Reencauche")</f>
        <v>AGC28</v>
      </c>
      <c r="I484" s="256" t="s">
        <v>270</v>
      </c>
      <c r="J484" s="243" t="s">
        <v>72</v>
      </c>
      <c r="K484" s="258">
        <v>16.5</v>
      </c>
      <c r="L484" s="256">
        <v>110</v>
      </c>
      <c r="M484" s="259"/>
      <c r="N484" s="260"/>
      <c r="O484" s="277"/>
      <c r="P484" s="278"/>
      <c r="Q484" s="279"/>
      <c r="R484" s="309" t="s">
        <v>103</v>
      </c>
      <c r="S484" s="310">
        <v>45385</v>
      </c>
      <c r="T484" s="313"/>
      <c r="U484" s="279"/>
      <c r="V484" s="227">
        <v>14</v>
      </c>
      <c r="W484" s="281">
        <v>14</v>
      </c>
      <c r="X484" s="282">
        <v>14</v>
      </c>
      <c r="Y484" s="293">
        <f t="shared" si="21"/>
        <v>14</v>
      </c>
      <c r="Z484" s="161" t="s">
        <v>73</v>
      </c>
      <c r="AA484" s="342">
        <f>IFERROR(BASE_DATOS[[#This Row],[NSK Original]]-BASE_DATOS[[#This Row],[NSK]]," ")</f>
        <v>2.5</v>
      </c>
      <c r="AB484" s="343">
        <f>'NSK-TRACTO'!$A$2</f>
        <v>6</v>
      </c>
      <c r="AC484" s="343">
        <f>IF(BASE_DATOS[[#This Row],[NSK]]&gt;=BASE_DATOS[[#This Row],[NSK Reen]],BASE_DATOS[[#This Row],[NSK Reen]],BASE_DATOS[[#This Row],[NSK]])</f>
        <v>6</v>
      </c>
      <c r="AD484" s="344">
        <f>IFERROR(100%-(BASE_DATOS[[#This Row],[NSK Reen]]/BASE_DATOS[[#This Row],[NSK Original]]),"")</f>
        <v>0.63636363636363635</v>
      </c>
      <c r="AE484" s="344">
        <f>IFERROR(100%-BASE_DATOS[[#This Row],[NSK]]/BASE_DATOS[[#This Row],[NSK Original]],"")</f>
        <v>0.15151515151515149</v>
      </c>
      <c r="AF484" s="344">
        <f>IFERROR(BASE_DATOS[[#This Row],[% Max Des.]]-BASE_DATOS[[#This Row],[% Des]],"")</f>
        <v>0.48484848484848486</v>
      </c>
      <c r="AG484" s="287"/>
      <c r="AH484" s="273"/>
      <c r="AI484" s="363" t="str">
        <f>IF(OR(BASE_DATOS[[#This Row],[Hr.]]="",BASE_DATOS[[#This Row],[Hr. Actual]]=""),"",BASE_DATOS[[#This Row],[Hr. Actual]]-BASE_DATOS[[#This Row],[Hr.]]+BASE_DATOS[[#This Row],[Horas Acumuladas]])</f>
        <v/>
      </c>
      <c r="AJ484" s="364" t="str">
        <f>IFERROR(BASE_DATOS[[#This Row],[Precio US$]]/BASE_DATOS[[#This Row],[Horas Rodadas]],"")</f>
        <v/>
      </c>
      <c r="AK484" s="365" t="str">
        <f>IFERROR(BASE_DATOS[[#This Row],[Horas Rodadas]]/(BASE_DATOS[[#This Row],[NSK Original]]-BASE_DATOS[[#This Row],[NSK]]),"")</f>
        <v/>
      </c>
      <c r="AL48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84" s="366" t="str">
        <f>IFERROR(BASE_DATOS[[#This Row],[Precio US$]]/BASE_DATOS[[#This Row],[Horas Proy.]],"")</f>
        <v/>
      </c>
      <c r="AN484" s="176" t="str">
        <f>IF(OR(BASE_DATOS[[#This Row],[Km.]]="",BASE_DATOS[[#This Row],[Km. Actual]]=""),"",BASE_DATOS[[#This Row],[Km. Actual]]-BASE_DATOS[[#This Row],[Km.]]+BASE_DATOS[[#This Row],[Kilómetros Acumulados]])</f>
        <v/>
      </c>
      <c r="AO484" s="177" t="str">
        <f>IFERROR(BASE_DATOS[[#This Row],[Precio US$]]/BASE_DATOS[[#This Row],[Kilómetros Rodados]],"")</f>
        <v/>
      </c>
      <c r="AP484" s="176" t="str">
        <f>IFERROR(BASE_DATOS[[#This Row],[Kilómetros Rodados]]/(BASE_DATOS[[#This Row],[NSK Original]]-BASE_DATOS[[#This Row],[NSK]]),"")</f>
        <v/>
      </c>
      <c r="AQ48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84" s="177" t="str">
        <f>IFERROR(BASE_DATOS[[#This Row],[Precio US$]]/BASE_DATOS[[#This Row],[Kilómetros Proy.]],"")</f>
        <v/>
      </c>
      <c r="AS484" s="167" t="s">
        <v>62</v>
      </c>
      <c r="AT484" s="167"/>
      <c r="AU484" s="167"/>
      <c r="AV484" s="167" t="s">
        <v>515</v>
      </c>
      <c r="AW484" s="179"/>
      <c r="AX484" s="179"/>
      <c r="AY484" s="179" t="str">
        <f>CONCATENATE(BASE_DATOS[[#This Row],[Código_U]]&amp;BASE_DATOS[[#This Row],[Pos.]]&amp;BASE_DATOS[[#This Row],[Situación Actual]])</f>
        <v>SR-1946Rodando</v>
      </c>
    </row>
    <row r="485" spans="1:51" ht="12" x14ac:dyDescent="0.25">
      <c r="A485" s="227" t="s">
        <v>213</v>
      </c>
      <c r="B485" s="217" t="s">
        <v>214</v>
      </c>
      <c r="C485" s="228" t="s">
        <v>295</v>
      </c>
      <c r="D485" s="229" t="s">
        <v>384</v>
      </c>
      <c r="E485" s="255"/>
      <c r="F485" s="256" t="s">
        <v>273</v>
      </c>
      <c r="G485" s="256" t="s">
        <v>274</v>
      </c>
      <c r="H485" s="257" t="str">
        <f>IF(BASE_DATOS[[#This Row],[N-R]]="N",BASE_DATOS[[#This Row],[Diseño]],"Reencauche")</f>
        <v>XZY3</v>
      </c>
      <c r="I485" s="256" t="s">
        <v>277</v>
      </c>
      <c r="J485" s="243" t="s">
        <v>72</v>
      </c>
      <c r="K485" s="258">
        <v>0</v>
      </c>
      <c r="L485" s="256">
        <v>110</v>
      </c>
      <c r="M485" s="259"/>
      <c r="N485" s="260"/>
      <c r="O485" s="277"/>
      <c r="P485" s="278"/>
      <c r="Q485" s="279"/>
      <c r="R485" s="309" t="s">
        <v>509</v>
      </c>
      <c r="S485" s="310">
        <v>45385</v>
      </c>
      <c r="T485" s="313"/>
      <c r="U485" s="279"/>
      <c r="V485" s="227">
        <v>10</v>
      </c>
      <c r="W485" s="281">
        <v>8</v>
      </c>
      <c r="X485" s="282">
        <v>9</v>
      </c>
      <c r="Y485" s="293">
        <f t="shared" si="21"/>
        <v>8</v>
      </c>
      <c r="Z485" s="175" t="s">
        <v>85</v>
      </c>
      <c r="AA485" s="342">
        <f>IFERROR(BASE_DATOS[[#This Row],[NSK Original]]-BASE_DATOS[[#This Row],[NSK]]," ")</f>
        <v>-8</v>
      </c>
      <c r="AB485" s="343">
        <f>'NSK-TRACTO'!$A$2</f>
        <v>6</v>
      </c>
      <c r="AC485" s="343">
        <f>IF(BASE_DATOS[[#This Row],[NSK]]&gt;=BASE_DATOS[[#This Row],[NSK Reen]],BASE_DATOS[[#This Row],[NSK Reen]],BASE_DATOS[[#This Row],[NSK]])</f>
        <v>6</v>
      </c>
      <c r="AD485" s="344" t="str">
        <f>IFERROR(100%-(BASE_DATOS[[#This Row],[NSK Reen]]/BASE_DATOS[[#This Row],[NSK Original]]),"")</f>
        <v/>
      </c>
      <c r="AE485" s="344" t="str">
        <f>IFERROR(100%-BASE_DATOS[[#This Row],[NSK]]/BASE_DATOS[[#This Row],[NSK Original]],"")</f>
        <v/>
      </c>
      <c r="AF485" s="344" t="str">
        <f>IFERROR(BASE_DATOS[[#This Row],[% Max Des.]]-BASE_DATOS[[#This Row],[% Des]],"")</f>
        <v/>
      </c>
      <c r="AG485" s="287"/>
      <c r="AH485" s="273"/>
      <c r="AI485" s="363" t="str">
        <f>IF(OR(BASE_DATOS[[#This Row],[Hr.]]="",BASE_DATOS[[#This Row],[Hr. Actual]]=""),"",BASE_DATOS[[#This Row],[Hr. Actual]]-BASE_DATOS[[#This Row],[Hr.]]+BASE_DATOS[[#This Row],[Horas Acumuladas]])</f>
        <v/>
      </c>
      <c r="AJ485" s="364" t="str">
        <f>IFERROR(BASE_DATOS[[#This Row],[Precio US$]]/BASE_DATOS[[#This Row],[Horas Rodadas]],"")</f>
        <v/>
      </c>
      <c r="AK485" s="365" t="str">
        <f>IFERROR(BASE_DATOS[[#This Row],[Horas Rodadas]]/(BASE_DATOS[[#This Row],[NSK Original]]-BASE_DATOS[[#This Row],[NSK]]),"")</f>
        <v/>
      </c>
      <c r="AL48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85" s="366" t="str">
        <f>IFERROR(BASE_DATOS[[#This Row],[Precio US$]]/BASE_DATOS[[#This Row],[Horas Proy.]],"")</f>
        <v/>
      </c>
      <c r="AN485" s="176" t="str">
        <f>IF(OR(BASE_DATOS[[#This Row],[Km.]]="",BASE_DATOS[[#This Row],[Km. Actual]]=""),"",BASE_DATOS[[#This Row],[Km. Actual]]-BASE_DATOS[[#This Row],[Km.]]+BASE_DATOS[[#This Row],[Kilómetros Acumulados]])</f>
        <v/>
      </c>
      <c r="AO485" s="177" t="str">
        <f>IFERROR(BASE_DATOS[[#This Row],[Precio US$]]/BASE_DATOS[[#This Row],[Kilómetros Rodados]],"")</f>
        <v/>
      </c>
      <c r="AP485" s="176" t="str">
        <f>IFERROR(BASE_DATOS[[#This Row],[Kilómetros Rodados]]/(BASE_DATOS[[#This Row],[NSK Original]]-BASE_DATOS[[#This Row],[NSK]]),"")</f>
        <v/>
      </c>
      <c r="AQ48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85" s="177" t="str">
        <f>IFERROR(BASE_DATOS[[#This Row],[Precio US$]]/BASE_DATOS[[#This Row],[Kilómetros Proy.]],"")</f>
        <v/>
      </c>
      <c r="AS485" s="167" t="s">
        <v>62</v>
      </c>
      <c r="AT485" s="167"/>
      <c r="AU485" s="167" t="s">
        <v>515</v>
      </c>
      <c r="AV485" s="167"/>
      <c r="AW485" s="179"/>
      <c r="AX485" s="169" t="s">
        <v>371</v>
      </c>
      <c r="AY485" s="169" t="str">
        <f>CONCATENATE(BASE_DATOS[[#This Row],[Código_U]]&amp;BASE_DATOS[[#This Row],[Pos.]]&amp;BASE_DATOS[[#This Row],[Situación Actual]])</f>
        <v>SR-194RERodando</v>
      </c>
    </row>
    <row r="486" spans="1:51" ht="12" x14ac:dyDescent="0.25">
      <c r="A486" s="227" t="s">
        <v>213</v>
      </c>
      <c r="B486" s="217" t="s">
        <v>214</v>
      </c>
      <c r="C486" s="228" t="s">
        <v>295</v>
      </c>
      <c r="D486" s="229" t="s">
        <v>108</v>
      </c>
      <c r="E486" s="255"/>
      <c r="F486" s="256" t="s">
        <v>273</v>
      </c>
      <c r="G486" s="256" t="s">
        <v>271</v>
      </c>
      <c r="H486" s="257" t="str">
        <f>IF(BASE_DATOS[[#This Row],[N-R]]="N",BASE_DATOS[[#This Row],[Diseño]],"Reencauche")</f>
        <v>Reencauche</v>
      </c>
      <c r="I486" s="256" t="s">
        <v>282</v>
      </c>
      <c r="J486" s="243" t="s">
        <v>82</v>
      </c>
      <c r="K486" s="258">
        <v>22</v>
      </c>
      <c r="L486" s="256">
        <v>110</v>
      </c>
      <c r="M486" s="259"/>
      <c r="N486" s="260"/>
      <c r="O486" s="277"/>
      <c r="P486" s="278"/>
      <c r="Q486" s="279"/>
      <c r="R486" s="309" t="s">
        <v>108</v>
      </c>
      <c r="S486" s="310">
        <v>45385</v>
      </c>
      <c r="T486" s="313"/>
      <c r="U486" s="279"/>
      <c r="V486" s="227">
        <v>8</v>
      </c>
      <c r="W486" s="281"/>
      <c r="X486" s="282">
        <v>10</v>
      </c>
      <c r="Y486" s="293">
        <f t="shared" si="21"/>
        <v>8</v>
      </c>
      <c r="Z486" s="175" t="s">
        <v>85</v>
      </c>
      <c r="AA486" s="342">
        <f>IFERROR(BASE_DATOS[[#This Row],[NSK Original]]-BASE_DATOS[[#This Row],[NSK]]," ")</f>
        <v>14</v>
      </c>
      <c r="AB486" s="343">
        <f>'NSK-TRACTO'!$A$2</f>
        <v>6</v>
      </c>
      <c r="AC486" s="343">
        <f>IF(BASE_DATOS[[#This Row],[NSK]]&gt;=BASE_DATOS[[#This Row],[NSK Reen]],BASE_DATOS[[#This Row],[NSK Reen]],BASE_DATOS[[#This Row],[NSK]])</f>
        <v>6</v>
      </c>
      <c r="AD486" s="344">
        <f>IFERROR(100%-(BASE_DATOS[[#This Row],[NSK Reen]]/BASE_DATOS[[#This Row],[NSK Original]]),"")</f>
        <v>0.72727272727272729</v>
      </c>
      <c r="AE486" s="344">
        <f>IFERROR(100%-BASE_DATOS[[#This Row],[NSK]]/BASE_DATOS[[#This Row],[NSK Original]],"")</f>
        <v>0.63636363636363635</v>
      </c>
      <c r="AF486" s="344">
        <f>IFERROR(BASE_DATOS[[#This Row],[% Max Des.]]-BASE_DATOS[[#This Row],[% Des]],"")</f>
        <v>9.0909090909090939E-2</v>
      </c>
      <c r="AG486" s="287"/>
      <c r="AH486" s="273"/>
      <c r="AI486" s="363" t="str">
        <f>IF(OR(BASE_DATOS[[#This Row],[Hr.]]="",BASE_DATOS[[#This Row],[Hr. Actual]]=""),"",BASE_DATOS[[#This Row],[Hr. Actual]]-BASE_DATOS[[#This Row],[Hr.]]+BASE_DATOS[[#This Row],[Horas Acumuladas]])</f>
        <v/>
      </c>
      <c r="AJ486" s="364" t="str">
        <f>IFERROR(BASE_DATOS[[#This Row],[Precio US$]]/BASE_DATOS[[#This Row],[Horas Rodadas]],"")</f>
        <v/>
      </c>
      <c r="AK486" s="365" t="str">
        <f>IFERROR(BASE_DATOS[[#This Row],[Horas Rodadas]]/(BASE_DATOS[[#This Row],[NSK Original]]-BASE_DATOS[[#This Row],[NSK]]),"")</f>
        <v/>
      </c>
      <c r="AL48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86" s="366" t="str">
        <f>IFERROR(BASE_DATOS[[#This Row],[Precio US$]]/BASE_DATOS[[#This Row],[Horas Proy.]],"")</f>
        <v/>
      </c>
      <c r="AN486" s="176" t="str">
        <f>IF(OR(BASE_DATOS[[#This Row],[Km.]]="",BASE_DATOS[[#This Row],[Km. Actual]]=""),"",BASE_DATOS[[#This Row],[Km. Actual]]-BASE_DATOS[[#This Row],[Km.]]+BASE_DATOS[[#This Row],[Kilómetros Acumulados]])</f>
        <v/>
      </c>
      <c r="AO486" s="177" t="str">
        <f>IFERROR(BASE_DATOS[[#This Row],[Precio US$]]/BASE_DATOS[[#This Row],[Kilómetros Rodados]],"")</f>
        <v/>
      </c>
      <c r="AP486" s="176" t="str">
        <f>IFERROR(BASE_DATOS[[#This Row],[Kilómetros Rodados]]/(BASE_DATOS[[#This Row],[NSK Original]]-BASE_DATOS[[#This Row],[NSK]]),"")</f>
        <v/>
      </c>
      <c r="AQ48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86" s="177" t="str">
        <f>IFERROR(BASE_DATOS[[#This Row],[Precio US$]]/BASE_DATOS[[#This Row],[Kilómetros Proy.]],"")</f>
        <v/>
      </c>
      <c r="AS486" s="167" t="s">
        <v>62</v>
      </c>
      <c r="AT486" s="167"/>
      <c r="AU486" s="167" t="s">
        <v>515</v>
      </c>
      <c r="AV486" s="167"/>
      <c r="AW486" s="179"/>
      <c r="AX486" s="169" t="s">
        <v>371</v>
      </c>
      <c r="AY486" s="169" t="str">
        <f>CONCATENATE(BASE_DATOS[[#This Row],[Código_U]]&amp;BASE_DATOS[[#This Row],[Pos.]]&amp;BASE_DATOS[[#This Row],[Situación Actual]])</f>
        <v>SR-194RTRodando</v>
      </c>
    </row>
    <row r="487" spans="1:51" ht="12" x14ac:dyDescent="0.25">
      <c r="A487" s="224" t="s">
        <v>215</v>
      </c>
      <c r="B487" s="213" t="s">
        <v>216</v>
      </c>
      <c r="C487" s="225" t="s">
        <v>296</v>
      </c>
      <c r="D487" s="226" t="s">
        <v>86</v>
      </c>
      <c r="E487" s="249"/>
      <c r="F487" s="250" t="s">
        <v>278</v>
      </c>
      <c r="G487" s="250" t="s">
        <v>271</v>
      </c>
      <c r="H487" s="251" t="str">
        <f>IF(BASE_DATOS[[#This Row],[N-R]]="N",BASE_DATOS[[#This Row],[Diseño]],"Reencauche")</f>
        <v>HS3+</v>
      </c>
      <c r="I487" s="250" t="s">
        <v>279</v>
      </c>
      <c r="J487" s="235" t="s">
        <v>72</v>
      </c>
      <c r="K487" s="252">
        <v>16</v>
      </c>
      <c r="L487" s="233">
        <v>100</v>
      </c>
      <c r="M487" s="253"/>
      <c r="N487" s="254"/>
      <c r="O487" s="274"/>
      <c r="P487" s="275"/>
      <c r="Q487" s="276"/>
      <c r="R487" s="305" t="s">
        <v>98</v>
      </c>
      <c r="S487" s="306">
        <v>45385</v>
      </c>
      <c r="T487" s="307"/>
      <c r="U487" s="308"/>
      <c r="V487" s="224">
        <v>5</v>
      </c>
      <c r="W487" s="325">
        <v>7</v>
      </c>
      <c r="X487" s="326">
        <v>7</v>
      </c>
      <c r="Y487" s="292">
        <f t="shared" si="21"/>
        <v>5</v>
      </c>
      <c r="Z487" s="194" t="s">
        <v>85</v>
      </c>
      <c r="AA487" s="339">
        <f>IFERROR(BASE_DATOS[[#This Row],[NSK Original]]-BASE_DATOS[[#This Row],[NSK]]," ")</f>
        <v>11</v>
      </c>
      <c r="AB487" s="340">
        <f>'NSK-TRACTO'!$A$2</f>
        <v>6</v>
      </c>
      <c r="AC487" s="340">
        <f>IF(BASE_DATOS[[#This Row],[NSK]]&gt;=BASE_DATOS[[#This Row],[NSK Reen]],BASE_DATOS[[#This Row],[NSK Reen]],BASE_DATOS[[#This Row],[NSK]])</f>
        <v>5</v>
      </c>
      <c r="AD487" s="341">
        <f>IFERROR(100%-(BASE_DATOS[[#This Row],[NSK Reen]]/BASE_DATOS[[#This Row],[NSK Original]]),"")</f>
        <v>0.625</v>
      </c>
      <c r="AE487" s="341">
        <f>IFERROR(100%-BASE_DATOS[[#This Row],[NSK]]/BASE_DATOS[[#This Row],[NSK Original]],"")</f>
        <v>0.6875</v>
      </c>
      <c r="AF487" s="341">
        <f>IFERROR(BASE_DATOS[[#This Row],[% Max Des.]]-BASE_DATOS[[#This Row],[% Des]],"")</f>
        <v>-6.25E-2</v>
      </c>
      <c r="AG487" s="284"/>
      <c r="AH487" s="335"/>
      <c r="AI487" s="359" t="str">
        <f>IF(OR(BASE_DATOS[[#This Row],[Hr.]]="",BASE_DATOS[[#This Row],[Hr. Actual]]=""),"",BASE_DATOS[[#This Row],[Hr. Actual]]-BASE_DATOS[[#This Row],[Hr.]]+BASE_DATOS[[#This Row],[Horas Acumuladas]])</f>
        <v/>
      </c>
      <c r="AJ487" s="360" t="str">
        <f>IFERROR(BASE_DATOS[[#This Row],[Precio US$]]/BASE_DATOS[[#This Row],[Horas Rodadas]],"")</f>
        <v/>
      </c>
      <c r="AK487" s="361" t="str">
        <f>IFERROR(BASE_DATOS[[#This Row],[Horas Rodadas]]/(BASE_DATOS[[#This Row],[NSK Original]]-BASE_DATOS[[#This Row],[NSK]]),"")</f>
        <v/>
      </c>
      <c r="AL487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87" s="362" t="str">
        <f>IFERROR(BASE_DATOS[[#This Row],[Precio US$]]/BASE_DATOS[[#This Row],[Horas Proy.]],"")</f>
        <v/>
      </c>
      <c r="AN487" s="195" t="str">
        <f>IF(OR(BASE_DATOS[[#This Row],[Km.]]="",BASE_DATOS[[#This Row],[Km. Actual]]=""),"",BASE_DATOS[[#This Row],[Km. Actual]]-BASE_DATOS[[#This Row],[Km.]]+BASE_DATOS[[#This Row],[Kilómetros Acumulados]])</f>
        <v/>
      </c>
      <c r="AO487" s="196" t="str">
        <f>IFERROR(BASE_DATOS[[#This Row],[Precio US$]]/BASE_DATOS[[#This Row],[Kilómetros Rodados]],"")</f>
        <v/>
      </c>
      <c r="AP487" s="195" t="str">
        <f>IFERROR(BASE_DATOS[[#This Row],[Kilómetros Rodados]]/(BASE_DATOS[[#This Row],[NSK Original]]-BASE_DATOS[[#This Row],[NSK]]),"")</f>
        <v/>
      </c>
      <c r="AQ487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87" s="196" t="str">
        <f>IFERROR(BASE_DATOS[[#This Row],[Precio US$]]/BASE_DATOS[[#This Row],[Kilómetros Proy.]],"")</f>
        <v/>
      </c>
      <c r="AS487" s="191" t="s">
        <v>62</v>
      </c>
      <c r="AT487" s="191"/>
      <c r="AU487" s="191"/>
      <c r="AV487" s="191"/>
      <c r="AW487" s="198"/>
      <c r="AX487" s="198"/>
      <c r="AY487" s="198" t="str">
        <f>CONCATENATE(BASE_DATOS[[#This Row],[Código_U]]&amp;BASE_DATOS[[#This Row],[Pos.]]&amp;BASE_DATOS[[#This Row],[Situación Actual]])</f>
        <v>TC-1961Rodando</v>
      </c>
    </row>
    <row r="488" spans="1:51" ht="12" x14ac:dyDescent="0.25">
      <c r="A488" s="227" t="s">
        <v>215</v>
      </c>
      <c r="B488" s="217" t="s">
        <v>216</v>
      </c>
      <c r="C488" s="228" t="s">
        <v>296</v>
      </c>
      <c r="D488" s="229" t="s">
        <v>86</v>
      </c>
      <c r="E488" s="255"/>
      <c r="F488" s="256" t="s">
        <v>278</v>
      </c>
      <c r="G488" s="256" t="s">
        <v>271</v>
      </c>
      <c r="H488" s="257" t="str">
        <f>IF(BASE_DATOS[[#This Row],[N-R]]="N",BASE_DATOS[[#This Row],[Diseño]],"Reencauche")</f>
        <v>HS3+</v>
      </c>
      <c r="I488" s="256" t="s">
        <v>279</v>
      </c>
      <c r="J488" s="243" t="s">
        <v>72</v>
      </c>
      <c r="K488" s="258">
        <v>16</v>
      </c>
      <c r="L488" s="241">
        <v>100</v>
      </c>
      <c r="M488" s="259"/>
      <c r="N488" s="260"/>
      <c r="O488" s="277"/>
      <c r="P488" s="278"/>
      <c r="Q488" s="279"/>
      <c r="R488" s="309" t="s">
        <v>99</v>
      </c>
      <c r="S488" s="310">
        <v>45385</v>
      </c>
      <c r="T488" s="311"/>
      <c r="U488" s="312"/>
      <c r="V488" s="227">
        <v>9</v>
      </c>
      <c r="W488" s="281">
        <v>9</v>
      </c>
      <c r="X488" s="282">
        <v>9</v>
      </c>
      <c r="Y488" s="293">
        <f t="shared" si="21"/>
        <v>9</v>
      </c>
      <c r="Z488" s="175" t="s">
        <v>85</v>
      </c>
      <c r="AA488" s="342">
        <f>IFERROR(BASE_DATOS[[#This Row],[NSK Original]]-BASE_DATOS[[#This Row],[NSK]]," ")</f>
        <v>7</v>
      </c>
      <c r="AB488" s="343">
        <f>'NSK-TRACTO'!$A$2</f>
        <v>6</v>
      </c>
      <c r="AC488" s="343">
        <f>IF(BASE_DATOS[[#This Row],[NSK]]&gt;=BASE_DATOS[[#This Row],[NSK Reen]],BASE_DATOS[[#This Row],[NSK Reen]],BASE_DATOS[[#This Row],[NSK]])</f>
        <v>6</v>
      </c>
      <c r="AD488" s="344">
        <f>IFERROR(100%-(BASE_DATOS[[#This Row],[NSK Reen]]/BASE_DATOS[[#This Row],[NSK Original]]),"")</f>
        <v>0.625</v>
      </c>
      <c r="AE488" s="344">
        <f>IFERROR(100%-BASE_DATOS[[#This Row],[NSK]]/BASE_DATOS[[#This Row],[NSK Original]],"")</f>
        <v>0.4375</v>
      </c>
      <c r="AF488" s="344">
        <f>IFERROR(BASE_DATOS[[#This Row],[% Max Des.]]-BASE_DATOS[[#This Row],[% Des]],"")</f>
        <v>0.1875</v>
      </c>
      <c r="AG488" s="287"/>
      <c r="AH488" s="273"/>
      <c r="AI488" s="363" t="str">
        <f>IF(OR(BASE_DATOS[[#This Row],[Hr.]]="",BASE_DATOS[[#This Row],[Hr. Actual]]=""),"",BASE_DATOS[[#This Row],[Hr. Actual]]-BASE_DATOS[[#This Row],[Hr.]]+BASE_DATOS[[#This Row],[Horas Acumuladas]])</f>
        <v/>
      </c>
      <c r="AJ488" s="364" t="str">
        <f>IFERROR(BASE_DATOS[[#This Row],[Precio US$]]/BASE_DATOS[[#This Row],[Horas Rodadas]],"")</f>
        <v/>
      </c>
      <c r="AK488" s="365" t="str">
        <f>IFERROR(BASE_DATOS[[#This Row],[Horas Rodadas]]/(BASE_DATOS[[#This Row],[NSK Original]]-BASE_DATOS[[#This Row],[NSK]]),"")</f>
        <v/>
      </c>
      <c r="AL48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88" s="366" t="str">
        <f>IFERROR(BASE_DATOS[[#This Row],[Precio US$]]/BASE_DATOS[[#This Row],[Horas Proy.]],"")</f>
        <v/>
      </c>
      <c r="AN488" s="176" t="str">
        <f>IF(OR(BASE_DATOS[[#This Row],[Km.]]="",BASE_DATOS[[#This Row],[Km. Actual]]=""),"",BASE_DATOS[[#This Row],[Km. Actual]]-BASE_DATOS[[#This Row],[Km.]]+BASE_DATOS[[#This Row],[Kilómetros Acumulados]])</f>
        <v/>
      </c>
      <c r="AO488" s="177" t="str">
        <f>IFERROR(BASE_DATOS[[#This Row],[Precio US$]]/BASE_DATOS[[#This Row],[Kilómetros Rodados]],"")</f>
        <v/>
      </c>
      <c r="AP488" s="176" t="str">
        <f>IFERROR(BASE_DATOS[[#This Row],[Kilómetros Rodados]]/(BASE_DATOS[[#This Row],[NSK Original]]-BASE_DATOS[[#This Row],[NSK]]),"")</f>
        <v/>
      </c>
      <c r="AQ48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88" s="177" t="str">
        <f>IFERROR(BASE_DATOS[[#This Row],[Precio US$]]/BASE_DATOS[[#This Row],[Kilómetros Proy.]],"")</f>
        <v/>
      </c>
      <c r="AS488" s="167" t="s">
        <v>62</v>
      </c>
      <c r="AT488" s="167"/>
      <c r="AU488" s="167"/>
      <c r="AV488" s="167"/>
      <c r="AW488" s="179"/>
      <c r="AX488" s="179"/>
      <c r="AY488" s="179" t="str">
        <f>CONCATENATE(BASE_DATOS[[#This Row],[Código_U]]&amp;BASE_DATOS[[#This Row],[Pos.]]&amp;BASE_DATOS[[#This Row],[Situación Actual]])</f>
        <v>TC-1962Rodando</v>
      </c>
    </row>
    <row r="489" spans="1:51" ht="12" x14ac:dyDescent="0.25">
      <c r="A489" s="227" t="s">
        <v>215</v>
      </c>
      <c r="B489" s="217" t="s">
        <v>216</v>
      </c>
      <c r="C489" s="228" t="s">
        <v>296</v>
      </c>
      <c r="D489" s="229" t="s">
        <v>61</v>
      </c>
      <c r="E489" s="255"/>
      <c r="F489" s="256" t="s">
        <v>71</v>
      </c>
      <c r="G489" s="256" t="s">
        <v>271</v>
      </c>
      <c r="H489" s="257" t="str">
        <f>IF(BASE_DATOS[[#This Row],[N-R]]="N",BASE_DATOS[[#This Row],[Diseño]],"Reencauche")</f>
        <v>KMAXD</v>
      </c>
      <c r="I489" s="256" t="s">
        <v>294</v>
      </c>
      <c r="J489" s="243" t="s">
        <v>72</v>
      </c>
      <c r="K489" s="258">
        <v>22.2</v>
      </c>
      <c r="L489" s="241">
        <v>110</v>
      </c>
      <c r="M489" s="259"/>
      <c r="N489" s="260"/>
      <c r="O489" s="277"/>
      <c r="P489" s="278"/>
      <c r="Q489" s="279"/>
      <c r="R489" s="309" t="s">
        <v>100</v>
      </c>
      <c r="S489" s="310">
        <v>45385</v>
      </c>
      <c r="T489" s="311"/>
      <c r="U489" s="312"/>
      <c r="V489" s="227">
        <v>19</v>
      </c>
      <c r="W489" s="281"/>
      <c r="X489" s="282">
        <v>19</v>
      </c>
      <c r="Y489" s="293">
        <f t="shared" si="21"/>
        <v>19</v>
      </c>
      <c r="Z489" s="175" t="s">
        <v>85</v>
      </c>
      <c r="AA489" s="342">
        <f>IFERROR(BASE_DATOS[[#This Row],[NSK Original]]-BASE_DATOS[[#This Row],[NSK]]," ")</f>
        <v>3.1999999999999993</v>
      </c>
      <c r="AB489" s="343">
        <f>'NSK-TRACTO'!$A$2</f>
        <v>6</v>
      </c>
      <c r="AC489" s="343">
        <f>IF(BASE_DATOS[[#This Row],[NSK]]&gt;=BASE_DATOS[[#This Row],[NSK Reen]],BASE_DATOS[[#This Row],[NSK Reen]],BASE_DATOS[[#This Row],[NSK]])</f>
        <v>6</v>
      </c>
      <c r="AD489" s="344">
        <f>IFERROR(100%-(BASE_DATOS[[#This Row],[NSK Reen]]/BASE_DATOS[[#This Row],[NSK Original]]),"")</f>
        <v>0.72972972972972971</v>
      </c>
      <c r="AE489" s="344">
        <f>IFERROR(100%-BASE_DATOS[[#This Row],[NSK]]/BASE_DATOS[[#This Row],[NSK Original]],"")</f>
        <v>0.14414414414414412</v>
      </c>
      <c r="AF489" s="344">
        <f>IFERROR(BASE_DATOS[[#This Row],[% Max Des.]]-BASE_DATOS[[#This Row],[% Des]],"")</f>
        <v>0.5855855855855856</v>
      </c>
      <c r="AG489" s="287"/>
      <c r="AH489" s="273"/>
      <c r="AI489" s="363" t="str">
        <f>IF(OR(BASE_DATOS[[#This Row],[Hr.]]="",BASE_DATOS[[#This Row],[Hr. Actual]]=""),"",BASE_DATOS[[#This Row],[Hr. Actual]]-BASE_DATOS[[#This Row],[Hr.]]+BASE_DATOS[[#This Row],[Horas Acumuladas]])</f>
        <v/>
      </c>
      <c r="AJ489" s="364" t="str">
        <f>IFERROR(BASE_DATOS[[#This Row],[Precio US$]]/BASE_DATOS[[#This Row],[Horas Rodadas]],"")</f>
        <v/>
      </c>
      <c r="AK489" s="365" t="str">
        <f>IFERROR(BASE_DATOS[[#This Row],[Horas Rodadas]]/(BASE_DATOS[[#This Row],[NSK Original]]-BASE_DATOS[[#This Row],[NSK]]),"")</f>
        <v/>
      </c>
      <c r="AL48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89" s="366" t="str">
        <f>IFERROR(BASE_DATOS[[#This Row],[Precio US$]]/BASE_DATOS[[#This Row],[Horas Proy.]],"")</f>
        <v/>
      </c>
      <c r="AN489" s="176" t="str">
        <f>IF(OR(BASE_DATOS[[#This Row],[Km.]]="",BASE_DATOS[[#This Row],[Km. Actual]]=""),"",BASE_DATOS[[#This Row],[Km. Actual]]-BASE_DATOS[[#This Row],[Km.]]+BASE_DATOS[[#This Row],[Kilómetros Acumulados]])</f>
        <v/>
      </c>
      <c r="AO489" s="177" t="str">
        <f>IFERROR(BASE_DATOS[[#This Row],[Precio US$]]/BASE_DATOS[[#This Row],[Kilómetros Rodados]],"")</f>
        <v/>
      </c>
      <c r="AP489" s="176" t="str">
        <f>IFERROR(BASE_DATOS[[#This Row],[Kilómetros Rodados]]/(BASE_DATOS[[#This Row],[NSK Original]]-BASE_DATOS[[#This Row],[NSK]]),"")</f>
        <v/>
      </c>
      <c r="AQ48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89" s="177" t="str">
        <f>IFERROR(BASE_DATOS[[#This Row],[Precio US$]]/BASE_DATOS[[#This Row],[Kilómetros Proy.]],"")</f>
        <v/>
      </c>
      <c r="AS489" s="167" t="s">
        <v>62</v>
      </c>
      <c r="AT489" s="167"/>
      <c r="AU489" s="167"/>
      <c r="AV489" s="167" t="s">
        <v>515</v>
      </c>
      <c r="AW489" s="179"/>
      <c r="AX489" s="179"/>
      <c r="AY489" s="179" t="str">
        <f>CONCATENATE(BASE_DATOS[[#This Row],[Código_U]]&amp;BASE_DATOS[[#This Row],[Pos.]]&amp;BASE_DATOS[[#This Row],[Situación Actual]])</f>
        <v>TC-1963Rodando</v>
      </c>
    </row>
    <row r="490" spans="1:51" ht="12" x14ac:dyDescent="0.25">
      <c r="A490" s="227" t="s">
        <v>215</v>
      </c>
      <c r="B490" s="217" t="s">
        <v>216</v>
      </c>
      <c r="C490" s="228" t="s">
        <v>296</v>
      </c>
      <c r="D490" s="229" t="s">
        <v>61</v>
      </c>
      <c r="E490" s="255"/>
      <c r="F490" s="256" t="s">
        <v>71</v>
      </c>
      <c r="G490" s="256" t="s">
        <v>271</v>
      </c>
      <c r="H490" s="257" t="str">
        <f>IF(BASE_DATOS[[#This Row],[N-R]]="N",BASE_DATOS[[#This Row],[Diseño]],"Reencauche")</f>
        <v>KMAXD</v>
      </c>
      <c r="I490" s="256" t="s">
        <v>294</v>
      </c>
      <c r="J490" s="243" t="s">
        <v>72</v>
      </c>
      <c r="K490" s="258">
        <v>22.2</v>
      </c>
      <c r="L490" s="241">
        <v>110</v>
      </c>
      <c r="M490" s="259"/>
      <c r="N490" s="260"/>
      <c r="O490" s="277"/>
      <c r="P490" s="278"/>
      <c r="Q490" s="279"/>
      <c r="R490" s="309" t="s">
        <v>101</v>
      </c>
      <c r="S490" s="310">
        <v>45385</v>
      </c>
      <c r="T490" s="311"/>
      <c r="U490" s="312"/>
      <c r="V490" s="227">
        <v>19</v>
      </c>
      <c r="W490" s="281"/>
      <c r="X490" s="282">
        <v>19</v>
      </c>
      <c r="Y490" s="293">
        <f t="shared" si="21"/>
        <v>19</v>
      </c>
      <c r="Z490" s="175" t="s">
        <v>85</v>
      </c>
      <c r="AA490" s="342">
        <f>IFERROR(BASE_DATOS[[#This Row],[NSK Original]]-BASE_DATOS[[#This Row],[NSK]]," ")</f>
        <v>3.1999999999999993</v>
      </c>
      <c r="AB490" s="343">
        <f>'NSK-TRACTO'!$A$2</f>
        <v>6</v>
      </c>
      <c r="AC490" s="343">
        <f>IF(BASE_DATOS[[#This Row],[NSK]]&gt;=BASE_DATOS[[#This Row],[NSK Reen]],BASE_DATOS[[#This Row],[NSK Reen]],BASE_DATOS[[#This Row],[NSK]])</f>
        <v>6</v>
      </c>
      <c r="AD490" s="344">
        <f>IFERROR(100%-(BASE_DATOS[[#This Row],[NSK Reen]]/BASE_DATOS[[#This Row],[NSK Original]]),"")</f>
        <v>0.72972972972972971</v>
      </c>
      <c r="AE490" s="344">
        <f>IFERROR(100%-BASE_DATOS[[#This Row],[NSK]]/BASE_DATOS[[#This Row],[NSK Original]],"")</f>
        <v>0.14414414414414412</v>
      </c>
      <c r="AF490" s="344">
        <f>IFERROR(BASE_DATOS[[#This Row],[% Max Des.]]-BASE_DATOS[[#This Row],[% Des]],"")</f>
        <v>0.5855855855855856</v>
      </c>
      <c r="AG490" s="287"/>
      <c r="AH490" s="273"/>
      <c r="AI490" s="363" t="str">
        <f>IF(OR(BASE_DATOS[[#This Row],[Hr.]]="",BASE_DATOS[[#This Row],[Hr. Actual]]=""),"",BASE_DATOS[[#This Row],[Hr. Actual]]-BASE_DATOS[[#This Row],[Hr.]]+BASE_DATOS[[#This Row],[Horas Acumuladas]])</f>
        <v/>
      </c>
      <c r="AJ490" s="364" t="str">
        <f>IFERROR(BASE_DATOS[[#This Row],[Precio US$]]/BASE_DATOS[[#This Row],[Horas Rodadas]],"")</f>
        <v/>
      </c>
      <c r="AK490" s="365" t="str">
        <f>IFERROR(BASE_DATOS[[#This Row],[Horas Rodadas]]/(BASE_DATOS[[#This Row],[NSK Original]]-BASE_DATOS[[#This Row],[NSK]]),"")</f>
        <v/>
      </c>
      <c r="AL49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90" s="366" t="str">
        <f>IFERROR(BASE_DATOS[[#This Row],[Precio US$]]/BASE_DATOS[[#This Row],[Horas Proy.]],"")</f>
        <v/>
      </c>
      <c r="AN490" s="176" t="str">
        <f>IF(OR(BASE_DATOS[[#This Row],[Km.]]="",BASE_DATOS[[#This Row],[Km. Actual]]=""),"",BASE_DATOS[[#This Row],[Km. Actual]]-BASE_DATOS[[#This Row],[Km.]]+BASE_DATOS[[#This Row],[Kilómetros Acumulados]])</f>
        <v/>
      </c>
      <c r="AO490" s="177" t="str">
        <f>IFERROR(BASE_DATOS[[#This Row],[Precio US$]]/BASE_DATOS[[#This Row],[Kilómetros Rodados]],"")</f>
        <v/>
      </c>
      <c r="AP490" s="176" t="str">
        <f>IFERROR(BASE_DATOS[[#This Row],[Kilómetros Rodados]]/(BASE_DATOS[[#This Row],[NSK Original]]-BASE_DATOS[[#This Row],[NSK]]),"")</f>
        <v/>
      </c>
      <c r="AQ49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90" s="177" t="str">
        <f>IFERROR(BASE_DATOS[[#This Row],[Precio US$]]/BASE_DATOS[[#This Row],[Kilómetros Proy.]],"")</f>
        <v/>
      </c>
      <c r="AS490" s="167" t="s">
        <v>62</v>
      </c>
      <c r="AT490" s="167"/>
      <c r="AU490" s="167"/>
      <c r="AV490" s="167" t="s">
        <v>515</v>
      </c>
      <c r="AW490" s="179"/>
      <c r="AX490" s="179"/>
      <c r="AY490" s="179" t="str">
        <f>CONCATENATE(BASE_DATOS[[#This Row],[Código_U]]&amp;BASE_DATOS[[#This Row],[Pos.]]&amp;BASE_DATOS[[#This Row],[Situación Actual]])</f>
        <v>TC-1964Rodando</v>
      </c>
    </row>
    <row r="491" spans="1:51" ht="12" x14ac:dyDescent="0.25">
      <c r="A491" s="227" t="s">
        <v>215</v>
      </c>
      <c r="B491" s="217" t="s">
        <v>216</v>
      </c>
      <c r="C491" s="228" t="s">
        <v>296</v>
      </c>
      <c r="D491" s="229" t="s">
        <v>61</v>
      </c>
      <c r="E491" s="255"/>
      <c r="F491" s="256" t="s">
        <v>71</v>
      </c>
      <c r="G491" s="256" t="s">
        <v>271</v>
      </c>
      <c r="H491" s="257" t="str">
        <f>IF(BASE_DATOS[[#This Row],[N-R]]="N",BASE_DATOS[[#This Row],[Diseño]],"Reencauche")</f>
        <v>KMAXD</v>
      </c>
      <c r="I491" s="256" t="s">
        <v>294</v>
      </c>
      <c r="J491" s="243" t="s">
        <v>72</v>
      </c>
      <c r="K491" s="258">
        <v>22.2</v>
      </c>
      <c r="L491" s="241">
        <v>110</v>
      </c>
      <c r="M491" s="259"/>
      <c r="N491" s="260"/>
      <c r="O491" s="277"/>
      <c r="P491" s="278"/>
      <c r="Q491" s="279"/>
      <c r="R491" s="309" t="s">
        <v>102</v>
      </c>
      <c r="S491" s="310">
        <v>45385</v>
      </c>
      <c r="T491" s="311"/>
      <c r="U491" s="312"/>
      <c r="V491" s="227">
        <v>20</v>
      </c>
      <c r="W491" s="281"/>
      <c r="X491" s="282">
        <v>20</v>
      </c>
      <c r="Y491" s="293">
        <f t="shared" si="21"/>
        <v>20</v>
      </c>
      <c r="Z491" s="175" t="s">
        <v>85</v>
      </c>
      <c r="AA491" s="342">
        <f>IFERROR(BASE_DATOS[[#This Row],[NSK Original]]-BASE_DATOS[[#This Row],[NSK]]," ")</f>
        <v>2.1999999999999993</v>
      </c>
      <c r="AB491" s="343">
        <f>'NSK-TRACTO'!$A$2</f>
        <v>6</v>
      </c>
      <c r="AC491" s="343">
        <f>IF(BASE_DATOS[[#This Row],[NSK]]&gt;=BASE_DATOS[[#This Row],[NSK Reen]],BASE_DATOS[[#This Row],[NSK Reen]],BASE_DATOS[[#This Row],[NSK]])</f>
        <v>6</v>
      </c>
      <c r="AD491" s="344">
        <f>IFERROR(100%-(BASE_DATOS[[#This Row],[NSK Reen]]/BASE_DATOS[[#This Row],[NSK Original]]),"")</f>
        <v>0.72972972972972971</v>
      </c>
      <c r="AE491" s="344">
        <f>IFERROR(100%-BASE_DATOS[[#This Row],[NSK]]/BASE_DATOS[[#This Row],[NSK Original]],"")</f>
        <v>9.9099099099099086E-2</v>
      </c>
      <c r="AF491" s="344">
        <f>IFERROR(BASE_DATOS[[#This Row],[% Max Des.]]-BASE_DATOS[[#This Row],[% Des]],"")</f>
        <v>0.63063063063063063</v>
      </c>
      <c r="AG491" s="287"/>
      <c r="AH491" s="273"/>
      <c r="AI491" s="363" t="str">
        <f>IF(OR(BASE_DATOS[[#This Row],[Hr.]]="",BASE_DATOS[[#This Row],[Hr. Actual]]=""),"",BASE_DATOS[[#This Row],[Hr. Actual]]-BASE_DATOS[[#This Row],[Hr.]]+BASE_DATOS[[#This Row],[Horas Acumuladas]])</f>
        <v/>
      </c>
      <c r="AJ491" s="364" t="str">
        <f>IFERROR(BASE_DATOS[[#This Row],[Precio US$]]/BASE_DATOS[[#This Row],[Horas Rodadas]],"")</f>
        <v/>
      </c>
      <c r="AK491" s="365" t="str">
        <f>IFERROR(BASE_DATOS[[#This Row],[Horas Rodadas]]/(BASE_DATOS[[#This Row],[NSK Original]]-BASE_DATOS[[#This Row],[NSK]]),"")</f>
        <v/>
      </c>
      <c r="AL49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91" s="366" t="str">
        <f>IFERROR(BASE_DATOS[[#This Row],[Precio US$]]/BASE_DATOS[[#This Row],[Horas Proy.]],"")</f>
        <v/>
      </c>
      <c r="AN491" s="176" t="str">
        <f>IF(OR(BASE_DATOS[[#This Row],[Km.]]="",BASE_DATOS[[#This Row],[Km. Actual]]=""),"",BASE_DATOS[[#This Row],[Km. Actual]]-BASE_DATOS[[#This Row],[Km.]]+BASE_DATOS[[#This Row],[Kilómetros Acumulados]])</f>
        <v/>
      </c>
      <c r="AO491" s="177" t="str">
        <f>IFERROR(BASE_DATOS[[#This Row],[Precio US$]]/BASE_DATOS[[#This Row],[Kilómetros Rodados]],"")</f>
        <v/>
      </c>
      <c r="AP491" s="176" t="str">
        <f>IFERROR(BASE_DATOS[[#This Row],[Kilómetros Rodados]]/(BASE_DATOS[[#This Row],[NSK Original]]-BASE_DATOS[[#This Row],[NSK]]),"")</f>
        <v/>
      </c>
      <c r="AQ49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91" s="177" t="str">
        <f>IFERROR(BASE_DATOS[[#This Row],[Precio US$]]/BASE_DATOS[[#This Row],[Kilómetros Proy.]],"")</f>
        <v/>
      </c>
      <c r="AS491" s="167" t="s">
        <v>62</v>
      </c>
      <c r="AT491" s="167"/>
      <c r="AU491" s="167"/>
      <c r="AV491" s="167" t="s">
        <v>515</v>
      </c>
      <c r="AW491" s="179"/>
      <c r="AX491" s="179"/>
      <c r="AY491" s="179" t="str">
        <f>CONCATENATE(BASE_DATOS[[#This Row],[Código_U]]&amp;BASE_DATOS[[#This Row],[Pos.]]&amp;BASE_DATOS[[#This Row],[Situación Actual]])</f>
        <v>TC-1965Rodando</v>
      </c>
    </row>
    <row r="492" spans="1:51" ht="12" x14ac:dyDescent="0.25">
      <c r="A492" s="227" t="s">
        <v>215</v>
      </c>
      <c r="B492" s="217" t="s">
        <v>216</v>
      </c>
      <c r="C492" s="228" t="s">
        <v>296</v>
      </c>
      <c r="D492" s="229" t="s">
        <v>61</v>
      </c>
      <c r="E492" s="255"/>
      <c r="F492" s="256" t="s">
        <v>71</v>
      </c>
      <c r="G492" s="256" t="s">
        <v>271</v>
      </c>
      <c r="H492" s="257" t="str">
        <f>IF(BASE_DATOS[[#This Row],[N-R]]="N",BASE_DATOS[[#This Row],[Diseño]],"Reencauche")</f>
        <v>KMAXD</v>
      </c>
      <c r="I492" s="256" t="s">
        <v>294</v>
      </c>
      <c r="J492" s="243" t="s">
        <v>72</v>
      </c>
      <c r="K492" s="258">
        <v>22.2</v>
      </c>
      <c r="L492" s="241">
        <v>110</v>
      </c>
      <c r="M492" s="259"/>
      <c r="N492" s="260"/>
      <c r="O492" s="277"/>
      <c r="P492" s="278"/>
      <c r="Q492" s="279"/>
      <c r="R492" s="309" t="s">
        <v>103</v>
      </c>
      <c r="S492" s="310">
        <v>45385</v>
      </c>
      <c r="T492" s="311"/>
      <c r="U492" s="312"/>
      <c r="V492" s="227">
        <v>20</v>
      </c>
      <c r="W492" s="281"/>
      <c r="X492" s="282">
        <v>20</v>
      </c>
      <c r="Y492" s="293">
        <f t="shared" si="21"/>
        <v>20</v>
      </c>
      <c r="Z492" s="175" t="s">
        <v>85</v>
      </c>
      <c r="AA492" s="342">
        <f>IFERROR(BASE_DATOS[[#This Row],[NSK Original]]-BASE_DATOS[[#This Row],[NSK]]," ")</f>
        <v>2.1999999999999993</v>
      </c>
      <c r="AB492" s="343">
        <f>'NSK-TRACTO'!$A$2</f>
        <v>6</v>
      </c>
      <c r="AC492" s="343">
        <f>IF(BASE_DATOS[[#This Row],[NSK]]&gt;=BASE_DATOS[[#This Row],[NSK Reen]],BASE_DATOS[[#This Row],[NSK Reen]],BASE_DATOS[[#This Row],[NSK]])</f>
        <v>6</v>
      </c>
      <c r="AD492" s="344">
        <f>IFERROR(100%-(BASE_DATOS[[#This Row],[NSK Reen]]/BASE_DATOS[[#This Row],[NSK Original]]),"")</f>
        <v>0.72972972972972971</v>
      </c>
      <c r="AE492" s="344">
        <f>IFERROR(100%-BASE_DATOS[[#This Row],[NSK]]/BASE_DATOS[[#This Row],[NSK Original]],"")</f>
        <v>9.9099099099099086E-2</v>
      </c>
      <c r="AF492" s="344">
        <f>IFERROR(BASE_DATOS[[#This Row],[% Max Des.]]-BASE_DATOS[[#This Row],[% Des]],"")</f>
        <v>0.63063063063063063</v>
      </c>
      <c r="AG492" s="287"/>
      <c r="AH492" s="273"/>
      <c r="AI492" s="363" t="str">
        <f>IF(OR(BASE_DATOS[[#This Row],[Hr.]]="",BASE_DATOS[[#This Row],[Hr. Actual]]=""),"",BASE_DATOS[[#This Row],[Hr. Actual]]-BASE_DATOS[[#This Row],[Hr.]]+BASE_DATOS[[#This Row],[Horas Acumuladas]])</f>
        <v/>
      </c>
      <c r="AJ492" s="364" t="str">
        <f>IFERROR(BASE_DATOS[[#This Row],[Precio US$]]/BASE_DATOS[[#This Row],[Horas Rodadas]],"")</f>
        <v/>
      </c>
      <c r="AK492" s="365" t="str">
        <f>IFERROR(BASE_DATOS[[#This Row],[Horas Rodadas]]/(BASE_DATOS[[#This Row],[NSK Original]]-BASE_DATOS[[#This Row],[NSK]]),"")</f>
        <v/>
      </c>
      <c r="AL49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92" s="366" t="str">
        <f>IFERROR(BASE_DATOS[[#This Row],[Precio US$]]/BASE_DATOS[[#This Row],[Horas Proy.]],"")</f>
        <v/>
      </c>
      <c r="AN492" s="176" t="str">
        <f>IF(OR(BASE_DATOS[[#This Row],[Km.]]="",BASE_DATOS[[#This Row],[Km. Actual]]=""),"",BASE_DATOS[[#This Row],[Km. Actual]]-BASE_DATOS[[#This Row],[Km.]]+BASE_DATOS[[#This Row],[Kilómetros Acumulados]])</f>
        <v/>
      </c>
      <c r="AO492" s="177" t="str">
        <f>IFERROR(BASE_DATOS[[#This Row],[Precio US$]]/BASE_DATOS[[#This Row],[Kilómetros Rodados]],"")</f>
        <v/>
      </c>
      <c r="AP492" s="176" t="str">
        <f>IFERROR(BASE_DATOS[[#This Row],[Kilómetros Rodados]]/(BASE_DATOS[[#This Row],[NSK Original]]-BASE_DATOS[[#This Row],[NSK]]),"")</f>
        <v/>
      </c>
      <c r="AQ49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92" s="177" t="str">
        <f>IFERROR(BASE_DATOS[[#This Row],[Precio US$]]/BASE_DATOS[[#This Row],[Kilómetros Proy.]],"")</f>
        <v/>
      </c>
      <c r="AS492" s="167" t="s">
        <v>62</v>
      </c>
      <c r="AT492" s="167"/>
      <c r="AU492" s="167"/>
      <c r="AV492" s="167" t="s">
        <v>515</v>
      </c>
      <c r="AW492" s="179"/>
      <c r="AX492" s="179"/>
      <c r="AY492" s="179" t="str">
        <f>CONCATENATE(BASE_DATOS[[#This Row],[Código_U]]&amp;BASE_DATOS[[#This Row],[Pos.]]&amp;BASE_DATOS[[#This Row],[Situación Actual]])</f>
        <v>TC-1966Rodando</v>
      </c>
    </row>
    <row r="493" spans="1:51" ht="12" x14ac:dyDescent="0.25">
      <c r="A493" s="227" t="s">
        <v>215</v>
      </c>
      <c r="B493" s="217" t="s">
        <v>216</v>
      </c>
      <c r="C493" s="228" t="s">
        <v>296</v>
      </c>
      <c r="D493" s="229" t="s">
        <v>61</v>
      </c>
      <c r="E493" s="255"/>
      <c r="F493" s="256" t="s">
        <v>273</v>
      </c>
      <c r="G493" s="256" t="s">
        <v>271</v>
      </c>
      <c r="H493" s="257" t="str">
        <f>IF(BASE_DATOS[[#This Row],[N-R]]="N",BASE_DATOS[[#This Row],[Diseño]],"Reencauche")</f>
        <v>XMULTI2D</v>
      </c>
      <c r="I493" s="256" t="s">
        <v>299</v>
      </c>
      <c r="J493" s="243" t="s">
        <v>72</v>
      </c>
      <c r="K493" s="258">
        <v>21.4</v>
      </c>
      <c r="L493" s="241">
        <v>110</v>
      </c>
      <c r="M493" s="259"/>
      <c r="N493" s="260"/>
      <c r="O493" s="277"/>
      <c r="P493" s="278"/>
      <c r="Q493" s="279"/>
      <c r="R493" s="309" t="s">
        <v>104</v>
      </c>
      <c r="S493" s="310">
        <v>45385</v>
      </c>
      <c r="T493" s="311"/>
      <c r="U493" s="312"/>
      <c r="V493" s="227">
        <v>14</v>
      </c>
      <c r="W493" s="281"/>
      <c r="X493" s="282">
        <v>14</v>
      </c>
      <c r="Y493" s="293">
        <f t="shared" si="21"/>
        <v>14</v>
      </c>
      <c r="Z493" s="175" t="s">
        <v>85</v>
      </c>
      <c r="AA493" s="342">
        <f>IFERROR(BASE_DATOS[[#This Row],[NSK Original]]-BASE_DATOS[[#This Row],[NSK]]," ")</f>
        <v>7.3999999999999986</v>
      </c>
      <c r="AB493" s="343">
        <f>'NSK-TRACTO'!$A$2</f>
        <v>6</v>
      </c>
      <c r="AC493" s="343">
        <f>IF(BASE_DATOS[[#This Row],[NSK]]&gt;=BASE_DATOS[[#This Row],[NSK Reen]],BASE_DATOS[[#This Row],[NSK Reen]],BASE_DATOS[[#This Row],[NSK]])</f>
        <v>6</v>
      </c>
      <c r="AD493" s="344">
        <f>IFERROR(100%-(BASE_DATOS[[#This Row],[NSK Reen]]/BASE_DATOS[[#This Row],[NSK Original]]),"")</f>
        <v>0.71962616822429903</v>
      </c>
      <c r="AE493" s="344">
        <f>IFERROR(100%-BASE_DATOS[[#This Row],[NSK]]/BASE_DATOS[[#This Row],[NSK Original]],"")</f>
        <v>0.34579439252336441</v>
      </c>
      <c r="AF493" s="344">
        <f>IFERROR(BASE_DATOS[[#This Row],[% Max Des.]]-BASE_DATOS[[#This Row],[% Des]],"")</f>
        <v>0.37383177570093462</v>
      </c>
      <c r="AG493" s="287"/>
      <c r="AH493" s="273"/>
      <c r="AI493" s="363" t="str">
        <f>IF(OR(BASE_DATOS[[#This Row],[Hr.]]="",BASE_DATOS[[#This Row],[Hr. Actual]]=""),"",BASE_DATOS[[#This Row],[Hr. Actual]]-BASE_DATOS[[#This Row],[Hr.]]+BASE_DATOS[[#This Row],[Horas Acumuladas]])</f>
        <v/>
      </c>
      <c r="AJ493" s="364" t="str">
        <f>IFERROR(BASE_DATOS[[#This Row],[Precio US$]]/BASE_DATOS[[#This Row],[Horas Rodadas]],"")</f>
        <v/>
      </c>
      <c r="AK493" s="365" t="str">
        <f>IFERROR(BASE_DATOS[[#This Row],[Horas Rodadas]]/(BASE_DATOS[[#This Row],[NSK Original]]-BASE_DATOS[[#This Row],[NSK]]),"")</f>
        <v/>
      </c>
      <c r="AL49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93" s="366" t="str">
        <f>IFERROR(BASE_DATOS[[#This Row],[Precio US$]]/BASE_DATOS[[#This Row],[Horas Proy.]],"")</f>
        <v/>
      </c>
      <c r="AN493" s="176" t="str">
        <f>IF(OR(BASE_DATOS[[#This Row],[Km.]]="",BASE_DATOS[[#This Row],[Km. Actual]]=""),"",BASE_DATOS[[#This Row],[Km. Actual]]-BASE_DATOS[[#This Row],[Km.]]+BASE_DATOS[[#This Row],[Kilómetros Acumulados]])</f>
        <v/>
      </c>
      <c r="AO493" s="177" t="str">
        <f>IFERROR(BASE_DATOS[[#This Row],[Precio US$]]/BASE_DATOS[[#This Row],[Kilómetros Rodados]],"")</f>
        <v/>
      </c>
      <c r="AP493" s="176" t="str">
        <f>IFERROR(BASE_DATOS[[#This Row],[Kilómetros Rodados]]/(BASE_DATOS[[#This Row],[NSK Original]]-BASE_DATOS[[#This Row],[NSK]]),"")</f>
        <v/>
      </c>
      <c r="AQ49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93" s="177" t="str">
        <f>IFERROR(BASE_DATOS[[#This Row],[Precio US$]]/BASE_DATOS[[#This Row],[Kilómetros Proy.]],"")</f>
        <v/>
      </c>
      <c r="AS493" s="167" t="s">
        <v>62</v>
      </c>
      <c r="AT493" s="167"/>
      <c r="AU493" s="167"/>
      <c r="AV493" s="167" t="s">
        <v>515</v>
      </c>
      <c r="AW493" s="179"/>
      <c r="AX493" s="179"/>
      <c r="AY493" s="179" t="str">
        <f>CONCATENATE(BASE_DATOS[[#This Row],[Código_U]]&amp;BASE_DATOS[[#This Row],[Pos.]]&amp;BASE_DATOS[[#This Row],[Situación Actual]])</f>
        <v>TC-1967Rodando</v>
      </c>
    </row>
    <row r="494" spans="1:51" ht="12" x14ac:dyDescent="0.25">
      <c r="A494" s="227" t="s">
        <v>215</v>
      </c>
      <c r="B494" s="217" t="s">
        <v>216</v>
      </c>
      <c r="C494" s="228" t="s">
        <v>296</v>
      </c>
      <c r="D494" s="229" t="s">
        <v>61</v>
      </c>
      <c r="E494" s="255"/>
      <c r="F494" s="256" t="s">
        <v>273</v>
      </c>
      <c r="G494" s="256" t="s">
        <v>271</v>
      </c>
      <c r="H494" s="257" t="str">
        <f>IF(BASE_DATOS[[#This Row],[N-R]]="N",BASE_DATOS[[#This Row],[Diseño]],"Reencauche")</f>
        <v>XMULTI2D</v>
      </c>
      <c r="I494" s="256" t="s">
        <v>299</v>
      </c>
      <c r="J494" s="243" t="s">
        <v>72</v>
      </c>
      <c r="K494" s="258">
        <v>21.4</v>
      </c>
      <c r="L494" s="241">
        <v>110</v>
      </c>
      <c r="M494" s="259"/>
      <c r="N494" s="260"/>
      <c r="O494" s="277"/>
      <c r="P494" s="278"/>
      <c r="Q494" s="279"/>
      <c r="R494" s="309" t="s">
        <v>105</v>
      </c>
      <c r="S494" s="310">
        <v>45385</v>
      </c>
      <c r="T494" s="311"/>
      <c r="U494" s="312"/>
      <c r="V494" s="227">
        <v>14</v>
      </c>
      <c r="W494" s="281"/>
      <c r="X494" s="282">
        <v>14</v>
      </c>
      <c r="Y494" s="293">
        <f t="shared" si="21"/>
        <v>14</v>
      </c>
      <c r="Z494" s="175" t="s">
        <v>85</v>
      </c>
      <c r="AA494" s="342">
        <f>IFERROR(BASE_DATOS[[#This Row],[NSK Original]]-BASE_DATOS[[#This Row],[NSK]]," ")</f>
        <v>7.3999999999999986</v>
      </c>
      <c r="AB494" s="343">
        <f>'NSK-TRACTO'!$A$2</f>
        <v>6</v>
      </c>
      <c r="AC494" s="343">
        <f>IF(BASE_DATOS[[#This Row],[NSK]]&gt;=BASE_DATOS[[#This Row],[NSK Reen]],BASE_DATOS[[#This Row],[NSK Reen]],BASE_DATOS[[#This Row],[NSK]])</f>
        <v>6</v>
      </c>
      <c r="AD494" s="344">
        <f>IFERROR(100%-(BASE_DATOS[[#This Row],[NSK Reen]]/BASE_DATOS[[#This Row],[NSK Original]]),"")</f>
        <v>0.71962616822429903</v>
      </c>
      <c r="AE494" s="344">
        <f>IFERROR(100%-BASE_DATOS[[#This Row],[NSK]]/BASE_DATOS[[#This Row],[NSK Original]],"")</f>
        <v>0.34579439252336441</v>
      </c>
      <c r="AF494" s="344">
        <f>IFERROR(BASE_DATOS[[#This Row],[% Max Des.]]-BASE_DATOS[[#This Row],[% Des]],"")</f>
        <v>0.37383177570093462</v>
      </c>
      <c r="AG494" s="287"/>
      <c r="AH494" s="273"/>
      <c r="AI494" s="363" t="str">
        <f>IF(OR(BASE_DATOS[[#This Row],[Hr.]]="",BASE_DATOS[[#This Row],[Hr. Actual]]=""),"",BASE_DATOS[[#This Row],[Hr. Actual]]-BASE_DATOS[[#This Row],[Hr.]]+BASE_DATOS[[#This Row],[Horas Acumuladas]])</f>
        <v/>
      </c>
      <c r="AJ494" s="364" t="str">
        <f>IFERROR(BASE_DATOS[[#This Row],[Precio US$]]/BASE_DATOS[[#This Row],[Horas Rodadas]],"")</f>
        <v/>
      </c>
      <c r="AK494" s="365" t="str">
        <f>IFERROR(BASE_DATOS[[#This Row],[Horas Rodadas]]/(BASE_DATOS[[#This Row],[NSK Original]]-BASE_DATOS[[#This Row],[NSK]]),"")</f>
        <v/>
      </c>
      <c r="AL49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94" s="366" t="str">
        <f>IFERROR(BASE_DATOS[[#This Row],[Precio US$]]/BASE_DATOS[[#This Row],[Horas Proy.]],"")</f>
        <v/>
      </c>
      <c r="AN494" s="176" t="str">
        <f>IF(OR(BASE_DATOS[[#This Row],[Km.]]="",BASE_DATOS[[#This Row],[Km. Actual]]=""),"",BASE_DATOS[[#This Row],[Km. Actual]]-BASE_DATOS[[#This Row],[Km.]]+BASE_DATOS[[#This Row],[Kilómetros Acumulados]])</f>
        <v/>
      </c>
      <c r="AO494" s="177" t="str">
        <f>IFERROR(BASE_DATOS[[#This Row],[Precio US$]]/BASE_DATOS[[#This Row],[Kilómetros Rodados]],"")</f>
        <v/>
      </c>
      <c r="AP494" s="176" t="str">
        <f>IFERROR(BASE_DATOS[[#This Row],[Kilómetros Rodados]]/(BASE_DATOS[[#This Row],[NSK Original]]-BASE_DATOS[[#This Row],[NSK]]),"")</f>
        <v/>
      </c>
      <c r="AQ49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94" s="177" t="str">
        <f>IFERROR(BASE_DATOS[[#This Row],[Precio US$]]/BASE_DATOS[[#This Row],[Kilómetros Proy.]],"")</f>
        <v/>
      </c>
      <c r="AS494" s="167" t="s">
        <v>62</v>
      </c>
      <c r="AT494" s="167"/>
      <c r="AU494" s="167"/>
      <c r="AV494" s="167" t="s">
        <v>515</v>
      </c>
      <c r="AW494" s="179"/>
      <c r="AX494" s="179"/>
      <c r="AY494" s="179" t="str">
        <f>CONCATENATE(BASE_DATOS[[#This Row],[Código_U]]&amp;BASE_DATOS[[#This Row],[Pos.]]&amp;BASE_DATOS[[#This Row],[Situación Actual]])</f>
        <v>TC-1968Rodando</v>
      </c>
    </row>
    <row r="495" spans="1:51" ht="12" x14ac:dyDescent="0.25">
      <c r="A495" s="227" t="s">
        <v>215</v>
      </c>
      <c r="B495" s="217" t="s">
        <v>216</v>
      </c>
      <c r="C495" s="228" t="s">
        <v>296</v>
      </c>
      <c r="D495" s="229" t="s">
        <v>61</v>
      </c>
      <c r="E495" s="255"/>
      <c r="F495" s="256" t="s">
        <v>273</v>
      </c>
      <c r="G495" s="256" t="s">
        <v>271</v>
      </c>
      <c r="H495" s="257" t="str">
        <f>IF(BASE_DATOS[[#This Row],[N-R]]="N",BASE_DATOS[[#This Row],[Diseño]],"Reencauche")</f>
        <v>XMULTI2D</v>
      </c>
      <c r="I495" s="256" t="s">
        <v>299</v>
      </c>
      <c r="J495" s="243" t="s">
        <v>72</v>
      </c>
      <c r="K495" s="258">
        <v>21.4</v>
      </c>
      <c r="L495" s="241">
        <v>110</v>
      </c>
      <c r="M495" s="259"/>
      <c r="N495" s="260"/>
      <c r="O495" s="277"/>
      <c r="P495" s="278"/>
      <c r="Q495" s="279"/>
      <c r="R495" s="309" t="s">
        <v>106</v>
      </c>
      <c r="S495" s="310">
        <v>45385</v>
      </c>
      <c r="T495" s="311"/>
      <c r="U495" s="312"/>
      <c r="V495" s="227">
        <v>14</v>
      </c>
      <c r="W495" s="281"/>
      <c r="X495" s="282">
        <v>14</v>
      </c>
      <c r="Y495" s="293">
        <f t="shared" si="21"/>
        <v>14</v>
      </c>
      <c r="Z495" s="175" t="s">
        <v>85</v>
      </c>
      <c r="AA495" s="342">
        <f>IFERROR(BASE_DATOS[[#This Row],[NSK Original]]-BASE_DATOS[[#This Row],[NSK]]," ")</f>
        <v>7.3999999999999986</v>
      </c>
      <c r="AB495" s="343">
        <f>'NSK-TRACTO'!$A$2</f>
        <v>6</v>
      </c>
      <c r="AC495" s="343">
        <f>IF(BASE_DATOS[[#This Row],[NSK]]&gt;=BASE_DATOS[[#This Row],[NSK Reen]],BASE_DATOS[[#This Row],[NSK Reen]],BASE_DATOS[[#This Row],[NSK]])</f>
        <v>6</v>
      </c>
      <c r="AD495" s="344">
        <f>IFERROR(100%-(BASE_DATOS[[#This Row],[NSK Reen]]/BASE_DATOS[[#This Row],[NSK Original]]),"")</f>
        <v>0.71962616822429903</v>
      </c>
      <c r="AE495" s="344">
        <f>IFERROR(100%-BASE_DATOS[[#This Row],[NSK]]/BASE_DATOS[[#This Row],[NSK Original]],"")</f>
        <v>0.34579439252336441</v>
      </c>
      <c r="AF495" s="344">
        <f>IFERROR(BASE_DATOS[[#This Row],[% Max Des.]]-BASE_DATOS[[#This Row],[% Des]],"")</f>
        <v>0.37383177570093462</v>
      </c>
      <c r="AG495" s="287"/>
      <c r="AH495" s="273"/>
      <c r="AI495" s="363" t="str">
        <f>IF(OR(BASE_DATOS[[#This Row],[Hr.]]="",BASE_DATOS[[#This Row],[Hr. Actual]]=""),"",BASE_DATOS[[#This Row],[Hr. Actual]]-BASE_DATOS[[#This Row],[Hr.]]+BASE_DATOS[[#This Row],[Horas Acumuladas]])</f>
        <v/>
      </c>
      <c r="AJ495" s="364" t="str">
        <f>IFERROR(BASE_DATOS[[#This Row],[Precio US$]]/BASE_DATOS[[#This Row],[Horas Rodadas]],"")</f>
        <v/>
      </c>
      <c r="AK495" s="365" t="str">
        <f>IFERROR(BASE_DATOS[[#This Row],[Horas Rodadas]]/(BASE_DATOS[[#This Row],[NSK Original]]-BASE_DATOS[[#This Row],[NSK]]),"")</f>
        <v/>
      </c>
      <c r="AL49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95" s="366" t="str">
        <f>IFERROR(BASE_DATOS[[#This Row],[Precio US$]]/BASE_DATOS[[#This Row],[Horas Proy.]],"")</f>
        <v/>
      </c>
      <c r="AN495" s="176" t="str">
        <f>IF(OR(BASE_DATOS[[#This Row],[Km.]]="",BASE_DATOS[[#This Row],[Km. Actual]]=""),"",BASE_DATOS[[#This Row],[Km. Actual]]-BASE_DATOS[[#This Row],[Km.]]+BASE_DATOS[[#This Row],[Kilómetros Acumulados]])</f>
        <v/>
      </c>
      <c r="AO495" s="177" t="str">
        <f>IFERROR(BASE_DATOS[[#This Row],[Precio US$]]/BASE_DATOS[[#This Row],[Kilómetros Rodados]],"")</f>
        <v/>
      </c>
      <c r="AP495" s="176" t="str">
        <f>IFERROR(BASE_DATOS[[#This Row],[Kilómetros Rodados]]/(BASE_DATOS[[#This Row],[NSK Original]]-BASE_DATOS[[#This Row],[NSK]]),"")</f>
        <v/>
      </c>
      <c r="AQ49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95" s="177" t="str">
        <f>IFERROR(BASE_DATOS[[#This Row],[Precio US$]]/BASE_DATOS[[#This Row],[Kilómetros Proy.]],"")</f>
        <v/>
      </c>
      <c r="AS495" s="167" t="s">
        <v>62</v>
      </c>
      <c r="AT495" s="167"/>
      <c r="AU495" s="167"/>
      <c r="AV495" s="167" t="s">
        <v>515</v>
      </c>
      <c r="AW495" s="179"/>
      <c r="AX495" s="179"/>
      <c r="AY495" s="179" t="str">
        <f>CONCATENATE(BASE_DATOS[[#This Row],[Código_U]]&amp;BASE_DATOS[[#This Row],[Pos.]]&amp;BASE_DATOS[[#This Row],[Situación Actual]])</f>
        <v>TC-1969Rodando</v>
      </c>
    </row>
    <row r="496" spans="1:51" ht="12" x14ac:dyDescent="0.25">
      <c r="A496" s="227" t="s">
        <v>215</v>
      </c>
      <c r="B496" s="217" t="s">
        <v>216</v>
      </c>
      <c r="C496" s="228" t="s">
        <v>296</v>
      </c>
      <c r="D496" s="229" t="s">
        <v>61</v>
      </c>
      <c r="E496" s="255"/>
      <c r="F496" s="256" t="s">
        <v>273</v>
      </c>
      <c r="G496" s="256" t="s">
        <v>271</v>
      </c>
      <c r="H496" s="257" t="str">
        <f>IF(BASE_DATOS[[#This Row],[N-R]]="N",BASE_DATOS[[#This Row],[Diseño]],"Reencauche")</f>
        <v>XMULTI2D</v>
      </c>
      <c r="I496" s="256" t="s">
        <v>299</v>
      </c>
      <c r="J496" s="243" t="s">
        <v>72</v>
      </c>
      <c r="K496" s="258">
        <v>21.4</v>
      </c>
      <c r="L496" s="241">
        <v>110</v>
      </c>
      <c r="M496" s="259"/>
      <c r="N496" s="260"/>
      <c r="O496" s="277"/>
      <c r="P496" s="278"/>
      <c r="Q496" s="279"/>
      <c r="R496" s="309" t="s">
        <v>107</v>
      </c>
      <c r="S496" s="310">
        <v>45385</v>
      </c>
      <c r="T496" s="311"/>
      <c r="U496" s="312"/>
      <c r="V496" s="227">
        <v>14</v>
      </c>
      <c r="W496" s="281"/>
      <c r="X496" s="282">
        <v>14</v>
      </c>
      <c r="Y496" s="293">
        <f t="shared" si="21"/>
        <v>14</v>
      </c>
      <c r="Z496" s="175" t="s">
        <v>85</v>
      </c>
      <c r="AA496" s="342">
        <f>IFERROR(BASE_DATOS[[#This Row],[NSK Original]]-BASE_DATOS[[#This Row],[NSK]]," ")</f>
        <v>7.3999999999999986</v>
      </c>
      <c r="AB496" s="343">
        <f>'NSK-TRACTO'!$A$2</f>
        <v>6</v>
      </c>
      <c r="AC496" s="343">
        <f>IF(BASE_DATOS[[#This Row],[NSK]]&gt;=BASE_DATOS[[#This Row],[NSK Reen]],BASE_DATOS[[#This Row],[NSK Reen]],BASE_DATOS[[#This Row],[NSK]])</f>
        <v>6</v>
      </c>
      <c r="AD496" s="344">
        <f>IFERROR(100%-(BASE_DATOS[[#This Row],[NSK Reen]]/BASE_DATOS[[#This Row],[NSK Original]]),"")</f>
        <v>0.71962616822429903</v>
      </c>
      <c r="AE496" s="344">
        <f>IFERROR(100%-BASE_DATOS[[#This Row],[NSK]]/BASE_DATOS[[#This Row],[NSK Original]],"")</f>
        <v>0.34579439252336441</v>
      </c>
      <c r="AF496" s="344">
        <f>IFERROR(BASE_DATOS[[#This Row],[% Max Des.]]-BASE_DATOS[[#This Row],[% Des]],"")</f>
        <v>0.37383177570093462</v>
      </c>
      <c r="AG496" s="287"/>
      <c r="AH496" s="273"/>
      <c r="AI496" s="363" t="str">
        <f>IF(OR(BASE_DATOS[[#This Row],[Hr.]]="",BASE_DATOS[[#This Row],[Hr. Actual]]=""),"",BASE_DATOS[[#This Row],[Hr. Actual]]-BASE_DATOS[[#This Row],[Hr.]]+BASE_DATOS[[#This Row],[Horas Acumuladas]])</f>
        <v/>
      </c>
      <c r="AJ496" s="364" t="str">
        <f>IFERROR(BASE_DATOS[[#This Row],[Precio US$]]/BASE_DATOS[[#This Row],[Horas Rodadas]],"")</f>
        <v/>
      </c>
      <c r="AK496" s="365" t="str">
        <f>IFERROR(BASE_DATOS[[#This Row],[Horas Rodadas]]/(BASE_DATOS[[#This Row],[NSK Original]]-BASE_DATOS[[#This Row],[NSK]]),"")</f>
        <v/>
      </c>
      <c r="AL49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96" s="366" t="str">
        <f>IFERROR(BASE_DATOS[[#This Row],[Precio US$]]/BASE_DATOS[[#This Row],[Horas Proy.]],"")</f>
        <v/>
      </c>
      <c r="AN496" s="176" t="str">
        <f>IF(OR(BASE_DATOS[[#This Row],[Km.]]="",BASE_DATOS[[#This Row],[Km. Actual]]=""),"",BASE_DATOS[[#This Row],[Km. Actual]]-BASE_DATOS[[#This Row],[Km.]]+BASE_DATOS[[#This Row],[Kilómetros Acumulados]])</f>
        <v/>
      </c>
      <c r="AO496" s="177" t="str">
        <f>IFERROR(BASE_DATOS[[#This Row],[Precio US$]]/BASE_DATOS[[#This Row],[Kilómetros Rodados]],"")</f>
        <v/>
      </c>
      <c r="AP496" s="176" t="str">
        <f>IFERROR(BASE_DATOS[[#This Row],[Kilómetros Rodados]]/(BASE_DATOS[[#This Row],[NSK Original]]-BASE_DATOS[[#This Row],[NSK]]),"")</f>
        <v/>
      </c>
      <c r="AQ49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96" s="177" t="str">
        <f>IFERROR(BASE_DATOS[[#This Row],[Precio US$]]/BASE_DATOS[[#This Row],[Kilómetros Proy.]],"")</f>
        <v/>
      </c>
      <c r="AS496" s="167" t="s">
        <v>62</v>
      </c>
      <c r="AT496" s="167"/>
      <c r="AU496" s="167"/>
      <c r="AV496" s="167" t="s">
        <v>515</v>
      </c>
      <c r="AW496" s="179"/>
      <c r="AX496" s="179"/>
      <c r="AY496" s="179" t="str">
        <f>CONCATENATE(BASE_DATOS[[#This Row],[Código_U]]&amp;BASE_DATOS[[#This Row],[Pos.]]&amp;BASE_DATOS[[#This Row],[Situación Actual]])</f>
        <v>TC-19610Rodando</v>
      </c>
    </row>
    <row r="497" spans="1:51" ht="12" x14ac:dyDescent="0.25">
      <c r="A497" s="224" t="s">
        <v>217</v>
      </c>
      <c r="B497" s="213" t="s">
        <v>218</v>
      </c>
      <c r="C497" s="225" t="s">
        <v>295</v>
      </c>
      <c r="D497" s="226" t="s">
        <v>87</v>
      </c>
      <c r="E497" s="249"/>
      <c r="F497" s="250" t="s">
        <v>97</v>
      </c>
      <c r="G497" s="250" t="s">
        <v>269</v>
      </c>
      <c r="H497" s="251" t="str">
        <f>IF(BASE_DATOS[[#This Row],[N-R]]="N",BASE_DATOS[[#This Row],[Diseño]],"Reencauche")</f>
        <v>AGC28</v>
      </c>
      <c r="I497" s="250" t="s">
        <v>270</v>
      </c>
      <c r="J497" s="235" t="s">
        <v>72</v>
      </c>
      <c r="K497" s="252">
        <v>16.5</v>
      </c>
      <c r="L497" s="250">
        <v>110</v>
      </c>
      <c r="M497" s="253"/>
      <c r="N497" s="254"/>
      <c r="O497" s="274"/>
      <c r="P497" s="275"/>
      <c r="Q497" s="276"/>
      <c r="R497" s="305" t="s">
        <v>98</v>
      </c>
      <c r="S497" s="306">
        <v>45385</v>
      </c>
      <c r="T497" s="314"/>
      <c r="U497" s="276"/>
      <c r="V497" s="224">
        <v>13</v>
      </c>
      <c r="W497" s="325">
        <v>12</v>
      </c>
      <c r="X497" s="326">
        <v>12</v>
      </c>
      <c r="Y497" s="292">
        <f t="shared" si="21"/>
        <v>12</v>
      </c>
      <c r="Z497" s="194" t="s">
        <v>85</v>
      </c>
      <c r="AA497" s="339">
        <f>IFERROR(BASE_DATOS[[#This Row],[NSK Original]]-BASE_DATOS[[#This Row],[NSK]]," ")</f>
        <v>4.5</v>
      </c>
      <c r="AB497" s="340">
        <f>'NSK-TRACTO'!$A$2</f>
        <v>6</v>
      </c>
      <c r="AC497" s="340">
        <f>IF(BASE_DATOS[[#This Row],[NSK]]&gt;=BASE_DATOS[[#This Row],[NSK Reen]],BASE_DATOS[[#This Row],[NSK Reen]],BASE_DATOS[[#This Row],[NSK]])</f>
        <v>6</v>
      </c>
      <c r="AD497" s="341">
        <f>IFERROR(100%-(BASE_DATOS[[#This Row],[NSK Reen]]/BASE_DATOS[[#This Row],[NSK Original]]),"")</f>
        <v>0.63636363636363635</v>
      </c>
      <c r="AE497" s="341">
        <f>IFERROR(100%-BASE_DATOS[[#This Row],[NSK]]/BASE_DATOS[[#This Row],[NSK Original]],"")</f>
        <v>0.27272727272727271</v>
      </c>
      <c r="AF497" s="341">
        <f>IFERROR(BASE_DATOS[[#This Row],[% Max Des.]]-BASE_DATOS[[#This Row],[% Des]],"")</f>
        <v>0.36363636363636365</v>
      </c>
      <c r="AG497" s="284"/>
      <c r="AH497" s="335"/>
      <c r="AI497" s="359" t="str">
        <f>IF(OR(BASE_DATOS[[#This Row],[Hr.]]="",BASE_DATOS[[#This Row],[Hr. Actual]]=""),"",BASE_DATOS[[#This Row],[Hr. Actual]]-BASE_DATOS[[#This Row],[Hr.]]+BASE_DATOS[[#This Row],[Horas Acumuladas]])</f>
        <v/>
      </c>
      <c r="AJ497" s="360" t="str">
        <f>IFERROR(BASE_DATOS[[#This Row],[Precio US$]]/BASE_DATOS[[#This Row],[Horas Rodadas]],"")</f>
        <v/>
      </c>
      <c r="AK497" s="361" t="str">
        <f>IFERROR(BASE_DATOS[[#This Row],[Horas Rodadas]]/(BASE_DATOS[[#This Row],[NSK Original]]-BASE_DATOS[[#This Row],[NSK]]),"")</f>
        <v/>
      </c>
      <c r="AL497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97" s="362" t="str">
        <f>IFERROR(BASE_DATOS[[#This Row],[Precio US$]]/BASE_DATOS[[#This Row],[Horas Proy.]],"")</f>
        <v/>
      </c>
      <c r="AN497" s="195" t="str">
        <f>IF(OR(BASE_DATOS[[#This Row],[Km.]]="",BASE_DATOS[[#This Row],[Km. Actual]]=""),"",BASE_DATOS[[#This Row],[Km. Actual]]-BASE_DATOS[[#This Row],[Km.]]+BASE_DATOS[[#This Row],[Kilómetros Acumulados]])</f>
        <v/>
      </c>
      <c r="AO497" s="196" t="str">
        <f>IFERROR(BASE_DATOS[[#This Row],[Precio US$]]/BASE_DATOS[[#This Row],[Kilómetros Rodados]],"")</f>
        <v/>
      </c>
      <c r="AP497" s="195" t="str">
        <f>IFERROR(BASE_DATOS[[#This Row],[Kilómetros Rodados]]/(BASE_DATOS[[#This Row],[NSK Original]]-BASE_DATOS[[#This Row],[NSK]]),"")</f>
        <v/>
      </c>
      <c r="AQ497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97" s="196" t="str">
        <f>IFERROR(BASE_DATOS[[#This Row],[Precio US$]]/BASE_DATOS[[#This Row],[Kilómetros Proy.]],"")</f>
        <v/>
      </c>
      <c r="AS497" s="191" t="s">
        <v>62</v>
      </c>
      <c r="AT497" s="191"/>
      <c r="AU497" s="191"/>
      <c r="AV497" s="191"/>
      <c r="AW497" s="198"/>
      <c r="AX497" s="198"/>
      <c r="AY497" s="198" t="str">
        <f>CONCATENATE(BASE_DATOS[[#This Row],[Código_U]]&amp;BASE_DATOS[[#This Row],[Pos.]]&amp;BASE_DATOS[[#This Row],[Situación Actual]])</f>
        <v>SR-1961Rodando</v>
      </c>
    </row>
    <row r="498" spans="1:51" ht="12" x14ac:dyDescent="0.25">
      <c r="A498" s="227" t="s">
        <v>217</v>
      </c>
      <c r="B498" s="217" t="s">
        <v>218</v>
      </c>
      <c r="C498" s="228" t="s">
        <v>295</v>
      </c>
      <c r="D498" s="229" t="s">
        <v>87</v>
      </c>
      <c r="E498" s="255" t="s">
        <v>341</v>
      </c>
      <c r="F498" s="256" t="s">
        <v>97</v>
      </c>
      <c r="G498" s="256" t="s">
        <v>269</v>
      </c>
      <c r="H498" s="257" t="str">
        <f>IF(BASE_DATOS[[#This Row],[N-R]]="N",BASE_DATOS[[#This Row],[Diseño]],"Reencauche")</f>
        <v>Reencauche</v>
      </c>
      <c r="I498" s="256" t="s">
        <v>275</v>
      </c>
      <c r="J498" s="243" t="s">
        <v>82</v>
      </c>
      <c r="K498" s="258">
        <v>20</v>
      </c>
      <c r="L498" s="256">
        <v>110</v>
      </c>
      <c r="M498" s="259"/>
      <c r="N498" s="260"/>
      <c r="O498" s="277"/>
      <c r="P498" s="278"/>
      <c r="Q498" s="279"/>
      <c r="R498" s="309" t="s">
        <v>99</v>
      </c>
      <c r="S498" s="310">
        <v>45385</v>
      </c>
      <c r="T498" s="313"/>
      <c r="U498" s="279"/>
      <c r="V498" s="227">
        <v>15</v>
      </c>
      <c r="W498" s="281">
        <v>15</v>
      </c>
      <c r="X498" s="282">
        <v>15</v>
      </c>
      <c r="Y498" s="293">
        <f t="shared" si="21"/>
        <v>15</v>
      </c>
      <c r="Z498" s="175" t="s">
        <v>85</v>
      </c>
      <c r="AA498" s="342">
        <f>IFERROR(BASE_DATOS[[#This Row],[NSK Original]]-BASE_DATOS[[#This Row],[NSK]]," ")</f>
        <v>5</v>
      </c>
      <c r="AB498" s="343">
        <f>'NSK-TRACTO'!$A$2</f>
        <v>6</v>
      </c>
      <c r="AC498" s="343">
        <f>IF(BASE_DATOS[[#This Row],[NSK]]&gt;=BASE_DATOS[[#This Row],[NSK Reen]],BASE_DATOS[[#This Row],[NSK Reen]],BASE_DATOS[[#This Row],[NSK]])</f>
        <v>6</v>
      </c>
      <c r="AD498" s="344">
        <f>IFERROR(100%-(BASE_DATOS[[#This Row],[NSK Reen]]/BASE_DATOS[[#This Row],[NSK Original]]),"")</f>
        <v>0.7</v>
      </c>
      <c r="AE498" s="344">
        <f>IFERROR(100%-BASE_DATOS[[#This Row],[NSK]]/BASE_DATOS[[#This Row],[NSK Original]],"")</f>
        <v>0.25</v>
      </c>
      <c r="AF498" s="344">
        <f>IFERROR(BASE_DATOS[[#This Row],[% Max Des.]]-BASE_DATOS[[#This Row],[% Des]],"")</f>
        <v>0.44999999999999996</v>
      </c>
      <c r="AG498" s="287"/>
      <c r="AH498" s="273"/>
      <c r="AI498" s="363" t="str">
        <f>IF(OR(BASE_DATOS[[#This Row],[Hr.]]="",BASE_DATOS[[#This Row],[Hr. Actual]]=""),"",BASE_DATOS[[#This Row],[Hr. Actual]]-BASE_DATOS[[#This Row],[Hr.]]+BASE_DATOS[[#This Row],[Horas Acumuladas]])</f>
        <v/>
      </c>
      <c r="AJ498" s="364" t="str">
        <f>IFERROR(BASE_DATOS[[#This Row],[Precio US$]]/BASE_DATOS[[#This Row],[Horas Rodadas]],"")</f>
        <v/>
      </c>
      <c r="AK498" s="365" t="str">
        <f>IFERROR(BASE_DATOS[[#This Row],[Horas Rodadas]]/(BASE_DATOS[[#This Row],[NSK Original]]-BASE_DATOS[[#This Row],[NSK]]),"")</f>
        <v/>
      </c>
      <c r="AL49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98" s="366" t="str">
        <f>IFERROR(BASE_DATOS[[#This Row],[Precio US$]]/BASE_DATOS[[#This Row],[Horas Proy.]],"")</f>
        <v/>
      </c>
      <c r="AN498" s="176" t="str">
        <f>IF(OR(BASE_DATOS[[#This Row],[Km.]]="",BASE_DATOS[[#This Row],[Km. Actual]]=""),"",BASE_DATOS[[#This Row],[Km. Actual]]-BASE_DATOS[[#This Row],[Km.]]+BASE_DATOS[[#This Row],[Kilómetros Acumulados]])</f>
        <v/>
      </c>
      <c r="AO498" s="177" t="str">
        <f>IFERROR(BASE_DATOS[[#This Row],[Precio US$]]/BASE_DATOS[[#This Row],[Kilómetros Rodados]],"")</f>
        <v/>
      </c>
      <c r="AP498" s="176" t="str">
        <f>IFERROR(BASE_DATOS[[#This Row],[Kilómetros Rodados]]/(BASE_DATOS[[#This Row],[NSK Original]]-BASE_DATOS[[#This Row],[NSK]]),"")</f>
        <v/>
      </c>
      <c r="AQ49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98" s="177" t="str">
        <f>IFERROR(BASE_DATOS[[#This Row],[Precio US$]]/BASE_DATOS[[#This Row],[Kilómetros Proy.]],"")</f>
        <v/>
      </c>
      <c r="AS498" s="167" t="s">
        <v>62</v>
      </c>
      <c r="AT498" s="167"/>
      <c r="AU498" s="167"/>
      <c r="AV498" s="167"/>
      <c r="AW498" s="179"/>
      <c r="AX498" s="179"/>
      <c r="AY498" s="179" t="str">
        <f>CONCATENATE(BASE_DATOS[[#This Row],[Código_U]]&amp;BASE_DATOS[[#This Row],[Pos.]]&amp;BASE_DATOS[[#This Row],[Situación Actual]])</f>
        <v>SR-1962Rodando</v>
      </c>
    </row>
    <row r="499" spans="1:51" ht="12" x14ac:dyDescent="0.25">
      <c r="A499" s="227" t="s">
        <v>217</v>
      </c>
      <c r="B499" s="217" t="s">
        <v>218</v>
      </c>
      <c r="C499" s="228" t="s">
        <v>295</v>
      </c>
      <c r="D499" s="229" t="s">
        <v>87</v>
      </c>
      <c r="E499" s="255" t="s">
        <v>330</v>
      </c>
      <c r="F499" s="256" t="s">
        <v>97</v>
      </c>
      <c r="G499" s="256" t="s">
        <v>269</v>
      </c>
      <c r="H499" s="257" t="str">
        <f>IF(BASE_DATOS[[#This Row],[N-R]]="N",BASE_DATOS[[#This Row],[Diseño]],"Reencauche")</f>
        <v>AGC28</v>
      </c>
      <c r="I499" s="256" t="s">
        <v>270</v>
      </c>
      <c r="J499" s="243" t="s">
        <v>72</v>
      </c>
      <c r="K499" s="258">
        <v>16.5</v>
      </c>
      <c r="L499" s="256">
        <v>110</v>
      </c>
      <c r="M499" s="259"/>
      <c r="N499" s="260"/>
      <c r="O499" s="277"/>
      <c r="P499" s="278"/>
      <c r="Q499" s="279"/>
      <c r="R499" s="309" t="s">
        <v>100</v>
      </c>
      <c r="S499" s="310">
        <v>45385</v>
      </c>
      <c r="T499" s="313"/>
      <c r="U499" s="279"/>
      <c r="V499" s="227">
        <v>10</v>
      </c>
      <c r="W499" s="281">
        <v>9</v>
      </c>
      <c r="X499" s="282">
        <v>10</v>
      </c>
      <c r="Y499" s="293">
        <f t="shared" si="21"/>
        <v>9</v>
      </c>
      <c r="Z499" s="175" t="s">
        <v>85</v>
      </c>
      <c r="AA499" s="342">
        <f>IFERROR(BASE_DATOS[[#This Row],[NSK Original]]-BASE_DATOS[[#This Row],[NSK]]," ")</f>
        <v>7.5</v>
      </c>
      <c r="AB499" s="343">
        <f>'NSK-TRACTO'!$A$2</f>
        <v>6</v>
      </c>
      <c r="AC499" s="343">
        <f>IF(BASE_DATOS[[#This Row],[NSK]]&gt;=BASE_DATOS[[#This Row],[NSK Reen]],BASE_DATOS[[#This Row],[NSK Reen]],BASE_DATOS[[#This Row],[NSK]])</f>
        <v>6</v>
      </c>
      <c r="AD499" s="344">
        <f>IFERROR(100%-(BASE_DATOS[[#This Row],[NSK Reen]]/BASE_DATOS[[#This Row],[NSK Original]]),"")</f>
        <v>0.63636363636363635</v>
      </c>
      <c r="AE499" s="344">
        <f>IFERROR(100%-BASE_DATOS[[#This Row],[NSK]]/BASE_DATOS[[#This Row],[NSK Original]],"")</f>
        <v>0.45454545454545459</v>
      </c>
      <c r="AF499" s="344">
        <f>IFERROR(BASE_DATOS[[#This Row],[% Max Des.]]-BASE_DATOS[[#This Row],[% Des]],"")</f>
        <v>0.18181818181818177</v>
      </c>
      <c r="AG499" s="287"/>
      <c r="AH499" s="273"/>
      <c r="AI499" s="363" t="str">
        <f>IF(OR(BASE_DATOS[[#This Row],[Hr.]]="",BASE_DATOS[[#This Row],[Hr. Actual]]=""),"",BASE_DATOS[[#This Row],[Hr. Actual]]-BASE_DATOS[[#This Row],[Hr.]]+BASE_DATOS[[#This Row],[Horas Acumuladas]])</f>
        <v/>
      </c>
      <c r="AJ499" s="364" t="str">
        <f>IFERROR(BASE_DATOS[[#This Row],[Precio US$]]/BASE_DATOS[[#This Row],[Horas Rodadas]],"")</f>
        <v/>
      </c>
      <c r="AK499" s="365" t="str">
        <f>IFERROR(BASE_DATOS[[#This Row],[Horas Rodadas]]/(BASE_DATOS[[#This Row],[NSK Original]]-BASE_DATOS[[#This Row],[NSK]]),"")</f>
        <v/>
      </c>
      <c r="AL49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499" s="366" t="str">
        <f>IFERROR(BASE_DATOS[[#This Row],[Precio US$]]/BASE_DATOS[[#This Row],[Horas Proy.]],"")</f>
        <v/>
      </c>
      <c r="AN499" s="176" t="str">
        <f>IF(OR(BASE_DATOS[[#This Row],[Km.]]="",BASE_DATOS[[#This Row],[Km. Actual]]=""),"",BASE_DATOS[[#This Row],[Km. Actual]]-BASE_DATOS[[#This Row],[Km.]]+BASE_DATOS[[#This Row],[Kilómetros Acumulados]])</f>
        <v/>
      </c>
      <c r="AO499" s="177" t="str">
        <f>IFERROR(BASE_DATOS[[#This Row],[Precio US$]]/BASE_DATOS[[#This Row],[Kilómetros Rodados]],"")</f>
        <v/>
      </c>
      <c r="AP499" s="176" t="str">
        <f>IFERROR(BASE_DATOS[[#This Row],[Kilómetros Rodados]]/(BASE_DATOS[[#This Row],[NSK Original]]-BASE_DATOS[[#This Row],[NSK]]),"")</f>
        <v/>
      </c>
      <c r="AQ49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499" s="177" t="str">
        <f>IFERROR(BASE_DATOS[[#This Row],[Precio US$]]/BASE_DATOS[[#This Row],[Kilómetros Proy.]],"")</f>
        <v/>
      </c>
      <c r="AS499" s="167" t="s">
        <v>62</v>
      </c>
      <c r="AT499" s="167"/>
      <c r="AU499" s="167"/>
      <c r="AV499" s="167"/>
      <c r="AW499" s="179"/>
      <c r="AX499" s="179"/>
      <c r="AY499" s="179" t="str">
        <f>CONCATENATE(BASE_DATOS[[#This Row],[Código_U]]&amp;BASE_DATOS[[#This Row],[Pos.]]&amp;BASE_DATOS[[#This Row],[Situación Actual]])</f>
        <v>SR-1963Rodando</v>
      </c>
    </row>
    <row r="500" spans="1:51" ht="12" x14ac:dyDescent="0.25">
      <c r="A500" s="227" t="s">
        <v>217</v>
      </c>
      <c r="B500" s="217" t="s">
        <v>218</v>
      </c>
      <c r="C500" s="228" t="s">
        <v>295</v>
      </c>
      <c r="D500" s="229" t="s">
        <v>87</v>
      </c>
      <c r="E500" s="255" t="s">
        <v>342</v>
      </c>
      <c r="F500" s="256" t="s">
        <v>97</v>
      </c>
      <c r="G500" s="256" t="s">
        <v>269</v>
      </c>
      <c r="H500" s="257" t="str">
        <f>IF(BASE_DATOS[[#This Row],[N-R]]="N",BASE_DATOS[[#This Row],[Diseño]],"Reencauche")</f>
        <v>AGC28</v>
      </c>
      <c r="I500" s="256" t="s">
        <v>270</v>
      </c>
      <c r="J500" s="243" t="s">
        <v>72</v>
      </c>
      <c r="K500" s="258">
        <v>16.5</v>
      </c>
      <c r="L500" s="256">
        <v>110</v>
      </c>
      <c r="M500" s="259"/>
      <c r="N500" s="260"/>
      <c r="O500" s="277"/>
      <c r="P500" s="278"/>
      <c r="Q500" s="279"/>
      <c r="R500" s="309" t="s">
        <v>101</v>
      </c>
      <c r="S500" s="310">
        <v>45385</v>
      </c>
      <c r="T500" s="313"/>
      <c r="U500" s="279"/>
      <c r="V500" s="227">
        <v>10</v>
      </c>
      <c r="W500" s="281">
        <v>9</v>
      </c>
      <c r="X500" s="282">
        <v>9</v>
      </c>
      <c r="Y500" s="293">
        <f t="shared" si="21"/>
        <v>9</v>
      </c>
      <c r="Z500" s="175" t="s">
        <v>85</v>
      </c>
      <c r="AA500" s="342">
        <f>IFERROR(BASE_DATOS[[#This Row],[NSK Original]]-BASE_DATOS[[#This Row],[NSK]]," ")</f>
        <v>7.5</v>
      </c>
      <c r="AB500" s="343">
        <f>'NSK-TRACTO'!$A$2</f>
        <v>6</v>
      </c>
      <c r="AC500" s="343">
        <f>IF(BASE_DATOS[[#This Row],[NSK]]&gt;=BASE_DATOS[[#This Row],[NSK Reen]],BASE_DATOS[[#This Row],[NSK Reen]],BASE_DATOS[[#This Row],[NSK]])</f>
        <v>6</v>
      </c>
      <c r="AD500" s="344">
        <f>IFERROR(100%-(BASE_DATOS[[#This Row],[NSK Reen]]/BASE_DATOS[[#This Row],[NSK Original]]),"")</f>
        <v>0.63636363636363635</v>
      </c>
      <c r="AE500" s="344">
        <f>IFERROR(100%-BASE_DATOS[[#This Row],[NSK]]/BASE_DATOS[[#This Row],[NSK Original]],"")</f>
        <v>0.45454545454545459</v>
      </c>
      <c r="AF500" s="344">
        <f>IFERROR(BASE_DATOS[[#This Row],[% Max Des.]]-BASE_DATOS[[#This Row],[% Des]],"")</f>
        <v>0.18181818181818177</v>
      </c>
      <c r="AG500" s="287"/>
      <c r="AH500" s="273"/>
      <c r="AI500" s="363" t="str">
        <f>IF(OR(BASE_DATOS[[#This Row],[Hr.]]="",BASE_DATOS[[#This Row],[Hr. Actual]]=""),"",BASE_DATOS[[#This Row],[Hr. Actual]]-BASE_DATOS[[#This Row],[Hr.]]+BASE_DATOS[[#This Row],[Horas Acumuladas]])</f>
        <v/>
      </c>
      <c r="AJ500" s="364" t="str">
        <f>IFERROR(BASE_DATOS[[#This Row],[Precio US$]]/BASE_DATOS[[#This Row],[Horas Rodadas]],"")</f>
        <v/>
      </c>
      <c r="AK500" s="365" t="str">
        <f>IFERROR(BASE_DATOS[[#This Row],[Horas Rodadas]]/(BASE_DATOS[[#This Row],[NSK Original]]-BASE_DATOS[[#This Row],[NSK]]),"")</f>
        <v/>
      </c>
      <c r="AL50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00" s="366" t="str">
        <f>IFERROR(BASE_DATOS[[#This Row],[Precio US$]]/BASE_DATOS[[#This Row],[Horas Proy.]],"")</f>
        <v/>
      </c>
      <c r="AN500" s="176" t="str">
        <f>IF(OR(BASE_DATOS[[#This Row],[Km.]]="",BASE_DATOS[[#This Row],[Km. Actual]]=""),"",BASE_DATOS[[#This Row],[Km. Actual]]-BASE_DATOS[[#This Row],[Km.]]+BASE_DATOS[[#This Row],[Kilómetros Acumulados]])</f>
        <v/>
      </c>
      <c r="AO500" s="177" t="str">
        <f>IFERROR(BASE_DATOS[[#This Row],[Precio US$]]/BASE_DATOS[[#This Row],[Kilómetros Rodados]],"")</f>
        <v/>
      </c>
      <c r="AP500" s="176" t="str">
        <f>IFERROR(BASE_DATOS[[#This Row],[Kilómetros Rodados]]/(BASE_DATOS[[#This Row],[NSK Original]]-BASE_DATOS[[#This Row],[NSK]]),"")</f>
        <v/>
      </c>
      <c r="AQ50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00" s="177" t="str">
        <f>IFERROR(BASE_DATOS[[#This Row],[Precio US$]]/BASE_DATOS[[#This Row],[Kilómetros Proy.]],"")</f>
        <v/>
      </c>
      <c r="AS500" s="167" t="s">
        <v>62</v>
      </c>
      <c r="AT500" s="167"/>
      <c r="AU500" s="167"/>
      <c r="AV500" s="167"/>
      <c r="AW500" s="179"/>
      <c r="AX500" s="179"/>
      <c r="AY500" s="179" t="str">
        <f>CONCATENATE(BASE_DATOS[[#This Row],[Código_U]]&amp;BASE_DATOS[[#This Row],[Pos.]]&amp;BASE_DATOS[[#This Row],[Situación Actual]])</f>
        <v>SR-1964Rodando</v>
      </c>
    </row>
    <row r="501" spans="1:51" ht="12" x14ac:dyDescent="0.25">
      <c r="A501" s="227" t="s">
        <v>217</v>
      </c>
      <c r="B501" s="217" t="s">
        <v>218</v>
      </c>
      <c r="C501" s="228" t="s">
        <v>295</v>
      </c>
      <c r="D501" s="229" t="s">
        <v>87</v>
      </c>
      <c r="E501" s="255"/>
      <c r="F501" s="256" t="s">
        <v>97</v>
      </c>
      <c r="G501" s="256" t="s">
        <v>269</v>
      </c>
      <c r="H501" s="257" t="str">
        <f>IF(BASE_DATOS[[#This Row],[N-R]]="N",BASE_DATOS[[#This Row],[Diseño]],"Reencauche")</f>
        <v>AGC28</v>
      </c>
      <c r="I501" s="256" t="s">
        <v>270</v>
      </c>
      <c r="J501" s="243" t="s">
        <v>72</v>
      </c>
      <c r="K501" s="258">
        <v>16.5</v>
      </c>
      <c r="L501" s="256">
        <v>110</v>
      </c>
      <c r="M501" s="259"/>
      <c r="N501" s="260"/>
      <c r="O501" s="277"/>
      <c r="P501" s="278"/>
      <c r="Q501" s="279"/>
      <c r="R501" s="309" t="s">
        <v>102</v>
      </c>
      <c r="S501" s="310">
        <v>45385</v>
      </c>
      <c r="T501" s="313"/>
      <c r="U501" s="279"/>
      <c r="V501" s="227">
        <v>14</v>
      </c>
      <c r="W501" s="281">
        <v>14</v>
      </c>
      <c r="X501" s="282">
        <v>14</v>
      </c>
      <c r="Y501" s="293">
        <f t="shared" si="21"/>
        <v>14</v>
      </c>
      <c r="Z501" s="175" t="s">
        <v>85</v>
      </c>
      <c r="AA501" s="342">
        <f>IFERROR(BASE_DATOS[[#This Row],[NSK Original]]-BASE_DATOS[[#This Row],[NSK]]," ")</f>
        <v>2.5</v>
      </c>
      <c r="AB501" s="343">
        <f>'NSK-TRACTO'!$A$2</f>
        <v>6</v>
      </c>
      <c r="AC501" s="343">
        <f>IF(BASE_DATOS[[#This Row],[NSK]]&gt;=BASE_DATOS[[#This Row],[NSK Reen]],BASE_DATOS[[#This Row],[NSK Reen]],BASE_DATOS[[#This Row],[NSK]])</f>
        <v>6</v>
      </c>
      <c r="AD501" s="344">
        <f>IFERROR(100%-(BASE_DATOS[[#This Row],[NSK Reen]]/BASE_DATOS[[#This Row],[NSK Original]]),"")</f>
        <v>0.63636363636363635</v>
      </c>
      <c r="AE501" s="344">
        <f>IFERROR(100%-BASE_DATOS[[#This Row],[NSK]]/BASE_DATOS[[#This Row],[NSK Original]],"")</f>
        <v>0.15151515151515149</v>
      </c>
      <c r="AF501" s="344">
        <f>IFERROR(BASE_DATOS[[#This Row],[% Max Des.]]-BASE_DATOS[[#This Row],[% Des]],"")</f>
        <v>0.48484848484848486</v>
      </c>
      <c r="AG501" s="287"/>
      <c r="AH501" s="273"/>
      <c r="AI501" s="363" t="str">
        <f>IF(OR(BASE_DATOS[[#This Row],[Hr.]]="",BASE_DATOS[[#This Row],[Hr. Actual]]=""),"",BASE_DATOS[[#This Row],[Hr. Actual]]-BASE_DATOS[[#This Row],[Hr.]]+BASE_DATOS[[#This Row],[Horas Acumuladas]])</f>
        <v/>
      </c>
      <c r="AJ501" s="364" t="str">
        <f>IFERROR(BASE_DATOS[[#This Row],[Precio US$]]/BASE_DATOS[[#This Row],[Horas Rodadas]],"")</f>
        <v/>
      </c>
      <c r="AK501" s="365" t="str">
        <f>IFERROR(BASE_DATOS[[#This Row],[Horas Rodadas]]/(BASE_DATOS[[#This Row],[NSK Original]]-BASE_DATOS[[#This Row],[NSK]]),"")</f>
        <v/>
      </c>
      <c r="AL50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01" s="366" t="str">
        <f>IFERROR(BASE_DATOS[[#This Row],[Precio US$]]/BASE_DATOS[[#This Row],[Horas Proy.]],"")</f>
        <v/>
      </c>
      <c r="AN501" s="176" t="str">
        <f>IF(OR(BASE_DATOS[[#This Row],[Km.]]="",BASE_DATOS[[#This Row],[Km. Actual]]=""),"",BASE_DATOS[[#This Row],[Km. Actual]]-BASE_DATOS[[#This Row],[Km.]]+BASE_DATOS[[#This Row],[Kilómetros Acumulados]])</f>
        <v/>
      </c>
      <c r="AO501" s="177" t="str">
        <f>IFERROR(BASE_DATOS[[#This Row],[Precio US$]]/BASE_DATOS[[#This Row],[Kilómetros Rodados]],"")</f>
        <v/>
      </c>
      <c r="AP501" s="176" t="str">
        <f>IFERROR(BASE_DATOS[[#This Row],[Kilómetros Rodados]]/(BASE_DATOS[[#This Row],[NSK Original]]-BASE_DATOS[[#This Row],[NSK]]),"")</f>
        <v/>
      </c>
      <c r="AQ50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01" s="177" t="str">
        <f>IFERROR(BASE_DATOS[[#This Row],[Precio US$]]/BASE_DATOS[[#This Row],[Kilómetros Proy.]],"")</f>
        <v/>
      </c>
      <c r="AS501" s="167" t="s">
        <v>62</v>
      </c>
      <c r="AT501" s="167"/>
      <c r="AU501" s="167"/>
      <c r="AV501" s="167"/>
      <c r="AW501" s="179"/>
      <c r="AX501" s="179"/>
      <c r="AY501" s="179" t="str">
        <f>CONCATENATE(BASE_DATOS[[#This Row],[Código_U]]&amp;BASE_DATOS[[#This Row],[Pos.]]&amp;BASE_DATOS[[#This Row],[Situación Actual]])</f>
        <v>SR-1965Rodando</v>
      </c>
    </row>
    <row r="502" spans="1:51" ht="12" x14ac:dyDescent="0.25">
      <c r="A502" s="227" t="s">
        <v>217</v>
      </c>
      <c r="B502" s="217" t="s">
        <v>218</v>
      </c>
      <c r="C502" s="228" t="s">
        <v>295</v>
      </c>
      <c r="D502" s="229" t="s">
        <v>87</v>
      </c>
      <c r="E502" s="255"/>
      <c r="F502" s="256" t="s">
        <v>97</v>
      </c>
      <c r="G502" s="256" t="s">
        <v>269</v>
      </c>
      <c r="H502" s="257" t="str">
        <f>IF(BASE_DATOS[[#This Row],[N-R]]="N",BASE_DATOS[[#This Row],[Diseño]],"Reencauche")</f>
        <v>AGC28</v>
      </c>
      <c r="I502" s="256" t="s">
        <v>270</v>
      </c>
      <c r="J502" s="243" t="s">
        <v>72</v>
      </c>
      <c r="K502" s="258">
        <v>16.5</v>
      </c>
      <c r="L502" s="256">
        <v>110</v>
      </c>
      <c r="M502" s="259"/>
      <c r="N502" s="260"/>
      <c r="O502" s="277"/>
      <c r="P502" s="278"/>
      <c r="Q502" s="279"/>
      <c r="R502" s="309" t="s">
        <v>103</v>
      </c>
      <c r="S502" s="310">
        <v>45385</v>
      </c>
      <c r="T502" s="313"/>
      <c r="U502" s="279"/>
      <c r="V502" s="227">
        <v>15</v>
      </c>
      <c r="W502" s="281">
        <v>15</v>
      </c>
      <c r="X502" s="282">
        <v>15</v>
      </c>
      <c r="Y502" s="293">
        <f t="shared" si="21"/>
        <v>15</v>
      </c>
      <c r="Z502" s="175" t="s">
        <v>85</v>
      </c>
      <c r="AA502" s="342">
        <f>IFERROR(BASE_DATOS[[#This Row],[NSK Original]]-BASE_DATOS[[#This Row],[NSK]]," ")</f>
        <v>1.5</v>
      </c>
      <c r="AB502" s="343">
        <f>'NSK-TRACTO'!$A$2</f>
        <v>6</v>
      </c>
      <c r="AC502" s="343">
        <f>IF(BASE_DATOS[[#This Row],[NSK]]&gt;=BASE_DATOS[[#This Row],[NSK Reen]],BASE_DATOS[[#This Row],[NSK Reen]],BASE_DATOS[[#This Row],[NSK]])</f>
        <v>6</v>
      </c>
      <c r="AD502" s="344">
        <f>IFERROR(100%-(BASE_DATOS[[#This Row],[NSK Reen]]/BASE_DATOS[[#This Row],[NSK Original]]),"")</f>
        <v>0.63636363636363635</v>
      </c>
      <c r="AE502" s="344">
        <f>IFERROR(100%-BASE_DATOS[[#This Row],[NSK]]/BASE_DATOS[[#This Row],[NSK Original]],"")</f>
        <v>9.0909090909090939E-2</v>
      </c>
      <c r="AF502" s="344">
        <f>IFERROR(BASE_DATOS[[#This Row],[% Max Des.]]-BASE_DATOS[[#This Row],[% Des]],"")</f>
        <v>0.54545454545454541</v>
      </c>
      <c r="AG502" s="287"/>
      <c r="AH502" s="273"/>
      <c r="AI502" s="363" t="str">
        <f>IF(OR(BASE_DATOS[[#This Row],[Hr.]]="",BASE_DATOS[[#This Row],[Hr. Actual]]=""),"",BASE_DATOS[[#This Row],[Hr. Actual]]-BASE_DATOS[[#This Row],[Hr.]]+BASE_DATOS[[#This Row],[Horas Acumuladas]])</f>
        <v/>
      </c>
      <c r="AJ502" s="364" t="str">
        <f>IFERROR(BASE_DATOS[[#This Row],[Precio US$]]/BASE_DATOS[[#This Row],[Horas Rodadas]],"")</f>
        <v/>
      </c>
      <c r="AK502" s="365" t="str">
        <f>IFERROR(BASE_DATOS[[#This Row],[Horas Rodadas]]/(BASE_DATOS[[#This Row],[NSK Original]]-BASE_DATOS[[#This Row],[NSK]]),"")</f>
        <v/>
      </c>
      <c r="AL50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02" s="366" t="str">
        <f>IFERROR(BASE_DATOS[[#This Row],[Precio US$]]/BASE_DATOS[[#This Row],[Horas Proy.]],"")</f>
        <v/>
      </c>
      <c r="AN502" s="176" t="str">
        <f>IF(OR(BASE_DATOS[[#This Row],[Km.]]="",BASE_DATOS[[#This Row],[Km. Actual]]=""),"",BASE_DATOS[[#This Row],[Km. Actual]]-BASE_DATOS[[#This Row],[Km.]]+BASE_DATOS[[#This Row],[Kilómetros Acumulados]])</f>
        <v/>
      </c>
      <c r="AO502" s="177" t="str">
        <f>IFERROR(BASE_DATOS[[#This Row],[Precio US$]]/BASE_DATOS[[#This Row],[Kilómetros Rodados]],"")</f>
        <v/>
      </c>
      <c r="AP502" s="176" t="str">
        <f>IFERROR(BASE_DATOS[[#This Row],[Kilómetros Rodados]]/(BASE_DATOS[[#This Row],[NSK Original]]-BASE_DATOS[[#This Row],[NSK]]),"")</f>
        <v/>
      </c>
      <c r="AQ50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02" s="177" t="str">
        <f>IFERROR(BASE_DATOS[[#This Row],[Precio US$]]/BASE_DATOS[[#This Row],[Kilómetros Proy.]],"")</f>
        <v/>
      </c>
      <c r="AS502" s="167" t="s">
        <v>62</v>
      </c>
      <c r="AT502" s="167"/>
      <c r="AU502" s="167"/>
      <c r="AV502" s="167"/>
      <c r="AW502" s="179"/>
      <c r="AX502" s="179"/>
      <c r="AY502" s="179" t="str">
        <f>CONCATENATE(BASE_DATOS[[#This Row],[Código_U]]&amp;BASE_DATOS[[#This Row],[Pos.]]&amp;BASE_DATOS[[#This Row],[Situación Actual]])</f>
        <v>SR-1966Rodando</v>
      </c>
    </row>
    <row r="503" spans="1:51" ht="12" x14ac:dyDescent="0.25">
      <c r="A503" s="227" t="s">
        <v>217</v>
      </c>
      <c r="B503" s="217" t="s">
        <v>218</v>
      </c>
      <c r="C503" s="228" t="s">
        <v>295</v>
      </c>
      <c r="D503" s="229" t="s">
        <v>384</v>
      </c>
      <c r="E503" s="255"/>
      <c r="F503" s="256" t="s">
        <v>273</v>
      </c>
      <c r="G503" s="256" t="s">
        <v>274</v>
      </c>
      <c r="H503" s="257" t="str">
        <f>IF(BASE_DATOS[[#This Row],[N-R]]="N",BASE_DATOS[[#This Row],[Diseño]],"Reencauche")</f>
        <v>XZY3</v>
      </c>
      <c r="I503" s="256" t="s">
        <v>277</v>
      </c>
      <c r="J503" s="243" t="s">
        <v>72</v>
      </c>
      <c r="K503" s="258">
        <v>0</v>
      </c>
      <c r="L503" s="256">
        <v>110</v>
      </c>
      <c r="M503" s="259"/>
      <c r="N503" s="260"/>
      <c r="O503" s="277"/>
      <c r="P503" s="278"/>
      <c r="Q503" s="279"/>
      <c r="R503" s="309" t="s">
        <v>509</v>
      </c>
      <c r="S503" s="310">
        <v>45385</v>
      </c>
      <c r="T503" s="313"/>
      <c r="U503" s="279"/>
      <c r="V503" s="227">
        <v>6</v>
      </c>
      <c r="W503" s="281">
        <v>5</v>
      </c>
      <c r="X503" s="282">
        <v>5</v>
      </c>
      <c r="Y503" s="293">
        <f t="shared" si="21"/>
        <v>5</v>
      </c>
      <c r="Z503" s="175" t="s">
        <v>85</v>
      </c>
      <c r="AA503" s="342">
        <f>IFERROR(BASE_DATOS[[#This Row],[NSK Original]]-BASE_DATOS[[#This Row],[NSK]]," ")</f>
        <v>-5</v>
      </c>
      <c r="AB503" s="343">
        <f>'NSK-TRACTO'!$A$2</f>
        <v>6</v>
      </c>
      <c r="AC503" s="343">
        <f>IF(BASE_DATOS[[#This Row],[NSK]]&gt;=BASE_DATOS[[#This Row],[NSK Reen]],BASE_DATOS[[#This Row],[NSK Reen]],BASE_DATOS[[#This Row],[NSK]])</f>
        <v>5</v>
      </c>
      <c r="AD503" s="344" t="str">
        <f>IFERROR(100%-(BASE_DATOS[[#This Row],[NSK Reen]]/BASE_DATOS[[#This Row],[NSK Original]]),"")</f>
        <v/>
      </c>
      <c r="AE503" s="344" t="str">
        <f>IFERROR(100%-BASE_DATOS[[#This Row],[NSK]]/BASE_DATOS[[#This Row],[NSK Original]],"")</f>
        <v/>
      </c>
      <c r="AF503" s="344" t="str">
        <f>IFERROR(BASE_DATOS[[#This Row],[% Max Des.]]-BASE_DATOS[[#This Row],[% Des]],"")</f>
        <v/>
      </c>
      <c r="AG503" s="287"/>
      <c r="AH503" s="273"/>
      <c r="AI503" s="363" t="str">
        <f>IF(OR(BASE_DATOS[[#This Row],[Hr.]]="",BASE_DATOS[[#This Row],[Hr. Actual]]=""),"",BASE_DATOS[[#This Row],[Hr. Actual]]-BASE_DATOS[[#This Row],[Hr.]]+BASE_DATOS[[#This Row],[Horas Acumuladas]])</f>
        <v/>
      </c>
      <c r="AJ503" s="364" t="str">
        <f>IFERROR(BASE_DATOS[[#This Row],[Precio US$]]/BASE_DATOS[[#This Row],[Horas Rodadas]],"")</f>
        <v/>
      </c>
      <c r="AK503" s="365" t="str">
        <f>IFERROR(BASE_DATOS[[#This Row],[Horas Rodadas]]/(BASE_DATOS[[#This Row],[NSK Original]]-BASE_DATOS[[#This Row],[NSK]]),"")</f>
        <v/>
      </c>
      <c r="AL50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03" s="366" t="str">
        <f>IFERROR(BASE_DATOS[[#This Row],[Precio US$]]/BASE_DATOS[[#This Row],[Horas Proy.]],"")</f>
        <v/>
      </c>
      <c r="AN503" s="176" t="str">
        <f>IF(OR(BASE_DATOS[[#This Row],[Km.]]="",BASE_DATOS[[#This Row],[Km. Actual]]=""),"",BASE_DATOS[[#This Row],[Km. Actual]]-BASE_DATOS[[#This Row],[Km.]]+BASE_DATOS[[#This Row],[Kilómetros Acumulados]])</f>
        <v/>
      </c>
      <c r="AO503" s="177" t="str">
        <f>IFERROR(BASE_DATOS[[#This Row],[Precio US$]]/BASE_DATOS[[#This Row],[Kilómetros Rodados]],"")</f>
        <v/>
      </c>
      <c r="AP503" s="176" t="str">
        <f>IFERROR(BASE_DATOS[[#This Row],[Kilómetros Rodados]]/(BASE_DATOS[[#This Row],[NSK Original]]-BASE_DATOS[[#This Row],[NSK]]),"")</f>
        <v/>
      </c>
      <c r="AQ50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03" s="177" t="str">
        <f>IFERROR(BASE_DATOS[[#This Row],[Precio US$]]/BASE_DATOS[[#This Row],[Kilómetros Proy.]],"")</f>
        <v/>
      </c>
      <c r="AS503" s="167" t="s">
        <v>62</v>
      </c>
      <c r="AT503" s="167"/>
      <c r="AU503" s="167"/>
      <c r="AV503" s="167"/>
      <c r="AW503" s="179"/>
      <c r="AX503" s="179"/>
      <c r="AY503" s="179" t="str">
        <f>CONCATENATE(BASE_DATOS[[#This Row],[Código_U]]&amp;BASE_DATOS[[#This Row],[Pos.]]&amp;BASE_DATOS[[#This Row],[Situación Actual]])</f>
        <v>SR-196RERodando</v>
      </c>
    </row>
    <row r="504" spans="1:51" ht="12" x14ac:dyDescent="0.25">
      <c r="A504" s="227" t="s">
        <v>217</v>
      </c>
      <c r="B504" s="217" t="s">
        <v>218</v>
      </c>
      <c r="C504" s="228" t="s">
        <v>295</v>
      </c>
      <c r="D504" s="229" t="s">
        <v>108</v>
      </c>
      <c r="E504" s="255"/>
      <c r="F504" s="256" t="s">
        <v>278</v>
      </c>
      <c r="G504" s="256" t="s">
        <v>271</v>
      </c>
      <c r="H504" s="257" t="str">
        <f>IF(BASE_DATOS[[#This Row],[N-R]]="N",BASE_DATOS[[#This Row],[Diseño]],"Reencauche")</f>
        <v>AHC3</v>
      </c>
      <c r="I504" s="256" t="s">
        <v>280</v>
      </c>
      <c r="J504" s="243" t="s">
        <v>72</v>
      </c>
      <c r="K504" s="258">
        <v>0</v>
      </c>
      <c r="L504" s="256">
        <v>110</v>
      </c>
      <c r="M504" s="259"/>
      <c r="N504" s="260"/>
      <c r="O504" s="277"/>
      <c r="P504" s="278"/>
      <c r="Q504" s="279"/>
      <c r="R504" s="309" t="s">
        <v>108</v>
      </c>
      <c r="S504" s="310">
        <v>45385</v>
      </c>
      <c r="T504" s="313"/>
      <c r="U504" s="279"/>
      <c r="V504" s="227">
        <v>8</v>
      </c>
      <c r="W504" s="281">
        <v>6</v>
      </c>
      <c r="X504" s="282">
        <v>7</v>
      </c>
      <c r="Y504" s="293">
        <f t="shared" si="21"/>
        <v>6</v>
      </c>
      <c r="Z504" s="175" t="s">
        <v>85</v>
      </c>
      <c r="AA504" s="342">
        <f>IFERROR(BASE_DATOS[[#This Row],[NSK Original]]-BASE_DATOS[[#This Row],[NSK]]," ")</f>
        <v>-6</v>
      </c>
      <c r="AB504" s="343">
        <f>'NSK-TRACTO'!$A$2</f>
        <v>6</v>
      </c>
      <c r="AC504" s="343">
        <f>IF(BASE_DATOS[[#This Row],[NSK]]&gt;=BASE_DATOS[[#This Row],[NSK Reen]],BASE_DATOS[[#This Row],[NSK Reen]],BASE_DATOS[[#This Row],[NSK]])</f>
        <v>6</v>
      </c>
      <c r="AD504" s="344" t="str">
        <f>IFERROR(100%-(BASE_DATOS[[#This Row],[NSK Reen]]/BASE_DATOS[[#This Row],[NSK Original]]),"")</f>
        <v/>
      </c>
      <c r="AE504" s="344" t="str">
        <f>IFERROR(100%-BASE_DATOS[[#This Row],[NSK]]/BASE_DATOS[[#This Row],[NSK Original]],"")</f>
        <v/>
      </c>
      <c r="AF504" s="344" t="str">
        <f>IFERROR(BASE_DATOS[[#This Row],[% Max Des.]]-BASE_DATOS[[#This Row],[% Des]],"")</f>
        <v/>
      </c>
      <c r="AG504" s="287"/>
      <c r="AH504" s="273"/>
      <c r="AI504" s="363" t="str">
        <f>IF(OR(BASE_DATOS[[#This Row],[Hr.]]="",BASE_DATOS[[#This Row],[Hr. Actual]]=""),"",BASE_DATOS[[#This Row],[Hr. Actual]]-BASE_DATOS[[#This Row],[Hr.]]+BASE_DATOS[[#This Row],[Horas Acumuladas]])</f>
        <v/>
      </c>
      <c r="AJ504" s="364" t="str">
        <f>IFERROR(BASE_DATOS[[#This Row],[Precio US$]]/BASE_DATOS[[#This Row],[Horas Rodadas]],"")</f>
        <v/>
      </c>
      <c r="AK504" s="365" t="str">
        <f>IFERROR(BASE_DATOS[[#This Row],[Horas Rodadas]]/(BASE_DATOS[[#This Row],[NSK Original]]-BASE_DATOS[[#This Row],[NSK]]),"")</f>
        <v/>
      </c>
      <c r="AL50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04" s="366" t="str">
        <f>IFERROR(BASE_DATOS[[#This Row],[Precio US$]]/BASE_DATOS[[#This Row],[Horas Proy.]],"")</f>
        <v/>
      </c>
      <c r="AN504" s="176" t="str">
        <f>IF(OR(BASE_DATOS[[#This Row],[Km.]]="",BASE_DATOS[[#This Row],[Km. Actual]]=""),"",BASE_DATOS[[#This Row],[Km. Actual]]-BASE_DATOS[[#This Row],[Km.]]+BASE_DATOS[[#This Row],[Kilómetros Acumulados]])</f>
        <v/>
      </c>
      <c r="AO504" s="177" t="str">
        <f>IFERROR(BASE_DATOS[[#This Row],[Precio US$]]/BASE_DATOS[[#This Row],[Kilómetros Rodados]],"")</f>
        <v/>
      </c>
      <c r="AP504" s="176" t="str">
        <f>IFERROR(BASE_DATOS[[#This Row],[Kilómetros Rodados]]/(BASE_DATOS[[#This Row],[NSK Original]]-BASE_DATOS[[#This Row],[NSK]]),"")</f>
        <v/>
      </c>
      <c r="AQ50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04" s="177" t="str">
        <f>IFERROR(BASE_DATOS[[#This Row],[Precio US$]]/BASE_DATOS[[#This Row],[Kilómetros Proy.]],"")</f>
        <v/>
      </c>
      <c r="AS504" s="167" t="s">
        <v>62</v>
      </c>
      <c r="AT504" s="167"/>
      <c r="AU504" s="167"/>
      <c r="AV504" s="167"/>
      <c r="AW504" s="179"/>
      <c r="AX504" s="179"/>
      <c r="AY504" s="179" t="str">
        <f>CONCATENATE(BASE_DATOS[[#This Row],[Código_U]]&amp;BASE_DATOS[[#This Row],[Pos.]]&amp;BASE_DATOS[[#This Row],[Situación Actual]])</f>
        <v>SR-196RTRodando</v>
      </c>
    </row>
    <row r="505" spans="1:51" ht="12" x14ac:dyDescent="0.25">
      <c r="A505" s="224" t="s">
        <v>219</v>
      </c>
      <c r="B505" s="213" t="s">
        <v>220</v>
      </c>
      <c r="C505" s="225" t="s">
        <v>296</v>
      </c>
      <c r="D505" s="226" t="s">
        <v>86</v>
      </c>
      <c r="E505" s="249"/>
      <c r="F505" s="250" t="s">
        <v>273</v>
      </c>
      <c r="G505" s="250" t="s">
        <v>271</v>
      </c>
      <c r="H505" s="251" t="str">
        <f>IF(BASE_DATOS[[#This Row],[N-R]]="N",BASE_DATOS[[#This Row],[Diseño]],"Reencauche")</f>
        <v>XMULTI+Z</v>
      </c>
      <c r="I505" s="250" t="s">
        <v>297</v>
      </c>
      <c r="J505" s="235" t="s">
        <v>72</v>
      </c>
      <c r="K505" s="252">
        <v>16</v>
      </c>
      <c r="L505" s="233">
        <v>100</v>
      </c>
      <c r="M505" s="253"/>
      <c r="N505" s="254"/>
      <c r="O505" s="274"/>
      <c r="P505" s="275"/>
      <c r="Q505" s="276"/>
      <c r="R505" s="305" t="s">
        <v>98</v>
      </c>
      <c r="S505" s="306">
        <v>45386</v>
      </c>
      <c r="T505" s="314"/>
      <c r="U505" s="276"/>
      <c r="V505" s="224">
        <v>14</v>
      </c>
      <c r="W505" s="325">
        <v>14</v>
      </c>
      <c r="X505" s="326">
        <v>14</v>
      </c>
      <c r="Y505" s="292">
        <f t="shared" si="21"/>
        <v>14</v>
      </c>
      <c r="Z505" s="185" t="s">
        <v>73</v>
      </c>
      <c r="AA505" s="339">
        <f>IFERROR(BASE_DATOS[[#This Row],[NSK Original]]-BASE_DATOS[[#This Row],[NSK]]," ")</f>
        <v>2</v>
      </c>
      <c r="AB505" s="340">
        <f>'NSK-TRACTO'!$A$2</f>
        <v>6</v>
      </c>
      <c r="AC505" s="340">
        <f>IF(BASE_DATOS[[#This Row],[NSK]]&gt;=BASE_DATOS[[#This Row],[NSK Reen]],BASE_DATOS[[#This Row],[NSK Reen]],BASE_DATOS[[#This Row],[NSK]])</f>
        <v>6</v>
      </c>
      <c r="AD505" s="341">
        <f>IFERROR(100%-(BASE_DATOS[[#This Row],[NSK Reen]]/BASE_DATOS[[#This Row],[NSK Original]]),"")</f>
        <v>0.625</v>
      </c>
      <c r="AE505" s="341">
        <f>IFERROR(100%-BASE_DATOS[[#This Row],[NSK]]/BASE_DATOS[[#This Row],[NSK Original]],"")</f>
        <v>0.125</v>
      </c>
      <c r="AF505" s="341">
        <f>IFERROR(BASE_DATOS[[#This Row],[% Max Des.]]-BASE_DATOS[[#This Row],[% Des]],"")</f>
        <v>0.5</v>
      </c>
      <c r="AG505" s="284"/>
      <c r="AH505" s="335"/>
      <c r="AI505" s="359" t="str">
        <f>IF(OR(BASE_DATOS[[#This Row],[Hr.]]="",BASE_DATOS[[#This Row],[Hr. Actual]]=""),"",BASE_DATOS[[#This Row],[Hr. Actual]]-BASE_DATOS[[#This Row],[Hr.]]+BASE_DATOS[[#This Row],[Horas Acumuladas]])</f>
        <v/>
      </c>
      <c r="AJ505" s="360" t="str">
        <f>IFERROR(BASE_DATOS[[#This Row],[Precio US$]]/BASE_DATOS[[#This Row],[Horas Rodadas]],"")</f>
        <v/>
      </c>
      <c r="AK505" s="361" t="str">
        <f>IFERROR(BASE_DATOS[[#This Row],[Horas Rodadas]]/(BASE_DATOS[[#This Row],[NSK Original]]-BASE_DATOS[[#This Row],[NSK]]),"")</f>
        <v/>
      </c>
      <c r="AL505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05" s="362" t="str">
        <f>IFERROR(BASE_DATOS[[#This Row],[Precio US$]]/BASE_DATOS[[#This Row],[Horas Proy.]],"")</f>
        <v/>
      </c>
      <c r="AN505" s="195" t="str">
        <f>IF(OR(BASE_DATOS[[#This Row],[Km.]]="",BASE_DATOS[[#This Row],[Km. Actual]]=""),"",BASE_DATOS[[#This Row],[Km. Actual]]-BASE_DATOS[[#This Row],[Km.]]+BASE_DATOS[[#This Row],[Kilómetros Acumulados]])</f>
        <v/>
      </c>
      <c r="AO505" s="196" t="str">
        <f>IFERROR(BASE_DATOS[[#This Row],[Precio US$]]/BASE_DATOS[[#This Row],[Kilómetros Rodados]],"")</f>
        <v/>
      </c>
      <c r="AP505" s="195" t="str">
        <f>IFERROR(BASE_DATOS[[#This Row],[Kilómetros Rodados]]/(BASE_DATOS[[#This Row],[NSK Original]]-BASE_DATOS[[#This Row],[NSK]]),"")</f>
        <v/>
      </c>
      <c r="AQ505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05" s="196" t="str">
        <f>IFERROR(BASE_DATOS[[#This Row],[Precio US$]]/BASE_DATOS[[#This Row],[Kilómetros Proy.]],"")</f>
        <v/>
      </c>
      <c r="AS505" s="191" t="s">
        <v>62</v>
      </c>
      <c r="AT505" s="191"/>
      <c r="AU505" s="191"/>
      <c r="AV505" s="191"/>
      <c r="AW505" s="198"/>
      <c r="AX505" s="192"/>
      <c r="AY505" s="192" t="str">
        <f>CONCATENATE(BASE_DATOS[[#This Row],[Código_U]]&amp;BASE_DATOS[[#This Row],[Pos.]]&amp;BASE_DATOS[[#This Row],[Situación Actual]])</f>
        <v>TC-1981Rodando</v>
      </c>
    </row>
    <row r="506" spans="1:51" ht="12" x14ac:dyDescent="0.25">
      <c r="A506" s="227" t="s">
        <v>219</v>
      </c>
      <c r="B506" s="217" t="s">
        <v>220</v>
      </c>
      <c r="C506" s="228" t="s">
        <v>296</v>
      </c>
      <c r="D506" s="229" t="s">
        <v>86</v>
      </c>
      <c r="E506" s="255"/>
      <c r="F506" s="256" t="s">
        <v>273</v>
      </c>
      <c r="G506" s="256" t="s">
        <v>271</v>
      </c>
      <c r="H506" s="257" t="str">
        <f>IF(BASE_DATOS[[#This Row],[N-R]]="N",BASE_DATOS[[#This Row],[Diseño]],"Reencauche")</f>
        <v>XMULTI+Z</v>
      </c>
      <c r="I506" s="256" t="s">
        <v>297</v>
      </c>
      <c r="J506" s="243" t="s">
        <v>72</v>
      </c>
      <c r="K506" s="258">
        <v>16</v>
      </c>
      <c r="L506" s="241">
        <v>100</v>
      </c>
      <c r="M506" s="259"/>
      <c r="N506" s="260"/>
      <c r="O506" s="277"/>
      <c r="P506" s="278"/>
      <c r="Q506" s="279"/>
      <c r="R506" s="309" t="s">
        <v>99</v>
      </c>
      <c r="S506" s="310">
        <v>45386</v>
      </c>
      <c r="T506" s="313"/>
      <c r="U506" s="279"/>
      <c r="V506" s="227">
        <v>14</v>
      </c>
      <c r="W506" s="281">
        <v>14</v>
      </c>
      <c r="X506" s="282">
        <v>14</v>
      </c>
      <c r="Y506" s="293">
        <f t="shared" si="21"/>
        <v>14</v>
      </c>
      <c r="Z506" s="161" t="s">
        <v>73</v>
      </c>
      <c r="AA506" s="342">
        <f>IFERROR(BASE_DATOS[[#This Row],[NSK Original]]-BASE_DATOS[[#This Row],[NSK]]," ")</f>
        <v>2</v>
      </c>
      <c r="AB506" s="343">
        <f>'NSK-TRACTO'!$A$2</f>
        <v>6</v>
      </c>
      <c r="AC506" s="343">
        <f>IF(BASE_DATOS[[#This Row],[NSK]]&gt;=BASE_DATOS[[#This Row],[NSK Reen]],BASE_DATOS[[#This Row],[NSK Reen]],BASE_DATOS[[#This Row],[NSK]])</f>
        <v>6</v>
      </c>
      <c r="AD506" s="344">
        <f>IFERROR(100%-(BASE_DATOS[[#This Row],[NSK Reen]]/BASE_DATOS[[#This Row],[NSK Original]]),"")</f>
        <v>0.625</v>
      </c>
      <c r="AE506" s="344">
        <f>IFERROR(100%-BASE_DATOS[[#This Row],[NSK]]/BASE_DATOS[[#This Row],[NSK Original]],"")</f>
        <v>0.125</v>
      </c>
      <c r="AF506" s="344">
        <f>IFERROR(BASE_DATOS[[#This Row],[% Max Des.]]-BASE_DATOS[[#This Row],[% Des]],"")</f>
        <v>0.5</v>
      </c>
      <c r="AG506" s="287"/>
      <c r="AH506" s="273"/>
      <c r="AI506" s="363" t="str">
        <f>IF(OR(BASE_DATOS[[#This Row],[Hr.]]="",BASE_DATOS[[#This Row],[Hr. Actual]]=""),"",BASE_DATOS[[#This Row],[Hr. Actual]]-BASE_DATOS[[#This Row],[Hr.]]+BASE_DATOS[[#This Row],[Horas Acumuladas]])</f>
        <v/>
      </c>
      <c r="AJ506" s="364" t="str">
        <f>IFERROR(BASE_DATOS[[#This Row],[Precio US$]]/BASE_DATOS[[#This Row],[Horas Rodadas]],"")</f>
        <v/>
      </c>
      <c r="AK506" s="365" t="str">
        <f>IFERROR(BASE_DATOS[[#This Row],[Horas Rodadas]]/(BASE_DATOS[[#This Row],[NSK Original]]-BASE_DATOS[[#This Row],[NSK]]),"")</f>
        <v/>
      </c>
      <c r="AL50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06" s="366" t="str">
        <f>IFERROR(BASE_DATOS[[#This Row],[Precio US$]]/BASE_DATOS[[#This Row],[Horas Proy.]],"")</f>
        <v/>
      </c>
      <c r="AN506" s="176" t="str">
        <f>IF(OR(BASE_DATOS[[#This Row],[Km.]]="",BASE_DATOS[[#This Row],[Km. Actual]]=""),"",BASE_DATOS[[#This Row],[Km. Actual]]-BASE_DATOS[[#This Row],[Km.]]+BASE_DATOS[[#This Row],[Kilómetros Acumulados]])</f>
        <v/>
      </c>
      <c r="AO506" s="177" t="str">
        <f>IFERROR(BASE_DATOS[[#This Row],[Precio US$]]/BASE_DATOS[[#This Row],[Kilómetros Rodados]],"")</f>
        <v/>
      </c>
      <c r="AP506" s="176" t="str">
        <f>IFERROR(BASE_DATOS[[#This Row],[Kilómetros Rodados]]/(BASE_DATOS[[#This Row],[NSK Original]]-BASE_DATOS[[#This Row],[NSK]]),"")</f>
        <v/>
      </c>
      <c r="AQ50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06" s="177" t="str">
        <f>IFERROR(BASE_DATOS[[#This Row],[Precio US$]]/BASE_DATOS[[#This Row],[Kilómetros Proy.]],"")</f>
        <v/>
      </c>
      <c r="AS506" s="167" t="s">
        <v>62</v>
      </c>
      <c r="AT506" s="167"/>
      <c r="AU506" s="167"/>
      <c r="AV506" s="167"/>
      <c r="AW506" s="179"/>
      <c r="AX506" s="169"/>
      <c r="AY506" s="169" t="str">
        <f>CONCATENATE(BASE_DATOS[[#This Row],[Código_U]]&amp;BASE_DATOS[[#This Row],[Pos.]]&amp;BASE_DATOS[[#This Row],[Situación Actual]])</f>
        <v>TC-1982Rodando</v>
      </c>
    </row>
    <row r="507" spans="1:51" ht="12" x14ac:dyDescent="0.25">
      <c r="A507" s="227" t="s">
        <v>219</v>
      </c>
      <c r="B507" s="217" t="s">
        <v>220</v>
      </c>
      <c r="C507" s="228" t="s">
        <v>296</v>
      </c>
      <c r="D507" s="229" t="s">
        <v>61</v>
      </c>
      <c r="E507" s="255"/>
      <c r="F507" s="256" t="s">
        <v>273</v>
      </c>
      <c r="G507" s="256" t="s">
        <v>271</v>
      </c>
      <c r="H507" s="257" t="str">
        <f>IF(BASE_DATOS[[#This Row],[N-R]]="N",BASE_DATOS[[#This Row],[Diseño]],"Reencauche")</f>
        <v>XMULTI2D</v>
      </c>
      <c r="I507" s="256" t="s">
        <v>299</v>
      </c>
      <c r="J507" s="243" t="s">
        <v>72</v>
      </c>
      <c r="K507" s="258">
        <v>21.4</v>
      </c>
      <c r="L507" s="241">
        <v>110</v>
      </c>
      <c r="M507" s="259"/>
      <c r="N507" s="260"/>
      <c r="O507" s="277"/>
      <c r="P507" s="278"/>
      <c r="Q507" s="279"/>
      <c r="R507" s="309" t="s">
        <v>100</v>
      </c>
      <c r="S507" s="310">
        <v>45386</v>
      </c>
      <c r="T507" s="313"/>
      <c r="U507" s="279"/>
      <c r="V507" s="227">
        <v>19</v>
      </c>
      <c r="W507" s="281"/>
      <c r="X507" s="282">
        <v>19</v>
      </c>
      <c r="Y507" s="293">
        <f t="shared" si="21"/>
        <v>19</v>
      </c>
      <c r="Z507" s="175" t="s">
        <v>85</v>
      </c>
      <c r="AA507" s="342">
        <f>IFERROR(BASE_DATOS[[#This Row],[NSK Original]]-BASE_DATOS[[#This Row],[NSK]]," ")</f>
        <v>2.3999999999999986</v>
      </c>
      <c r="AB507" s="343">
        <f>'NSK-TRACTO'!$A$2</f>
        <v>6</v>
      </c>
      <c r="AC507" s="343">
        <f>IF(BASE_DATOS[[#This Row],[NSK]]&gt;=BASE_DATOS[[#This Row],[NSK Reen]],BASE_DATOS[[#This Row],[NSK Reen]],BASE_DATOS[[#This Row],[NSK]])</f>
        <v>6</v>
      </c>
      <c r="AD507" s="344">
        <f>IFERROR(100%-(BASE_DATOS[[#This Row],[NSK Reen]]/BASE_DATOS[[#This Row],[NSK Original]]),"")</f>
        <v>0.71962616822429903</v>
      </c>
      <c r="AE507" s="344">
        <f>IFERROR(100%-BASE_DATOS[[#This Row],[NSK]]/BASE_DATOS[[#This Row],[NSK Original]],"")</f>
        <v>0.11214953271028028</v>
      </c>
      <c r="AF507" s="344">
        <f>IFERROR(BASE_DATOS[[#This Row],[% Max Des.]]-BASE_DATOS[[#This Row],[% Des]],"")</f>
        <v>0.60747663551401876</v>
      </c>
      <c r="AG507" s="287"/>
      <c r="AH507" s="273"/>
      <c r="AI507" s="363" t="str">
        <f>IF(OR(BASE_DATOS[[#This Row],[Hr.]]="",BASE_DATOS[[#This Row],[Hr. Actual]]=""),"",BASE_DATOS[[#This Row],[Hr. Actual]]-BASE_DATOS[[#This Row],[Hr.]]+BASE_DATOS[[#This Row],[Horas Acumuladas]])</f>
        <v/>
      </c>
      <c r="AJ507" s="364" t="str">
        <f>IFERROR(BASE_DATOS[[#This Row],[Precio US$]]/BASE_DATOS[[#This Row],[Horas Rodadas]],"")</f>
        <v/>
      </c>
      <c r="AK507" s="365" t="str">
        <f>IFERROR(BASE_DATOS[[#This Row],[Horas Rodadas]]/(BASE_DATOS[[#This Row],[NSK Original]]-BASE_DATOS[[#This Row],[NSK]]),"")</f>
        <v/>
      </c>
      <c r="AL50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07" s="366" t="str">
        <f>IFERROR(BASE_DATOS[[#This Row],[Precio US$]]/BASE_DATOS[[#This Row],[Horas Proy.]],"")</f>
        <v/>
      </c>
      <c r="AN507" s="176" t="str">
        <f>IF(OR(BASE_DATOS[[#This Row],[Km.]]="",BASE_DATOS[[#This Row],[Km. Actual]]=""),"",BASE_DATOS[[#This Row],[Km. Actual]]-BASE_DATOS[[#This Row],[Km.]]+BASE_DATOS[[#This Row],[Kilómetros Acumulados]])</f>
        <v/>
      </c>
      <c r="AO507" s="177" t="str">
        <f>IFERROR(BASE_DATOS[[#This Row],[Precio US$]]/BASE_DATOS[[#This Row],[Kilómetros Rodados]],"")</f>
        <v/>
      </c>
      <c r="AP507" s="176" t="str">
        <f>IFERROR(BASE_DATOS[[#This Row],[Kilómetros Rodados]]/(BASE_DATOS[[#This Row],[NSK Original]]-BASE_DATOS[[#This Row],[NSK]]),"")</f>
        <v/>
      </c>
      <c r="AQ50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07" s="177" t="str">
        <f>IFERROR(BASE_DATOS[[#This Row],[Precio US$]]/BASE_DATOS[[#This Row],[Kilómetros Proy.]],"")</f>
        <v/>
      </c>
      <c r="AS507" s="167" t="s">
        <v>62</v>
      </c>
      <c r="AT507" s="167"/>
      <c r="AU507" s="167"/>
      <c r="AV507" s="167"/>
      <c r="AW507" s="179"/>
      <c r="AX507" s="179"/>
      <c r="AY507" s="179" t="str">
        <f>CONCATENATE(BASE_DATOS[[#This Row],[Código_U]]&amp;BASE_DATOS[[#This Row],[Pos.]]&amp;BASE_DATOS[[#This Row],[Situación Actual]])</f>
        <v>TC-1983Rodando</v>
      </c>
    </row>
    <row r="508" spans="1:51" ht="12" x14ac:dyDescent="0.25">
      <c r="A508" s="227" t="s">
        <v>219</v>
      </c>
      <c r="B508" s="217" t="s">
        <v>220</v>
      </c>
      <c r="C508" s="228" t="s">
        <v>296</v>
      </c>
      <c r="D508" s="229" t="s">
        <v>61</v>
      </c>
      <c r="E508" s="255"/>
      <c r="F508" s="256" t="s">
        <v>273</v>
      </c>
      <c r="G508" s="256" t="s">
        <v>271</v>
      </c>
      <c r="H508" s="257" t="str">
        <f>IF(BASE_DATOS[[#This Row],[N-R]]="N",BASE_DATOS[[#This Row],[Diseño]],"Reencauche")</f>
        <v>XMULTI2D</v>
      </c>
      <c r="I508" s="256" t="s">
        <v>299</v>
      </c>
      <c r="J508" s="243" t="s">
        <v>72</v>
      </c>
      <c r="K508" s="258">
        <v>21.4</v>
      </c>
      <c r="L508" s="241">
        <v>110</v>
      </c>
      <c r="M508" s="259"/>
      <c r="N508" s="260"/>
      <c r="O508" s="277"/>
      <c r="P508" s="278"/>
      <c r="Q508" s="279"/>
      <c r="R508" s="309" t="s">
        <v>101</v>
      </c>
      <c r="S508" s="310">
        <v>45386</v>
      </c>
      <c r="T508" s="313"/>
      <c r="U508" s="279"/>
      <c r="V508" s="227">
        <v>19</v>
      </c>
      <c r="W508" s="281"/>
      <c r="X508" s="282">
        <v>19</v>
      </c>
      <c r="Y508" s="293">
        <f t="shared" si="21"/>
        <v>19</v>
      </c>
      <c r="Z508" s="161" t="s">
        <v>385</v>
      </c>
      <c r="AA508" s="342">
        <f>IFERROR(BASE_DATOS[[#This Row],[NSK Original]]-BASE_DATOS[[#This Row],[NSK]]," ")</f>
        <v>2.3999999999999986</v>
      </c>
      <c r="AB508" s="343">
        <f>'NSK-TRACTO'!$A$2</f>
        <v>6</v>
      </c>
      <c r="AC508" s="343">
        <f>IF(BASE_DATOS[[#This Row],[NSK]]&gt;=BASE_DATOS[[#This Row],[NSK Reen]],BASE_DATOS[[#This Row],[NSK Reen]],BASE_DATOS[[#This Row],[NSK]])</f>
        <v>6</v>
      </c>
      <c r="AD508" s="344">
        <f>IFERROR(100%-(BASE_DATOS[[#This Row],[NSK Reen]]/BASE_DATOS[[#This Row],[NSK Original]]),"")</f>
        <v>0.71962616822429903</v>
      </c>
      <c r="AE508" s="344">
        <f>IFERROR(100%-BASE_DATOS[[#This Row],[NSK]]/BASE_DATOS[[#This Row],[NSK Original]],"")</f>
        <v>0.11214953271028028</v>
      </c>
      <c r="AF508" s="344">
        <f>IFERROR(BASE_DATOS[[#This Row],[% Max Des.]]-BASE_DATOS[[#This Row],[% Des]],"")</f>
        <v>0.60747663551401876</v>
      </c>
      <c r="AG508" s="287"/>
      <c r="AH508" s="273"/>
      <c r="AI508" s="363" t="str">
        <f>IF(OR(BASE_DATOS[[#This Row],[Hr.]]="",BASE_DATOS[[#This Row],[Hr. Actual]]=""),"",BASE_DATOS[[#This Row],[Hr. Actual]]-BASE_DATOS[[#This Row],[Hr.]]+BASE_DATOS[[#This Row],[Horas Acumuladas]])</f>
        <v/>
      </c>
      <c r="AJ508" s="364" t="str">
        <f>IFERROR(BASE_DATOS[[#This Row],[Precio US$]]/BASE_DATOS[[#This Row],[Horas Rodadas]],"")</f>
        <v/>
      </c>
      <c r="AK508" s="365" t="str">
        <f>IFERROR(BASE_DATOS[[#This Row],[Horas Rodadas]]/(BASE_DATOS[[#This Row],[NSK Original]]-BASE_DATOS[[#This Row],[NSK]]),"")</f>
        <v/>
      </c>
      <c r="AL50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08" s="366" t="str">
        <f>IFERROR(BASE_DATOS[[#This Row],[Precio US$]]/BASE_DATOS[[#This Row],[Horas Proy.]],"")</f>
        <v/>
      </c>
      <c r="AN508" s="176" t="str">
        <f>IF(OR(BASE_DATOS[[#This Row],[Km.]]="",BASE_DATOS[[#This Row],[Km. Actual]]=""),"",BASE_DATOS[[#This Row],[Km. Actual]]-BASE_DATOS[[#This Row],[Km.]]+BASE_DATOS[[#This Row],[Kilómetros Acumulados]])</f>
        <v/>
      </c>
      <c r="AO508" s="177" t="str">
        <f>IFERROR(BASE_DATOS[[#This Row],[Precio US$]]/BASE_DATOS[[#This Row],[Kilómetros Rodados]],"")</f>
        <v/>
      </c>
      <c r="AP508" s="176" t="str">
        <f>IFERROR(BASE_DATOS[[#This Row],[Kilómetros Rodados]]/(BASE_DATOS[[#This Row],[NSK Original]]-BASE_DATOS[[#This Row],[NSK]]),"")</f>
        <v/>
      </c>
      <c r="AQ50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08" s="177" t="str">
        <f>IFERROR(BASE_DATOS[[#This Row],[Precio US$]]/BASE_DATOS[[#This Row],[Kilómetros Proy.]],"")</f>
        <v/>
      </c>
      <c r="AS508" s="167" t="s">
        <v>62</v>
      </c>
      <c r="AT508" s="167"/>
      <c r="AU508" s="167"/>
      <c r="AV508" s="167"/>
      <c r="AW508" s="179"/>
      <c r="AX508" s="179"/>
      <c r="AY508" s="179" t="str">
        <f>CONCATENATE(BASE_DATOS[[#This Row],[Código_U]]&amp;BASE_DATOS[[#This Row],[Pos.]]&amp;BASE_DATOS[[#This Row],[Situación Actual]])</f>
        <v>TC-1984Rodando</v>
      </c>
    </row>
    <row r="509" spans="1:51" ht="12" x14ac:dyDescent="0.25">
      <c r="A509" s="227" t="s">
        <v>219</v>
      </c>
      <c r="B509" s="217" t="s">
        <v>220</v>
      </c>
      <c r="C509" s="228" t="s">
        <v>296</v>
      </c>
      <c r="D509" s="229" t="s">
        <v>61</v>
      </c>
      <c r="E509" s="255"/>
      <c r="F509" s="256" t="s">
        <v>273</v>
      </c>
      <c r="G509" s="256" t="s">
        <v>271</v>
      </c>
      <c r="H509" s="257" t="str">
        <f>IF(BASE_DATOS[[#This Row],[N-R]]="N",BASE_DATOS[[#This Row],[Diseño]],"Reencauche")</f>
        <v>XMULTI2D</v>
      </c>
      <c r="I509" s="256" t="s">
        <v>299</v>
      </c>
      <c r="J509" s="243" t="s">
        <v>72</v>
      </c>
      <c r="K509" s="258">
        <v>21.4</v>
      </c>
      <c r="L509" s="241">
        <v>110</v>
      </c>
      <c r="M509" s="259"/>
      <c r="N509" s="260"/>
      <c r="O509" s="277"/>
      <c r="P509" s="278"/>
      <c r="Q509" s="279"/>
      <c r="R509" s="309" t="s">
        <v>102</v>
      </c>
      <c r="S509" s="310">
        <v>45386</v>
      </c>
      <c r="T509" s="313"/>
      <c r="U509" s="279"/>
      <c r="V509" s="227">
        <v>19</v>
      </c>
      <c r="W509" s="281"/>
      <c r="X509" s="282">
        <v>19</v>
      </c>
      <c r="Y509" s="293">
        <f t="shared" si="21"/>
        <v>19</v>
      </c>
      <c r="Z509" s="161" t="s">
        <v>385</v>
      </c>
      <c r="AA509" s="342">
        <f>IFERROR(BASE_DATOS[[#This Row],[NSK Original]]-BASE_DATOS[[#This Row],[NSK]]," ")</f>
        <v>2.3999999999999986</v>
      </c>
      <c r="AB509" s="343">
        <f>'NSK-TRACTO'!$A$2</f>
        <v>6</v>
      </c>
      <c r="AC509" s="343">
        <f>IF(BASE_DATOS[[#This Row],[NSK]]&gt;=BASE_DATOS[[#This Row],[NSK Reen]],BASE_DATOS[[#This Row],[NSK Reen]],BASE_DATOS[[#This Row],[NSK]])</f>
        <v>6</v>
      </c>
      <c r="AD509" s="344">
        <f>IFERROR(100%-(BASE_DATOS[[#This Row],[NSK Reen]]/BASE_DATOS[[#This Row],[NSK Original]]),"")</f>
        <v>0.71962616822429903</v>
      </c>
      <c r="AE509" s="344">
        <f>IFERROR(100%-BASE_DATOS[[#This Row],[NSK]]/BASE_DATOS[[#This Row],[NSK Original]],"")</f>
        <v>0.11214953271028028</v>
      </c>
      <c r="AF509" s="344">
        <f>IFERROR(BASE_DATOS[[#This Row],[% Max Des.]]-BASE_DATOS[[#This Row],[% Des]],"")</f>
        <v>0.60747663551401876</v>
      </c>
      <c r="AG509" s="287"/>
      <c r="AH509" s="273"/>
      <c r="AI509" s="363" t="str">
        <f>IF(OR(BASE_DATOS[[#This Row],[Hr.]]="",BASE_DATOS[[#This Row],[Hr. Actual]]=""),"",BASE_DATOS[[#This Row],[Hr. Actual]]-BASE_DATOS[[#This Row],[Hr.]]+BASE_DATOS[[#This Row],[Horas Acumuladas]])</f>
        <v/>
      </c>
      <c r="AJ509" s="364" t="str">
        <f>IFERROR(BASE_DATOS[[#This Row],[Precio US$]]/BASE_DATOS[[#This Row],[Horas Rodadas]],"")</f>
        <v/>
      </c>
      <c r="AK509" s="365" t="str">
        <f>IFERROR(BASE_DATOS[[#This Row],[Horas Rodadas]]/(BASE_DATOS[[#This Row],[NSK Original]]-BASE_DATOS[[#This Row],[NSK]]),"")</f>
        <v/>
      </c>
      <c r="AL50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09" s="366" t="str">
        <f>IFERROR(BASE_DATOS[[#This Row],[Precio US$]]/BASE_DATOS[[#This Row],[Horas Proy.]],"")</f>
        <v/>
      </c>
      <c r="AN509" s="176" t="str">
        <f>IF(OR(BASE_DATOS[[#This Row],[Km.]]="",BASE_DATOS[[#This Row],[Km. Actual]]=""),"",BASE_DATOS[[#This Row],[Km. Actual]]-BASE_DATOS[[#This Row],[Km.]]+BASE_DATOS[[#This Row],[Kilómetros Acumulados]])</f>
        <v/>
      </c>
      <c r="AO509" s="177" t="str">
        <f>IFERROR(BASE_DATOS[[#This Row],[Precio US$]]/BASE_DATOS[[#This Row],[Kilómetros Rodados]],"")</f>
        <v/>
      </c>
      <c r="AP509" s="176" t="str">
        <f>IFERROR(BASE_DATOS[[#This Row],[Kilómetros Rodados]]/(BASE_DATOS[[#This Row],[NSK Original]]-BASE_DATOS[[#This Row],[NSK]]),"")</f>
        <v/>
      </c>
      <c r="AQ50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09" s="177" t="str">
        <f>IFERROR(BASE_DATOS[[#This Row],[Precio US$]]/BASE_DATOS[[#This Row],[Kilómetros Proy.]],"")</f>
        <v/>
      </c>
      <c r="AS509" s="167" t="s">
        <v>62</v>
      </c>
      <c r="AT509" s="167"/>
      <c r="AU509" s="167"/>
      <c r="AV509" s="167"/>
      <c r="AW509" s="179"/>
      <c r="AX509" s="179"/>
      <c r="AY509" s="179" t="str">
        <f>CONCATENATE(BASE_DATOS[[#This Row],[Código_U]]&amp;BASE_DATOS[[#This Row],[Pos.]]&amp;BASE_DATOS[[#This Row],[Situación Actual]])</f>
        <v>TC-1985Rodando</v>
      </c>
    </row>
    <row r="510" spans="1:51" ht="12" x14ac:dyDescent="0.25">
      <c r="A510" s="227" t="s">
        <v>219</v>
      </c>
      <c r="B510" s="217" t="s">
        <v>220</v>
      </c>
      <c r="C510" s="228" t="s">
        <v>296</v>
      </c>
      <c r="D510" s="229" t="s">
        <v>61</v>
      </c>
      <c r="E510" s="255"/>
      <c r="F510" s="256" t="s">
        <v>273</v>
      </c>
      <c r="G510" s="256" t="s">
        <v>271</v>
      </c>
      <c r="H510" s="257" t="str">
        <f>IF(BASE_DATOS[[#This Row],[N-R]]="N",BASE_DATOS[[#This Row],[Diseño]],"Reencauche")</f>
        <v>XMULTI2D</v>
      </c>
      <c r="I510" s="256" t="s">
        <v>299</v>
      </c>
      <c r="J510" s="243" t="s">
        <v>72</v>
      </c>
      <c r="K510" s="258">
        <v>21.4</v>
      </c>
      <c r="L510" s="241">
        <v>110</v>
      </c>
      <c r="M510" s="259"/>
      <c r="N510" s="260"/>
      <c r="O510" s="277"/>
      <c r="P510" s="278"/>
      <c r="Q510" s="279"/>
      <c r="R510" s="309" t="s">
        <v>103</v>
      </c>
      <c r="S510" s="310">
        <v>45386</v>
      </c>
      <c r="T510" s="313"/>
      <c r="U510" s="279"/>
      <c r="V510" s="227">
        <v>19</v>
      </c>
      <c r="W510" s="281"/>
      <c r="X510" s="282">
        <v>19</v>
      </c>
      <c r="Y510" s="293">
        <f t="shared" si="21"/>
        <v>19</v>
      </c>
      <c r="Z510" s="175" t="s">
        <v>85</v>
      </c>
      <c r="AA510" s="342">
        <f>IFERROR(BASE_DATOS[[#This Row],[NSK Original]]-BASE_DATOS[[#This Row],[NSK]]," ")</f>
        <v>2.3999999999999986</v>
      </c>
      <c r="AB510" s="343">
        <f>'NSK-TRACTO'!$A$2</f>
        <v>6</v>
      </c>
      <c r="AC510" s="343">
        <f>IF(BASE_DATOS[[#This Row],[NSK]]&gt;=BASE_DATOS[[#This Row],[NSK Reen]],BASE_DATOS[[#This Row],[NSK Reen]],BASE_DATOS[[#This Row],[NSK]])</f>
        <v>6</v>
      </c>
      <c r="AD510" s="344">
        <f>IFERROR(100%-(BASE_DATOS[[#This Row],[NSK Reen]]/BASE_DATOS[[#This Row],[NSK Original]]),"")</f>
        <v>0.71962616822429903</v>
      </c>
      <c r="AE510" s="344">
        <f>IFERROR(100%-BASE_DATOS[[#This Row],[NSK]]/BASE_DATOS[[#This Row],[NSK Original]],"")</f>
        <v>0.11214953271028028</v>
      </c>
      <c r="AF510" s="344">
        <f>IFERROR(BASE_DATOS[[#This Row],[% Max Des.]]-BASE_DATOS[[#This Row],[% Des]],"")</f>
        <v>0.60747663551401876</v>
      </c>
      <c r="AG510" s="287"/>
      <c r="AH510" s="273"/>
      <c r="AI510" s="363" t="str">
        <f>IF(OR(BASE_DATOS[[#This Row],[Hr.]]="",BASE_DATOS[[#This Row],[Hr. Actual]]=""),"",BASE_DATOS[[#This Row],[Hr. Actual]]-BASE_DATOS[[#This Row],[Hr.]]+BASE_DATOS[[#This Row],[Horas Acumuladas]])</f>
        <v/>
      </c>
      <c r="AJ510" s="364" t="str">
        <f>IFERROR(BASE_DATOS[[#This Row],[Precio US$]]/BASE_DATOS[[#This Row],[Horas Rodadas]],"")</f>
        <v/>
      </c>
      <c r="AK510" s="365" t="str">
        <f>IFERROR(BASE_DATOS[[#This Row],[Horas Rodadas]]/(BASE_DATOS[[#This Row],[NSK Original]]-BASE_DATOS[[#This Row],[NSK]]),"")</f>
        <v/>
      </c>
      <c r="AL51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10" s="366" t="str">
        <f>IFERROR(BASE_DATOS[[#This Row],[Precio US$]]/BASE_DATOS[[#This Row],[Horas Proy.]],"")</f>
        <v/>
      </c>
      <c r="AN510" s="176" t="str">
        <f>IF(OR(BASE_DATOS[[#This Row],[Km.]]="",BASE_DATOS[[#This Row],[Km. Actual]]=""),"",BASE_DATOS[[#This Row],[Km. Actual]]-BASE_DATOS[[#This Row],[Km.]]+BASE_DATOS[[#This Row],[Kilómetros Acumulados]])</f>
        <v/>
      </c>
      <c r="AO510" s="177" t="str">
        <f>IFERROR(BASE_DATOS[[#This Row],[Precio US$]]/BASE_DATOS[[#This Row],[Kilómetros Rodados]],"")</f>
        <v/>
      </c>
      <c r="AP510" s="176" t="str">
        <f>IFERROR(BASE_DATOS[[#This Row],[Kilómetros Rodados]]/(BASE_DATOS[[#This Row],[NSK Original]]-BASE_DATOS[[#This Row],[NSK]]),"")</f>
        <v/>
      </c>
      <c r="AQ51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10" s="177" t="str">
        <f>IFERROR(BASE_DATOS[[#This Row],[Precio US$]]/BASE_DATOS[[#This Row],[Kilómetros Proy.]],"")</f>
        <v/>
      </c>
      <c r="AS510" s="167" t="s">
        <v>62</v>
      </c>
      <c r="AT510" s="167"/>
      <c r="AU510" s="167"/>
      <c r="AV510" s="167"/>
      <c r="AW510" s="179"/>
      <c r="AX510" s="179"/>
      <c r="AY510" s="179" t="str">
        <f>CONCATENATE(BASE_DATOS[[#This Row],[Código_U]]&amp;BASE_DATOS[[#This Row],[Pos.]]&amp;BASE_DATOS[[#This Row],[Situación Actual]])</f>
        <v>TC-1986Rodando</v>
      </c>
    </row>
    <row r="511" spans="1:51" ht="12" x14ac:dyDescent="0.25">
      <c r="A511" s="227" t="s">
        <v>219</v>
      </c>
      <c r="B511" s="217" t="s">
        <v>220</v>
      </c>
      <c r="C511" s="228" t="s">
        <v>296</v>
      </c>
      <c r="D511" s="229" t="s">
        <v>61</v>
      </c>
      <c r="E511" s="255"/>
      <c r="F511" s="256" t="s">
        <v>71</v>
      </c>
      <c r="G511" s="256" t="s">
        <v>271</v>
      </c>
      <c r="H511" s="257" t="str">
        <f>IF(BASE_DATOS[[#This Row],[N-R]]="N",BASE_DATOS[[#This Row],[Diseño]],"Reencauche")</f>
        <v>KMAXD</v>
      </c>
      <c r="I511" s="256" t="s">
        <v>294</v>
      </c>
      <c r="J511" s="243" t="s">
        <v>72</v>
      </c>
      <c r="K511" s="258">
        <v>22.2</v>
      </c>
      <c r="L511" s="241">
        <v>110</v>
      </c>
      <c r="M511" s="259"/>
      <c r="N511" s="260"/>
      <c r="O511" s="277"/>
      <c r="P511" s="278"/>
      <c r="Q511" s="279"/>
      <c r="R511" s="309" t="s">
        <v>104</v>
      </c>
      <c r="S511" s="310">
        <v>45386</v>
      </c>
      <c r="T511" s="313"/>
      <c r="U511" s="279"/>
      <c r="V511" s="227">
        <v>18</v>
      </c>
      <c r="W511" s="281"/>
      <c r="X511" s="282">
        <v>18</v>
      </c>
      <c r="Y511" s="293">
        <f t="shared" si="21"/>
        <v>18</v>
      </c>
      <c r="Z511" s="175" t="s">
        <v>85</v>
      </c>
      <c r="AA511" s="342">
        <f>IFERROR(BASE_DATOS[[#This Row],[NSK Original]]-BASE_DATOS[[#This Row],[NSK]]," ")</f>
        <v>4.1999999999999993</v>
      </c>
      <c r="AB511" s="343">
        <f>'NSK-TRACTO'!$A$2</f>
        <v>6</v>
      </c>
      <c r="AC511" s="343">
        <f>IF(BASE_DATOS[[#This Row],[NSK]]&gt;=BASE_DATOS[[#This Row],[NSK Reen]],BASE_DATOS[[#This Row],[NSK Reen]],BASE_DATOS[[#This Row],[NSK]])</f>
        <v>6</v>
      </c>
      <c r="AD511" s="344">
        <f>IFERROR(100%-(BASE_DATOS[[#This Row],[NSK Reen]]/BASE_DATOS[[#This Row],[NSK Original]]),"")</f>
        <v>0.72972972972972971</v>
      </c>
      <c r="AE511" s="344">
        <f>IFERROR(100%-BASE_DATOS[[#This Row],[NSK]]/BASE_DATOS[[#This Row],[NSK Original]],"")</f>
        <v>0.18918918918918914</v>
      </c>
      <c r="AF511" s="344">
        <f>IFERROR(BASE_DATOS[[#This Row],[% Max Des.]]-BASE_DATOS[[#This Row],[% Des]],"")</f>
        <v>0.54054054054054057</v>
      </c>
      <c r="AG511" s="287"/>
      <c r="AH511" s="273"/>
      <c r="AI511" s="363" t="str">
        <f>IF(OR(BASE_DATOS[[#This Row],[Hr.]]="",BASE_DATOS[[#This Row],[Hr. Actual]]=""),"",BASE_DATOS[[#This Row],[Hr. Actual]]-BASE_DATOS[[#This Row],[Hr.]]+BASE_DATOS[[#This Row],[Horas Acumuladas]])</f>
        <v/>
      </c>
      <c r="AJ511" s="364" t="str">
        <f>IFERROR(BASE_DATOS[[#This Row],[Precio US$]]/BASE_DATOS[[#This Row],[Horas Rodadas]],"")</f>
        <v/>
      </c>
      <c r="AK511" s="365" t="str">
        <f>IFERROR(BASE_DATOS[[#This Row],[Horas Rodadas]]/(BASE_DATOS[[#This Row],[NSK Original]]-BASE_DATOS[[#This Row],[NSK]]),"")</f>
        <v/>
      </c>
      <c r="AL51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11" s="366" t="str">
        <f>IFERROR(BASE_DATOS[[#This Row],[Precio US$]]/BASE_DATOS[[#This Row],[Horas Proy.]],"")</f>
        <v/>
      </c>
      <c r="AN511" s="176" t="str">
        <f>IF(OR(BASE_DATOS[[#This Row],[Km.]]="",BASE_DATOS[[#This Row],[Km. Actual]]=""),"",BASE_DATOS[[#This Row],[Km. Actual]]-BASE_DATOS[[#This Row],[Km.]]+BASE_DATOS[[#This Row],[Kilómetros Acumulados]])</f>
        <v/>
      </c>
      <c r="AO511" s="177" t="str">
        <f>IFERROR(BASE_DATOS[[#This Row],[Precio US$]]/BASE_DATOS[[#This Row],[Kilómetros Rodados]],"")</f>
        <v/>
      </c>
      <c r="AP511" s="176" t="str">
        <f>IFERROR(BASE_DATOS[[#This Row],[Kilómetros Rodados]]/(BASE_DATOS[[#This Row],[NSK Original]]-BASE_DATOS[[#This Row],[NSK]]),"")</f>
        <v/>
      </c>
      <c r="AQ51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11" s="177" t="str">
        <f>IFERROR(BASE_DATOS[[#This Row],[Precio US$]]/BASE_DATOS[[#This Row],[Kilómetros Proy.]],"")</f>
        <v/>
      </c>
      <c r="AS511" s="167" t="s">
        <v>62</v>
      </c>
      <c r="AT511" s="167"/>
      <c r="AU511" s="167"/>
      <c r="AV511" s="167"/>
      <c r="AW511" s="179"/>
      <c r="AX511" s="179"/>
      <c r="AY511" s="179" t="str">
        <f>CONCATENATE(BASE_DATOS[[#This Row],[Código_U]]&amp;BASE_DATOS[[#This Row],[Pos.]]&amp;BASE_DATOS[[#This Row],[Situación Actual]])</f>
        <v>TC-1987Rodando</v>
      </c>
    </row>
    <row r="512" spans="1:51" ht="12" x14ac:dyDescent="0.25">
      <c r="A512" s="227" t="s">
        <v>219</v>
      </c>
      <c r="B512" s="217" t="s">
        <v>220</v>
      </c>
      <c r="C512" s="228" t="s">
        <v>296</v>
      </c>
      <c r="D512" s="229" t="s">
        <v>61</v>
      </c>
      <c r="E512" s="255"/>
      <c r="F512" s="256" t="s">
        <v>71</v>
      </c>
      <c r="G512" s="256" t="s">
        <v>271</v>
      </c>
      <c r="H512" s="257" t="str">
        <f>IF(BASE_DATOS[[#This Row],[N-R]]="N",BASE_DATOS[[#This Row],[Diseño]],"Reencauche")</f>
        <v>KMAXD</v>
      </c>
      <c r="I512" s="256" t="s">
        <v>294</v>
      </c>
      <c r="J512" s="243" t="s">
        <v>72</v>
      </c>
      <c r="K512" s="258">
        <v>22.2</v>
      </c>
      <c r="L512" s="241">
        <v>110</v>
      </c>
      <c r="M512" s="259"/>
      <c r="N512" s="260"/>
      <c r="O512" s="277"/>
      <c r="P512" s="278"/>
      <c r="Q512" s="279"/>
      <c r="R512" s="309" t="s">
        <v>105</v>
      </c>
      <c r="S512" s="310">
        <v>45386</v>
      </c>
      <c r="T512" s="313"/>
      <c r="U512" s="279"/>
      <c r="V512" s="227">
        <v>18</v>
      </c>
      <c r="W512" s="281"/>
      <c r="X512" s="282">
        <v>18</v>
      </c>
      <c r="Y512" s="293">
        <f t="shared" si="21"/>
        <v>18</v>
      </c>
      <c r="Z512" s="161" t="s">
        <v>385</v>
      </c>
      <c r="AA512" s="342">
        <f>IFERROR(BASE_DATOS[[#This Row],[NSK Original]]-BASE_DATOS[[#This Row],[NSK]]," ")</f>
        <v>4.1999999999999993</v>
      </c>
      <c r="AB512" s="343">
        <f>'NSK-TRACTO'!$A$2</f>
        <v>6</v>
      </c>
      <c r="AC512" s="343">
        <f>IF(BASE_DATOS[[#This Row],[NSK]]&gt;=BASE_DATOS[[#This Row],[NSK Reen]],BASE_DATOS[[#This Row],[NSK Reen]],BASE_DATOS[[#This Row],[NSK]])</f>
        <v>6</v>
      </c>
      <c r="AD512" s="344">
        <f>IFERROR(100%-(BASE_DATOS[[#This Row],[NSK Reen]]/BASE_DATOS[[#This Row],[NSK Original]]),"")</f>
        <v>0.72972972972972971</v>
      </c>
      <c r="AE512" s="344">
        <f>IFERROR(100%-BASE_DATOS[[#This Row],[NSK]]/BASE_DATOS[[#This Row],[NSK Original]],"")</f>
        <v>0.18918918918918914</v>
      </c>
      <c r="AF512" s="344">
        <f>IFERROR(BASE_DATOS[[#This Row],[% Max Des.]]-BASE_DATOS[[#This Row],[% Des]],"")</f>
        <v>0.54054054054054057</v>
      </c>
      <c r="AG512" s="287"/>
      <c r="AH512" s="273"/>
      <c r="AI512" s="363" t="str">
        <f>IF(OR(BASE_DATOS[[#This Row],[Hr.]]="",BASE_DATOS[[#This Row],[Hr. Actual]]=""),"",BASE_DATOS[[#This Row],[Hr. Actual]]-BASE_DATOS[[#This Row],[Hr.]]+BASE_DATOS[[#This Row],[Horas Acumuladas]])</f>
        <v/>
      </c>
      <c r="AJ512" s="364" t="str">
        <f>IFERROR(BASE_DATOS[[#This Row],[Precio US$]]/BASE_DATOS[[#This Row],[Horas Rodadas]],"")</f>
        <v/>
      </c>
      <c r="AK512" s="365" t="str">
        <f>IFERROR(BASE_DATOS[[#This Row],[Horas Rodadas]]/(BASE_DATOS[[#This Row],[NSK Original]]-BASE_DATOS[[#This Row],[NSK]]),"")</f>
        <v/>
      </c>
      <c r="AL51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12" s="366" t="str">
        <f>IFERROR(BASE_DATOS[[#This Row],[Precio US$]]/BASE_DATOS[[#This Row],[Horas Proy.]],"")</f>
        <v/>
      </c>
      <c r="AN512" s="176" t="str">
        <f>IF(OR(BASE_DATOS[[#This Row],[Km.]]="",BASE_DATOS[[#This Row],[Km. Actual]]=""),"",BASE_DATOS[[#This Row],[Km. Actual]]-BASE_DATOS[[#This Row],[Km.]]+BASE_DATOS[[#This Row],[Kilómetros Acumulados]])</f>
        <v/>
      </c>
      <c r="AO512" s="177" t="str">
        <f>IFERROR(BASE_DATOS[[#This Row],[Precio US$]]/BASE_DATOS[[#This Row],[Kilómetros Rodados]],"")</f>
        <v/>
      </c>
      <c r="AP512" s="176" t="str">
        <f>IFERROR(BASE_DATOS[[#This Row],[Kilómetros Rodados]]/(BASE_DATOS[[#This Row],[NSK Original]]-BASE_DATOS[[#This Row],[NSK]]),"")</f>
        <v/>
      </c>
      <c r="AQ51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12" s="177" t="str">
        <f>IFERROR(BASE_DATOS[[#This Row],[Precio US$]]/BASE_DATOS[[#This Row],[Kilómetros Proy.]],"")</f>
        <v/>
      </c>
      <c r="AS512" s="167" t="s">
        <v>62</v>
      </c>
      <c r="AT512" s="167"/>
      <c r="AU512" s="167"/>
      <c r="AV512" s="167"/>
      <c r="AW512" s="179"/>
      <c r="AX512" s="179"/>
      <c r="AY512" s="179" t="str">
        <f>CONCATENATE(BASE_DATOS[[#This Row],[Código_U]]&amp;BASE_DATOS[[#This Row],[Pos.]]&amp;BASE_DATOS[[#This Row],[Situación Actual]])</f>
        <v>TC-1988Rodando</v>
      </c>
    </row>
    <row r="513" spans="1:51" ht="12" x14ac:dyDescent="0.25">
      <c r="A513" s="227" t="s">
        <v>219</v>
      </c>
      <c r="B513" s="217" t="s">
        <v>220</v>
      </c>
      <c r="C513" s="228" t="s">
        <v>296</v>
      </c>
      <c r="D513" s="229" t="s">
        <v>61</v>
      </c>
      <c r="E513" s="255"/>
      <c r="F513" s="256" t="s">
        <v>71</v>
      </c>
      <c r="G513" s="256" t="s">
        <v>271</v>
      </c>
      <c r="H513" s="257" t="str">
        <f>IF(BASE_DATOS[[#This Row],[N-R]]="N",BASE_DATOS[[#This Row],[Diseño]],"Reencauche")</f>
        <v>KMAXD</v>
      </c>
      <c r="I513" s="256" t="s">
        <v>294</v>
      </c>
      <c r="J513" s="243" t="s">
        <v>72</v>
      </c>
      <c r="K513" s="258">
        <v>22.2</v>
      </c>
      <c r="L513" s="241">
        <v>110</v>
      </c>
      <c r="M513" s="259"/>
      <c r="N513" s="260"/>
      <c r="O513" s="277"/>
      <c r="P513" s="278"/>
      <c r="Q513" s="279"/>
      <c r="R513" s="309" t="s">
        <v>106</v>
      </c>
      <c r="S513" s="310">
        <v>45386</v>
      </c>
      <c r="T513" s="313"/>
      <c r="U513" s="279"/>
      <c r="V513" s="227">
        <v>18</v>
      </c>
      <c r="W513" s="281"/>
      <c r="X513" s="282">
        <v>18</v>
      </c>
      <c r="Y513" s="293">
        <f t="shared" si="21"/>
        <v>18</v>
      </c>
      <c r="Z513" s="161" t="s">
        <v>385</v>
      </c>
      <c r="AA513" s="342">
        <f>IFERROR(BASE_DATOS[[#This Row],[NSK Original]]-BASE_DATOS[[#This Row],[NSK]]," ")</f>
        <v>4.1999999999999993</v>
      </c>
      <c r="AB513" s="343">
        <f>'NSK-TRACTO'!$A$2</f>
        <v>6</v>
      </c>
      <c r="AC513" s="343">
        <f>IF(BASE_DATOS[[#This Row],[NSK]]&gt;=BASE_DATOS[[#This Row],[NSK Reen]],BASE_DATOS[[#This Row],[NSK Reen]],BASE_DATOS[[#This Row],[NSK]])</f>
        <v>6</v>
      </c>
      <c r="AD513" s="344">
        <f>IFERROR(100%-(BASE_DATOS[[#This Row],[NSK Reen]]/BASE_DATOS[[#This Row],[NSK Original]]),"")</f>
        <v>0.72972972972972971</v>
      </c>
      <c r="AE513" s="344">
        <f>IFERROR(100%-BASE_DATOS[[#This Row],[NSK]]/BASE_DATOS[[#This Row],[NSK Original]],"")</f>
        <v>0.18918918918918914</v>
      </c>
      <c r="AF513" s="344">
        <f>IFERROR(BASE_DATOS[[#This Row],[% Max Des.]]-BASE_DATOS[[#This Row],[% Des]],"")</f>
        <v>0.54054054054054057</v>
      </c>
      <c r="AG513" s="287"/>
      <c r="AH513" s="273"/>
      <c r="AI513" s="363" t="str">
        <f>IF(OR(BASE_DATOS[[#This Row],[Hr.]]="",BASE_DATOS[[#This Row],[Hr. Actual]]=""),"",BASE_DATOS[[#This Row],[Hr. Actual]]-BASE_DATOS[[#This Row],[Hr.]]+BASE_DATOS[[#This Row],[Horas Acumuladas]])</f>
        <v/>
      </c>
      <c r="AJ513" s="364" t="str">
        <f>IFERROR(BASE_DATOS[[#This Row],[Precio US$]]/BASE_DATOS[[#This Row],[Horas Rodadas]],"")</f>
        <v/>
      </c>
      <c r="AK513" s="365" t="str">
        <f>IFERROR(BASE_DATOS[[#This Row],[Horas Rodadas]]/(BASE_DATOS[[#This Row],[NSK Original]]-BASE_DATOS[[#This Row],[NSK]]),"")</f>
        <v/>
      </c>
      <c r="AL51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13" s="366" t="str">
        <f>IFERROR(BASE_DATOS[[#This Row],[Precio US$]]/BASE_DATOS[[#This Row],[Horas Proy.]],"")</f>
        <v/>
      </c>
      <c r="AN513" s="176" t="str">
        <f>IF(OR(BASE_DATOS[[#This Row],[Km.]]="",BASE_DATOS[[#This Row],[Km. Actual]]=""),"",BASE_DATOS[[#This Row],[Km. Actual]]-BASE_DATOS[[#This Row],[Km.]]+BASE_DATOS[[#This Row],[Kilómetros Acumulados]])</f>
        <v/>
      </c>
      <c r="AO513" s="177" t="str">
        <f>IFERROR(BASE_DATOS[[#This Row],[Precio US$]]/BASE_DATOS[[#This Row],[Kilómetros Rodados]],"")</f>
        <v/>
      </c>
      <c r="AP513" s="176" t="str">
        <f>IFERROR(BASE_DATOS[[#This Row],[Kilómetros Rodados]]/(BASE_DATOS[[#This Row],[NSK Original]]-BASE_DATOS[[#This Row],[NSK]]),"")</f>
        <v/>
      </c>
      <c r="AQ51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13" s="177" t="str">
        <f>IFERROR(BASE_DATOS[[#This Row],[Precio US$]]/BASE_DATOS[[#This Row],[Kilómetros Proy.]],"")</f>
        <v/>
      </c>
      <c r="AS513" s="167" t="s">
        <v>62</v>
      </c>
      <c r="AT513" s="167"/>
      <c r="AU513" s="167"/>
      <c r="AV513" s="167"/>
      <c r="AW513" s="179"/>
      <c r="AX513" s="179"/>
      <c r="AY513" s="179" t="str">
        <f>CONCATENATE(BASE_DATOS[[#This Row],[Código_U]]&amp;BASE_DATOS[[#This Row],[Pos.]]&amp;BASE_DATOS[[#This Row],[Situación Actual]])</f>
        <v>TC-1989Rodando</v>
      </c>
    </row>
    <row r="514" spans="1:51" ht="12" x14ac:dyDescent="0.25">
      <c r="A514" s="227" t="s">
        <v>219</v>
      </c>
      <c r="B514" s="217" t="s">
        <v>220</v>
      </c>
      <c r="C514" s="228" t="s">
        <v>296</v>
      </c>
      <c r="D514" s="229" t="s">
        <v>61</v>
      </c>
      <c r="E514" s="255"/>
      <c r="F514" s="256" t="s">
        <v>71</v>
      </c>
      <c r="G514" s="256" t="s">
        <v>271</v>
      </c>
      <c r="H514" s="257" t="str">
        <f>IF(BASE_DATOS[[#This Row],[N-R]]="N",BASE_DATOS[[#This Row],[Diseño]],"Reencauche")</f>
        <v>KMAXD</v>
      </c>
      <c r="I514" s="256" t="s">
        <v>294</v>
      </c>
      <c r="J514" s="243" t="s">
        <v>72</v>
      </c>
      <c r="K514" s="258">
        <v>22.2</v>
      </c>
      <c r="L514" s="241">
        <v>110</v>
      </c>
      <c r="M514" s="259"/>
      <c r="N514" s="260"/>
      <c r="O514" s="277"/>
      <c r="P514" s="278"/>
      <c r="Q514" s="279"/>
      <c r="R514" s="309" t="s">
        <v>107</v>
      </c>
      <c r="S514" s="310">
        <v>45386</v>
      </c>
      <c r="T514" s="313"/>
      <c r="U514" s="279"/>
      <c r="V514" s="227">
        <v>18</v>
      </c>
      <c r="W514" s="281"/>
      <c r="X514" s="282">
        <v>18</v>
      </c>
      <c r="Y514" s="293">
        <f t="shared" ref="Y514:Y545" si="22">IFERROR(MIN(V514:X514),"")</f>
        <v>18</v>
      </c>
      <c r="Z514" s="175" t="s">
        <v>85</v>
      </c>
      <c r="AA514" s="342">
        <f>IFERROR(BASE_DATOS[[#This Row],[NSK Original]]-BASE_DATOS[[#This Row],[NSK]]," ")</f>
        <v>4.1999999999999993</v>
      </c>
      <c r="AB514" s="343">
        <f>'NSK-TRACTO'!$A$2</f>
        <v>6</v>
      </c>
      <c r="AC514" s="343">
        <f>IF(BASE_DATOS[[#This Row],[NSK]]&gt;=BASE_DATOS[[#This Row],[NSK Reen]],BASE_DATOS[[#This Row],[NSK Reen]],BASE_DATOS[[#This Row],[NSK]])</f>
        <v>6</v>
      </c>
      <c r="AD514" s="344">
        <f>IFERROR(100%-(BASE_DATOS[[#This Row],[NSK Reen]]/BASE_DATOS[[#This Row],[NSK Original]]),"")</f>
        <v>0.72972972972972971</v>
      </c>
      <c r="AE514" s="344">
        <f>IFERROR(100%-BASE_DATOS[[#This Row],[NSK]]/BASE_DATOS[[#This Row],[NSK Original]],"")</f>
        <v>0.18918918918918914</v>
      </c>
      <c r="AF514" s="344">
        <f>IFERROR(BASE_DATOS[[#This Row],[% Max Des.]]-BASE_DATOS[[#This Row],[% Des]],"")</f>
        <v>0.54054054054054057</v>
      </c>
      <c r="AG514" s="287"/>
      <c r="AH514" s="273"/>
      <c r="AI514" s="363" t="str">
        <f>IF(OR(BASE_DATOS[[#This Row],[Hr.]]="",BASE_DATOS[[#This Row],[Hr. Actual]]=""),"",BASE_DATOS[[#This Row],[Hr. Actual]]-BASE_DATOS[[#This Row],[Hr.]]+BASE_DATOS[[#This Row],[Horas Acumuladas]])</f>
        <v/>
      </c>
      <c r="AJ514" s="364" t="str">
        <f>IFERROR(BASE_DATOS[[#This Row],[Precio US$]]/BASE_DATOS[[#This Row],[Horas Rodadas]],"")</f>
        <v/>
      </c>
      <c r="AK514" s="365" t="str">
        <f>IFERROR(BASE_DATOS[[#This Row],[Horas Rodadas]]/(BASE_DATOS[[#This Row],[NSK Original]]-BASE_DATOS[[#This Row],[NSK]]),"")</f>
        <v/>
      </c>
      <c r="AL51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14" s="366" t="str">
        <f>IFERROR(BASE_DATOS[[#This Row],[Precio US$]]/BASE_DATOS[[#This Row],[Horas Proy.]],"")</f>
        <v/>
      </c>
      <c r="AN514" s="176" t="str">
        <f>IF(OR(BASE_DATOS[[#This Row],[Km.]]="",BASE_DATOS[[#This Row],[Km. Actual]]=""),"",BASE_DATOS[[#This Row],[Km. Actual]]-BASE_DATOS[[#This Row],[Km.]]+BASE_DATOS[[#This Row],[Kilómetros Acumulados]])</f>
        <v/>
      </c>
      <c r="AO514" s="177" t="str">
        <f>IFERROR(BASE_DATOS[[#This Row],[Precio US$]]/BASE_DATOS[[#This Row],[Kilómetros Rodados]],"")</f>
        <v/>
      </c>
      <c r="AP514" s="176" t="str">
        <f>IFERROR(BASE_DATOS[[#This Row],[Kilómetros Rodados]]/(BASE_DATOS[[#This Row],[NSK Original]]-BASE_DATOS[[#This Row],[NSK]]),"")</f>
        <v/>
      </c>
      <c r="AQ51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14" s="177" t="str">
        <f>IFERROR(BASE_DATOS[[#This Row],[Precio US$]]/BASE_DATOS[[#This Row],[Kilómetros Proy.]],"")</f>
        <v/>
      </c>
      <c r="AS514" s="167" t="s">
        <v>62</v>
      </c>
      <c r="AT514" s="167"/>
      <c r="AU514" s="167"/>
      <c r="AV514" s="167"/>
      <c r="AW514" s="179"/>
      <c r="AX514" s="179"/>
      <c r="AY514" s="179" t="str">
        <f>CONCATENATE(BASE_DATOS[[#This Row],[Código_U]]&amp;BASE_DATOS[[#This Row],[Pos.]]&amp;BASE_DATOS[[#This Row],[Situación Actual]])</f>
        <v>TC-19810Rodando</v>
      </c>
    </row>
    <row r="515" spans="1:51" ht="12" x14ac:dyDescent="0.25">
      <c r="A515" s="224" t="s">
        <v>221</v>
      </c>
      <c r="B515" s="213" t="s">
        <v>222</v>
      </c>
      <c r="C515" s="225" t="s">
        <v>295</v>
      </c>
      <c r="D515" s="226" t="s">
        <v>87</v>
      </c>
      <c r="E515" s="249"/>
      <c r="F515" s="250" t="s">
        <v>97</v>
      </c>
      <c r="G515" s="250" t="s">
        <v>269</v>
      </c>
      <c r="H515" s="251" t="str">
        <f>IF(BASE_DATOS[[#This Row],[N-R]]="N",BASE_DATOS[[#This Row],[Diseño]],"Reencauche")</f>
        <v>AGC28</v>
      </c>
      <c r="I515" s="250" t="s">
        <v>270</v>
      </c>
      <c r="J515" s="235" t="s">
        <v>72</v>
      </c>
      <c r="K515" s="252">
        <v>16.5</v>
      </c>
      <c r="L515" s="250">
        <v>110</v>
      </c>
      <c r="M515" s="253"/>
      <c r="N515" s="254"/>
      <c r="O515" s="274"/>
      <c r="P515" s="275"/>
      <c r="Q515" s="276"/>
      <c r="R515" s="305" t="s">
        <v>98</v>
      </c>
      <c r="S515" s="306">
        <v>45386</v>
      </c>
      <c r="T515" s="314"/>
      <c r="U515" s="276"/>
      <c r="V515" s="224">
        <v>10</v>
      </c>
      <c r="W515" s="325">
        <v>10</v>
      </c>
      <c r="X515" s="326">
        <v>10</v>
      </c>
      <c r="Y515" s="292">
        <f t="shared" si="22"/>
        <v>10</v>
      </c>
      <c r="Z515" s="194" t="s">
        <v>85</v>
      </c>
      <c r="AA515" s="339">
        <f>IFERROR(BASE_DATOS[[#This Row],[NSK Original]]-BASE_DATOS[[#This Row],[NSK]]," ")</f>
        <v>6.5</v>
      </c>
      <c r="AB515" s="340">
        <f>'NSK-TRACTO'!$A$2</f>
        <v>6</v>
      </c>
      <c r="AC515" s="340">
        <f>IF(BASE_DATOS[[#This Row],[NSK]]&gt;=BASE_DATOS[[#This Row],[NSK Reen]],BASE_DATOS[[#This Row],[NSK Reen]],BASE_DATOS[[#This Row],[NSK]])</f>
        <v>6</v>
      </c>
      <c r="AD515" s="341">
        <f>IFERROR(100%-(BASE_DATOS[[#This Row],[NSK Reen]]/BASE_DATOS[[#This Row],[NSK Original]]),"")</f>
        <v>0.63636363636363635</v>
      </c>
      <c r="AE515" s="341">
        <f>IFERROR(100%-BASE_DATOS[[#This Row],[NSK]]/BASE_DATOS[[#This Row],[NSK Original]],"")</f>
        <v>0.39393939393939392</v>
      </c>
      <c r="AF515" s="341">
        <f>IFERROR(BASE_DATOS[[#This Row],[% Max Des.]]-BASE_DATOS[[#This Row],[% Des]],"")</f>
        <v>0.24242424242424243</v>
      </c>
      <c r="AG515" s="284"/>
      <c r="AH515" s="335"/>
      <c r="AI515" s="359" t="str">
        <f>IF(OR(BASE_DATOS[[#This Row],[Hr.]]="",BASE_DATOS[[#This Row],[Hr. Actual]]=""),"",BASE_DATOS[[#This Row],[Hr. Actual]]-BASE_DATOS[[#This Row],[Hr.]]+BASE_DATOS[[#This Row],[Horas Acumuladas]])</f>
        <v/>
      </c>
      <c r="AJ515" s="360" t="str">
        <f>IFERROR(BASE_DATOS[[#This Row],[Precio US$]]/BASE_DATOS[[#This Row],[Horas Rodadas]],"")</f>
        <v/>
      </c>
      <c r="AK515" s="361" t="str">
        <f>IFERROR(BASE_DATOS[[#This Row],[Horas Rodadas]]/(BASE_DATOS[[#This Row],[NSK Original]]-BASE_DATOS[[#This Row],[NSK]]),"")</f>
        <v/>
      </c>
      <c r="AL515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15" s="362" t="str">
        <f>IFERROR(BASE_DATOS[[#This Row],[Precio US$]]/BASE_DATOS[[#This Row],[Horas Proy.]],"")</f>
        <v/>
      </c>
      <c r="AN515" s="195" t="str">
        <f>IF(OR(BASE_DATOS[[#This Row],[Km.]]="",BASE_DATOS[[#This Row],[Km. Actual]]=""),"",BASE_DATOS[[#This Row],[Km. Actual]]-BASE_DATOS[[#This Row],[Km.]]+BASE_DATOS[[#This Row],[Kilómetros Acumulados]])</f>
        <v/>
      </c>
      <c r="AO515" s="196" t="str">
        <f>IFERROR(BASE_DATOS[[#This Row],[Precio US$]]/BASE_DATOS[[#This Row],[Kilómetros Rodados]],"")</f>
        <v/>
      </c>
      <c r="AP515" s="195" t="str">
        <f>IFERROR(BASE_DATOS[[#This Row],[Kilómetros Rodados]]/(BASE_DATOS[[#This Row],[NSK Original]]-BASE_DATOS[[#This Row],[NSK]]),"")</f>
        <v/>
      </c>
      <c r="AQ515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15" s="196" t="str">
        <f>IFERROR(BASE_DATOS[[#This Row],[Precio US$]]/BASE_DATOS[[#This Row],[Kilómetros Proy.]],"")</f>
        <v/>
      </c>
      <c r="AS515" s="191" t="s">
        <v>62</v>
      </c>
      <c r="AT515" s="191"/>
      <c r="AU515" s="191"/>
      <c r="AV515" s="191"/>
      <c r="AW515" s="198"/>
      <c r="AX515" s="198"/>
      <c r="AY515" s="198" t="str">
        <f>CONCATENATE(BASE_DATOS[[#This Row],[Código_U]]&amp;BASE_DATOS[[#This Row],[Pos.]]&amp;BASE_DATOS[[#This Row],[Situación Actual]])</f>
        <v>SR-1981Rodando</v>
      </c>
    </row>
    <row r="516" spans="1:51" ht="12" x14ac:dyDescent="0.25">
      <c r="A516" s="227" t="s">
        <v>221</v>
      </c>
      <c r="B516" s="217" t="s">
        <v>222</v>
      </c>
      <c r="C516" s="228" t="s">
        <v>295</v>
      </c>
      <c r="D516" s="229" t="s">
        <v>87</v>
      </c>
      <c r="E516" s="255"/>
      <c r="F516" s="256" t="s">
        <v>97</v>
      </c>
      <c r="G516" s="256" t="s">
        <v>269</v>
      </c>
      <c r="H516" s="257" t="str">
        <f>IF(BASE_DATOS[[#This Row],[N-R]]="N",BASE_DATOS[[#This Row],[Diseño]],"Reencauche")</f>
        <v>AGC28</v>
      </c>
      <c r="I516" s="256" t="s">
        <v>270</v>
      </c>
      <c r="J516" s="243" t="s">
        <v>72</v>
      </c>
      <c r="K516" s="258">
        <v>16.5</v>
      </c>
      <c r="L516" s="256">
        <v>110</v>
      </c>
      <c r="M516" s="259"/>
      <c r="N516" s="260"/>
      <c r="O516" s="277"/>
      <c r="P516" s="278"/>
      <c r="Q516" s="279"/>
      <c r="R516" s="309" t="s">
        <v>99</v>
      </c>
      <c r="S516" s="310">
        <v>45386</v>
      </c>
      <c r="T516" s="313"/>
      <c r="U516" s="279"/>
      <c r="V516" s="227">
        <v>9</v>
      </c>
      <c r="W516" s="281">
        <v>9</v>
      </c>
      <c r="X516" s="282">
        <v>9</v>
      </c>
      <c r="Y516" s="293">
        <f t="shared" si="22"/>
        <v>9</v>
      </c>
      <c r="Z516" s="161" t="s">
        <v>73</v>
      </c>
      <c r="AA516" s="342">
        <f>IFERROR(BASE_DATOS[[#This Row],[NSK Original]]-BASE_DATOS[[#This Row],[NSK]]," ")</f>
        <v>7.5</v>
      </c>
      <c r="AB516" s="343">
        <f>'NSK-TRACTO'!$A$2</f>
        <v>6</v>
      </c>
      <c r="AC516" s="343">
        <f>IF(BASE_DATOS[[#This Row],[NSK]]&gt;=BASE_DATOS[[#This Row],[NSK Reen]],BASE_DATOS[[#This Row],[NSK Reen]],BASE_DATOS[[#This Row],[NSK]])</f>
        <v>6</v>
      </c>
      <c r="AD516" s="344">
        <f>IFERROR(100%-(BASE_DATOS[[#This Row],[NSK Reen]]/BASE_DATOS[[#This Row],[NSK Original]]),"")</f>
        <v>0.63636363636363635</v>
      </c>
      <c r="AE516" s="344">
        <f>IFERROR(100%-BASE_DATOS[[#This Row],[NSK]]/BASE_DATOS[[#This Row],[NSK Original]],"")</f>
        <v>0.45454545454545459</v>
      </c>
      <c r="AF516" s="344">
        <f>IFERROR(BASE_DATOS[[#This Row],[% Max Des.]]-BASE_DATOS[[#This Row],[% Des]],"")</f>
        <v>0.18181818181818177</v>
      </c>
      <c r="AG516" s="287"/>
      <c r="AH516" s="273"/>
      <c r="AI516" s="363" t="str">
        <f>IF(OR(BASE_DATOS[[#This Row],[Hr.]]="",BASE_DATOS[[#This Row],[Hr. Actual]]=""),"",BASE_DATOS[[#This Row],[Hr. Actual]]-BASE_DATOS[[#This Row],[Hr.]]+BASE_DATOS[[#This Row],[Horas Acumuladas]])</f>
        <v/>
      </c>
      <c r="AJ516" s="364" t="str">
        <f>IFERROR(BASE_DATOS[[#This Row],[Precio US$]]/BASE_DATOS[[#This Row],[Horas Rodadas]],"")</f>
        <v/>
      </c>
      <c r="AK516" s="365" t="str">
        <f>IFERROR(BASE_DATOS[[#This Row],[Horas Rodadas]]/(BASE_DATOS[[#This Row],[NSK Original]]-BASE_DATOS[[#This Row],[NSK]]),"")</f>
        <v/>
      </c>
      <c r="AL51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16" s="366" t="str">
        <f>IFERROR(BASE_DATOS[[#This Row],[Precio US$]]/BASE_DATOS[[#This Row],[Horas Proy.]],"")</f>
        <v/>
      </c>
      <c r="AN516" s="176" t="str">
        <f>IF(OR(BASE_DATOS[[#This Row],[Km.]]="",BASE_DATOS[[#This Row],[Km. Actual]]=""),"",BASE_DATOS[[#This Row],[Km. Actual]]-BASE_DATOS[[#This Row],[Km.]]+BASE_DATOS[[#This Row],[Kilómetros Acumulados]])</f>
        <v/>
      </c>
      <c r="AO516" s="177" t="str">
        <f>IFERROR(BASE_DATOS[[#This Row],[Precio US$]]/BASE_DATOS[[#This Row],[Kilómetros Rodados]],"")</f>
        <v/>
      </c>
      <c r="AP516" s="176" t="str">
        <f>IFERROR(BASE_DATOS[[#This Row],[Kilómetros Rodados]]/(BASE_DATOS[[#This Row],[NSK Original]]-BASE_DATOS[[#This Row],[NSK]]),"")</f>
        <v/>
      </c>
      <c r="AQ51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16" s="177" t="str">
        <f>IFERROR(BASE_DATOS[[#This Row],[Precio US$]]/BASE_DATOS[[#This Row],[Kilómetros Proy.]],"")</f>
        <v/>
      </c>
      <c r="AS516" s="167" t="s">
        <v>62</v>
      </c>
      <c r="AT516" s="167"/>
      <c r="AU516" s="167"/>
      <c r="AV516" s="167"/>
      <c r="AW516" s="179"/>
      <c r="AX516" s="179"/>
      <c r="AY516" s="179" t="str">
        <f>CONCATENATE(BASE_DATOS[[#This Row],[Código_U]]&amp;BASE_DATOS[[#This Row],[Pos.]]&amp;BASE_DATOS[[#This Row],[Situación Actual]])</f>
        <v>SR-1982Rodando</v>
      </c>
    </row>
    <row r="517" spans="1:51" ht="12" x14ac:dyDescent="0.25">
      <c r="A517" s="227" t="s">
        <v>221</v>
      </c>
      <c r="B517" s="217" t="s">
        <v>222</v>
      </c>
      <c r="C517" s="228" t="s">
        <v>295</v>
      </c>
      <c r="D517" s="229" t="s">
        <v>87</v>
      </c>
      <c r="E517" s="255" t="s">
        <v>325</v>
      </c>
      <c r="F517" s="256" t="s">
        <v>97</v>
      </c>
      <c r="G517" s="256" t="s">
        <v>269</v>
      </c>
      <c r="H517" s="257" t="str">
        <f>IF(BASE_DATOS[[#This Row],[N-R]]="N",BASE_DATOS[[#This Row],[Diseño]],"Reencauche")</f>
        <v>AGC28</v>
      </c>
      <c r="I517" s="256" t="s">
        <v>270</v>
      </c>
      <c r="J517" s="243" t="s">
        <v>72</v>
      </c>
      <c r="K517" s="258">
        <v>16.5</v>
      </c>
      <c r="L517" s="256">
        <v>110</v>
      </c>
      <c r="M517" s="259"/>
      <c r="N517" s="260"/>
      <c r="O517" s="277"/>
      <c r="P517" s="278"/>
      <c r="Q517" s="279"/>
      <c r="R517" s="309" t="s">
        <v>100</v>
      </c>
      <c r="S517" s="310">
        <v>45386</v>
      </c>
      <c r="T517" s="313"/>
      <c r="U517" s="279"/>
      <c r="V517" s="227">
        <v>8</v>
      </c>
      <c r="W517" s="281">
        <v>8</v>
      </c>
      <c r="X517" s="282">
        <v>8</v>
      </c>
      <c r="Y517" s="293">
        <f t="shared" si="22"/>
        <v>8</v>
      </c>
      <c r="Z517" s="161" t="s">
        <v>85</v>
      </c>
      <c r="AA517" s="342">
        <f>IFERROR(BASE_DATOS[[#This Row],[NSK Original]]-BASE_DATOS[[#This Row],[NSK]]," ")</f>
        <v>8.5</v>
      </c>
      <c r="AB517" s="343">
        <f>'NSK-TRACTO'!$A$2</f>
        <v>6</v>
      </c>
      <c r="AC517" s="343">
        <f>IF(BASE_DATOS[[#This Row],[NSK]]&gt;=BASE_DATOS[[#This Row],[NSK Reen]],BASE_DATOS[[#This Row],[NSK Reen]],BASE_DATOS[[#This Row],[NSK]])</f>
        <v>6</v>
      </c>
      <c r="AD517" s="344">
        <f>IFERROR(100%-(BASE_DATOS[[#This Row],[NSK Reen]]/BASE_DATOS[[#This Row],[NSK Original]]),"")</f>
        <v>0.63636363636363635</v>
      </c>
      <c r="AE517" s="344">
        <f>IFERROR(100%-BASE_DATOS[[#This Row],[NSK]]/BASE_DATOS[[#This Row],[NSK Original]],"")</f>
        <v>0.51515151515151514</v>
      </c>
      <c r="AF517" s="344">
        <f>IFERROR(BASE_DATOS[[#This Row],[% Max Des.]]-BASE_DATOS[[#This Row],[% Des]],"")</f>
        <v>0.12121212121212122</v>
      </c>
      <c r="AG517" s="287"/>
      <c r="AH517" s="273"/>
      <c r="AI517" s="363" t="str">
        <f>IF(OR(BASE_DATOS[[#This Row],[Hr.]]="",BASE_DATOS[[#This Row],[Hr. Actual]]=""),"",BASE_DATOS[[#This Row],[Hr. Actual]]-BASE_DATOS[[#This Row],[Hr.]]+BASE_DATOS[[#This Row],[Horas Acumuladas]])</f>
        <v/>
      </c>
      <c r="AJ517" s="364" t="str">
        <f>IFERROR(BASE_DATOS[[#This Row],[Precio US$]]/BASE_DATOS[[#This Row],[Horas Rodadas]],"")</f>
        <v/>
      </c>
      <c r="AK517" s="365" t="str">
        <f>IFERROR(BASE_DATOS[[#This Row],[Horas Rodadas]]/(BASE_DATOS[[#This Row],[NSK Original]]-BASE_DATOS[[#This Row],[NSK]]),"")</f>
        <v/>
      </c>
      <c r="AL51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17" s="366" t="str">
        <f>IFERROR(BASE_DATOS[[#This Row],[Precio US$]]/BASE_DATOS[[#This Row],[Horas Proy.]],"")</f>
        <v/>
      </c>
      <c r="AN517" s="176" t="str">
        <f>IF(OR(BASE_DATOS[[#This Row],[Km.]]="",BASE_DATOS[[#This Row],[Km. Actual]]=""),"",BASE_DATOS[[#This Row],[Km. Actual]]-BASE_DATOS[[#This Row],[Km.]]+BASE_DATOS[[#This Row],[Kilómetros Acumulados]])</f>
        <v/>
      </c>
      <c r="AO517" s="177" t="str">
        <f>IFERROR(BASE_DATOS[[#This Row],[Precio US$]]/BASE_DATOS[[#This Row],[Kilómetros Rodados]],"")</f>
        <v/>
      </c>
      <c r="AP517" s="176" t="str">
        <f>IFERROR(BASE_DATOS[[#This Row],[Kilómetros Rodados]]/(BASE_DATOS[[#This Row],[NSK Original]]-BASE_DATOS[[#This Row],[NSK]]),"")</f>
        <v/>
      </c>
      <c r="AQ51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17" s="177" t="str">
        <f>IFERROR(BASE_DATOS[[#This Row],[Precio US$]]/BASE_DATOS[[#This Row],[Kilómetros Proy.]],"")</f>
        <v/>
      </c>
      <c r="AS517" s="167" t="s">
        <v>62</v>
      </c>
      <c r="AT517" s="167"/>
      <c r="AU517" s="167"/>
      <c r="AV517" s="167"/>
      <c r="AW517" s="179"/>
      <c r="AX517" s="179"/>
      <c r="AY517" s="179" t="str">
        <f>CONCATENATE(BASE_DATOS[[#This Row],[Código_U]]&amp;BASE_DATOS[[#This Row],[Pos.]]&amp;BASE_DATOS[[#This Row],[Situación Actual]])</f>
        <v>SR-1983Rodando</v>
      </c>
    </row>
    <row r="518" spans="1:51" ht="12" x14ac:dyDescent="0.25">
      <c r="A518" s="227" t="s">
        <v>221</v>
      </c>
      <c r="B518" s="217" t="s">
        <v>222</v>
      </c>
      <c r="C518" s="228" t="s">
        <v>295</v>
      </c>
      <c r="D518" s="229" t="s">
        <v>87</v>
      </c>
      <c r="E518" s="255" t="s">
        <v>326</v>
      </c>
      <c r="F518" s="256" t="s">
        <v>97</v>
      </c>
      <c r="G518" s="256" t="s">
        <v>269</v>
      </c>
      <c r="H518" s="257" t="str">
        <f>IF(BASE_DATOS[[#This Row],[N-R]]="N",BASE_DATOS[[#This Row],[Diseño]],"Reencauche")</f>
        <v>AGC28</v>
      </c>
      <c r="I518" s="256" t="s">
        <v>270</v>
      </c>
      <c r="J518" s="243" t="s">
        <v>72</v>
      </c>
      <c r="K518" s="258">
        <v>16.5</v>
      </c>
      <c r="L518" s="256">
        <v>110</v>
      </c>
      <c r="M518" s="259"/>
      <c r="N518" s="260"/>
      <c r="O518" s="277"/>
      <c r="P518" s="278"/>
      <c r="Q518" s="279"/>
      <c r="R518" s="309" t="s">
        <v>101</v>
      </c>
      <c r="S518" s="310">
        <v>45386</v>
      </c>
      <c r="T518" s="313"/>
      <c r="U518" s="279"/>
      <c r="V518" s="227">
        <v>9</v>
      </c>
      <c r="W518" s="281">
        <v>9</v>
      </c>
      <c r="X518" s="282">
        <v>9</v>
      </c>
      <c r="Y518" s="293">
        <f t="shared" si="22"/>
        <v>9</v>
      </c>
      <c r="Z518" s="161" t="s">
        <v>73</v>
      </c>
      <c r="AA518" s="342">
        <f>IFERROR(BASE_DATOS[[#This Row],[NSK Original]]-BASE_DATOS[[#This Row],[NSK]]," ")</f>
        <v>7.5</v>
      </c>
      <c r="AB518" s="343">
        <f>'NSK-TRACTO'!$A$2</f>
        <v>6</v>
      </c>
      <c r="AC518" s="343">
        <f>IF(BASE_DATOS[[#This Row],[NSK]]&gt;=BASE_DATOS[[#This Row],[NSK Reen]],BASE_DATOS[[#This Row],[NSK Reen]],BASE_DATOS[[#This Row],[NSK]])</f>
        <v>6</v>
      </c>
      <c r="AD518" s="344">
        <f>IFERROR(100%-(BASE_DATOS[[#This Row],[NSK Reen]]/BASE_DATOS[[#This Row],[NSK Original]]),"")</f>
        <v>0.63636363636363635</v>
      </c>
      <c r="AE518" s="344">
        <f>IFERROR(100%-BASE_DATOS[[#This Row],[NSK]]/BASE_DATOS[[#This Row],[NSK Original]],"")</f>
        <v>0.45454545454545459</v>
      </c>
      <c r="AF518" s="344">
        <f>IFERROR(BASE_DATOS[[#This Row],[% Max Des.]]-BASE_DATOS[[#This Row],[% Des]],"")</f>
        <v>0.18181818181818177</v>
      </c>
      <c r="AG518" s="287"/>
      <c r="AH518" s="273"/>
      <c r="AI518" s="363" t="str">
        <f>IF(OR(BASE_DATOS[[#This Row],[Hr.]]="",BASE_DATOS[[#This Row],[Hr. Actual]]=""),"",BASE_DATOS[[#This Row],[Hr. Actual]]-BASE_DATOS[[#This Row],[Hr.]]+BASE_DATOS[[#This Row],[Horas Acumuladas]])</f>
        <v/>
      </c>
      <c r="AJ518" s="364" t="str">
        <f>IFERROR(BASE_DATOS[[#This Row],[Precio US$]]/BASE_DATOS[[#This Row],[Horas Rodadas]],"")</f>
        <v/>
      </c>
      <c r="AK518" s="365" t="str">
        <f>IFERROR(BASE_DATOS[[#This Row],[Horas Rodadas]]/(BASE_DATOS[[#This Row],[NSK Original]]-BASE_DATOS[[#This Row],[NSK]]),"")</f>
        <v/>
      </c>
      <c r="AL51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18" s="366" t="str">
        <f>IFERROR(BASE_DATOS[[#This Row],[Precio US$]]/BASE_DATOS[[#This Row],[Horas Proy.]],"")</f>
        <v/>
      </c>
      <c r="AN518" s="176" t="str">
        <f>IF(OR(BASE_DATOS[[#This Row],[Km.]]="",BASE_DATOS[[#This Row],[Km. Actual]]=""),"",BASE_DATOS[[#This Row],[Km. Actual]]-BASE_DATOS[[#This Row],[Km.]]+BASE_DATOS[[#This Row],[Kilómetros Acumulados]])</f>
        <v/>
      </c>
      <c r="AO518" s="177" t="str">
        <f>IFERROR(BASE_DATOS[[#This Row],[Precio US$]]/BASE_DATOS[[#This Row],[Kilómetros Rodados]],"")</f>
        <v/>
      </c>
      <c r="AP518" s="176" t="str">
        <f>IFERROR(BASE_DATOS[[#This Row],[Kilómetros Rodados]]/(BASE_DATOS[[#This Row],[NSK Original]]-BASE_DATOS[[#This Row],[NSK]]),"")</f>
        <v/>
      </c>
      <c r="AQ51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18" s="177" t="str">
        <f>IFERROR(BASE_DATOS[[#This Row],[Precio US$]]/BASE_DATOS[[#This Row],[Kilómetros Proy.]],"")</f>
        <v/>
      </c>
      <c r="AS518" s="167" t="s">
        <v>62</v>
      </c>
      <c r="AT518" s="167"/>
      <c r="AU518" s="167"/>
      <c r="AV518" s="167"/>
      <c r="AW518" s="179"/>
      <c r="AX518" s="179"/>
      <c r="AY518" s="179" t="str">
        <f>CONCATENATE(BASE_DATOS[[#This Row],[Código_U]]&amp;BASE_DATOS[[#This Row],[Pos.]]&amp;BASE_DATOS[[#This Row],[Situación Actual]])</f>
        <v>SR-1984Rodando</v>
      </c>
    </row>
    <row r="519" spans="1:51" ht="12" x14ac:dyDescent="0.25">
      <c r="A519" s="227" t="s">
        <v>221</v>
      </c>
      <c r="B519" s="217" t="s">
        <v>222</v>
      </c>
      <c r="C519" s="228" t="s">
        <v>295</v>
      </c>
      <c r="D519" s="229" t="s">
        <v>87</v>
      </c>
      <c r="E519" s="255" t="s">
        <v>323</v>
      </c>
      <c r="F519" s="256" t="s">
        <v>97</v>
      </c>
      <c r="G519" s="256" t="s">
        <v>269</v>
      </c>
      <c r="H519" s="257" t="str">
        <f>IF(BASE_DATOS[[#This Row],[N-R]]="N",BASE_DATOS[[#This Row],[Diseño]],"Reencauche")</f>
        <v>AGC28</v>
      </c>
      <c r="I519" s="256" t="s">
        <v>270</v>
      </c>
      <c r="J519" s="243" t="s">
        <v>72</v>
      </c>
      <c r="K519" s="258">
        <v>16.5</v>
      </c>
      <c r="L519" s="256">
        <v>110</v>
      </c>
      <c r="M519" s="259"/>
      <c r="N519" s="260"/>
      <c r="O519" s="277"/>
      <c r="P519" s="278"/>
      <c r="Q519" s="279"/>
      <c r="R519" s="309" t="s">
        <v>102</v>
      </c>
      <c r="S519" s="310">
        <v>45386</v>
      </c>
      <c r="T519" s="313"/>
      <c r="U519" s="279"/>
      <c r="V519" s="227">
        <v>14</v>
      </c>
      <c r="W519" s="281">
        <v>14</v>
      </c>
      <c r="X519" s="282">
        <v>14</v>
      </c>
      <c r="Y519" s="293">
        <f t="shared" si="22"/>
        <v>14</v>
      </c>
      <c r="Z519" s="175" t="s">
        <v>85</v>
      </c>
      <c r="AA519" s="342">
        <f>IFERROR(BASE_DATOS[[#This Row],[NSK Original]]-BASE_DATOS[[#This Row],[NSK]]," ")</f>
        <v>2.5</v>
      </c>
      <c r="AB519" s="343">
        <f>'NSK-TRACTO'!$A$2</f>
        <v>6</v>
      </c>
      <c r="AC519" s="343">
        <f>IF(BASE_DATOS[[#This Row],[NSK]]&gt;=BASE_DATOS[[#This Row],[NSK Reen]],BASE_DATOS[[#This Row],[NSK Reen]],BASE_DATOS[[#This Row],[NSK]])</f>
        <v>6</v>
      </c>
      <c r="AD519" s="344">
        <f>IFERROR(100%-(BASE_DATOS[[#This Row],[NSK Reen]]/BASE_DATOS[[#This Row],[NSK Original]]),"")</f>
        <v>0.63636363636363635</v>
      </c>
      <c r="AE519" s="344">
        <f>IFERROR(100%-BASE_DATOS[[#This Row],[NSK]]/BASE_DATOS[[#This Row],[NSK Original]],"")</f>
        <v>0.15151515151515149</v>
      </c>
      <c r="AF519" s="344">
        <f>IFERROR(BASE_DATOS[[#This Row],[% Max Des.]]-BASE_DATOS[[#This Row],[% Des]],"")</f>
        <v>0.48484848484848486</v>
      </c>
      <c r="AG519" s="287"/>
      <c r="AH519" s="273"/>
      <c r="AI519" s="363" t="str">
        <f>IF(OR(BASE_DATOS[[#This Row],[Hr.]]="",BASE_DATOS[[#This Row],[Hr. Actual]]=""),"",BASE_DATOS[[#This Row],[Hr. Actual]]-BASE_DATOS[[#This Row],[Hr.]]+BASE_DATOS[[#This Row],[Horas Acumuladas]])</f>
        <v/>
      </c>
      <c r="AJ519" s="364" t="str">
        <f>IFERROR(BASE_DATOS[[#This Row],[Precio US$]]/BASE_DATOS[[#This Row],[Horas Rodadas]],"")</f>
        <v/>
      </c>
      <c r="AK519" s="365" t="str">
        <f>IFERROR(BASE_DATOS[[#This Row],[Horas Rodadas]]/(BASE_DATOS[[#This Row],[NSK Original]]-BASE_DATOS[[#This Row],[NSK]]),"")</f>
        <v/>
      </c>
      <c r="AL51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19" s="366" t="str">
        <f>IFERROR(BASE_DATOS[[#This Row],[Precio US$]]/BASE_DATOS[[#This Row],[Horas Proy.]],"")</f>
        <v/>
      </c>
      <c r="AN519" s="176" t="str">
        <f>IF(OR(BASE_DATOS[[#This Row],[Km.]]="",BASE_DATOS[[#This Row],[Km. Actual]]=""),"",BASE_DATOS[[#This Row],[Km. Actual]]-BASE_DATOS[[#This Row],[Km.]]+BASE_DATOS[[#This Row],[Kilómetros Acumulados]])</f>
        <v/>
      </c>
      <c r="AO519" s="177" t="str">
        <f>IFERROR(BASE_DATOS[[#This Row],[Precio US$]]/BASE_DATOS[[#This Row],[Kilómetros Rodados]],"")</f>
        <v/>
      </c>
      <c r="AP519" s="176" t="str">
        <f>IFERROR(BASE_DATOS[[#This Row],[Kilómetros Rodados]]/(BASE_DATOS[[#This Row],[NSK Original]]-BASE_DATOS[[#This Row],[NSK]]),"")</f>
        <v/>
      </c>
      <c r="AQ51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19" s="177" t="str">
        <f>IFERROR(BASE_DATOS[[#This Row],[Precio US$]]/BASE_DATOS[[#This Row],[Kilómetros Proy.]],"")</f>
        <v/>
      </c>
      <c r="AS519" s="167" t="s">
        <v>62</v>
      </c>
      <c r="AT519" s="167"/>
      <c r="AU519" s="167"/>
      <c r="AV519" s="167"/>
      <c r="AW519" s="179"/>
      <c r="AX519" s="179"/>
      <c r="AY519" s="179" t="str">
        <f>CONCATENATE(BASE_DATOS[[#This Row],[Código_U]]&amp;BASE_DATOS[[#This Row],[Pos.]]&amp;BASE_DATOS[[#This Row],[Situación Actual]])</f>
        <v>SR-1985Rodando</v>
      </c>
    </row>
    <row r="520" spans="1:51" ht="12" x14ac:dyDescent="0.25">
      <c r="A520" s="227" t="s">
        <v>221</v>
      </c>
      <c r="B520" s="217" t="s">
        <v>222</v>
      </c>
      <c r="C520" s="228" t="s">
        <v>295</v>
      </c>
      <c r="D520" s="229" t="s">
        <v>87</v>
      </c>
      <c r="E520" s="255" t="s">
        <v>324</v>
      </c>
      <c r="F520" s="256" t="s">
        <v>97</v>
      </c>
      <c r="G520" s="256" t="s">
        <v>269</v>
      </c>
      <c r="H520" s="257" t="str">
        <f>IF(BASE_DATOS[[#This Row],[N-R]]="N",BASE_DATOS[[#This Row],[Diseño]],"Reencauche")</f>
        <v>AGC28</v>
      </c>
      <c r="I520" s="256" t="s">
        <v>270</v>
      </c>
      <c r="J520" s="243" t="s">
        <v>72</v>
      </c>
      <c r="K520" s="258">
        <v>16.5</v>
      </c>
      <c r="L520" s="256">
        <v>110</v>
      </c>
      <c r="M520" s="259"/>
      <c r="N520" s="260"/>
      <c r="O520" s="277"/>
      <c r="P520" s="278"/>
      <c r="Q520" s="279"/>
      <c r="R520" s="309" t="s">
        <v>103</v>
      </c>
      <c r="S520" s="310">
        <v>45386</v>
      </c>
      <c r="T520" s="313"/>
      <c r="U520" s="279"/>
      <c r="V520" s="227">
        <v>14</v>
      </c>
      <c r="W520" s="281">
        <v>14</v>
      </c>
      <c r="X520" s="282">
        <v>14</v>
      </c>
      <c r="Y520" s="293">
        <f t="shared" si="22"/>
        <v>14</v>
      </c>
      <c r="Z520" s="161" t="s">
        <v>73</v>
      </c>
      <c r="AA520" s="342">
        <f>IFERROR(BASE_DATOS[[#This Row],[NSK Original]]-BASE_DATOS[[#This Row],[NSK]]," ")</f>
        <v>2.5</v>
      </c>
      <c r="AB520" s="343">
        <f>'NSK-TRACTO'!$A$2</f>
        <v>6</v>
      </c>
      <c r="AC520" s="343">
        <f>IF(BASE_DATOS[[#This Row],[NSK]]&gt;=BASE_DATOS[[#This Row],[NSK Reen]],BASE_DATOS[[#This Row],[NSK Reen]],BASE_DATOS[[#This Row],[NSK]])</f>
        <v>6</v>
      </c>
      <c r="AD520" s="344">
        <f>IFERROR(100%-(BASE_DATOS[[#This Row],[NSK Reen]]/BASE_DATOS[[#This Row],[NSK Original]]),"")</f>
        <v>0.63636363636363635</v>
      </c>
      <c r="AE520" s="344">
        <f>IFERROR(100%-BASE_DATOS[[#This Row],[NSK]]/BASE_DATOS[[#This Row],[NSK Original]],"")</f>
        <v>0.15151515151515149</v>
      </c>
      <c r="AF520" s="344">
        <f>IFERROR(BASE_DATOS[[#This Row],[% Max Des.]]-BASE_DATOS[[#This Row],[% Des]],"")</f>
        <v>0.48484848484848486</v>
      </c>
      <c r="AG520" s="287"/>
      <c r="AH520" s="273"/>
      <c r="AI520" s="363" t="str">
        <f>IF(OR(BASE_DATOS[[#This Row],[Hr.]]="",BASE_DATOS[[#This Row],[Hr. Actual]]=""),"",BASE_DATOS[[#This Row],[Hr. Actual]]-BASE_DATOS[[#This Row],[Hr.]]+BASE_DATOS[[#This Row],[Horas Acumuladas]])</f>
        <v/>
      </c>
      <c r="AJ520" s="364" t="str">
        <f>IFERROR(BASE_DATOS[[#This Row],[Precio US$]]/BASE_DATOS[[#This Row],[Horas Rodadas]],"")</f>
        <v/>
      </c>
      <c r="AK520" s="365" t="str">
        <f>IFERROR(BASE_DATOS[[#This Row],[Horas Rodadas]]/(BASE_DATOS[[#This Row],[NSK Original]]-BASE_DATOS[[#This Row],[NSK]]),"")</f>
        <v/>
      </c>
      <c r="AL52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20" s="366" t="str">
        <f>IFERROR(BASE_DATOS[[#This Row],[Precio US$]]/BASE_DATOS[[#This Row],[Horas Proy.]],"")</f>
        <v/>
      </c>
      <c r="AN520" s="176" t="str">
        <f>IF(OR(BASE_DATOS[[#This Row],[Km.]]="",BASE_DATOS[[#This Row],[Km. Actual]]=""),"",BASE_DATOS[[#This Row],[Km. Actual]]-BASE_DATOS[[#This Row],[Km.]]+BASE_DATOS[[#This Row],[Kilómetros Acumulados]])</f>
        <v/>
      </c>
      <c r="AO520" s="177" t="str">
        <f>IFERROR(BASE_DATOS[[#This Row],[Precio US$]]/BASE_DATOS[[#This Row],[Kilómetros Rodados]],"")</f>
        <v/>
      </c>
      <c r="AP520" s="176" t="str">
        <f>IFERROR(BASE_DATOS[[#This Row],[Kilómetros Rodados]]/(BASE_DATOS[[#This Row],[NSK Original]]-BASE_DATOS[[#This Row],[NSK]]),"")</f>
        <v/>
      </c>
      <c r="AQ52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20" s="177" t="str">
        <f>IFERROR(BASE_DATOS[[#This Row],[Precio US$]]/BASE_DATOS[[#This Row],[Kilómetros Proy.]],"")</f>
        <v/>
      </c>
      <c r="AS520" s="167" t="s">
        <v>62</v>
      </c>
      <c r="AT520" s="167"/>
      <c r="AU520" s="167"/>
      <c r="AV520" s="167"/>
      <c r="AW520" s="179"/>
      <c r="AX520" s="179"/>
      <c r="AY520" s="179" t="str">
        <f>CONCATENATE(BASE_DATOS[[#This Row],[Código_U]]&amp;BASE_DATOS[[#This Row],[Pos.]]&amp;BASE_DATOS[[#This Row],[Situación Actual]])</f>
        <v>SR-1986Rodando</v>
      </c>
    </row>
    <row r="521" spans="1:51" ht="12" x14ac:dyDescent="0.25">
      <c r="A521" s="227" t="s">
        <v>221</v>
      </c>
      <c r="B521" s="217" t="s">
        <v>222</v>
      </c>
      <c r="C521" s="228" t="s">
        <v>295</v>
      </c>
      <c r="D521" s="229" t="s">
        <v>384</v>
      </c>
      <c r="E521" s="255"/>
      <c r="F521" s="256" t="s">
        <v>273</v>
      </c>
      <c r="G521" s="256" t="s">
        <v>274</v>
      </c>
      <c r="H521" s="257" t="str">
        <f>IF(BASE_DATOS[[#This Row],[N-R]]="N",BASE_DATOS[[#This Row],[Diseño]],"Reencauche")</f>
        <v>XZY3</v>
      </c>
      <c r="I521" s="256" t="s">
        <v>277</v>
      </c>
      <c r="J521" s="243" t="s">
        <v>72</v>
      </c>
      <c r="K521" s="258">
        <v>0</v>
      </c>
      <c r="L521" s="256">
        <v>110</v>
      </c>
      <c r="M521" s="259"/>
      <c r="N521" s="260"/>
      <c r="O521" s="277"/>
      <c r="P521" s="278"/>
      <c r="Q521" s="279"/>
      <c r="R521" s="309" t="s">
        <v>509</v>
      </c>
      <c r="S521" s="310">
        <v>45386</v>
      </c>
      <c r="T521" s="313"/>
      <c r="U521" s="279"/>
      <c r="V521" s="227">
        <v>16</v>
      </c>
      <c r="W521" s="281">
        <v>16</v>
      </c>
      <c r="X521" s="282">
        <v>16</v>
      </c>
      <c r="Y521" s="293">
        <f t="shared" si="22"/>
        <v>16</v>
      </c>
      <c r="Z521" s="175" t="s">
        <v>85</v>
      </c>
      <c r="AA521" s="342">
        <f>IFERROR(BASE_DATOS[[#This Row],[NSK Original]]-BASE_DATOS[[#This Row],[NSK]]," ")</f>
        <v>-16</v>
      </c>
      <c r="AB521" s="343">
        <f>'NSK-TRACTO'!$A$2</f>
        <v>6</v>
      </c>
      <c r="AC521" s="343">
        <f>IF(BASE_DATOS[[#This Row],[NSK]]&gt;=BASE_DATOS[[#This Row],[NSK Reen]],BASE_DATOS[[#This Row],[NSK Reen]],BASE_DATOS[[#This Row],[NSK]])</f>
        <v>6</v>
      </c>
      <c r="AD521" s="344" t="str">
        <f>IFERROR(100%-(BASE_DATOS[[#This Row],[NSK Reen]]/BASE_DATOS[[#This Row],[NSK Original]]),"")</f>
        <v/>
      </c>
      <c r="AE521" s="344" t="str">
        <f>IFERROR(100%-BASE_DATOS[[#This Row],[NSK]]/BASE_DATOS[[#This Row],[NSK Original]],"")</f>
        <v/>
      </c>
      <c r="AF521" s="344" t="str">
        <f>IFERROR(BASE_DATOS[[#This Row],[% Max Des.]]-BASE_DATOS[[#This Row],[% Des]],"")</f>
        <v/>
      </c>
      <c r="AG521" s="287"/>
      <c r="AH521" s="273"/>
      <c r="AI521" s="363" t="str">
        <f>IF(OR(BASE_DATOS[[#This Row],[Hr.]]="",BASE_DATOS[[#This Row],[Hr. Actual]]=""),"",BASE_DATOS[[#This Row],[Hr. Actual]]-BASE_DATOS[[#This Row],[Hr.]]+BASE_DATOS[[#This Row],[Horas Acumuladas]])</f>
        <v/>
      </c>
      <c r="AJ521" s="364" t="str">
        <f>IFERROR(BASE_DATOS[[#This Row],[Precio US$]]/BASE_DATOS[[#This Row],[Horas Rodadas]],"")</f>
        <v/>
      </c>
      <c r="AK521" s="365" t="str">
        <f>IFERROR(BASE_DATOS[[#This Row],[Horas Rodadas]]/(BASE_DATOS[[#This Row],[NSK Original]]-BASE_DATOS[[#This Row],[NSK]]),"")</f>
        <v/>
      </c>
      <c r="AL52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21" s="366" t="str">
        <f>IFERROR(BASE_DATOS[[#This Row],[Precio US$]]/BASE_DATOS[[#This Row],[Horas Proy.]],"")</f>
        <v/>
      </c>
      <c r="AN521" s="176" t="str">
        <f>IF(OR(BASE_DATOS[[#This Row],[Km.]]="",BASE_DATOS[[#This Row],[Km. Actual]]=""),"",BASE_DATOS[[#This Row],[Km. Actual]]-BASE_DATOS[[#This Row],[Km.]]+BASE_DATOS[[#This Row],[Kilómetros Acumulados]])</f>
        <v/>
      </c>
      <c r="AO521" s="177" t="str">
        <f>IFERROR(BASE_DATOS[[#This Row],[Precio US$]]/BASE_DATOS[[#This Row],[Kilómetros Rodados]],"")</f>
        <v/>
      </c>
      <c r="AP521" s="176" t="str">
        <f>IFERROR(BASE_DATOS[[#This Row],[Kilómetros Rodados]]/(BASE_DATOS[[#This Row],[NSK Original]]-BASE_DATOS[[#This Row],[NSK]]),"")</f>
        <v/>
      </c>
      <c r="AQ52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21" s="177" t="str">
        <f>IFERROR(BASE_DATOS[[#This Row],[Precio US$]]/BASE_DATOS[[#This Row],[Kilómetros Proy.]],"")</f>
        <v/>
      </c>
      <c r="AS521" s="167" t="s">
        <v>62</v>
      </c>
      <c r="AT521" s="167"/>
      <c r="AU521" s="167"/>
      <c r="AV521" s="167"/>
      <c r="AW521" s="179"/>
      <c r="AX521" s="179"/>
      <c r="AY521" s="179" t="str">
        <f>CONCATENATE(BASE_DATOS[[#This Row],[Código_U]]&amp;BASE_DATOS[[#This Row],[Pos.]]&amp;BASE_DATOS[[#This Row],[Situación Actual]])</f>
        <v>SR-198RERodando</v>
      </c>
    </row>
    <row r="522" spans="1:51" ht="12" x14ac:dyDescent="0.25">
      <c r="A522" s="227" t="s">
        <v>221</v>
      </c>
      <c r="B522" s="217" t="s">
        <v>222</v>
      </c>
      <c r="C522" s="228" t="s">
        <v>295</v>
      </c>
      <c r="D522" s="229" t="s">
        <v>108</v>
      </c>
      <c r="E522" s="255" t="s">
        <v>327</v>
      </c>
      <c r="F522" s="256" t="s">
        <v>273</v>
      </c>
      <c r="G522" s="256" t="s">
        <v>271</v>
      </c>
      <c r="H522" s="257" t="str">
        <f>IF(BASE_DATOS[[#This Row],[N-R]]="N",BASE_DATOS[[#This Row],[Diseño]],"Reencauche")</f>
        <v>XDY+</v>
      </c>
      <c r="I522" s="256" t="s">
        <v>288</v>
      </c>
      <c r="J522" s="243" t="s">
        <v>72</v>
      </c>
      <c r="K522" s="258">
        <v>0</v>
      </c>
      <c r="L522" s="256">
        <v>110</v>
      </c>
      <c r="M522" s="259"/>
      <c r="N522" s="260"/>
      <c r="O522" s="277"/>
      <c r="P522" s="278"/>
      <c r="Q522" s="279"/>
      <c r="R522" s="309" t="s">
        <v>108</v>
      </c>
      <c r="S522" s="310">
        <v>45386</v>
      </c>
      <c r="T522" s="313"/>
      <c r="U522" s="279"/>
      <c r="V522" s="227">
        <v>12</v>
      </c>
      <c r="W522" s="281"/>
      <c r="X522" s="282">
        <v>12</v>
      </c>
      <c r="Y522" s="293">
        <f t="shared" si="22"/>
        <v>12</v>
      </c>
      <c r="Z522" s="175" t="s">
        <v>85</v>
      </c>
      <c r="AA522" s="342">
        <f>IFERROR(BASE_DATOS[[#This Row],[NSK Original]]-BASE_DATOS[[#This Row],[NSK]]," ")</f>
        <v>-12</v>
      </c>
      <c r="AB522" s="343">
        <f>'NSK-TRACTO'!$A$2</f>
        <v>6</v>
      </c>
      <c r="AC522" s="343">
        <f>IF(BASE_DATOS[[#This Row],[NSK]]&gt;=BASE_DATOS[[#This Row],[NSK Reen]],BASE_DATOS[[#This Row],[NSK Reen]],BASE_DATOS[[#This Row],[NSK]])</f>
        <v>6</v>
      </c>
      <c r="AD522" s="344" t="str">
        <f>IFERROR(100%-(BASE_DATOS[[#This Row],[NSK Reen]]/BASE_DATOS[[#This Row],[NSK Original]]),"")</f>
        <v/>
      </c>
      <c r="AE522" s="344" t="str">
        <f>IFERROR(100%-BASE_DATOS[[#This Row],[NSK]]/BASE_DATOS[[#This Row],[NSK Original]],"")</f>
        <v/>
      </c>
      <c r="AF522" s="344" t="str">
        <f>IFERROR(BASE_DATOS[[#This Row],[% Max Des.]]-BASE_DATOS[[#This Row],[% Des]],"")</f>
        <v/>
      </c>
      <c r="AG522" s="287"/>
      <c r="AH522" s="273"/>
      <c r="AI522" s="363" t="str">
        <f>IF(OR(BASE_DATOS[[#This Row],[Hr.]]="",BASE_DATOS[[#This Row],[Hr. Actual]]=""),"",BASE_DATOS[[#This Row],[Hr. Actual]]-BASE_DATOS[[#This Row],[Hr.]]+BASE_DATOS[[#This Row],[Horas Acumuladas]])</f>
        <v/>
      </c>
      <c r="AJ522" s="364" t="str">
        <f>IFERROR(BASE_DATOS[[#This Row],[Precio US$]]/BASE_DATOS[[#This Row],[Horas Rodadas]],"")</f>
        <v/>
      </c>
      <c r="AK522" s="365" t="str">
        <f>IFERROR(BASE_DATOS[[#This Row],[Horas Rodadas]]/(BASE_DATOS[[#This Row],[NSK Original]]-BASE_DATOS[[#This Row],[NSK]]),"")</f>
        <v/>
      </c>
      <c r="AL52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22" s="366" t="str">
        <f>IFERROR(BASE_DATOS[[#This Row],[Precio US$]]/BASE_DATOS[[#This Row],[Horas Proy.]],"")</f>
        <v/>
      </c>
      <c r="AN522" s="176" t="str">
        <f>IF(OR(BASE_DATOS[[#This Row],[Km.]]="",BASE_DATOS[[#This Row],[Km. Actual]]=""),"",BASE_DATOS[[#This Row],[Km. Actual]]-BASE_DATOS[[#This Row],[Km.]]+BASE_DATOS[[#This Row],[Kilómetros Acumulados]])</f>
        <v/>
      </c>
      <c r="AO522" s="177" t="str">
        <f>IFERROR(BASE_DATOS[[#This Row],[Precio US$]]/BASE_DATOS[[#This Row],[Kilómetros Rodados]],"")</f>
        <v/>
      </c>
      <c r="AP522" s="176" t="str">
        <f>IFERROR(BASE_DATOS[[#This Row],[Kilómetros Rodados]]/(BASE_DATOS[[#This Row],[NSK Original]]-BASE_DATOS[[#This Row],[NSK]]),"")</f>
        <v/>
      </c>
      <c r="AQ52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22" s="177" t="str">
        <f>IFERROR(BASE_DATOS[[#This Row],[Precio US$]]/BASE_DATOS[[#This Row],[Kilómetros Proy.]],"")</f>
        <v/>
      </c>
      <c r="AS522" s="167" t="s">
        <v>62</v>
      </c>
      <c r="AT522" s="167"/>
      <c r="AU522" s="167"/>
      <c r="AV522" s="167"/>
      <c r="AW522" s="179"/>
      <c r="AX522" s="179"/>
      <c r="AY522" s="179" t="str">
        <f>CONCATENATE(BASE_DATOS[[#This Row],[Código_U]]&amp;BASE_DATOS[[#This Row],[Pos.]]&amp;BASE_DATOS[[#This Row],[Situación Actual]])</f>
        <v>SR-198RTRodando</v>
      </c>
    </row>
    <row r="523" spans="1:51" ht="12" x14ac:dyDescent="0.25">
      <c r="A523" s="224" t="s">
        <v>223</v>
      </c>
      <c r="B523" s="213" t="s">
        <v>224</v>
      </c>
      <c r="C523" s="225" t="s">
        <v>296</v>
      </c>
      <c r="D523" s="226" t="s">
        <v>86</v>
      </c>
      <c r="E523" s="249" t="s">
        <v>306</v>
      </c>
      <c r="F523" s="250" t="s">
        <v>71</v>
      </c>
      <c r="G523" s="250" t="s">
        <v>271</v>
      </c>
      <c r="H523" s="251" t="str">
        <f>IF(BASE_DATOS[[#This Row],[N-R]]="N",BASE_DATOS[[#This Row],[Diseño]],"Reencauche")</f>
        <v>KMAX S</v>
      </c>
      <c r="I523" s="250" t="s">
        <v>287</v>
      </c>
      <c r="J523" s="235" t="s">
        <v>72</v>
      </c>
      <c r="K523" s="252">
        <v>15.8</v>
      </c>
      <c r="L523" s="233">
        <v>100</v>
      </c>
      <c r="M523" s="253"/>
      <c r="N523" s="254"/>
      <c r="O523" s="274"/>
      <c r="P523" s="275"/>
      <c r="Q523" s="276"/>
      <c r="R523" s="305" t="s">
        <v>98</v>
      </c>
      <c r="S523" s="306">
        <v>45385</v>
      </c>
      <c r="T523" s="314"/>
      <c r="U523" s="276"/>
      <c r="V523" s="224">
        <v>8</v>
      </c>
      <c r="W523" s="325">
        <v>11</v>
      </c>
      <c r="X523" s="326">
        <v>10</v>
      </c>
      <c r="Y523" s="292">
        <f t="shared" si="22"/>
        <v>8</v>
      </c>
      <c r="Z523" s="194" t="s">
        <v>73</v>
      </c>
      <c r="AA523" s="339">
        <f>IFERROR(BASE_DATOS[[#This Row],[NSK Original]]-BASE_DATOS[[#This Row],[NSK]]," ")</f>
        <v>7.8000000000000007</v>
      </c>
      <c r="AB523" s="340">
        <f>'NSK-TRACTO'!$A$2</f>
        <v>6</v>
      </c>
      <c r="AC523" s="340">
        <f>IF(BASE_DATOS[[#This Row],[NSK]]&gt;=BASE_DATOS[[#This Row],[NSK Reen]],BASE_DATOS[[#This Row],[NSK Reen]],BASE_DATOS[[#This Row],[NSK]])</f>
        <v>6</v>
      </c>
      <c r="AD523" s="341">
        <f>IFERROR(100%-(BASE_DATOS[[#This Row],[NSK Reen]]/BASE_DATOS[[#This Row],[NSK Original]]),"")</f>
        <v>0.620253164556962</v>
      </c>
      <c r="AE523" s="341">
        <f>IFERROR(100%-BASE_DATOS[[#This Row],[NSK]]/BASE_DATOS[[#This Row],[NSK Original]],"")</f>
        <v>0.49367088607594944</v>
      </c>
      <c r="AF523" s="341">
        <f>IFERROR(BASE_DATOS[[#This Row],[% Max Des.]]-BASE_DATOS[[#This Row],[% Des]],"")</f>
        <v>0.12658227848101256</v>
      </c>
      <c r="AG523" s="284"/>
      <c r="AH523" s="335"/>
      <c r="AI523" s="359" t="str">
        <f>IF(OR(BASE_DATOS[[#This Row],[Hr.]]="",BASE_DATOS[[#This Row],[Hr. Actual]]=""),"",BASE_DATOS[[#This Row],[Hr. Actual]]-BASE_DATOS[[#This Row],[Hr.]]+BASE_DATOS[[#This Row],[Horas Acumuladas]])</f>
        <v/>
      </c>
      <c r="AJ523" s="360" t="str">
        <f>IFERROR(BASE_DATOS[[#This Row],[Precio US$]]/BASE_DATOS[[#This Row],[Horas Rodadas]],"")</f>
        <v/>
      </c>
      <c r="AK523" s="361" t="str">
        <f>IFERROR(BASE_DATOS[[#This Row],[Horas Rodadas]]/(BASE_DATOS[[#This Row],[NSK Original]]-BASE_DATOS[[#This Row],[NSK]]),"")</f>
        <v/>
      </c>
      <c r="AL523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23" s="362" t="str">
        <f>IFERROR(BASE_DATOS[[#This Row],[Precio US$]]/BASE_DATOS[[#This Row],[Horas Proy.]],"")</f>
        <v/>
      </c>
      <c r="AN523" s="195" t="str">
        <f>IF(OR(BASE_DATOS[[#This Row],[Km.]]="",BASE_DATOS[[#This Row],[Km. Actual]]=""),"",BASE_DATOS[[#This Row],[Km. Actual]]-BASE_DATOS[[#This Row],[Km.]]+BASE_DATOS[[#This Row],[Kilómetros Acumulados]])</f>
        <v/>
      </c>
      <c r="AO523" s="196" t="str">
        <f>IFERROR(BASE_DATOS[[#This Row],[Precio US$]]/BASE_DATOS[[#This Row],[Kilómetros Rodados]],"")</f>
        <v/>
      </c>
      <c r="AP523" s="195" t="str">
        <f>IFERROR(BASE_DATOS[[#This Row],[Kilómetros Rodados]]/(BASE_DATOS[[#This Row],[NSK Original]]-BASE_DATOS[[#This Row],[NSK]]),"")</f>
        <v/>
      </c>
      <c r="AQ523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23" s="196" t="str">
        <f>IFERROR(BASE_DATOS[[#This Row],[Precio US$]]/BASE_DATOS[[#This Row],[Kilómetros Proy.]],"")</f>
        <v/>
      </c>
      <c r="AS523" s="197" t="s">
        <v>62</v>
      </c>
      <c r="AT523" s="197"/>
      <c r="AU523" s="197"/>
      <c r="AV523" s="197" t="s">
        <v>515</v>
      </c>
      <c r="AW523" s="198"/>
      <c r="AX523" s="198"/>
      <c r="AY523" s="198" t="str">
        <f>CONCATENATE(BASE_DATOS[[#This Row],[Código_U]]&amp;BASE_DATOS[[#This Row],[Pos.]]&amp;BASE_DATOS[[#This Row],[Situación Actual]])</f>
        <v>TC-2001Rodando</v>
      </c>
    </row>
    <row r="524" spans="1:51" ht="12" x14ac:dyDescent="0.25">
      <c r="A524" s="227" t="s">
        <v>223</v>
      </c>
      <c r="B524" s="217" t="s">
        <v>224</v>
      </c>
      <c r="C524" s="228" t="s">
        <v>296</v>
      </c>
      <c r="D524" s="229" t="s">
        <v>86</v>
      </c>
      <c r="E524" s="255" t="s">
        <v>307</v>
      </c>
      <c r="F524" s="256" t="s">
        <v>71</v>
      </c>
      <c r="G524" s="256" t="s">
        <v>271</v>
      </c>
      <c r="H524" s="257" t="str">
        <f>IF(BASE_DATOS[[#This Row],[N-R]]="N",BASE_DATOS[[#This Row],[Diseño]],"Reencauche")</f>
        <v>KMAX S</v>
      </c>
      <c r="I524" s="256" t="s">
        <v>287</v>
      </c>
      <c r="J524" s="243" t="s">
        <v>72</v>
      </c>
      <c r="K524" s="258">
        <v>15.8</v>
      </c>
      <c r="L524" s="241">
        <v>100</v>
      </c>
      <c r="M524" s="259"/>
      <c r="N524" s="260"/>
      <c r="O524" s="277"/>
      <c r="P524" s="278"/>
      <c r="Q524" s="279"/>
      <c r="R524" s="309" t="s">
        <v>99</v>
      </c>
      <c r="S524" s="310">
        <v>45385</v>
      </c>
      <c r="T524" s="313"/>
      <c r="U524" s="279"/>
      <c r="V524" s="227">
        <v>11</v>
      </c>
      <c r="W524" s="281">
        <v>12</v>
      </c>
      <c r="X524" s="282">
        <v>11</v>
      </c>
      <c r="Y524" s="293">
        <f t="shared" si="22"/>
        <v>11</v>
      </c>
      <c r="Z524" s="175" t="s">
        <v>73</v>
      </c>
      <c r="AA524" s="342">
        <f>IFERROR(BASE_DATOS[[#This Row],[NSK Original]]-BASE_DATOS[[#This Row],[NSK]]," ")</f>
        <v>4.8000000000000007</v>
      </c>
      <c r="AB524" s="343">
        <f>'NSK-TRACTO'!$A$2</f>
        <v>6</v>
      </c>
      <c r="AC524" s="343">
        <f>IF(BASE_DATOS[[#This Row],[NSK]]&gt;=BASE_DATOS[[#This Row],[NSK Reen]],BASE_DATOS[[#This Row],[NSK Reen]],BASE_DATOS[[#This Row],[NSK]])</f>
        <v>6</v>
      </c>
      <c r="AD524" s="344">
        <f>IFERROR(100%-(BASE_DATOS[[#This Row],[NSK Reen]]/BASE_DATOS[[#This Row],[NSK Original]]),"")</f>
        <v>0.620253164556962</v>
      </c>
      <c r="AE524" s="344">
        <f>IFERROR(100%-BASE_DATOS[[#This Row],[NSK]]/BASE_DATOS[[#This Row],[NSK Original]],"")</f>
        <v>0.30379746835443044</v>
      </c>
      <c r="AF524" s="344">
        <f>IFERROR(BASE_DATOS[[#This Row],[% Max Des.]]-BASE_DATOS[[#This Row],[% Des]],"")</f>
        <v>0.31645569620253156</v>
      </c>
      <c r="AG524" s="287"/>
      <c r="AH524" s="273"/>
      <c r="AI524" s="363" t="str">
        <f>IF(OR(BASE_DATOS[[#This Row],[Hr.]]="",BASE_DATOS[[#This Row],[Hr. Actual]]=""),"",BASE_DATOS[[#This Row],[Hr. Actual]]-BASE_DATOS[[#This Row],[Hr.]]+BASE_DATOS[[#This Row],[Horas Acumuladas]])</f>
        <v/>
      </c>
      <c r="AJ524" s="364" t="str">
        <f>IFERROR(BASE_DATOS[[#This Row],[Precio US$]]/BASE_DATOS[[#This Row],[Horas Rodadas]],"")</f>
        <v/>
      </c>
      <c r="AK524" s="365" t="str">
        <f>IFERROR(BASE_DATOS[[#This Row],[Horas Rodadas]]/(BASE_DATOS[[#This Row],[NSK Original]]-BASE_DATOS[[#This Row],[NSK]]),"")</f>
        <v/>
      </c>
      <c r="AL52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24" s="366" t="str">
        <f>IFERROR(BASE_DATOS[[#This Row],[Precio US$]]/BASE_DATOS[[#This Row],[Horas Proy.]],"")</f>
        <v/>
      </c>
      <c r="AN524" s="176" t="str">
        <f>IF(OR(BASE_DATOS[[#This Row],[Km.]]="",BASE_DATOS[[#This Row],[Km. Actual]]=""),"",BASE_DATOS[[#This Row],[Km. Actual]]-BASE_DATOS[[#This Row],[Km.]]+BASE_DATOS[[#This Row],[Kilómetros Acumulados]])</f>
        <v/>
      </c>
      <c r="AO524" s="177" t="str">
        <f>IFERROR(BASE_DATOS[[#This Row],[Precio US$]]/BASE_DATOS[[#This Row],[Kilómetros Rodados]],"")</f>
        <v/>
      </c>
      <c r="AP524" s="176" t="str">
        <f>IFERROR(BASE_DATOS[[#This Row],[Kilómetros Rodados]]/(BASE_DATOS[[#This Row],[NSK Original]]-BASE_DATOS[[#This Row],[NSK]]),"")</f>
        <v/>
      </c>
      <c r="AQ52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24" s="177" t="str">
        <f>IFERROR(BASE_DATOS[[#This Row],[Precio US$]]/BASE_DATOS[[#This Row],[Kilómetros Proy.]],"")</f>
        <v/>
      </c>
      <c r="AS524" s="178" t="s">
        <v>62</v>
      </c>
      <c r="AT524" s="178"/>
      <c r="AU524" s="178"/>
      <c r="AV524" s="178" t="s">
        <v>515</v>
      </c>
      <c r="AW524" s="179"/>
      <c r="AX524" s="179"/>
      <c r="AY524" s="179" t="str">
        <f>CONCATENATE(BASE_DATOS[[#This Row],[Código_U]]&amp;BASE_DATOS[[#This Row],[Pos.]]&amp;BASE_DATOS[[#This Row],[Situación Actual]])</f>
        <v>TC-2002Rodando</v>
      </c>
    </row>
    <row r="525" spans="1:51" ht="12" x14ac:dyDescent="0.25">
      <c r="A525" s="227" t="s">
        <v>223</v>
      </c>
      <c r="B525" s="217" t="s">
        <v>224</v>
      </c>
      <c r="C525" s="228" t="s">
        <v>296</v>
      </c>
      <c r="D525" s="229" t="s">
        <v>61</v>
      </c>
      <c r="E525" s="255"/>
      <c r="F525" s="256" t="s">
        <v>273</v>
      </c>
      <c r="G525" s="256" t="s">
        <v>271</v>
      </c>
      <c r="H525" s="257" t="str">
        <f>IF(BASE_DATOS[[#This Row],[N-R]]="N",BASE_DATOS[[#This Row],[Diseño]],"Reencauche")</f>
        <v>Reencauche</v>
      </c>
      <c r="I525" s="256" t="s">
        <v>282</v>
      </c>
      <c r="J525" s="243" t="s">
        <v>82</v>
      </c>
      <c r="K525" s="258">
        <v>22</v>
      </c>
      <c r="L525" s="241">
        <v>110</v>
      </c>
      <c r="M525" s="259"/>
      <c r="N525" s="260"/>
      <c r="O525" s="277"/>
      <c r="P525" s="278"/>
      <c r="Q525" s="279"/>
      <c r="R525" s="309" t="s">
        <v>100</v>
      </c>
      <c r="S525" s="310">
        <v>45385</v>
      </c>
      <c r="T525" s="313"/>
      <c r="U525" s="279"/>
      <c r="V525" s="227">
        <v>10</v>
      </c>
      <c r="W525" s="281"/>
      <c r="X525" s="282">
        <v>11</v>
      </c>
      <c r="Y525" s="293">
        <f t="shared" si="22"/>
        <v>10</v>
      </c>
      <c r="Z525" s="175" t="s">
        <v>85</v>
      </c>
      <c r="AA525" s="342">
        <f>IFERROR(BASE_DATOS[[#This Row],[NSK Original]]-BASE_DATOS[[#This Row],[NSK]]," ")</f>
        <v>12</v>
      </c>
      <c r="AB525" s="343">
        <f>'NSK-TRACTO'!$A$2</f>
        <v>6</v>
      </c>
      <c r="AC525" s="343">
        <f>IF(BASE_DATOS[[#This Row],[NSK]]&gt;=BASE_DATOS[[#This Row],[NSK Reen]],BASE_DATOS[[#This Row],[NSK Reen]],BASE_DATOS[[#This Row],[NSK]])</f>
        <v>6</v>
      </c>
      <c r="AD525" s="344">
        <f>IFERROR(100%-(BASE_DATOS[[#This Row],[NSK Reen]]/BASE_DATOS[[#This Row],[NSK Original]]),"")</f>
        <v>0.72727272727272729</v>
      </c>
      <c r="AE525" s="344">
        <f>IFERROR(100%-BASE_DATOS[[#This Row],[NSK]]/BASE_DATOS[[#This Row],[NSK Original]],"")</f>
        <v>0.54545454545454541</v>
      </c>
      <c r="AF525" s="344">
        <f>IFERROR(BASE_DATOS[[#This Row],[% Max Des.]]-BASE_DATOS[[#This Row],[% Des]],"")</f>
        <v>0.18181818181818188</v>
      </c>
      <c r="AG525" s="287"/>
      <c r="AH525" s="273"/>
      <c r="AI525" s="363" t="str">
        <f>IF(OR(BASE_DATOS[[#This Row],[Hr.]]="",BASE_DATOS[[#This Row],[Hr. Actual]]=""),"",BASE_DATOS[[#This Row],[Hr. Actual]]-BASE_DATOS[[#This Row],[Hr.]]+BASE_DATOS[[#This Row],[Horas Acumuladas]])</f>
        <v/>
      </c>
      <c r="AJ525" s="364" t="str">
        <f>IFERROR(BASE_DATOS[[#This Row],[Precio US$]]/BASE_DATOS[[#This Row],[Horas Rodadas]],"")</f>
        <v/>
      </c>
      <c r="AK525" s="365" t="str">
        <f>IFERROR(BASE_DATOS[[#This Row],[Horas Rodadas]]/(BASE_DATOS[[#This Row],[NSK Original]]-BASE_DATOS[[#This Row],[NSK]]),"")</f>
        <v/>
      </c>
      <c r="AL52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25" s="366" t="str">
        <f>IFERROR(BASE_DATOS[[#This Row],[Precio US$]]/BASE_DATOS[[#This Row],[Horas Proy.]],"")</f>
        <v/>
      </c>
      <c r="AN525" s="176" t="str">
        <f>IF(OR(BASE_DATOS[[#This Row],[Km.]]="",BASE_DATOS[[#This Row],[Km. Actual]]=""),"",BASE_DATOS[[#This Row],[Km. Actual]]-BASE_DATOS[[#This Row],[Km.]]+BASE_DATOS[[#This Row],[Kilómetros Acumulados]])</f>
        <v/>
      </c>
      <c r="AO525" s="177" t="str">
        <f>IFERROR(BASE_DATOS[[#This Row],[Precio US$]]/BASE_DATOS[[#This Row],[Kilómetros Rodados]],"")</f>
        <v/>
      </c>
      <c r="AP525" s="176" t="str">
        <f>IFERROR(BASE_DATOS[[#This Row],[Kilómetros Rodados]]/(BASE_DATOS[[#This Row],[NSK Original]]-BASE_DATOS[[#This Row],[NSK]]),"")</f>
        <v/>
      </c>
      <c r="AQ52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25" s="177" t="str">
        <f>IFERROR(BASE_DATOS[[#This Row],[Precio US$]]/BASE_DATOS[[#This Row],[Kilómetros Proy.]],"")</f>
        <v/>
      </c>
      <c r="AS525" s="178" t="s">
        <v>62</v>
      </c>
      <c r="AT525" s="178"/>
      <c r="AU525" s="178"/>
      <c r="AV525" s="178"/>
      <c r="AW525" s="179"/>
      <c r="AX525" s="179"/>
      <c r="AY525" s="179" t="str">
        <f>CONCATENATE(BASE_DATOS[[#This Row],[Código_U]]&amp;BASE_DATOS[[#This Row],[Pos.]]&amp;BASE_DATOS[[#This Row],[Situación Actual]])</f>
        <v>TC-2003Rodando</v>
      </c>
    </row>
    <row r="526" spans="1:51" ht="12" x14ac:dyDescent="0.25">
      <c r="A526" s="227" t="s">
        <v>223</v>
      </c>
      <c r="B526" s="217" t="s">
        <v>224</v>
      </c>
      <c r="C526" s="228" t="s">
        <v>296</v>
      </c>
      <c r="D526" s="229" t="s">
        <v>61</v>
      </c>
      <c r="E526" s="255"/>
      <c r="F526" s="256" t="s">
        <v>273</v>
      </c>
      <c r="G526" s="256" t="s">
        <v>271</v>
      </c>
      <c r="H526" s="257" t="str">
        <f>IF(BASE_DATOS[[#This Row],[N-R]]="N",BASE_DATOS[[#This Row],[Diseño]],"Reencauche")</f>
        <v>Reencauche</v>
      </c>
      <c r="I526" s="256" t="s">
        <v>282</v>
      </c>
      <c r="J526" s="243" t="s">
        <v>82</v>
      </c>
      <c r="K526" s="258">
        <v>22</v>
      </c>
      <c r="L526" s="241">
        <v>110</v>
      </c>
      <c r="M526" s="259"/>
      <c r="N526" s="260"/>
      <c r="O526" s="277"/>
      <c r="P526" s="278"/>
      <c r="Q526" s="279"/>
      <c r="R526" s="309" t="s">
        <v>101</v>
      </c>
      <c r="S526" s="310">
        <v>45385</v>
      </c>
      <c r="T526" s="313"/>
      <c r="U526" s="279"/>
      <c r="V526" s="227">
        <v>10</v>
      </c>
      <c r="W526" s="281"/>
      <c r="X526" s="282">
        <v>11</v>
      </c>
      <c r="Y526" s="293">
        <f t="shared" si="22"/>
        <v>10</v>
      </c>
      <c r="Z526" s="175" t="s">
        <v>85</v>
      </c>
      <c r="AA526" s="342">
        <f>IFERROR(BASE_DATOS[[#This Row],[NSK Original]]-BASE_DATOS[[#This Row],[NSK]]," ")</f>
        <v>12</v>
      </c>
      <c r="AB526" s="343">
        <f>'NSK-TRACTO'!$A$2</f>
        <v>6</v>
      </c>
      <c r="AC526" s="343">
        <f>IF(BASE_DATOS[[#This Row],[NSK]]&gt;=BASE_DATOS[[#This Row],[NSK Reen]],BASE_DATOS[[#This Row],[NSK Reen]],BASE_DATOS[[#This Row],[NSK]])</f>
        <v>6</v>
      </c>
      <c r="AD526" s="344">
        <f>IFERROR(100%-(BASE_DATOS[[#This Row],[NSK Reen]]/BASE_DATOS[[#This Row],[NSK Original]]),"")</f>
        <v>0.72727272727272729</v>
      </c>
      <c r="AE526" s="344">
        <f>IFERROR(100%-BASE_DATOS[[#This Row],[NSK]]/BASE_DATOS[[#This Row],[NSK Original]],"")</f>
        <v>0.54545454545454541</v>
      </c>
      <c r="AF526" s="344">
        <f>IFERROR(BASE_DATOS[[#This Row],[% Max Des.]]-BASE_DATOS[[#This Row],[% Des]],"")</f>
        <v>0.18181818181818188</v>
      </c>
      <c r="AG526" s="287"/>
      <c r="AH526" s="273"/>
      <c r="AI526" s="363" t="str">
        <f>IF(OR(BASE_DATOS[[#This Row],[Hr.]]="",BASE_DATOS[[#This Row],[Hr. Actual]]=""),"",BASE_DATOS[[#This Row],[Hr. Actual]]-BASE_DATOS[[#This Row],[Hr.]]+BASE_DATOS[[#This Row],[Horas Acumuladas]])</f>
        <v/>
      </c>
      <c r="AJ526" s="364" t="str">
        <f>IFERROR(BASE_DATOS[[#This Row],[Precio US$]]/BASE_DATOS[[#This Row],[Horas Rodadas]],"")</f>
        <v/>
      </c>
      <c r="AK526" s="365" t="str">
        <f>IFERROR(BASE_DATOS[[#This Row],[Horas Rodadas]]/(BASE_DATOS[[#This Row],[NSK Original]]-BASE_DATOS[[#This Row],[NSK]]),"")</f>
        <v/>
      </c>
      <c r="AL52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26" s="366" t="str">
        <f>IFERROR(BASE_DATOS[[#This Row],[Precio US$]]/BASE_DATOS[[#This Row],[Horas Proy.]],"")</f>
        <v/>
      </c>
      <c r="AN526" s="176" t="str">
        <f>IF(OR(BASE_DATOS[[#This Row],[Km.]]="",BASE_DATOS[[#This Row],[Km. Actual]]=""),"",BASE_DATOS[[#This Row],[Km. Actual]]-BASE_DATOS[[#This Row],[Km.]]+BASE_DATOS[[#This Row],[Kilómetros Acumulados]])</f>
        <v/>
      </c>
      <c r="AO526" s="177" t="str">
        <f>IFERROR(BASE_DATOS[[#This Row],[Precio US$]]/BASE_DATOS[[#This Row],[Kilómetros Rodados]],"")</f>
        <v/>
      </c>
      <c r="AP526" s="176" t="str">
        <f>IFERROR(BASE_DATOS[[#This Row],[Kilómetros Rodados]]/(BASE_DATOS[[#This Row],[NSK Original]]-BASE_DATOS[[#This Row],[NSK]]),"")</f>
        <v/>
      </c>
      <c r="AQ52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26" s="177" t="str">
        <f>IFERROR(BASE_DATOS[[#This Row],[Precio US$]]/BASE_DATOS[[#This Row],[Kilómetros Proy.]],"")</f>
        <v/>
      </c>
      <c r="AS526" s="178" t="s">
        <v>62</v>
      </c>
      <c r="AT526" s="178"/>
      <c r="AU526" s="178"/>
      <c r="AV526" s="178"/>
      <c r="AW526" s="179"/>
      <c r="AX526" s="179"/>
      <c r="AY526" s="179" t="str">
        <f>CONCATENATE(BASE_DATOS[[#This Row],[Código_U]]&amp;BASE_DATOS[[#This Row],[Pos.]]&amp;BASE_DATOS[[#This Row],[Situación Actual]])</f>
        <v>TC-2004Rodando</v>
      </c>
    </row>
    <row r="527" spans="1:51" ht="12" x14ac:dyDescent="0.25">
      <c r="A527" s="227" t="s">
        <v>223</v>
      </c>
      <c r="B527" s="217" t="s">
        <v>224</v>
      </c>
      <c r="C527" s="228" t="s">
        <v>296</v>
      </c>
      <c r="D527" s="229" t="s">
        <v>61</v>
      </c>
      <c r="E527" s="255"/>
      <c r="F527" s="256" t="s">
        <v>273</v>
      </c>
      <c r="G527" s="256" t="s">
        <v>271</v>
      </c>
      <c r="H527" s="257" t="str">
        <f>IF(BASE_DATOS[[#This Row],[N-R]]="N",BASE_DATOS[[#This Row],[Diseño]],"Reencauche")</f>
        <v>Reencauche</v>
      </c>
      <c r="I527" s="256" t="s">
        <v>282</v>
      </c>
      <c r="J527" s="243" t="s">
        <v>82</v>
      </c>
      <c r="K527" s="258">
        <v>22</v>
      </c>
      <c r="L527" s="241">
        <v>110</v>
      </c>
      <c r="M527" s="259"/>
      <c r="N527" s="260"/>
      <c r="O527" s="277"/>
      <c r="P527" s="278"/>
      <c r="Q527" s="279"/>
      <c r="R527" s="309" t="s">
        <v>102</v>
      </c>
      <c r="S527" s="310">
        <v>45385</v>
      </c>
      <c r="T527" s="313"/>
      <c r="U527" s="279"/>
      <c r="V527" s="227">
        <v>8</v>
      </c>
      <c r="W527" s="281"/>
      <c r="X527" s="282">
        <v>8</v>
      </c>
      <c r="Y527" s="293">
        <f t="shared" si="22"/>
        <v>8</v>
      </c>
      <c r="Z527" s="175" t="s">
        <v>85</v>
      </c>
      <c r="AA527" s="342">
        <f>IFERROR(BASE_DATOS[[#This Row],[NSK Original]]-BASE_DATOS[[#This Row],[NSK]]," ")</f>
        <v>14</v>
      </c>
      <c r="AB527" s="343">
        <f>'NSK-TRACTO'!$A$2</f>
        <v>6</v>
      </c>
      <c r="AC527" s="343">
        <f>IF(BASE_DATOS[[#This Row],[NSK]]&gt;=BASE_DATOS[[#This Row],[NSK Reen]],BASE_DATOS[[#This Row],[NSK Reen]],BASE_DATOS[[#This Row],[NSK]])</f>
        <v>6</v>
      </c>
      <c r="AD527" s="344">
        <f>IFERROR(100%-(BASE_DATOS[[#This Row],[NSK Reen]]/BASE_DATOS[[#This Row],[NSK Original]]),"")</f>
        <v>0.72727272727272729</v>
      </c>
      <c r="AE527" s="344">
        <f>IFERROR(100%-BASE_DATOS[[#This Row],[NSK]]/BASE_DATOS[[#This Row],[NSK Original]],"")</f>
        <v>0.63636363636363635</v>
      </c>
      <c r="AF527" s="344">
        <f>IFERROR(BASE_DATOS[[#This Row],[% Max Des.]]-BASE_DATOS[[#This Row],[% Des]],"")</f>
        <v>9.0909090909090939E-2</v>
      </c>
      <c r="AG527" s="287"/>
      <c r="AH527" s="273"/>
      <c r="AI527" s="363" t="str">
        <f>IF(OR(BASE_DATOS[[#This Row],[Hr.]]="",BASE_DATOS[[#This Row],[Hr. Actual]]=""),"",BASE_DATOS[[#This Row],[Hr. Actual]]-BASE_DATOS[[#This Row],[Hr.]]+BASE_DATOS[[#This Row],[Horas Acumuladas]])</f>
        <v/>
      </c>
      <c r="AJ527" s="364" t="str">
        <f>IFERROR(BASE_DATOS[[#This Row],[Precio US$]]/BASE_DATOS[[#This Row],[Horas Rodadas]],"")</f>
        <v/>
      </c>
      <c r="AK527" s="365" t="str">
        <f>IFERROR(BASE_DATOS[[#This Row],[Horas Rodadas]]/(BASE_DATOS[[#This Row],[NSK Original]]-BASE_DATOS[[#This Row],[NSK]]),"")</f>
        <v/>
      </c>
      <c r="AL52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27" s="366" t="str">
        <f>IFERROR(BASE_DATOS[[#This Row],[Precio US$]]/BASE_DATOS[[#This Row],[Horas Proy.]],"")</f>
        <v/>
      </c>
      <c r="AN527" s="176" t="str">
        <f>IF(OR(BASE_DATOS[[#This Row],[Km.]]="",BASE_DATOS[[#This Row],[Km. Actual]]=""),"",BASE_DATOS[[#This Row],[Km. Actual]]-BASE_DATOS[[#This Row],[Km.]]+BASE_DATOS[[#This Row],[Kilómetros Acumulados]])</f>
        <v/>
      </c>
      <c r="AO527" s="177" t="str">
        <f>IFERROR(BASE_DATOS[[#This Row],[Precio US$]]/BASE_DATOS[[#This Row],[Kilómetros Rodados]],"")</f>
        <v/>
      </c>
      <c r="AP527" s="176" t="str">
        <f>IFERROR(BASE_DATOS[[#This Row],[Kilómetros Rodados]]/(BASE_DATOS[[#This Row],[NSK Original]]-BASE_DATOS[[#This Row],[NSK]]),"")</f>
        <v/>
      </c>
      <c r="AQ52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27" s="177" t="str">
        <f>IFERROR(BASE_DATOS[[#This Row],[Precio US$]]/BASE_DATOS[[#This Row],[Kilómetros Proy.]],"")</f>
        <v/>
      </c>
      <c r="AS527" s="178" t="s">
        <v>62</v>
      </c>
      <c r="AT527" s="178"/>
      <c r="AU527" s="178"/>
      <c r="AV527" s="178"/>
      <c r="AW527" s="179"/>
      <c r="AX527" s="179"/>
      <c r="AY527" s="179" t="str">
        <f>CONCATENATE(BASE_DATOS[[#This Row],[Código_U]]&amp;BASE_DATOS[[#This Row],[Pos.]]&amp;BASE_DATOS[[#This Row],[Situación Actual]])</f>
        <v>TC-2005Rodando</v>
      </c>
    </row>
    <row r="528" spans="1:51" ht="12" x14ac:dyDescent="0.25">
      <c r="A528" s="227" t="s">
        <v>223</v>
      </c>
      <c r="B528" s="217" t="s">
        <v>224</v>
      </c>
      <c r="C528" s="228" t="s">
        <v>296</v>
      </c>
      <c r="D528" s="229" t="s">
        <v>61</v>
      </c>
      <c r="E528" s="255"/>
      <c r="F528" s="256" t="s">
        <v>273</v>
      </c>
      <c r="G528" s="256" t="s">
        <v>271</v>
      </c>
      <c r="H528" s="257" t="str">
        <f>IF(BASE_DATOS[[#This Row],[N-R]]="N",BASE_DATOS[[#This Row],[Diseño]],"Reencauche")</f>
        <v>Reencauche</v>
      </c>
      <c r="I528" s="256" t="s">
        <v>282</v>
      </c>
      <c r="J528" s="243" t="s">
        <v>82</v>
      </c>
      <c r="K528" s="258">
        <v>22</v>
      </c>
      <c r="L528" s="241">
        <v>110</v>
      </c>
      <c r="M528" s="259"/>
      <c r="N528" s="260"/>
      <c r="O528" s="277"/>
      <c r="P528" s="278"/>
      <c r="Q528" s="279"/>
      <c r="R528" s="309" t="s">
        <v>103</v>
      </c>
      <c r="S528" s="310">
        <v>45385</v>
      </c>
      <c r="T528" s="313"/>
      <c r="U528" s="279"/>
      <c r="V528" s="227">
        <v>10</v>
      </c>
      <c r="W528" s="281"/>
      <c r="X528" s="282">
        <v>10</v>
      </c>
      <c r="Y528" s="293">
        <f t="shared" si="22"/>
        <v>10</v>
      </c>
      <c r="Z528" s="175" t="s">
        <v>85</v>
      </c>
      <c r="AA528" s="342">
        <f>IFERROR(BASE_DATOS[[#This Row],[NSK Original]]-BASE_DATOS[[#This Row],[NSK]]," ")</f>
        <v>12</v>
      </c>
      <c r="AB528" s="343">
        <f>'NSK-TRACTO'!$A$2</f>
        <v>6</v>
      </c>
      <c r="AC528" s="343">
        <f>IF(BASE_DATOS[[#This Row],[NSK]]&gt;=BASE_DATOS[[#This Row],[NSK Reen]],BASE_DATOS[[#This Row],[NSK Reen]],BASE_DATOS[[#This Row],[NSK]])</f>
        <v>6</v>
      </c>
      <c r="AD528" s="344">
        <f>IFERROR(100%-(BASE_DATOS[[#This Row],[NSK Reen]]/BASE_DATOS[[#This Row],[NSK Original]]),"")</f>
        <v>0.72727272727272729</v>
      </c>
      <c r="AE528" s="344">
        <f>IFERROR(100%-BASE_DATOS[[#This Row],[NSK]]/BASE_DATOS[[#This Row],[NSK Original]],"")</f>
        <v>0.54545454545454541</v>
      </c>
      <c r="AF528" s="344">
        <f>IFERROR(BASE_DATOS[[#This Row],[% Max Des.]]-BASE_DATOS[[#This Row],[% Des]],"")</f>
        <v>0.18181818181818188</v>
      </c>
      <c r="AG528" s="287"/>
      <c r="AH528" s="273"/>
      <c r="AI528" s="363" t="str">
        <f>IF(OR(BASE_DATOS[[#This Row],[Hr.]]="",BASE_DATOS[[#This Row],[Hr. Actual]]=""),"",BASE_DATOS[[#This Row],[Hr. Actual]]-BASE_DATOS[[#This Row],[Hr.]]+BASE_DATOS[[#This Row],[Horas Acumuladas]])</f>
        <v/>
      </c>
      <c r="AJ528" s="364" t="str">
        <f>IFERROR(BASE_DATOS[[#This Row],[Precio US$]]/BASE_DATOS[[#This Row],[Horas Rodadas]],"")</f>
        <v/>
      </c>
      <c r="AK528" s="365" t="str">
        <f>IFERROR(BASE_DATOS[[#This Row],[Horas Rodadas]]/(BASE_DATOS[[#This Row],[NSK Original]]-BASE_DATOS[[#This Row],[NSK]]),"")</f>
        <v/>
      </c>
      <c r="AL52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28" s="366" t="str">
        <f>IFERROR(BASE_DATOS[[#This Row],[Precio US$]]/BASE_DATOS[[#This Row],[Horas Proy.]],"")</f>
        <v/>
      </c>
      <c r="AN528" s="176" t="str">
        <f>IF(OR(BASE_DATOS[[#This Row],[Km.]]="",BASE_DATOS[[#This Row],[Km. Actual]]=""),"",BASE_DATOS[[#This Row],[Km. Actual]]-BASE_DATOS[[#This Row],[Km.]]+BASE_DATOS[[#This Row],[Kilómetros Acumulados]])</f>
        <v/>
      </c>
      <c r="AO528" s="177" t="str">
        <f>IFERROR(BASE_DATOS[[#This Row],[Precio US$]]/BASE_DATOS[[#This Row],[Kilómetros Rodados]],"")</f>
        <v/>
      </c>
      <c r="AP528" s="176" t="str">
        <f>IFERROR(BASE_DATOS[[#This Row],[Kilómetros Rodados]]/(BASE_DATOS[[#This Row],[NSK Original]]-BASE_DATOS[[#This Row],[NSK]]),"")</f>
        <v/>
      </c>
      <c r="AQ52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28" s="177" t="str">
        <f>IFERROR(BASE_DATOS[[#This Row],[Precio US$]]/BASE_DATOS[[#This Row],[Kilómetros Proy.]],"")</f>
        <v/>
      </c>
      <c r="AS528" s="178" t="s">
        <v>62</v>
      </c>
      <c r="AT528" s="178"/>
      <c r="AU528" s="178"/>
      <c r="AV528" s="178"/>
      <c r="AW528" s="179"/>
      <c r="AX528" s="179"/>
      <c r="AY528" s="179" t="str">
        <f>CONCATENATE(BASE_DATOS[[#This Row],[Código_U]]&amp;BASE_DATOS[[#This Row],[Pos.]]&amp;BASE_DATOS[[#This Row],[Situación Actual]])</f>
        <v>TC-2006Rodando</v>
      </c>
    </row>
    <row r="529" spans="1:51" ht="12" x14ac:dyDescent="0.25">
      <c r="A529" s="227" t="s">
        <v>223</v>
      </c>
      <c r="B529" s="217" t="s">
        <v>224</v>
      </c>
      <c r="C529" s="228" t="s">
        <v>296</v>
      </c>
      <c r="D529" s="229" t="s">
        <v>61</v>
      </c>
      <c r="E529" s="255" t="s">
        <v>310</v>
      </c>
      <c r="F529" s="256" t="s">
        <v>71</v>
      </c>
      <c r="G529" s="256" t="s">
        <v>271</v>
      </c>
      <c r="H529" s="257" t="str">
        <f>IF(BASE_DATOS[[#This Row],[N-R]]="N",BASE_DATOS[[#This Row],[Diseño]],"Reencauche")</f>
        <v>KMAXD</v>
      </c>
      <c r="I529" s="256" t="s">
        <v>294</v>
      </c>
      <c r="J529" s="243" t="s">
        <v>72</v>
      </c>
      <c r="K529" s="258">
        <v>22.2</v>
      </c>
      <c r="L529" s="241">
        <v>110</v>
      </c>
      <c r="M529" s="259"/>
      <c r="N529" s="260"/>
      <c r="O529" s="277"/>
      <c r="P529" s="278"/>
      <c r="Q529" s="279"/>
      <c r="R529" s="309" t="s">
        <v>104</v>
      </c>
      <c r="S529" s="310">
        <v>45385</v>
      </c>
      <c r="T529" s="313"/>
      <c r="U529" s="279"/>
      <c r="V529" s="227">
        <v>17</v>
      </c>
      <c r="W529" s="281"/>
      <c r="X529" s="282">
        <v>17</v>
      </c>
      <c r="Y529" s="293">
        <f t="shared" si="22"/>
        <v>17</v>
      </c>
      <c r="Z529" s="175" t="s">
        <v>85</v>
      </c>
      <c r="AA529" s="342">
        <f>IFERROR(BASE_DATOS[[#This Row],[NSK Original]]-BASE_DATOS[[#This Row],[NSK]]," ")</f>
        <v>5.1999999999999993</v>
      </c>
      <c r="AB529" s="343">
        <f>'NSK-TRACTO'!$A$2</f>
        <v>6</v>
      </c>
      <c r="AC529" s="343">
        <f>IF(BASE_DATOS[[#This Row],[NSK]]&gt;=BASE_DATOS[[#This Row],[NSK Reen]],BASE_DATOS[[#This Row],[NSK Reen]],BASE_DATOS[[#This Row],[NSK]])</f>
        <v>6</v>
      </c>
      <c r="AD529" s="344">
        <f>IFERROR(100%-(BASE_DATOS[[#This Row],[NSK Reen]]/BASE_DATOS[[#This Row],[NSK Original]]),"")</f>
        <v>0.72972972972972971</v>
      </c>
      <c r="AE529" s="344">
        <f>IFERROR(100%-BASE_DATOS[[#This Row],[NSK]]/BASE_DATOS[[#This Row],[NSK Original]],"")</f>
        <v>0.23423423423423417</v>
      </c>
      <c r="AF529" s="344">
        <f>IFERROR(BASE_DATOS[[#This Row],[% Max Des.]]-BASE_DATOS[[#This Row],[% Des]],"")</f>
        <v>0.49549549549549554</v>
      </c>
      <c r="AG529" s="287"/>
      <c r="AH529" s="273"/>
      <c r="AI529" s="363" t="str">
        <f>IF(OR(BASE_DATOS[[#This Row],[Hr.]]="",BASE_DATOS[[#This Row],[Hr. Actual]]=""),"",BASE_DATOS[[#This Row],[Hr. Actual]]-BASE_DATOS[[#This Row],[Hr.]]+BASE_DATOS[[#This Row],[Horas Acumuladas]])</f>
        <v/>
      </c>
      <c r="AJ529" s="364" t="str">
        <f>IFERROR(BASE_DATOS[[#This Row],[Precio US$]]/BASE_DATOS[[#This Row],[Horas Rodadas]],"")</f>
        <v/>
      </c>
      <c r="AK529" s="365" t="str">
        <f>IFERROR(BASE_DATOS[[#This Row],[Horas Rodadas]]/(BASE_DATOS[[#This Row],[NSK Original]]-BASE_DATOS[[#This Row],[NSK]]),"")</f>
        <v/>
      </c>
      <c r="AL52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29" s="366" t="str">
        <f>IFERROR(BASE_DATOS[[#This Row],[Precio US$]]/BASE_DATOS[[#This Row],[Horas Proy.]],"")</f>
        <v/>
      </c>
      <c r="AN529" s="176" t="str">
        <f>IF(OR(BASE_DATOS[[#This Row],[Km.]]="",BASE_DATOS[[#This Row],[Km. Actual]]=""),"",BASE_DATOS[[#This Row],[Km. Actual]]-BASE_DATOS[[#This Row],[Km.]]+BASE_DATOS[[#This Row],[Kilómetros Acumulados]])</f>
        <v/>
      </c>
      <c r="AO529" s="177" t="str">
        <f>IFERROR(BASE_DATOS[[#This Row],[Precio US$]]/BASE_DATOS[[#This Row],[Kilómetros Rodados]],"")</f>
        <v/>
      </c>
      <c r="AP529" s="176" t="str">
        <f>IFERROR(BASE_DATOS[[#This Row],[Kilómetros Rodados]]/(BASE_DATOS[[#This Row],[NSK Original]]-BASE_DATOS[[#This Row],[NSK]]),"")</f>
        <v/>
      </c>
      <c r="AQ52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29" s="177" t="str">
        <f>IFERROR(BASE_DATOS[[#This Row],[Precio US$]]/BASE_DATOS[[#This Row],[Kilómetros Proy.]],"")</f>
        <v/>
      </c>
      <c r="AS529" s="178" t="s">
        <v>62</v>
      </c>
      <c r="AT529" s="178"/>
      <c r="AU529" s="178"/>
      <c r="AV529" s="178"/>
      <c r="AW529" s="179"/>
      <c r="AX529" s="179"/>
      <c r="AY529" s="179" t="str">
        <f>CONCATENATE(BASE_DATOS[[#This Row],[Código_U]]&amp;BASE_DATOS[[#This Row],[Pos.]]&amp;BASE_DATOS[[#This Row],[Situación Actual]])</f>
        <v>TC-2007Rodando</v>
      </c>
    </row>
    <row r="530" spans="1:51" ht="12" x14ac:dyDescent="0.25">
      <c r="A530" s="227" t="s">
        <v>223</v>
      </c>
      <c r="B530" s="217" t="s">
        <v>224</v>
      </c>
      <c r="C530" s="228" t="s">
        <v>296</v>
      </c>
      <c r="D530" s="229" t="s">
        <v>61</v>
      </c>
      <c r="E530" s="255" t="s">
        <v>311</v>
      </c>
      <c r="F530" s="256" t="s">
        <v>71</v>
      </c>
      <c r="G530" s="256" t="s">
        <v>271</v>
      </c>
      <c r="H530" s="257" t="str">
        <f>IF(BASE_DATOS[[#This Row],[N-R]]="N",BASE_DATOS[[#This Row],[Diseño]],"Reencauche")</f>
        <v>KMAXD</v>
      </c>
      <c r="I530" s="256" t="s">
        <v>294</v>
      </c>
      <c r="J530" s="243" t="s">
        <v>72</v>
      </c>
      <c r="K530" s="258">
        <v>22.2</v>
      </c>
      <c r="L530" s="241">
        <v>110</v>
      </c>
      <c r="M530" s="259"/>
      <c r="N530" s="260"/>
      <c r="O530" s="277"/>
      <c r="P530" s="278"/>
      <c r="Q530" s="279"/>
      <c r="R530" s="309" t="s">
        <v>105</v>
      </c>
      <c r="S530" s="310">
        <v>45385</v>
      </c>
      <c r="T530" s="313"/>
      <c r="U530" s="279"/>
      <c r="V530" s="227">
        <v>17</v>
      </c>
      <c r="W530" s="281"/>
      <c r="X530" s="282">
        <v>17</v>
      </c>
      <c r="Y530" s="293">
        <f t="shared" si="22"/>
        <v>17</v>
      </c>
      <c r="Z530" s="175" t="s">
        <v>85</v>
      </c>
      <c r="AA530" s="342">
        <f>IFERROR(BASE_DATOS[[#This Row],[NSK Original]]-BASE_DATOS[[#This Row],[NSK]]," ")</f>
        <v>5.1999999999999993</v>
      </c>
      <c r="AB530" s="343">
        <f>'NSK-TRACTO'!$A$2</f>
        <v>6</v>
      </c>
      <c r="AC530" s="343">
        <f>IF(BASE_DATOS[[#This Row],[NSK]]&gt;=BASE_DATOS[[#This Row],[NSK Reen]],BASE_DATOS[[#This Row],[NSK Reen]],BASE_DATOS[[#This Row],[NSK]])</f>
        <v>6</v>
      </c>
      <c r="AD530" s="344">
        <f>IFERROR(100%-(BASE_DATOS[[#This Row],[NSK Reen]]/BASE_DATOS[[#This Row],[NSK Original]]),"")</f>
        <v>0.72972972972972971</v>
      </c>
      <c r="AE530" s="344">
        <f>IFERROR(100%-BASE_DATOS[[#This Row],[NSK]]/BASE_DATOS[[#This Row],[NSK Original]],"")</f>
        <v>0.23423423423423417</v>
      </c>
      <c r="AF530" s="344">
        <f>IFERROR(BASE_DATOS[[#This Row],[% Max Des.]]-BASE_DATOS[[#This Row],[% Des]],"")</f>
        <v>0.49549549549549554</v>
      </c>
      <c r="AG530" s="287"/>
      <c r="AH530" s="273"/>
      <c r="AI530" s="363" t="str">
        <f>IF(OR(BASE_DATOS[[#This Row],[Hr.]]="",BASE_DATOS[[#This Row],[Hr. Actual]]=""),"",BASE_DATOS[[#This Row],[Hr. Actual]]-BASE_DATOS[[#This Row],[Hr.]]+BASE_DATOS[[#This Row],[Horas Acumuladas]])</f>
        <v/>
      </c>
      <c r="AJ530" s="364" t="str">
        <f>IFERROR(BASE_DATOS[[#This Row],[Precio US$]]/BASE_DATOS[[#This Row],[Horas Rodadas]],"")</f>
        <v/>
      </c>
      <c r="AK530" s="365" t="str">
        <f>IFERROR(BASE_DATOS[[#This Row],[Horas Rodadas]]/(BASE_DATOS[[#This Row],[NSK Original]]-BASE_DATOS[[#This Row],[NSK]]),"")</f>
        <v/>
      </c>
      <c r="AL53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30" s="366" t="str">
        <f>IFERROR(BASE_DATOS[[#This Row],[Precio US$]]/BASE_DATOS[[#This Row],[Horas Proy.]],"")</f>
        <v/>
      </c>
      <c r="AN530" s="176" t="str">
        <f>IF(OR(BASE_DATOS[[#This Row],[Km.]]="",BASE_DATOS[[#This Row],[Km. Actual]]=""),"",BASE_DATOS[[#This Row],[Km. Actual]]-BASE_DATOS[[#This Row],[Km.]]+BASE_DATOS[[#This Row],[Kilómetros Acumulados]])</f>
        <v/>
      </c>
      <c r="AO530" s="177" t="str">
        <f>IFERROR(BASE_DATOS[[#This Row],[Precio US$]]/BASE_DATOS[[#This Row],[Kilómetros Rodados]],"")</f>
        <v/>
      </c>
      <c r="AP530" s="176" t="str">
        <f>IFERROR(BASE_DATOS[[#This Row],[Kilómetros Rodados]]/(BASE_DATOS[[#This Row],[NSK Original]]-BASE_DATOS[[#This Row],[NSK]]),"")</f>
        <v/>
      </c>
      <c r="AQ53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30" s="177" t="str">
        <f>IFERROR(BASE_DATOS[[#This Row],[Precio US$]]/BASE_DATOS[[#This Row],[Kilómetros Proy.]],"")</f>
        <v/>
      </c>
      <c r="AS530" s="178" t="s">
        <v>62</v>
      </c>
      <c r="AT530" s="178"/>
      <c r="AU530" s="178"/>
      <c r="AV530" s="178"/>
      <c r="AW530" s="179"/>
      <c r="AX530" s="179"/>
      <c r="AY530" s="179" t="str">
        <f>CONCATENATE(BASE_DATOS[[#This Row],[Código_U]]&amp;BASE_DATOS[[#This Row],[Pos.]]&amp;BASE_DATOS[[#This Row],[Situación Actual]])</f>
        <v>TC-2008Rodando</v>
      </c>
    </row>
    <row r="531" spans="1:51" ht="12" x14ac:dyDescent="0.25">
      <c r="A531" s="227" t="s">
        <v>223</v>
      </c>
      <c r="B531" s="217" t="s">
        <v>224</v>
      </c>
      <c r="C531" s="228" t="s">
        <v>296</v>
      </c>
      <c r="D531" s="229" t="s">
        <v>61</v>
      </c>
      <c r="E531" s="255" t="s">
        <v>312</v>
      </c>
      <c r="F531" s="256" t="s">
        <v>71</v>
      </c>
      <c r="G531" s="256" t="s">
        <v>271</v>
      </c>
      <c r="H531" s="257" t="str">
        <f>IF(BASE_DATOS[[#This Row],[N-R]]="N",BASE_DATOS[[#This Row],[Diseño]],"Reencauche")</f>
        <v>KMAXD</v>
      </c>
      <c r="I531" s="256" t="s">
        <v>294</v>
      </c>
      <c r="J531" s="243" t="s">
        <v>72</v>
      </c>
      <c r="K531" s="258">
        <v>22.2</v>
      </c>
      <c r="L531" s="241">
        <v>110</v>
      </c>
      <c r="M531" s="259"/>
      <c r="N531" s="260"/>
      <c r="O531" s="277"/>
      <c r="P531" s="278"/>
      <c r="Q531" s="279"/>
      <c r="R531" s="309" t="s">
        <v>106</v>
      </c>
      <c r="S531" s="310">
        <v>45385</v>
      </c>
      <c r="T531" s="313"/>
      <c r="U531" s="279"/>
      <c r="V531" s="227">
        <v>17</v>
      </c>
      <c r="W531" s="281"/>
      <c r="X531" s="282">
        <v>17</v>
      </c>
      <c r="Y531" s="293">
        <f t="shared" si="22"/>
        <v>17</v>
      </c>
      <c r="Z531" s="175" t="s">
        <v>85</v>
      </c>
      <c r="AA531" s="342">
        <f>IFERROR(BASE_DATOS[[#This Row],[NSK Original]]-BASE_DATOS[[#This Row],[NSK]]," ")</f>
        <v>5.1999999999999993</v>
      </c>
      <c r="AB531" s="343">
        <f>'NSK-TRACTO'!$A$2</f>
        <v>6</v>
      </c>
      <c r="AC531" s="343">
        <f>IF(BASE_DATOS[[#This Row],[NSK]]&gt;=BASE_DATOS[[#This Row],[NSK Reen]],BASE_DATOS[[#This Row],[NSK Reen]],BASE_DATOS[[#This Row],[NSK]])</f>
        <v>6</v>
      </c>
      <c r="AD531" s="344">
        <f>IFERROR(100%-(BASE_DATOS[[#This Row],[NSK Reen]]/BASE_DATOS[[#This Row],[NSK Original]]),"")</f>
        <v>0.72972972972972971</v>
      </c>
      <c r="AE531" s="344">
        <f>IFERROR(100%-BASE_DATOS[[#This Row],[NSK]]/BASE_DATOS[[#This Row],[NSK Original]],"")</f>
        <v>0.23423423423423417</v>
      </c>
      <c r="AF531" s="344">
        <f>IFERROR(BASE_DATOS[[#This Row],[% Max Des.]]-BASE_DATOS[[#This Row],[% Des]],"")</f>
        <v>0.49549549549549554</v>
      </c>
      <c r="AG531" s="287"/>
      <c r="AH531" s="273"/>
      <c r="AI531" s="363" t="str">
        <f>IF(OR(BASE_DATOS[[#This Row],[Hr.]]="",BASE_DATOS[[#This Row],[Hr. Actual]]=""),"",BASE_DATOS[[#This Row],[Hr. Actual]]-BASE_DATOS[[#This Row],[Hr.]]+BASE_DATOS[[#This Row],[Horas Acumuladas]])</f>
        <v/>
      </c>
      <c r="AJ531" s="364" t="str">
        <f>IFERROR(BASE_DATOS[[#This Row],[Precio US$]]/BASE_DATOS[[#This Row],[Horas Rodadas]],"")</f>
        <v/>
      </c>
      <c r="AK531" s="365" t="str">
        <f>IFERROR(BASE_DATOS[[#This Row],[Horas Rodadas]]/(BASE_DATOS[[#This Row],[NSK Original]]-BASE_DATOS[[#This Row],[NSK]]),"")</f>
        <v/>
      </c>
      <c r="AL53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31" s="366" t="str">
        <f>IFERROR(BASE_DATOS[[#This Row],[Precio US$]]/BASE_DATOS[[#This Row],[Horas Proy.]],"")</f>
        <v/>
      </c>
      <c r="AN531" s="176" t="str">
        <f>IF(OR(BASE_DATOS[[#This Row],[Km.]]="",BASE_DATOS[[#This Row],[Km. Actual]]=""),"",BASE_DATOS[[#This Row],[Km. Actual]]-BASE_DATOS[[#This Row],[Km.]]+BASE_DATOS[[#This Row],[Kilómetros Acumulados]])</f>
        <v/>
      </c>
      <c r="AO531" s="177" t="str">
        <f>IFERROR(BASE_DATOS[[#This Row],[Precio US$]]/BASE_DATOS[[#This Row],[Kilómetros Rodados]],"")</f>
        <v/>
      </c>
      <c r="AP531" s="176" t="str">
        <f>IFERROR(BASE_DATOS[[#This Row],[Kilómetros Rodados]]/(BASE_DATOS[[#This Row],[NSK Original]]-BASE_DATOS[[#This Row],[NSK]]),"")</f>
        <v/>
      </c>
      <c r="AQ53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31" s="177" t="str">
        <f>IFERROR(BASE_DATOS[[#This Row],[Precio US$]]/BASE_DATOS[[#This Row],[Kilómetros Proy.]],"")</f>
        <v/>
      </c>
      <c r="AS531" s="178" t="s">
        <v>62</v>
      </c>
      <c r="AT531" s="178"/>
      <c r="AU531" s="178"/>
      <c r="AV531" s="178"/>
      <c r="AW531" s="179"/>
      <c r="AX531" s="179"/>
      <c r="AY531" s="179" t="str">
        <f>CONCATENATE(BASE_DATOS[[#This Row],[Código_U]]&amp;BASE_DATOS[[#This Row],[Pos.]]&amp;BASE_DATOS[[#This Row],[Situación Actual]])</f>
        <v>TC-2009Rodando</v>
      </c>
    </row>
    <row r="532" spans="1:51" ht="12" x14ac:dyDescent="0.25">
      <c r="A532" s="227" t="s">
        <v>223</v>
      </c>
      <c r="B532" s="217" t="s">
        <v>224</v>
      </c>
      <c r="C532" s="228" t="s">
        <v>296</v>
      </c>
      <c r="D532" s="229" t="s">
        <v>61</v>
      </c>
      <c r="E532" s="255" t="s">
        <v>313</v>
      </c>
      <c r="F532" s="256" t="s">
        <v>71</v>
      </c>
      <c r="G532" s="256" t="s">
        <v>271</v>
      </c>
      <c r="H532" s="257" t="str">
        <f>IF(BASE_DATOS[[#This Row],[N-R]]="N",BASE_DATOS[[#This Row],[Diseño]],"Reencauche")</f>
        <v>KMAXD</v>
      </c>
      <c r="I532" s="256" t="s">
        <v>294</v>
      </c>
      <c r="J532" s="243" t="s">
        <v>72</v>
      </c>
      <c r="K532" s="258">
        <v>22.2</v>
      </c>
      <c r="L532" s="241">
        <v>110</v>
      </c>
      <c r="M532" s="259"/>
      <c r="N532" s="260"/>
      <c r="O532" s="277"/>
      <c r="P532" s="278"/>
      <c r="Q532" s="279"/>
      <c r="R532" s="309" t="s">
        <v>107</v>
      </c>
      <c r="S532" s="310">
        <v>45385</v>
      </c>
      <c r="T532" s="313"/>
      <c r="U532" s="279"/>
      <c r="V532" s="227">
        <v>17</v>
      </c>
      <c r="W532" s="281"/>
      <c r="X532" s="282">
        <v>17</v>
      </c>
      <c r="Y532" s="293">
        <f t="shared" si="22"/>
        <v>17</v>
      </c>
      <c r="Z532" s="175" t="s">
        <v>85</v>
      </c>
      <c r="AA532" s="342">
        <f>IFERROR(BASE_DATOS[[#This Row],[NSK Original]]-BASE_DATOS[[#This Row],[NSK]]," ")</f>
        <v>5.1999999999999993</v>
      </c>
      <c r="AB532" s="343">
        <f>'NSK-TRACTO'!$A$2</f>
        <v>6</v>
      </c>
      <c r="AC532" s="343">
        <f>IF(BASE_DATOS[[#This Row],[NSK]]&gt;=BASE_DATOS[[#This Row],[NSK Reen]],BASE_DATOS[[#This Row],[NSK Reen]],BASE_DATOS[[#This Row],[NSK]])</f>
        <v>6</v>
      </c>
      <c r="AD532" s="344">
        <f>IFERROR(100%-(BASE_DATOS[[#This Row],[NSK Reen]]/BASE_DATOS[[#This Row],[NSK Original]]),"")</f>
        <v>0.72972972972972971</v>
      </c>
      <c r="AE532" s="344">
        <f>IFERROR(100%-BASE_DATOS[[#This Row],[NSK]]/BASE_DATOS[[#This Row],[NSK Original]],"")</f>
        <v>0.23423423423423417</v>
      </c>
      <c r="AF532" s="344">
        <f>IFERROR(BASE_DATOS[[#This Row],[% Max Des.]]-BASE_DATOS[[#This Row],[% Des]],"")</f>
        <v>0.49549549549549554</v>
      </c>
      <c r="AG532" s="287"/>
      <c r="AH532" s="273"/>
      <c r="AI532" s="363" t="str">
        <f>IF(OR(BASE_DATOS[[#This Row],[Hr.]]="",BASE_DATOS[[#This Row],[Hr. Actual]]=""),"",BASE_DATOS[[#This Row],[Hr. Actual]]-BASE_DATOS[[#This Row],[Hr.]]+BASE_DATOS[[#This Row],[Horas Acumuladas]])</f>
        <v/>
      </c>
      <c r="AJ532" s="364" t="str">
        <f>IFERROR(BASE_DATOS[[#This Row],[Precio US$]]/BASE_DATOS[[#This Row],[Horas Rodadas]],"")</f>
        <v/>
      </c>
      <c r="AK532" s="365" t="str">
        <f>IFERROR(BASE_DATOS[[#This Row],[Horas Rodadas]]/(BASE_DATOS[[#This Row],[NSK Original]]-BASE_DATOS[[#This Row],[NSK]]),"")</f>
        <v/>
      </c>
      <c r="AL53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32" s="366" t="str">
        <f>IFERROR(BASE_DATOS[[#This Row],[Precio US$]]/BASE_DATOS[[#This Row],[Horas Proy.]],"")</f>
        <v/>
      </c>
      <c r="AN532" s="176" t="str">
        <f>IF(OR(BASE_DATOS[[#This Row],[Km.]]="",BASE_DATOS[[#This Row],[Km. Actual]]=""),"",BASE_DATOS[[#This Row],[Km. Actual]]-BASE_DATOS[[#This Row],[Km.]]+BASE_DATOS[[#This Row],[Kilómetros Acumulados]])</f>
        <v/>
      </c>
      <c r="AO532" s="177" t="str">
        <f>IFERROR(BASE_DATOS[[#This Row],[Precio US$]]/BASE_DATOS[[#This Row],[Kilómetros Rodados]],"")</f>
        <v/>
      </c>
      <c r="AP532" s="176" t="str">
        <f>IFERROR(BASE_DATOS[[#This Row],[Kilómetros Rodados]]/(BASE_DATOS[[#This Row],[NSK Original]]-BASE_DATOS[[#This Row],[NSK]]),"")</f>
        <v/>
      </c>
      <c r="AQ53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32" s="177" t="str">
        <f>IFERROR(BASE_DATOS[[#This Row],[Precio US$]]/BASE_DATOS[[#This Row],[Kilómetros Proy.]],"")</f>
        <v/>
      </c>
      <c r="AS532" s="178" t="s">
        <v>62</v>
      </c>
      <c r="AT532" s="178"/>
      <c r="AU532" s="178"/>
      <c r="AV532" s="178"/>
      <c r="AW532" s="179"/>
      <c r="AX532" s="179"/>
      <c r="AY532" s="179" t="str">
        <f>CONCATENATE(BASE_DATOS[[#This Row],[Código_U]]&amp;BASE_DATOS[[#This Row],[Pos.]]&amp;BASE_DATOS[[#This Row],[Situación Actual]])</f>
        <v>TC-20010Rodando</v>
      </c>
    </row>
    <row r="533" spans="1:51" ht="12" x14ac:dyDescent="0.25">
      <c r="A533" s="224" t="s">
        <v>225</v>
      </c>
      <c r="B533" s="213" t="s">
        <v>226</v>
      </c>
      <c r="C533" s="225" t="s">
        <v>295</v>
      </c>
      <c r="D533" s="226" t="s">
        <v>87</v>
      </c>
      <c r="E533" s="249"/>
      <c r="F533" s="250" t="s">
        <v>97</v>
      </c>
      <c r="G533" s="250" t="s">
        <v>269</v>
      </c>
      <c r="H533" s="251" t="str">
        <f>IF(BASE_DATOS[[#This Row],[N-R]]="N",BASE_DATOS[[#This Row],[Diseño]],"Reencauche")</f>
        <v>AGC28</v>
      </c>
      <c r="I533" s="250" t="s">
        <v>270</v>
      </c>
      <c r="J533" s="235" t="s">
        <v>72</v>
      </c>
      <c r="K533" s="252">
        <v>16.5</v>
      </c>
      <c r="L533" s="250">
        <v>110</v>
      </c>
      <c r="M533" s="253"/>
      <c r="N533" s="254"/>
      <c r="O533" s="274"/>
      <c r="P533" s="275"/>
      <c r="Q533" s="276"/>
      <c r="R533" s="305" t="s">
        <v>98</v>
      </c>
      <c r="S533" s="306">
        <v>45385</v>
      </c>
      <c r="T533" s="307"/>
      <c r="U533" s="308"/>
      <c r="V533" s="224">
        <v>10</v>
      </c>
      <c r="W533" s="325">
        <v>10</v>
      </c>
      <c r="X533" s="326">
        <v>10</v>
      </c>
      <c r="Y533" s="292">
        <f t="shared" si="22"/>
        <v>10</v>
      </c>
      <c r="Z533" s="194" t="s">
        <v>85</v>
      </c>
      <c r="AA533" s="339">
        <f>IFERROR(BASE_DATOS[[#This Row],[NSK Original]]-BASE_DATOS[[#This Row],[NSK]]," ")</f>
        <v>6.5</v>
      </c>
      <c r="AB533" s="340">
        <f>'NSK-TRACTO'!$A$2</f>
        <v>6</v>
      </c>
      <c r="AC533" s="340">
        <f>IF(BASE_DATOS[[#This Row],[NSK]]&gt;=BASE_DATOS[[#This Row],[NSK Reen]],BASE_DATOS[[#This Row],[NSK Reen]],BASE_DATOS[[#This Row],[NSK]])</f>
        <v>6</v>
      </c>
      <c r="AD533" s="341">
        <f>IFERROR(100%-(BASE_DATOS[[#This Row],[NSK Reen]]/BASE_DATOS[[#This Row],[NSK Original]]),"")</f>
        <v>0.63636363636363635</v>
      </c>
      <c r="AE533" s="341">
        <f>IFERROR(100%-BASE_DATOS[[#This Row],[NSK]]/BASE_DATOS[[#This Row],[NSK Original]],"")</f>
        <v>0.39393939393939392</v>
      </c>
      <c r="AF533" s="341">
        <f>IFERROR(BASE_DATOS[[#This Row],[% Max Des.]]-BASE_DATOS[[#This Row],[% Des]],"")</f>
        <v>0.24242424242424243</v>
      </c>
      <c r="AG533" s="284"/>
      <c r="AH533" s="335"/>
      <c r="AI533" s="359" t="str">
        <f>IF(OR(BASE_DATOS[[#This Row],[Hr.]]="",BASE_DATOS[[#This Row],[Hr. Actual]]=""),"",BASE_DATOS[[#This Row],[Hr. Actual]]-BASE_DATOS[[#This Row],[Hr.]]+BASE_DATOS[[#This Row],[Horas Acumuladas]])</f>
        <v/>
      </c>
      <c r="AJ533" s="360" t="str">
        <f>IFERROR(BASE_DATOS[[#This Row],[Precio US$]]/BASE_DATOS[[#This Row],[Horas Rodadas]],"")</f>
        <v/>
      </c>
      <c r="AK533" s="361" t="str">
        <f>IFERROR(BASE_DATOS[[#This Row],[Horas Rodadas]]/(BASE_DATOS[[#This Row],[NSK Original]]-BASE_DATOS[[#This Row],[NSK]]),"")</f>
        <v/>
      </c>
      <c r="AL533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33" s="362" t="str">
        <f>IFERROR(BASE_DATOS[[#This Row],[Precio US$]]/BASE_DATOS[[#This Row],[Horas Proy.]],"")</f>
        <v/>
      </c>
      <c r="AN533" s="195" t="str">
        <f>IF(OR(BASE_DATOS[[#This Row],[Km.]]="",BASE_DATOS[[#This Row],[Km. Actual]]=""),"",BASE_DATOS[[#This Row],[Km. Actual]]-BASE_DATOS[[#This Row],[Km.]]+BASE_DATOS[[#This Row],[Kilómetros Acumulados]])</f>
        <v/>
      </c>
      <c r="AO533" s="196" t="str">
        <f>IFERROR(BASE_DATOS[[#This Row],[Precio US$]]/BASE_DATOS[[#This Row],[Kilómetros Rodados]],"")</f>
        <v/>
      </c>
      <c r="AP533" s="195" t="str">
        <f>IFERROR(BASE_DATOS[[#This Row],[Kilómetros Rodados]]/(BASE_DATOS[[#This Row],[NSK Original]]-BASE_DATOS[[#This Row],[NSK]]),"")</f>
        <v/>
      </c>
      <c r="AQ533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33" s="196" t="str">
        <f>IFERROR(BASE_DATOS[[#This Row],[Precio US$]]/BASE_DATOS[[#This Row],[Kilómetros Proy.]],"")</f>
        <v/>
      </c>
      <c r="AS533" s="191" t="s">
        <v>62</v>
      </c>
      <c r="AT533" s="191"/>
      <c r="AU533" s="191"/>
      <c r="AV533" s="191"/>
      <c r="AW533" s="198"/>
      <c r="AX533" s="198"/>
      <c r="AY533" s="198" t="str">
        <f>CONCATENATE(BASE_DATOS[[#This Row],[Código_U]]&amp;BASE_DATOS[[#This Row],[Pos.]]&amp;BASE_DATOS[[#This Row],[Situación Actual]])</f>
        <v>SR-2001Rodando</v>
      </c>
    </row>
    <row r="534" spans="1:51" ht="12" x14ac:dyDescent="0.25">
      <c r="A534" s="227" t="s">
        <v>225</v>
      </c>
      <c r="B534" s="217" t="s">
        <v>226</v>
      </c>
      <c r="C534" s="228" t="s">
        <v>295</v>
      </c>
      <c r="D534" s="229" t="s">
        <v>87</v>
      </c>
      <c r="E534" s="255"/>
      <c r="F534" s="256" t="s">
        <v>97</v>
      </c>
      <c r="G534" s="256" t="s">
        <v>269</v>
      </c>
      <c r="H534" s="257" t="str">
        <f>IF(BASE_DATOS[[#This Row],[N-R]]="N",BASE_DATOS[[#This Row],[Diseño]],"Reencauche")</f>
        <v>AGC28</v>
      </c>
      <c r="I534" s="256" t="s">
        <v>270</v>
      </c>
      <c r="J534" s="243" t="s">
        <v>72</v>
      </c>
      <c r="K534" s="258">
        <v>16.5</v>
      </c>
      <c r="L534" s="256">
        <v>110</v>
      </c>
      <c r="M534" s="259"/>
      <c r="N534" s="260"/>
      <c r="O534" s="277"/>
      <c r="P534" s="278"/>
      <c r="Q534" s="279"/>
      <c r="R534" s="309" t="s">
        <v>99</v>
      </c>
      <c r="S534" s="310">
        <v>45385</v>
      </c>
      <c r="T534" s="311"/>
      <c r="U534" s="312"/>
      <c r="V534" s="227">
        <v>8</v>
      </c>
      <c r="W534" s="281">
        <v>8</v>
      </c>
      <c r="X534" s="282">
        <v>8</v>
      </c>
      <c r="Y534" s="293">
        <f t="shared" si="22"/>
        <v>8</v>
      </c>
      <c r="Z534" s="175" t="s">
        <v>85</v>
      </c>
      <c r="AA534" s="342">
        <f>IFERROR(BASE_DATOS[[#This Row],[NSK Original]]-BASE_DATOS[[#This Row],[NSK]]," ")</f>
        <v>8.5</v>
      </c>
      <c r="AB534" s="343">
        <f>'NSK-TRACTO'!$A$2</f>
        <v>6</v>
      </c>
      <c r="AC534" s="343">
        <f>IF(BASE_DATOS[[#This Row],[NSK]]&gt;=BASE_DATOS[[#This Row],[NSK Reen]],BASE_DATOS[[#This Row],[NSK Reen]],BASE_DATOS[[#This Row],[NSK]])</f>
        <v>6</v>
      </c>
      <c r="AD534" s="344">
        <f>IFERROR(100%-(BASE_DATOS[[#This Row],[NSK Reen]]/BASE_DATOS[[#This Row],[NSK Original]]),"")</f>
        <v>0.63636363636363635</v>
      </c>
      <c r="AE534" s="344">
        <f>IFERROR(100%-BASE_DATOS[[#This Row],[NSK]]/BASE_DATOS[[#This Row],[NSK Original]],"")</f>
        <v>0.51515151515151514</v>
      </c>
      <c r="AF534" s="344">
        <f>IFERROR(BASE_DATOS[[#This Row],[% Max Des.]]-BASE_DATOS[[#This Row],[% Des]],"")</f>
        <v>0.12121212121212122</v>
      </c>
      <c r="AG534" s="287"/>
      <c r="AH534" s="273"/>
      <c r="AI534" s="363" t="str">
        <f>IF(OR(BASE_DATOS[[#This Row],[Hr.]]="",BASE_DATOS[[#This Row],[Hr. Actual]]=""),"",BASE_DATOS[[#This Row],[Hr. Actual]]-BASE_DATOS[[#This Row],[Hr.]]+BASE_DATOS[[#This Row],[Horas Acumuladas]])</f>
        <v/>
      </c>
      <c r="AJ534" s="364" t="str">
        <f>IFERROR(BASE_DATOS[[#This Row],[Precio US$]]/BASE_DATOS[[#This Row],[Horas Rodadas]],"")</f>
        <v/>
      </c>
      <c r="AK534" s="365" t="str">
        <f>IFERROR(BASE_DATOS[[#This Row],[Horas Rodadas]]/(BASE_DATOS[[#This Row],[NSK Original]]-BASE_DATOS[[#This Row],[NSK]]),"")</f>
        <v/>
      </c>
      <c r="AL53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34" s="366" t="str">
        <f>IFERROR(BASE_DATOS[[#This Row],[Precio US$]]/BASE_DATOS[[#This Row],[Horas Proy.]],"")</f>
        <v/>
      </c>
      <c r="AN534" s="176" t="str">
        <f>IF(OR(BASE_DATOS[[#This Row],[Km.]]="",BASE_DATOS[[#This Row],[Km. Actual]]=""),"",BASE_DATOS[[#This Row],[Km. Actual]]-BASE_DATOS[[#This Row],[Km.]]+BASE_DATOS[[#This Row],[Kilómetros Acumulados]])</f>
        <v/>
      </c>
      <c r="AO534" s="177" t="str">
        <f>IFERROR(BASE_DATOS[[#This Row],[Precio US$]]/BASE_DATOS[[#This Row],[Kilómetros Rodados]],"")</f>
        <v/>
      </c>
      <c r="AP534" s="176" t="str">
        <f>IFERROR(BASE_DATOS[[#This Row],[Kilómetros Rodados]]/(BASE_DATOS[[#This Row],[NSK Original]]-BASE_DATOS[[#This Row],[NSK]]),"")</f>
        <v/>
      </c>
      <c r="AQ53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34" s="177" t="str">
        <f>IFERROR(BASE_DATOS[[#This Row],[Precio US$]]/BASE_DATOS[[#This Row],[Kilómetros Proy.]],"")</f>
        <v/>
      </c>
      <c r="AS534" s="167" t="s">
        <v>62</v>
      </c>
      <c r="AT534" s="167"/>
      <c r="AU534" s="167"/>
      <c r="AV534" s="167"/>
      <c r="AW534" s="179"/>
      <c r="AX534" s="179"/>
      <c r="AY534" s="179" t="str">
        <f>CONCATENATE(BASE_DATOS[[#This Row],[Código_U]]&amp;BASE_DATOS[[#This Row],[Pos.]]&amp;BASE_DATOS[[#This Row],[Situación Actual]])</f>
        <v>SR-2002Rodando</v>
      </c>
    </row>
    <row r="535" spans="1:51" ht="12" x14ac:dyDescent="0.25">
      <c r="A535" s="227" t="s">
        <v>225</v>
      </c>
      <c r="B535" s="217" t="s">
        <v>226</v>
      </c>
      <c r="C535" s="228" t="s">
        <v>295</v>
      </c>
      <c r="D535" s="229" t="s">
        <v>87</v>
      </c>
      <c r="E535" s="255" t="s">
        <v>306</v>
      </c>
      <c r="F535" s="256" t="s">
        <v>97</v>
      </c>
      <c r="G535" s="256" t="s">
        <v>269</v>
      </c>
      <c r="H535" s="257" t="str">
        <f>IF(BASE_DATOS[[#This Row],[N-R]]="N",BASE_DATOS[[#This Row],[Diseño]],"Reencauche")</f>
        <v>AGC28</v>
      </c>
      <c r="I535" s="256" t="s">
        <v>270</v>
      </c>
      <c r="J535" s="243" t="s">
        <v>72</v>
      </c>
      <c r="K535" s="258">
        <v>16.5</v>
      </c>
      <c r="L535" s="256">
        <v>110</v>
      </c>
      <c r="M535" s="259"/>
      <c r="N535" s="260"/>
      <c r="O535" s="277"/>
      <c r="P535" s="278"/>
      <c r="Q535" s="279"/>
      <c r="R535" s="309" t="s">
        <v>100</v>
      </c>
      <c r="S535" s="310">
        <v>45385</v>
      </c>
      <c r="T535" s="311"/>
      <c r="U535" s="312"/>
      <c r="V535" s="227">
        <v>13</v>
      </c>
      <c r="W535" s="281">
        <v>13</v>
      </c>
      <c r="X535" s="282">
        <v>13</v>
      </c>
      <c r="Y535" s="293">
        <f t="shared" si="22"/>
        <v>13</v>
      </c>
      <c r="Z535" s="175" t="s">
        <v>85</v>
      </c>
      <c r="AA535" s="342">
        <f>IFERROR(BASE_DATOS[[#This Row],[NSK Original]]-BASE_DATOS[[#This Row],[NSK]]," ")</f>
        <v>3.5</v>
      </c>
      <c r="AB535" s="343">
        <f>'NSK-TRACTO'!$A$2</f>
        <v>6</v>
      </c>
      <c r="AC535" s="343">
        <f>IF(BASE_DATOS[[#This Row],[NSK]]&gt;=BASE_DATOS[[#This Row],[NSK Reen]],BASE_DATOS[[#This Row],[NSK Reen]],BASE_DATOS[[#This Row],[NSK]])</f>
        <v>6</v>
      </c>
      <c r="AD535" s="344">
        <f>IFERROR(100%-(BASE_DATOS[[#This Row],[NSK Reen]]/BASE_DATOS[[#This Row],[NSK Original]]),"")</f>
        <v>0.63636363636363635</v>
      </c>
      <c r="AE535" s="344">
        <f>IFERROR(100%-BASE_DATOS[[#This Row],[NSK]]/BASE_DATOS[[#This Row],[NSK Original]],"")</f>
        <v>0.21212121212121215</v>
      </c>
      <c r="AF535" s="344">
        <f>IFERROR(BASE_DATOS[[#This Row],[% Max Des.]]-BASE_DATOS[[#This Row],[% Des]],"")</f>
        <v>0.4242424242424242</v>
      </c>
      <c r="AG535" s="287"/>
      <c r="AH535" s="273"/>
      <c r="AI535" s="363" t="str">
        <f>IF(OR(BASE_DATOS[[#This Row],[Hr.]]="",BASE_DATOS[[#This Row],[Hr. Actual]]=""),"",BASE_DATOS[[#This Row],[Hr. Actual]]-BASE_DATOS[[#This Row],[Hr.]]+BASE_DATOS[[#This Row],[Horas Acumuladas]])</f>
        <v/>
      </c>
      <c r="AJ535" s="364" t="str">
        <f>IFERROR(BASE_DATOS[[#This Row],[Precio US$]]/BASE_DATOS[[#This Row],[Horas Rodadas]],"")</f>
        <v/>
      </c>
      <c r="AK535" s="365" t="str">
        <f>IFERROR(BASE_DATOS[[#This Row],[Horas Rodadas]]/(BASE_DATOS[[#This Row],[NSK Original]]-BASE_DATOS[[#This Row],[NSK]]),"")</f>
        <v/>
      </c>
      <c r="AL53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35" s="366" t="str">
        <f>IFERROR(BASE_DATOS[[#This Row],[Precio US$]]/BASE_DATOS[[#This Row],[Horas Proy.]],"")</f>
        <v/>
      </c>
      <c r="AN535" s="176" t="str">
        <f>IF(OR(BASE_DATOS[[#This Row],[Km.]]="",BASE_DATOS[[#This Row],[Km. Actual]]=""),"",BASE_DATOS[[#This Row],[Km. Actual]]-BASE_DATOS[[#This Row],[Km.]]+BASE_DATOS[[#This Row],[Kilómetros Acumulados]])</f>
        <v/>
      </c>
      <c r="AO535" s="177" t="str">
        <f>IFERROR(BASE_DATOS[[#This Row],[Precio US$]]/BASE_DATOS[[#This Row],[Kilómetros Rodados]],"")</f>
        <v/>
      </c>
      <c r="AP535" s="176" t="str">
        <f>IFERROR(BASE_DATOS[[#This Row],[Kilómetros Rodados]]/(BASE_DATOS[[#This Row],[NSK Original]]-BASE_DATOS[[#This Row],[NSK]]),"")</f>
        <v/>
      </c>
      <c r="AQ53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35" s="177" t="str">
        <f>IFERROR(BASE_DATOS[[#This Row],[Precio US$]]/BASE_DATOS[[#This Row],[Kilómetros Proy.]],"")</f>
        <v/>
      </c>
      <c r="AS535" s="167" t="s">
        <v>62</v>
      </c>
      <c r="AT535" s="167"/>
      <c r="AU535" s="167"/>
      <c r="AV535" s="167"/>
      <c r="AW535" s="179"/>
      <c r="AX535" s="179"/>
      <c r="AY535" s="179" t="str">
        <f>CONCATENATE(BASE_DATOS[[#This Row],[Código_U]]&amp;BASE_DATOS[[#This Row],[Pos.]]&amp;BASE_DATOS[[#This Row],[Situación Actual]])</f>
        <v>SR-2003Rodando</v>
      </c>
    </row>
    <row r="536" spans="1:51" ht="12" x14ac:dyDescent="0.25">
      <c r="A536" s="227" t="s">
        <v>225</v>
      </c>
      <c r="B536" s="217" t="s">
        <v>226</v>
      </c>
      <c r="C536" s="228" t="s">
        <v>295</v>
      </c>
      <c r="D536" s="229" t="s">
        <v>87</v>
      </c>
      <c r="E536" s="255" t="s">
        <v>307</v>
      </c>
      <c r="F536" s="256" t="s">
        <v>97</v>
      </c>
      <c r="G536" s="256" t="s">
        <v>269</v>
      </c>
      <c r="H536" s="257" t="str">
        <f>IF(BASE_DATOS[[#This Row],[N-R]]="N",BASE_DATOS[[#This Row],[Diseño]],"Reencauche")</f>
        <v>AGC28</v>
      </c>
      <c r="I536" s="256" t="s">
        <v>270</v>
      </c>
      <c r="J536" s="243" t="s">
        <v>72</v>
      </c>
      <c r="K536" s="258">
        <v>16.5</v>
      </c>
      <c r="L536" s="256">
        <v>110</v>
      </c>
      <c r="M536" s="259"/>
      <c r="N536" s="260"/>
      <c r="O536" s="277"/>
      <c r="P536" s="278"/>
      <c r="Q536" s="279"/>
      <c r="R536" s="309" t="s">
        <v>101</v>
      </c>
      <c r="S536" s="310">
        <v>45385</v>
      </c>
      <c r="T536" s="311"/>
      <c r="U536" s="312"/>
      <c r="V536" s="227">
        <v>8</v>
      </c>
      <c r="W536" s="281">
        <v>7</v>
      </c>
      <c r="X536" s="282">
        <v>8</v>
      </c>
      <c r="Y536" s="293">
        <f t="shared" si="22"/>
        <v>7</v>
      </c>
      <c r="Z536" s="175" t="s">
        <v>85</v>
      </c>
      <c r="AA536" s="342">
        <f>IFERROR(BASE_DATOS[[#This Row],[NSK Original]]-BASE_DATOS[[#This Row],[NSK]]," ")</f>
        <v>9.5</v>
      </c>
      <c r="AB536" s="343">
        <f>'NSK-TRACTO'!$A$2</f>
        <v>6</v>
      </c>
      <c r="AC536" s="343">
        <f>IF(BASE_DATOS[[#This Row],[NSK]]&gt;=BASE_DATOS[[#This Row],[NSK Reen]],BASE_DATOS[[#This Row],[NSK Reen]],BASE_DATOS[[#This Row],[NSK]])</f>
        <v>6</v>
      </c>
      <c r="AD536" s="344">
        <f>IFERROR(100%-(BASE_DATOS[[#This Row],[NSK Reen]]/BASE_DATOS[[#This Row],[NSK Original]]),"")</f>
        <v>0.63636363636363635</v>
      </c>
      <c r="AE536" s="344">
        <f>IFERROR(100%-BASE_DATOS[[#This Row],[NSK]]/BASE_DATOS[[#This Row],[NSK Original]],"")</f>
        <v>0.57575757575757569</v>
      </c>
      <c r="AF536" s="344">
        <f>IFERROR(BASE_DATOS[[#This Row],[% Max Des.]]-BASE_DATOS[[#This Row],[% Des]],"")</f>
        <v>6.0606060606060663E-2</v>
      </c>
      <c r="AG536" s="287"/>
      <c r="AH536" s="273"/>
      <c r="AI536" s="363" t="str">
        <f>IF(OR(BASE_DATOS[[#This Row],[Hr.]]="",BASE_DATOS[[#This Row],[Hr. Actual]]=""),"",BASE_DATOS[[#This Row],[Hr. Actual]]-BASE_DATOS[[#This Row],[Hr.]]+BASE_DATOS[[#This Row],[Horas Acumuladas]])</f>
        <v/>
      </c>
      <c r="AJ536" s="364" t="str">
        <f>IFERROR(BASE_DATOS[[#This Row],[Precio US$]]/BASE_DATOS[[#This Row],[Horas Rodadas]],"")</f>
        <v/>
      </c>
      <c r="AK536" s="365" t="str">
        <f>IFERROR(BASE_DATOS[[#This Row],[Horas Rodadas]]/(BASE_DATOS[[#This Row],[NSK Original]]-BASE_DATOS[[#This Row],[NSK]]),"")</f>
        <v/>
      </c>
      <c r="AL53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36" s="366" t="str">
        <f>IFERROR(BASE_DATOS[[#This Row],[Precio US$]]/BASE_DATOS[[#This Row],[Horas Proy.]],"")</f>
        <v/>
      </c>
      <c r="AN536" s="176" t="str">
        <f>IF(OR(BASE_DATOS[[#This Row],[Km.]]="",BASE_DATOS[[#This Row],[Km. Actual]]=""),"",BASE_DATOS[[#This Row],[Km. Actual]]-BASE_DATOS[[#This Row],[Km.]]+BASE_DATOS[[#This Row],[Kilómetros Acumulados]])</f>
        <v/>
      </c>
      <c r="AO536" s="177" t="str">
        <f>IFERROR(BASE_DATOS[[#This Row],[Precio US$]]/BASE_DATOS[[#This Row],[Kilómetros Rodados]],"")</f>
        <v/>
      </c>
      <c r="AP536" s="176" t="str">
        <f>IFERROR(BASE_DATOS[[#This Row],[Kilómetros Rodados]]/(BASE_DATOS[[#This Row],[NSK Original]]-BASE_DATOS[[#This Row],[NSK]]),"")</f>
        <v/>
      </c>
      <c r="AQ53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36" s="177" t="str">
        <f>IFERROR(BASE_DATOS[[#This Row],[Precio US$]]/BASE_DATOS[[#This Row],[Kilómetros Proy.]],"")</f>
        <v/>
      </c>
      <c r="AS536" s="167" t="s">
        <v>62</v>
      </c>
      <c r="AT536" s="167"/>
      <c r="AU536" s="167"/>
      <c r="AV536" s="167"/>
      <c r="AW536" s="179"/>
      <c r="AX536" s="179"/>
      <c r="AY536" s="179" t="str">
        <f>CONCATENATE(BASE_DATOS[[#This Row],[Código_U]]&amp;BASE_DATOS[[#This Row],[Pos.]]&amp;BASE_DATOS[[#This Row],[Situación Actual]])</f>
        <v>SR-2004Rodando</v>
      </c>
    </row>
    <row r="537" spans="1:51" ht="12" x14ac:dyDescent="0.25">
      <c r="A537" s="227" t="s">
        <v>225</v>
      </c>
      <c r="B537" s="217" t="s">
        <v>226</v>
      </c>
      <c r="C537" s="228" t="s">
        <v>295</v>
      </c>
      <c r="D537" s="229" t="s">
        <v>87</v>
      </c>
      <c r="E537" s="255" t="s">
        <v>308</v>
      </c>
      <c r="F537" s="256" t="s">
        <v>97</v>
      </c>
      <c r="G537" s="256" t="s">
        <v>269</v>
      </c>
      <c r="H537" s="257" t="str">
        <f>IF(BASE_DATOS[[#This Row],[N-R]]="N",BASE_DATOS[[#This Row],[Diseño]],"Reencauche")</f>
        <v>AGC28</v>
      </c>
      <c r="I537" s="256" t="s">
        <v>270</v>
      </c>
      <c r="J537" s="243" t="s">
        <v>72</v>
      </c>
      <c r="K537" s="258">
        <v>16.5</v>
      </c>
      <c r="L537" s="256">
        <v>110</v>
      </c>
      <c r="M537" s="259"/>
      <c r="N537" s="260"/>
      <c r="O537" s="277"/>
      <c r="P537" s="278"/>
      <c r="Q537" s="279"/>
      <c r="R537" s="309" t="s">
        <v>102</v>
      </c>
      <c r="S537" s="310">
        <v>45385</v>
      </c>
      <c r="T537" s="311"/>
      <c r="U537" s="312"/>
      <c r="V537" s="227">
        <v>15</v>
      </c>
      <c r="W537" s="281">
        <v>15</v>
      </c>
      <c r="X537" s="282">
        <v>15</v>
      </c>
      <c r="Y537" s="293">
        <f t="shared" si="22"/>
        <v>15</v>
      </c>
      <c r="Z537" s="175" t="s">
        <v>85</v>
      </c>
      <c r="AA537" s="342">
        <f>IFERROR(BASE_DATOS[[#This Row],[NSK Original]]-BASE_DATOS[[#This Row],[NSK]]," ")</f>
        <v>1.5</v>
      </c>
      <c r="AB537" s="343">
        <f>'NSK-TRACTO'!$A$2</f>
        <v>6</v>
      </c>
      <c r="AC537" s="343">
        <f>IF(BASE_DATOS[[#This Row],[NSK]]&gt;=BASE_DATOS[[#This Row],[NSK Reen]],BASE_DATOS[[#This Row],[NSK Reen]],BASE_DATOS[[#This Row],[NSK]])</f>
        <v>6</v>
      </c>
      <c r="AD537" s="344">
        <f>IFERROR(100%-(BASE_DATOS[[#This Row],[NSK Reen]]/BASE_DATOS[[#This Row],[NSK Original]]),"")</f>
        <v>0.63636363636363635</v>
      </c>
      <c r="AE537" s="344">
        <f>IFERROR(100%-BASE_DATOS[[#This Row],[NSK]]/BASE_DATOS[[#This Row],[NSK Original]],"")</f>
        <v>9.0909090909090939E-2</v>
      </c>
      <c r="AF537" s="344">
        <f>IFERROR(BASE_DATOS[[#This Row],[% Max Des.]]-BASE_DATOS[[#This Row],[% Des]],"")</f>
        <v>0.54545454545454541</v>
      </c>
      <c r="AG537" s="287"/>
      <c r="AH537" s="273"/>
      <c r="AI537" s="363" t="str">
        <f>IF(OR(BASE_DATOS[[#This Row],[Hr.]]="",BASE_DATOS[[#This Row],[Hr. Actual]]=""),"",BASE_DATOS[[#This Row],[Hr. Actual]]-BASE_DATOS[[#This Row],[Hr.]]+BASE_DATOS[[#This Row],[Horas Acumuladas]])</f>
        <v/>
      </c>
      <c r="AJ537" s="364" t="str">
        <f>IFERROR(BASE_DATOS[[#This Row],[Precio US$]]/BASE_DATOS[[#This Row],[Horas Rodadas]],"")</f>
        <v/>
      </c>
      <c r="AK537" s="365" t="str">
        <f>IFERROR(BASE_DATOS[[#This Row],[Horas Rodadas]]/(BASE_DATOS[[#This Row],[NSK Original]]-BASE_DATOS[[#This Row],[NSK]]),"")</f>
        <v/>
      </c>
      <c r="AL53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37" s="366" t="str">
        <f>IFERROR(BASE_DATOS[[#This Row],[Precio US$]]/BASE_DATOS[[#This Row],[Horas Proy.]],"")</f>
        <v/>
      </c>
      <c r="AN537" s="176" t="str">
        <f>IF(OR(BASE_DATOS[[#This Row],[Km.]]="",BASE_DATOS[[#This Row],[Km. Actual]]=""),"",BASE_DATOS[[#This Row],[Km. Actual]]-BASE_DATOS[[#This Row],[Km.]]+BASE_DATOS[[#This Row],[Kilómetros Acumulados]])</f>
        <v/>
      </c>
      <c r="AO537" s="177" t="str">
        <f>IFERROR(BASE_DATOS[[#This Row],[Precio US$]]/BASE_DATOS[[#This Row],[Kilómetros Rodados]],"")</f>
        <v/>
      </c>
      <c r="AP537" s="176" t="str">
        <f>IFERROR(BASE_DATOS[[#This Row],[Kilómetros Rodados]]/(BASE_DATOS[[#This Row],[NSK Original]]-BASE_DATOS[[#This Row],[NSK]]),"")</f>
        <v/>
      </c>
      <c r="AQ53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37" s="177" t="str">
        <f>IFERROR(BASE_DATOS[[#This Row],[Precio US$]]/BASE_DATOS[[#This Row],[Kilómetros Proy.]],"")</f>
        <v/>
      </c>
      <c r="AS537" s="167" t="s">
        <v>62</v>
      </c>
      <c r="AT537" s="167"/>
      <c r="AU537" s="167"/>
      <c r="AV537" s="167"/>
      <c r="AW537" s="179"/>
      <c r="AX537" s="179"/>
      <c r="AY537" s="179" t="str">
        <f>CONCATENATE(BASE_DATOS[[#This Row],[Código_U]]&amp;BASE_DATOS[[#This Row],[Pos.]]&amp;BASE_DATOS[[#This Row],[Situación Actual]])</f>
        <v>SR-2005Rodando</v>
      </c>
    </row>
    <row r="538" spans="1:51" ht="12" x14ac:dyDescent="0.25">
      <c r="A538" s="227" t="s">
        <v>225</v>
      </c>
      <c r="B538" s="217" t="s">
        <v>226</v>
      </c>
      <c r="C538" s="228" t="s">
        <v>295</v>
      </c>
      <c r="D538" s="229" t="s">
        <v>87</v>
      </c>
      <c r="E538" s="255" t="s">
        <v>309</v>
      </c>
      <c r="F538" s="256" t="s">
        <v>97</v>
      </c>
      <c r="G538" s="256" t="s">
        <v>269</v>
      </c>
      <c r="H538" s="257" t="str">
        <f>IF(BASE_DATOS[[#This Row],[N-R]]="N",BASE_DATOS[[#This Row],[Diseño]],"Reencauche")</f>
        <v>AGC28</v>
      </c>
      <c r="I538" s="256" t="s">
        <v>270</v>
      </c>
      <c r="J538" s="243" t="s">
        <v>72</v>
      </c>
      <c r="K538" s="258">
        <v>16.5</v>
      </c>
      <c r="L538" s="256">
        <v>110</v>
      </c>
      <c r="M538" s="259"/>
      <c r="N538" s="260"/>
      <c r="O538" s="277"/>
      <c r="P538" s="278"/>
      <c r="Q538" s="279"/>
      <c r="R538" s="309" t="s">
        <v>103</v>
      </c>
      <c r="S538" s="310">
        <v>45385</v>
      </c>
      <c r="T538" s="311"/>
      <c r="U538" s="312"/>
      <c r="V538" s="227">
        <v>15</v>
      </c>
      <c r="W538" s="281">
        <v>15</v>
      </c>
      <c r="X538" s="282">
        <v>15</v>
      </c>
      <c r="Y538" s="293">
        <f t="shared" si="22"/>
        <v>15</v>
      </c>
      <c r="Z538" s="175" t="s">
        <v>85</v>
      </c>
      <c r="AA538" s="342">
        <f>IFERROR(BASE_DATOS[[#This Row],[NSK Original]]-BASE_DATOS[[#This Row],[NSK]]," ")</f>
        <v>1.5</v>
      </c>
      <c r="AB538" s="343">
        <f>'NSK-TRACTO'!$A$2</f>
        <v>6</v>
      </c>
      <c r="AC538" s="343">
        <f>IF(BASE_DATOS[[#This Row],[NSK]]&gt;=BASE_DATOS[[#This Row],[NSK Reen]],BASE_DATOS[[#This Row],[NSK Reen]],BASE_DATOS[[#This Row],[NSK]])</f>
        <v>6</v>
      </c>
      <c r="AD538" s="344">
        <f>IFERROR(100%-(BASE_DATOS[[#This Row],[NSK Reen]]/BASE_DATOS[[#This Row],[NSK Original]]),"")</f>
        <v>0.63636363636363635</v>
      </c>
      <c r="AE538" s="344">
        <f>IFERROR(100%-BASE_DATOS[[#This Row],[NSK]]/BASE_DATOS[[#This Row],[NSK Original]],"")</f>
        <v>9.0909090909090939E-2</v>
      </c>
      <c r="AF538" s="344">
        <f>IFERROR(BASE_DATOS[[#This Row],[% Max Des.]]-BASE_DATOS[[#This Row],[% Des]],"")</f>
        <v>0.54545454545454541</v>
      </c>
      <c r="AG538" s="287"/>
      <c r="AH538" s="273"/>
      <c r="AI538" s="363" t="str">
        <f>IF(OR(BASE_DATOS[[#This Row],[Hr.]]="",BASE_DATOS[[#This Row],[Hr. Actual]]=""),"",BASE_DATOS[[#This Row],[Hr. Actual]]-BASE_DATOS[[#This Row],[Hr.]]+BASE_DATOS[[#This Row],[Horas Acumuladas]])</f>
        <v/>
      </c>
      <c r="AJ538" s="364" t="str">
        <f>IFERROR(BASE_DATOS[[#This Row],[Precio US$]]/BASE_DATOS[[#This Row],[Horas Rodadas]],"")</f>
        <v/>
      </c>
      <c r="AK538" s="365" t="str">
        <f>IFERROR(BASE_DATOS[[#This Row],[Horas Rodadas]]/(BASE_DATOS[[#This Row],[NSK Original]]-BASE_DATOS[[#This Row],[NSK]]),"")</f>
        <v/>
      </c>
      <c r="AL53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38" s="366" t="str">
        <f>IFERROR(BASE_DATOS[[#This Row],[Precio US$]]/BASE_DATOS[[#This Row],[Horas Proy.]],"")</f>
        <v/>
      </c>
      <c r="AN538" s="176" t="str">
        <f>IF(OR(BASE_DATOS[[#This Row],[Km.]]="",BASE_DATOS[[#This Row],[Km. Actual]]=""),"",BASE_DATOS[[#This Row],[Km. Actual]]-BASE_DATOS[[#This Row],[Km.]]+BASE_DATOS[[#This Row],[Kilómetros Acumulados]])</f>
        <v/>
      </c>
      <c r="AO538" s="177" t="str">
        <f>IFERROR(BASE_DATOS[[#This Row],[Precio US$]]/BASE_DATOS[[#This Row],[Kilómetros Rodados]],"")</f>
        <v/>
      </c>
      <c r="AP538" s="176" t="str">
        <f>IFERROR(BASE_DATOS[[#This Row],[Kilómetros Rodados]]/(BASE_DATOS[[#This Row],[NSK Original]]-BASE_DATOS[[#This Row],[NSK]]),"")</f>
        <v/>
      </c>
      <c r="AQ53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38" s="177" t="str">
        <f>IFERROR(BASE_DATOS[[#This Row],[Precio US$]]/BASE_DATOS[[#This Row],[Kilómetros Proy.]],"")</f>
        <v/>
      </c>
      <c r="AS538" s="167" t="s">
        <v>62</v>
      </c>
      <c r="AT538" s="167"/>
      <c r="AU538" s="167"/>
      <c r="AV538" s="167"/>
      <c r="AW538" s="179"/>
      <c r="AX538" s="179"/>
      <c r="AY538" s="179" t="str">
        <f>CONCATENATE(BASE_DATOS[[#This Row],[Código_U]]&amp;BASE_DATOS[[#This Row],[Pos.]]&amp;BASE_DATOS[[#This Row],[Situación Actual]])</f>
        <v>SR-2006Rodando</v>
      </c>
    </row>
    <row r="539" spans="1:51" ht="12" x14ac:dyDescent="0.25">
      <c r="A539" s="227" t="s">
        <v>225</v>
      </c>
      <c r="B539" s="217" t="s">
        <v>226</v>
      </c>
      <c r="C539" s="228" t="s">
        <v>295</v>
      </c>
      <c r="D539" s="229" t="s">
        <v>384</v>
      </c>
      <c r="E539" s="255"/>
      <c r="F539" s="256" t="s">
        <v>97</v>
      </c>
      <c r="G539" s="256" t="s">
        <v>269</v>
      </c>
      <c r="H539" s="257" t="str">
        <f>IF(BASE_DATOS[[#This Row],[N-R]]="N",BASE_DATOS[[#This Row],[Diseño]],"Reencauche")</f>
        <v>AGC28</v>
      </c>
      <c r="I539" s="256" t="s">
        <v>270</v>
      </c>
      <c r="J539" s="243" t="s">
        <v>72</v>
      </c>
      <c r="K539" s="258">
        <v>16.5</v>
      </c>
      <c r="L539" s="256">
        <v>110</v>
      </c>
      <c r="M539" s="259"/>
      <c r="N539" s="260"/>
      <c r="O539" s="277"/>
      <c r="P539" s="278"/>
      <c r="Q539" s="279"/>
      <c r="R539" s="309" t="s">
        <v>509</v>
      </c>
      <c r="S539" s="310">
        <v>45385</v>
      </c>
      <c r="T539" s="311"/>
      <c r="U539" s="312"/>
      <c r="V539" s="227">
        <v>8</v>
      </c>
      <c r="W539" s="281">
        <v>7</v>
      </c>
      <c r="X539" s="282">
        <v>7</v>
      </c>
      <c r="Y539" s="293">
        <f t="shared" si="22"/>
        <v>7</v>
      </c>
      <c r="Z539" s="175" t="s">
        <v>85</v>
      </c>
      <c r="AA539" s="342">
        <f>IFERROR(BASE_DATOS[[#This Row],[NSK Original]]-BASE_DATOS[[#This Row],[NSK]]," ")</f>
        <v>9.5</v>
      </c>
      <c r="AB539" s="343">
        <f>'NSK-TRACTO'!$A$2</f>
        <v>6</v>
      </c>
      <c r="AC539" s="343">
        <f>IF(BASE_DATOS[[#This Row],[NSK]]&gt;=BASE_DATOS[[#This Row],[NSK Reen]],BASE_DATOS[[#This Row],[NSK Reen]],BASE_DATOS[[#This Row],[NSK]])</f>
        <v>6</v>
      </c>
      <c r="AD539" s="344">
        <f>IFERROR(100%-(BASE_DATOS[[#This Row],[NSK Reen]]/BASE_DATOS[[#This Row],[NSK Original]]),"")</f>
        <v>0.63636363636363635</v>
      </c>
      <c r="AE539" s="344">
        <f>IFERROR(100%-BASE_DATOS[[#This Row],[NSK]]/BASE_DATOS[[#This Row],[NSK Original]],"")</f>
        <v>0.57575757575757569</v>
      </c>
      <c r="AF539" s="344">
        <f>IFERROR(BASE_DATOS[[#This Row],[% Max Des.]]-BASE_DATOS[[#This Row],[% Des]],"")</f>
        <v>6.0606060606060663E-2</v>
      </c>
      <c r="AG539" s="287"/>
      <c r="AH539" s="273"/>
      <c r="AI539" s="363" t="str">
        <f>IF(OR(BASE_DATOS[[#This Row],[Hr.]]="",BASE_DATOS[[#This Row],[Hr. Actual]]=""),"",BASE_DATOS[[#This Row],[Hr. Actual]]-BASE_DATOS[[#This Row],[Hr.]]+BASE_DATOS[[#This Row],[Horas Acumuladas]])</f>
        <v/>
      </c>
      <c r="AJ539" s="364" t="str">
        <f>IFERROR(BASE_DATOS[[#This Row],[Precio US$]]/BASE_DATOS[[#This Row],[Horas Rodadas]],"")</f>
        <v/>
      </c>
      <c r="AK539" s="365" t="str">
        <f>IFERROR(BASE_DATOS[[#This Row],[Horas Rodadas]]/(BASE_DATOS[[#This Row],[NSK Original]]-BASE_DATOS[[#This Row],[NSK]]),"")</f>
        <v/>
      </c>
      <c r="AL53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39" s="366" t="str">
        <f>IFERROR(BASE_DATOS[[#This Row],[Precio US$]]/BASE_DATOS[[#This Row],[Horas Proy.]],"")</f>
        <v/>
      </c>
      <c r="AN539" s="176" t="str">
        <f>IF(OR(BASE_DATOS[[#This Row],[Km.]]="",BASE_DATOS[[#This Row],[Km. Actual]]=""),"",BASE_DATOS[[#This Row],[Km. Actual]]-BASE_DATOS[[#This Row],[Km.]]+BASE_DATOS[[#This Row],[Kilómetros Acumulados]])</f>
        <v/>
      </c>
      <c r="AO539" s="177" t="str">
        <f>IFERROR(BASE_DATOS[[#This Row],[Precio US$]]/BASE_DATOS[[#This Row],[Kilómetros Rodados]],"")</f>
        <v/>
      </c>
      <c r="AP539" s="176" t="str">
        <f>IFERROR(BASE_DATOS[[#This Row],[Kilómetros Rodados]]/(BASE_DATOS[[#This Row],[NSK Original]]-BASE_DATOS[[#This Row],[NSK]]),"")</f>
        <v/>
      </c>
      <c r="AQ53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39" s="177" t="str">
        <f>IFERROR(BASE_DATOS[[#This Row],[Precio US$]]/BASE_DATOS[[#This Row],[Kilómetros Proy.]],"")</f>
        <v/>
      </c>
      <c r="AS539" s="167" t="s">
        <v>62</v>
      </c>
      <c r="AT539" s="167"/>
      <c r="AU539" s="167"/>
      <c r="AV539" s="167"/>
      <c r="AW539" s="179"/>
      <c r="AX539" s="179"/>
      <c r="AY539" s="179" t="str">
        <f>CONCATENATE(BASE_DATOS[[#This Row],[Código_U]]&amp;BASE_DATOS[[#This Row],[Pos.]]&amp;BASE_DATOS[[#This Row],[Situación Actual]])</f>
        <v>SR-200RERodando</v>
      </c>
    </row>
    <row r="540" spans="1:51" ht="12" x14ac:dyDescent="0.25">
      <c r="A540" s="227" t="s">
        <v>225</v>
      </c>
      <c r="B540" s="217" t="s">
        <v>226</v>
      </c>
      <c r="C540" s="228" t="s">
        <v>295</v>
      </c>
      <c r="D540" s="229" t="s">
        <v>108</v>
      </c>
      <c r="E540" s="255"/>
      <c r="F540" s="256" t="s">
        <v>278</v>
      </c>
      <c r="G540" s="256" t="s">
        <v>271</v>
      </c>
      <c r="H540" s="257" t="str">
        <f>IF(BASE_DATOS[[#This Row],[N-R]]="N",BASE_DATOS[[#This Row],[Diseño]],"Reencauche")</f>
        <v>HD3</v>
      </c>
      <c r="I540" s="256" t="s">
        <v>286</v>
      </c>
      <c r="J540" s="243" t="s">
        <v>72</v>
      </c>
      <c r="K540" s="258">
        <v>0</v>
      </c>
      <c r="L540" s="256">
        <v>110</v>
      </c>
      <c r="M540" s="259"/>
      <c r="N540" s="260"/>
      <c r="O540" s="277"/>
      <c r="P540" s="278"/>
      <c r="Q540" s="279"/>
      <c r="R540" s="309" t="s">
        <v>108</v>
      </c>
      <c r="S540" s="310">
        <v>45385</v>
      </c>
      <c r="T540" s="311"/>
      <c r="U540" s="312"/>
      <c r="V540" s="227">
        <v>8</v>
      </c>
      <c r="W540" s="281"/>
      <c r="X540" s="282">
        <v>8</v>
      </c>
      <c r="Y540" s="293">
        <f t="shared" si="22"/>
        <v>8</v>
      </c>
      <c r="Z540" s="175" t="s">
        <v>85</v>
      </c>
      <c r="AA540" s="342">
        <f>IFERROR(BASE_DATOS[[#This Row],[NSK Original]]-BASE_DATOS[[#This Row],[NSK]]," ")</f>
        <v>-8</v>
      </c>
      <c r="AB540" s="343">
        <f>'NSK-TRACTO'!$A$2</f>
        <v>6</v>
      </c>
      <c r="AC540" s="343">
        <f>IF(BASE_DATOS[[#This Row],[NSK]]&gt;=BASE_DATOS[[#This Row],[NSK Reen]],BASE_DATOS[[#This Row],[NSK Reen]],BASE_DATOS[[#This Row],[NSK]])</f>
        <v>6</v>
      </c>
      <c r="AD540" s="344" t="str">
        <f>IFERROR(100%-(BASE_DATOS[[#This Row],[NSK Reen]]/BASE_DATOS[[#This Row],[NSK Original]]),"")</f>
        <v/>
      </c>
      <c r="AE540" s="344" t="str">
        <f>IFERROR(100%-BASE_DATOS[[#This Row],[NSK]]/BASE_DATOS[[#This Row],[NSK Original]],"")</f>
        <v/>
      </c>
      <c r="AF540" s="344" t="str">
        <f>IFERROR(BASE_DATOS[[#This Row],[% Max Des.]]-BASE_DATOS[[#This Row],[% Des]],"")</f>
        <v/>
      </c>
      <c r="AG540" s="287"/>
      <c r="AH540" s="273"/>
      <c r="AI540" s="363" t="str">
        <f>IF(OR(BASE_DATOS[[#This Row],[Hr.]]="",BASE_DATOS[[#This Row],[Hr. Actual]]=""),"",BASE_DATOS[[#This Row],[Hr. Actual]]-BASE_DATOS[[#This Row],[Hr.]]+BASE_DATOS[[#This Row],[Horas Acumuladas]])</f>
        <v/>
      </c>
      <c r="AJ540" s="364" t="str">
        <f>IFERROR(BASE_DATOS[[#This Row],[Precio US$]]/BASE_DATOS[[#This Row],[Horas Rodadas]],"")</f>
        <v/>
      </c>
      <c r="AK540" s="365" t="str">
        <f>IFERROR(BASE_DATOS[[#This Row],[Horas Rodadas]]/(BASE_DATOS[[#This Row],[NSK Original]]-BASE_DATOS[[#This Row],[NSK]]),"")</f>
        <v/>
      </c>
      <c r="AL54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40" s="366" t="str">
        <f>IFERROR(BASE_DATOS[[#This Row],[Precio US$]]/BASE_DATOS[[#This Row],[Horas Proy.]],"")</f>
        <v/>
      </c>
      <c r="AN540" s="176" t="str">
        <f>IF(OR(BASE_DATOS[[#This Row],[Km.]]="",BASE_DATOS[[#This Row],[Km. Actual]]=""),"",BASE_DATOS[[#This Row],[Km. Actual]]-BASE_DATOS[[#This Row],[Km.]]+BASE_DATOS[[#This Row],[Kilómetros Acumulados]])</f>
        <v/>
      </c>
      <c r="AO540" s="177" t="str">
        <f>IFERROR(BASE_DATOS[[#This Row],[Precio US$]]/BASE_DATOS[[#This Row],[Kilómetros Rodados]],"")</f>
        <v/>
      </c>
      <c r="AP540" s="176" t="str">
        <f>IFERROR(BASE_DATOS[[#This Row],[Kilómetros Rodados]]/(BASE_DATOS[[#This Row],[NSK Original]]-BASE_DATOS[[#This Row],[NSK]]),"")</f>
        <v/>
      </c>
      <c r="AQ54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40" s="177" t="str">
        <f>IFERROR(BASE_DATOS[[#This Row],[Precio US$]]/BASE_DATOS[[#This Row],[Kilómetros Proy.]],"")</f>
        <v/>
      </c>
      <c r="AS540" s="167" t="s">
        <v>62</v>
      </c>
      <c r="AT540" s="167"/>
      <c r="AU540" s="167"/>
      <c r="AV540" s="167"/>
      <c r="AW540" s="179"/>
      <c r="AX540" s="179"/>
      <c r="AY540" s="179" t="str">
        <f>CONCATENATE(BASE_DATOS[[#This Row],[Código_U]]&amp;BASE_DATOS[[#This Row],[Pos.]]&amp;BASE_DATOS[[#This Row],[Situación Actual]])</f>
        <v>SR-200RTRodando</v>
      </c>
    </row>
    <row r="541" spans="1:51" ht="12" x14ac:dyDescent="0.25">
      <c r="A541" s="224" t="s">
        <v>227</v>
      </c>
      <c r="B541" s="213" t="s">
        <v>228</v>
      </c>
      <c r="C541" s="225" t="s">
        <v>296</v>
      </c>
      <c r="D541" s="226" t="s">
        <v>86</v>
      </c>
      <c r="E541" s="249"/>
      <c r="F541" s="250" t="s">
        <v>71</v>
      </c>
      <c r="G541" s="250" t="s">
        <v>271</v>
      </c>
      <c r="H541" s="251" t="str">
        <f>IF(BASE_DATOS[[#This Row],[N-R]]="N",BASE_DATOS[[#This Row],[Diseño]],"Reencauche")</f>
        <v>KMAX S</v>
      </c>
      <c r="I541" s="250" t="s">
        <v>287</v>
      </c>
      <c r="J541" s="235" t="s">
        <v>72</v>
      </c>
      <c r="K541" s="252">
        <v>15.8</v>
      </c>
      <c r="L541" s="233">
        <v>100</v>
      </c>
      <c r="M541" s="253"/>
      <c r="N541" s="254"/>
      <c r="O541" s="274"/>
      <c r="P541" s="275"/>
      <c r="Q541" s="276"/>
      <c r="R541" s="305" t="s">
        <v>98</v>
      </c>
      <c r="S541" s="306">
        <v>45386</v>
      </c>
      <c r="T541" s="314"/>
      <c r="U541" s="276"/>
      <c r="V541" s="224">
        <v>8</v>
      </c>
      <c r="W541" s="325">
        <v>10</v>
      </c>
      <c r="X541" s="326">
        <v>8</v>
      </c>
      <c r="Y541" s="292">
        <f t="shared" si="22"/>
        <v>8</v>
      </c>
      <c r="Z541" s="185" t="s">
        <v>85</v>
      </c>
      <c r="AA541" s="339">
        <f>IFERROR(BASE_DATOS[[#This Row],[NSK Original]]-BASE_DATOS[[#This Row],[NSK]]," ")</f>
        <v>7.8000000000000007</v>
      </c>
      <c r="AB541" s="340">
        <f>'NSK-TRACTO'!$A$2</f>
        <v>6</v>
      </c>
      <c r="AC541" s="340">
        <f>IF(BASE_DATOS[[#This Row],[NSK]]&gt;=BASE_DATOS[[#This Row],[NSK Reen]],BASE_DATOS[[#This Row],[NSK Reen]],BASE_DATOS[[#This Row],[NSK]])</f>
        <v>6</v>
      </c>
      <c r="AD541" s="341">
        <f>IFERROR(100%-(BASE_DATOS[[#This Row],[NSK Reen]]/BASE_DATOS[[#This Row],[NSK Original]]),"")</f>
        <v>0.620253164556962</v>
      </c>
      <c r="AE541" s="341">
        <f>IFERROR(100%-BASE_DATOS[[#This Row],[NSK]]/BASE_DATOS[[#This Row],[NSK Original]],"")</f>
        <v>0.49367088607594944</v>
      </c>
      <c r="AF541" s="341">
        <f>IFERROR(BASE_DATOS[[#This Row],[% Max Des.]]-BASE_DATOS[[#This Row],[% Des]],"")</f>
        <v>0.12658227848101256</v>
      </c>
      <c r="AG541" s="284"/>
      <c r="AH541" s="335"/>
      <c r="AI541" s="359" t="str">
        <f>IF(OR(BASE_DATOS[[#This Row],[Hr.]]="",BASE_DATOS[[#This Row],[Hr. Actual]]=""),"",BASE_DATOS[[#This Row],[Hr. Actual]]-BASE_DATOS[[#This Row],[Hr.]]+BASE_DATOS[[#This Row],[Horas Acumuladas]])</f>
        <v/>
      </c>
      <c r="AJ541" s="360" t="str">
        <f>IFERROR(BASE_DATOS[[#This Row],[Precio US$]]/BASE_DATOS[[#This Row],[Horas Rodadas]],"")</f>
        <v/>
      </c>
      <c r="AK541" s="361" t="str">
        <f>IFERROR(BASE_DATOS[[#This Row],[Horas Rodadas]]/(BASE_DATOS[[#This Row],[NSK Original]]-BASE_DATOS[[#This Row],[NSK]]),"")</f>
        <v/>
      </c>
      <c r="AL541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41" s="362" t="str">
        <f>IFERROR(BASE_DATOS[[#This Row],[Precio US$]]/BASE_DATOS[[#This Row],[Horas Proy.]],"")</f>
        <v/>
      </c>
      <c r="AN541" s="195" t="str">
        <f>IF(OR(BASE_DATOS[[#This Row],[Km.]]="",BASE_DATOS[[#This Row],[Km. Actual]]=""),"",BASE_DATOS[[#This Row],[Km. Actual]]-BASE_DATOS[[#This Row],[Km.]]+BASE_DATOS[[#This Row],[Kilómetros Acumulados]])</f>
        <v/>
      </c>
      <c r="AO541" s="196" t="str">
        <f>IFERROR(BASE_DATOS[[#This Row],[Precio US$]]/BASE_DATOS[[#This Row],[Kilómetros Rodados]],"")</f>
        <v/>
      </c>
      <c r="AP541" s="195" t="str">
        <f>IFERROR(BASE_DATOS[[#This Row],[Kilómetros Rodados]]/(BASE_DATOS[[#This Row],[NSK Original]]-BASE_DATOS[[#This Row],[NSK]]),"")</f>
        <v/>
      </c>
      <c r="AQ541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41" s="196" t="str">
        <f>IFERROR(BASE_DATOS[[#This Row],[Precio US$]]/BASE_DATOS[[#This Row],[Kilómetros Proy.]],"")</f>
        <v/>
      </c>
      <c r="AS541" s="191" t="s">
        <v>62</v>
      </c>
      <c r="AT541" s="191"/>
      <c r="AU541" s="191"/>
      <c r="AV541" s="191"/>
      <c r="AW541" s="198"/>
      <c r="AX541" s="198"/>
      <c r="AY541" s="198" t="str">
        <f>CONCATENATE(BASE_DATOS[[#This Row],[Código_U]]&amp;BASE_DATOS[[#This Row],[Pos.]]&amp;BASE_DATOS[[#This Row],[Situación Actual]])</f>
        <v>TC-2021Rodando</v>
      </c>
    </row>
    <row r="542" spans="1:51" ht="12" x14ac:dyDescent="0.25">
      <c r="A542" s="227" t="s">
        <v>227</v>
      </c>
      <c r="B542" s="217" t="s">
        <v>228</v>
      </c>
      <c r="C542" s="228" t="s">
        <v>296</v>
      </c>
      <c r="D542" s="229" t="s">
        <v>86</v>
      </c>
      <c r="E542" s="255"/>
      <c r="F542" s="256" t="s">
        <v>71</v>
      </c>
      <c r="G542" s="256" t="s">
        <v>271</v>
      </c>
      <c r="H542" s="257" t="str">
        <f>IF(BASE_DATOS[[#This Row],[N-R]]="N",BASE_DATOS[[#This Row],[Diseño]],"Reencauche")</f>
        <v>KMAX S</v>
      </c>
      <c r="I542" s="256" t="s">
        <v>287</v>
      </c>
      <c r="J542" s="243" t="s">
        <v>72</v>
      </c>
      <c r="K542" s="258">
        <v>15.8</v>
      </c>
      <c r="L542" s="241">
        <v>100</v>
      </c>
      <c r="M542" s="259"/>
      <c r="N542" s="260"/>
      <c r="O542" s="277"/>
      <c r="P542" s="278"/>
      <c r="Q542" s="279"/>
      <c r="R542" s="309" t="s">
        <v>99</v>
      </c>
      <c r="S542" s="310">
        <v>45386</v>
      </c>
      <c r="T542" s="313"/>
      <c r="U542" s="279"/>
      <c r="V542" s="227">
        <v>9</v>
      </c>
      <c r="W542" s="281">
        <v>11</v>
      </c>
      <c r="X542" s="282">
        <v>9</v>
      </c>
      <c r="Y542" s="293">
        <f t="shared" si="22"/>
        <v>9</v>
      </c>
      <c r="Z542" s="161" t="s">
        <v>73</v>
      </c>
      <c r="AA542" s="342">
        <f>IFERROR(BASE_DATOS[[#This Row],[NSK Original]]-BASE_DATOS[[#This Row],[NSK]]," ")</f>
        <v>6.8000000000000007</v>
      </c>
      <c r="AB542" s="343">
        <f>'NSK-TRACTO'!$A$2</f>
        <v>6</v>
      </c>
      <c r="AC542" s="343">
        <f>IF(BASE_DATOS[[#This Row],[NSK]]&gt;=BASE_DATOS[[#This Row],[NSK Reen]],BASE_DATOS[[#This Row],[NSK Reen]],BASE_DATOS[[#This Row],[NSK]])</f>
        <v>6</v>
      </c>
      <c r="AD542" s="344">
        <f>IFERROR(100%-(BASE_DATOS[[#This Row],[NSK Reen]]/BASE_DATOS[[#This Row],[NSK Original]]),"")</f>
        <v>0.620253164556962</v>
      </c>
      <c r="AE542" s="344">
        <f>IFERROR(100%-BASE_DATOS[[#This Row],[NSK]]/BASE_DATOS[[#This Row],[NSK Original]],"")</f>
        <v>0.43037974683544311</v>
      </c>
      <c r="AF542" s="344">
        <f>IFERROR(BASE_DATOS[[#This Row],[% Max Des.]]-BASE_DATOS[[#This Row],[% Des]],"")</f>
        <v>0.18987341772151889</v>
      </c>
      <c r="AG542" s="287"/>
      <c r="AH542" s="273"/>
      <c r="AI542" s="363" t="str">
        <f>IF(OR(BASE_DATOS[[#This Row],[Hr.]]="",BASE_DATOS[[#This Row],[Hr. Actual]]=""),"",BASE_DATOS[[#This Row],[Hr. Actual]]-BASE_DATOS[[#This Row],[Hr.]]+BASE_DATOS[[#This Row],[Horas Acumuladas]])</f>
        <v/>
      </c>
      <c r="AJ542" s="364" t="str">
        <f>IFERROR(BASE_DATOS[[#This Row],[Precio US$]]/BASE_DATOS[[#This Row],[Horas Rodadas]],"")</f>
        <v/>
      </c>
      <c r="AK542" s="365" t="str">
        <f>IFERROR(BASE_DATOS[[#This Row],[Horas Rodadas]]/(BASE_DATOS[[#This Row],[NSK Original]]-BASE_DATOS[[#This Row],[NSK]]),"")</f>
        <v/>
      </c>
      <c r="AL54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42" s="366" t="str">
        <f>IFERROR(BASE_DATOS[[#This Row],[Precio US$]]/BASE_DATOS[[#This Row],[Horas Proy.]],"")</f>
        <v/>
      </c>
      <c r="AN542" s="176" t="str">
        <f>IF(OR(BASE_DATOS[[#This Row],[Km.]]="",BASE_DATOS[[#This Row],[Km. Actual]]=""),"",BASE_DATOS[[#This Row],[Km. Actual]]-BASE_DATOS[[#This Row],[Km.]]+BASE_DATOS[[#This Row],[Kilómetros Acumulados]])</f>
        <v/>
      </c>
      <c r="AO542" s="177" t="str">
        <f>IFERROR(BASE_DATOS[[#This Row],[Precio US$]]/BASE_DATOS[[#This Row],[Kilómetros Rodados]],"")</f>
        <v/>
      </c>
      <c r="AP542" s="176" t="str">
        <f>IFERROR(BASE_DATOS[[#This Row],[Kilómetros Rodados]]/(BASE_DATOS[[#This Row],[NSK Original]]-BASE_DATOS[[#This Row],[NSK]]),"")</f>
        <v/>
      </c>
      <c r="AQ54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42" s="177" t="str">
        <f>IFERROR(BASE_DATOS[[#This Row],[Precio US$]]/BASE_DATOS[[#This Row],[Kilómetros Proy.]],"")</f>
        <v/>
      </c>
      <c r="AS542" s="167" t="s">
        <v>62</v>
      </c>
      <c r="AT542" s="167"/>
      <c r="AU542" s="167"/>
      <c r="AV542" s="167"/>
      <c r="AW542" s="179"/>
      <c r="AX542" s="179"/>
      <c r="AY542" s="179" t="str">
        <f>CONCATENATE(BASE_DATOS[[#This Row],[Código_U]]&amp;BASE_DATOS[[#This Row],[Pos.]]&amp;BASE_DATOS[[#This Row],[Situación Actual]])</f>
        <v>TC-2022Rodando</v>
      </c>
    </row>
    <row r="543" spans="1:51" ht="12" x14ac:dyDescent="0.25">
      <c r="A543" s="227" t="s">
        <v>227</v>
      </c>
      <c r="B543" s="217" t="s">
        <v>228</v>
      </c>
      <c r="C543" s="228" t="s">
        <v>296</v>
      </c>
      <c r="D543" s="229" t="s">
        <v>61</v>
      </c>
      <c r="E543" s="255"/>
      <c r="F543" s="256" t="s">
        <v>71</v>
      </c>
      <c r="G543" s="256" t="s">
        <v>271</v>
      </c>
      <c r="H543" s="257" t="str">
        <f>IF(BASE_DATOS[[#This Row],[N-R]]="N",BASE_DATOS[[#This Row],[Diseño]],"Reencauche")</f>
        <v>KMAXD</v>
      </c>
      <c r="I543" s="256" t="s">
        <v>294</v>
      </c>
      <c r="J543" s="243" t="s">
        <v>72</v>
      </c>
      <c r="K543" s="258">
        <v>22.2</v>
      </c>
      <c r="L543" s="241">
        <v>110</v>
      </c>
      <c r="M543" s="259"/>
      <c r="N543" s="260"/>
      <c r="O543" s="277"/>
      <c r="P543" s="278"/>
      <c r="Q543" s="279"/>
      <c r="R543" s="309" t="s">
        <v>100</v>
      </c>
      <c r="S543" s="310">
        <v>45386</v>
      </c>
      <c r="T543" s="313"/>
      <c r="U543" s="279"/>
      <c r="V543" s="227">
        <v>14</v>
      </c>
      <c r="W543" s="281"/>
      <c r="X543" s="282">
        <v>14</v>
      </c>
      <c r="Y543" s="293">
        <f t="shared" si="22"/>
        <v>14</v>
      </c>
      <c r="Z543" s="161" t="s">
        <v>73</v>
      </c>
      <c r="AA543" s="342">
        <f>IFERROR(BASE_DATOS[[#This Row],[NSK Original]]-BASE_DATOS[[#This Row],[NSK]]," ")</f>
        <v>8.1999999999999993</v>
      </c>
      <c r="AB543" s="343">
        <f>'NSK-TRACTO'!$A$2</f>
        <v>6</v>
      </c>
      <c r="AC543" s="343">
        <f>IF(BASE_DATOS[[#This Row],[NSK]]&gt;=BASE_DATOS[[#This Row],[NSK Reen]],BASE_DATOS[[#This Row],[NSK Reen]],BASE_DATOS[[#This Row],[NSK]])</f>
        <v>6</v>
      </c>
      <c r="AD543" s="344">
        <f>IFERROR(100%-(BASE_DATOS[[#This Row],[NSK Reen]]/BASE_DATOS[[#This Row],[NSK Original]]),"")</f>
        <v>0.72972972972972971</v>
      </c>
      <c r="AE543" s="344">
        <f>IFERROR(100%-BASE_DATOS[[#This Row],[NSK]]/BASE_DATOS[[#This Row],[NSK Original]],"")</f>
        <v>0.36936936936936937</v>
      </c>
      <c r="AF543" s="344">
        <f>IFERROR(BASE_DATOS[[#This Row],[% Max Des.]]-BASE_DATOS[[#This Row],[% Des]],"")</f>
        <v>0.36036036036036034</v>
      </c>
      <c r="AG543" s="287"/>
      <c r="AH543" s="273"/>
      <c r="AI543" s="363" t="str">
        <f>IF(OR(BASE_DATOS[[#This Row],[Hr.]]="",BASE_DATOS[[#This Row],[Hr. Actual]]=""),"",BASE_DATOS[[#This Row],[Hr. Actual]]-BASE_DATOS[[#This Row],[Hr.]]+BASE_DATOS[[#This Row],[Horas Acumuladas]])</f>
        <v/>
      </c>
      <c r="AJ543" s="364" t="str">
        <f>IFERROR(BASE_DATOS[[#This Row],[Precio US$]]/BASE_DATOS[[#This Row],[Horas Rodadas]],"")</f>
        <v/>
      </c>
      <c r="AK543" s="365" t="str">
        <f>IFERROR(BASE_DATOS[[#This Row],[Horas Rodadas]]/(BASE_DATOS[[#This Row],[NSK Original]]-BASE_DATOS[[#This Row],[NSK]]),"")</f>
        <v/>
      </c>
      <c r="AL54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43" s="366" t="str">
        <f>IFERROR(BASE_DATOS[[#This Row],[Precio US$]]/BASE_DATOS[[#This Row],[Horas Proy.]],"")</f>
        <v/>
      </c>
      <c r="AN543" s="176" t="str">
        <f>IF(OR(BASE_DATOS[[#This Row],[Km.]]="",BASE_DATOS[[#This Row],[Km. Actual]]=""),"",BASE_DATOS[[#This Row],[Km. Actual]]-BASE_DATOS[[#This Row],[Km.]]+BASE_DATOS[[#This Row],[Kilómetros Acumulados]])</f>
        <v/>
      </c>
      <c r="AO543" s="177" t="str">
        <f>IFERROR(BASE_DATOS[[#This Row],[Precio US$]]/BASE_DATOS[[#This Row],[Kilómetros Rodados]],"")</f>
        <v/>
      </c>
      <c r="AP543" s="176" t="str">
        <f>IFERROR(BASE_DATOS[[#This Row],[Kilómetros Rodados]]/(BASE_DATOS[[#This Row],[NSK Original]]-BASE_DATOS[[#This Row],[NSK]]),"")</f>
        <v/>
      </c>
      <c r="AQ54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43" s="177" t="str">
        <f>IFERROR(BASE_DATOS[[#This Row],[Precio US$]]/BASE_DATOS[[#This Row],[Kilómetros Proy.]],"")</f>
        <v/>
      </c>
      <c r="AS543" s="167" t="s">
        <v>62</v>
      </c>
      <c r="AT543" s="167"/>
      <c r="AU543" s="167"/>
      <c r="AV543" s="167"/>
      <c r="AW543" s="179"/>
      <c r="AX543" s="179"/>
      <c r="AY543" s="179" t="str">
        <f>CONCATENATE(BASE_DATOS[[#This Row],[Código_U]]&amp;BASE_DATOS[[#This Row],[Pos.]]&amp;BASE_DATOS[[#This Row],[Situación Actual]])</f>
        <v>TC-2023Rodando</v>
      </c>
    </row>
    <row r="544" spans="1:51" ht="12" x14ac:dyDescent="0.25">
      <c r="A544" s="227" t="s">
        <v>227</v>
      </c>
      <c r="B544" s="217" t="s">
        <v>228</v>
      </c>
      <c r="C544" s="228" t="s">
        <v>296</v>
      </c>
      <c r="D544" s="229" t="s">
        <v>61</v>
      </c>
      <c r="E544" s="255"/>
      <c r="F544" s="256" t="s">
        <v>71</v>
      </c>
      <c r="G544" s="256" t="s">
        <v>271</v>
      </c>
      <c r="H544" s="257" t="str">
        <f>IF(BASE_DATOS[[#This Row],[N-R]]="N",BASE_DATOS[[#This Row],[Diseño]],"Reencauche")</f>
        <v>KMAXD</v>
      </c>
      <c r="I544" s="256" t="s">
        <v>294</v>
      </c>
      <c r="J544" s="243" t="s">
        <v>72</v>
      </c>
      <c r="K544" s="258">
        <v>22.2</v>
      </c>
      <c r="L544" s="241">
        <v>110</v>
      </c>
      <c r="M544" s="259"/>
      <c r="N544" s="260"/>
      <c r="O544" s="277"/>
      <c r="P544" s="278"/>
      <c r="Q544" s="279"/>
      <c r="R544" s="309" t="s">
        <v>101</v>
      </c>
      <c r="S544" s="310">
        <v>45386</v>
      </c>
      <c r="T544" s="313"/>
      <c r="U544" s="279"/>
      <c r="V544" s="227">
        <v>14</v>
      </c>
      <c r="W544" s="281"/>
      <c r="X544" s="282">
        <v>14</v>
      </c>
      <c r="Y544" s="293">
        <f t="shared" si="22"/>
        <v>14</v>
      </c>
      <c r="Z544" s="175" t="s">
        <v>85</v>
      </c>
      <c r="AA544" s="342">
        <f>IFERROR(BASE_DATOS[[#This Row],[NSK Original]]-BASE_DATOS[[#This Row],[NSK]]," ")</f>
        <v>8.1999999999999993</v>
      </c>
      <c r="AB544" s="343">
        <f>'NSK-TRACTO'!$A$2</f>
        <v>6</v>
      </c>
      <c r="AC544" s="343">
        <f>IF(BASE_DATOS[[#This Row],[NSK]]&gt;=BASE_DATOS[[#This Row],[NSK Reen]],BASE_DATOS[[#This Row],[NSK Reen]],BASE_DATOS[[#This Row],[NSK]])</f>
        <v>6</v>
      </c>
      <c r="AD544" s="344">
        <f>IFERROR(100%-(BASE_DATOS[[#This Row],[NSK Reen]]/BASE_DATOS[[#This Row],[NSK Original]]),"")</f>
        <v>0.72972972972972971</v>
      </c>
      <c r="AE544" s="344">
        <f>IFERROR(100%-BASE_DATOS[[#This Row],[NSK]]/BASE_DATOS[[#This Row],[NSK Original]],"")</f>
        <v>0.36936936936936937</v>
      </c>
      <c r="AF544" s="344">
        <f>IFERROR(BASE_DATOS[[#This Row],[% Max Des.]]-BASE_DATOS[[#This Row],[% Des]],"")</f>
        <v>0.36036036036036034</v>
      </c>
      <c r="AG544" s="287"/>
      <c r="AH544" s="273"/>
      <c r="AI544" s="363" t="str">
        <f>IF(OR(BASE_DATOS[[#This Row],[Hr.]]="",BASE_DATOS[[#This Row],[Hr. Actual]]=""),"",BASE_DATOS[[#This Row],[Hr. Actual]]-BASE_DATOS[[#This Row],[Hr.]]+BASE_DATOS[[#This Row],[Horas Acumuladas]])</f>
        <v/>
      </c>
      <c r="AJ544" s="364" t="str">
        <f>IFERROR(BASE_DATOS[[#This Row],[Precio US$]]/BASE_DATOS[[#This Row],[Horas Rodadas]],"")</f>
        <v/>
      </c>
      <c r="AK544" s="365" t="str">
        <f>IFERROR(BASE_DATOS[[#This Row],[Horas Rodadas]]/(BASE_DATOS[[#This Row],[NSK Original]]-BASE_DATOS[[#This Row],[NSK]]),"")</f>
        <v/>
      </c>
      <c r="AL54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44" s="366" t="str">
        <f>IFERROR(BASE_DATOS[[#This Row],[Precio US$]]/BASE_DATOS[[#This Row],[Horas Proy.]],"")</f>
        <v/>
      </c>
      <c r="AN544" s="176" t="str">
        <f>IF(OR(BASE_DATOS[[#This Row],[Km.]]="",BASE_DATOS[[#This Row],[Km. Actual]]=""),"",BASE_DATOS[[#This Row],[Km. Actual]]-BASE_DATOS[[#This Row],[Km.]]+BASE_DATOS[[#This Row],[Kilómetros Acumulados]])</f>
        <v/>
      </c>
      <c r="AO544" s="177" t="str">
        <f>IFERROR(BASE_DATOS[[#This Row],[Precio US$]]/BASE_DATOS[[#This Row],[Kilómetros Rodados]],"")</f>
        <v/>
      </c>
      <c r="AP544" s="176" t="str">
        <f>IFERROR(BASE_DATOS[[#This Row],[Kilómetros Rodados]]/(BASE_DATOS[[#This Row],[NSK Original]]-BASE_DATOS[[#This Row],[NSK]]),"")</f>
        <v/>
      </c>
      <c r="AQ54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44" s="177" t="str">
        <f>IFERROR(BASE_DATOS[[#This Row],[Precio US$]]/BASE_DATOS[[#This Row],[Kilómetros Proy.]],"")</f>
        <v/>
      </c>
      <c r="AS544" s="167" t="s">
        <v>62</v>
      </c>
      <c r="AT544" s="167"/>
      <c r="AU544" s="167"/>
      <c r="AV544" s="167"/>
      <c r="AW544" s="179"/>
      <c r="AX544" s="179"/>
      <c r="AY544" s="179" t="str">
        <f>CONCATENATE(BASE_DATOS[[#This Row],[Código_U]]&amp;BASE_DATOS[[#This Row],[Pos.]]&amp;BASE_DATOS[[#This Row],[Situación Actual]])</f>
        <v>TC-2024Rodando</v>
      </c>
    </row>
    <row r="545" spans="1:51" ht="12" x14ac:dyDescent="0.25">
      <c r="A545" s="227" t="s">
        <v>227</v>
      </c>
      <c r="B545" s="217" t="s">
        <v>228</v>
      </c>
      <c r="C545" s="228" t="s">
        <v>296</v>
      </c>
      <c r="D545" s="229" t="s">
        <v>61</v>
      </c>
      <c r="E545" s="255"/>
      <c r="F545" s="256" t="s">
        <v>71</v>
      </c>
      <c r="G545" s="256" t="s">
        <v>271</v>
      </c>
      <c r="H545" s="257" t="str">
        <f>IF(BASE_DATOS[[#This Row],[N-R]]="N",BASE_DATOS[[#This Row],[Diseño]],"Reencauche")</f>
        <v>KMAXD</v>
      </c>
      <c r="I545" s="256" t="s">
        <v>294</v>
      </c>
      <c r="J545" s="243" t="s">
        <v>72</v>
      </c>
      <c r="K545" s="258">
        <v>22.2</v>
      </c>
      <c r="L545" s="241">
        <v>110</v>
      </c>
      <c r="M545" s="259"/>
      <c r="N545" s="260"/>
      <c r="O545" s="277"/>
      <c r="P545" s="278"/>
      <c r="Q545" s="279"/>
      <c r="R545" s="309" t="s">
        <v>102</v>
      </c>
      <c r="S545" s="310">
        <v>45386</v>
      </c>
      <c r="T545" s="313"/>
      <c r="U545" s="279"/>
      <c r="V545" s="227">
        <v>13</v>
      </c>
      <c r="W545" s="281"/>
      <c r="X545" s="282">
        <v>13</v>
      </c>
      <c r="Y545" s="293">
        <f t="shared" si="22"/>
        <v>13</v>
      </c>
      <c r="Z545" s="161" t="s">
        <v>73</v>
      </c>
      <c r="AA545" s="342">
        <f>IFERROR(BASE_DATOS[[#This Row],[NSK Original]]-BASE_DATOS[[#This Row],[NSK]]," ")</f>
        <v>9.1999999999999993</v>
      </c>
      <c r="AB545" s="343">
        <f>'NSK-TRACTO'!$A$2</f>
        <v>6</v>
      </c>
      <c r="AC545" s="343">
        <f>IF(BASE_DATOS[[#This Row],[NSK]]&gt;=BASE_DATOS[[#This Row],[NSK Reen]],BASE_DATOS[[#This Row],[NSK Reen]],BASE_DATOS[[#This Row],[NSK]])</f>
        <v>6</v>
      </c>
      <c r="AD545" s="344">
        <f>IFERROR(100%-(BASE_DATOS[[#This Row],[NSK Reen]]/BASE_DATOS[[#This Row],[NSK Original]]),"")</f>
        <v>0.72972972972972971</v>
      </c>
      <c r="AE545" s="344">
        <f>IFERROR(100%-BASE_DATOS[[#This Row],[NSK]]/BASE_DATOS[[#This Row],[NSK Original]],"")</f>
        <v>0.4144144144144144</v>
      </c>
      <c r="AF545" s="344">
        <f>IFERROR(BASE_DATOS[[#This Row],[% Max Des.]]-BASE_DATOS[[#This Row],[% Des]],"")</f>
        <v>0.31531531531531531</v>
      </c>
      <c r="AG545" s="287"/>
      <c r="AH545" s="273"/>
      <c r="AI545" s="363" t="str">
        <f>IF(OR(BASE_DATOS[[#This Row],[Hr.]]="",BASE_DATOS[[#This Row],[Hr. Actual]]=""),"",BASE_DATOS[[#This Row],[Hr. Actual]]-BASE_DATOS[[#This Row],[Hr.]]+BASE_DATOS[[#This Row],[Horas Acumuladas]])</f>
        <v/>
      </c>
      <c r="AJ545" s="364" t="str">
        <f>IFERROR(BASE_DATOS[[#This Row],[Precio US$]]/BASE_DATOS[[#This Row],[Horas Rodadas]],"")</f>
        <v/>
      </c>
      <c r="AK545" s="365" t="str">
        <f>IFERROR(BASE_DATOS[[#This Row],[Horas Rodadas]]/(BASE_DATOS[[#This Row],[NSK Original]]-BASE_DATOS[[#This Row],[NSK]]),"")</f>
        <v/>
      </c>
      <c r="AL54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45" s="366" t="str">
        <f>IFERROR(BASE_DATOS[[#This Row],[Precio US$]]/BASE_DATOS[[#This Row],[Horas Proy.]],"")</f>
        <v/>
      </c>
      <c r="AN545" s="176" t="str">
        <f>IF(OR(BASE_DATOS[[#This Row],[Km.]]="",BASE_DATOS[[#This Row],[Km. Actual]]=""),"",BASE_DATOS[[#This Row],[Km. Actual]]-BASE_DATOS[[#This Row],[Km.]]+BASE_DATOS[[#This Row],[Kilómetros Acumulados]])</f>
        <v/>
      </c>
      <c r="AO545" s="177" t="str">
        <f>IFERROR(BASE_DATOS[[#This Row],[Precio US$]]/BASE_DATOS[[#This Row],[Kilómetros Rodados]],"")</f>
        <v/>
      </c>
      <c r="AP545" s="176" t="str">
        <f>IFERROR(BASE_DATOS[[#This Row],[Kilómetros Rodados]]/(BASE_DATOS[[#This Row],[NSK Original]]-BASE_DATOS[[#This Row],[NSK]]),"")</f>
        <v/>
      </c>
      <c r="AQ54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45" s="177" t="str">
        <f>IFERROR(BASE_DATOS[[#This Row],[Precio US$]]/BASE_DATOS[[#This Row],[Kilómetros Proy.]],"")</f>
        <v/>
      </c>
      <c r="AS545" s="167" t="s">
        <v>62</v>
      </c>
      <c r="AT545" s="167"/>
      <c r="AU545" s="167"/>
      <c r="AV545" s="167"/>
      <c r="AW545" s="179"/>
      <c r="AX545" s="179"/>
      <c r="AY545" s="179" t="str">
        <f>CONCATENATE(BASE_DATOS[[#This Row],[Código_U]]&amp;BASE_DATOS[[#This Row],[Pos.]]&amp;BASE_DATOS[[#This Row],[Situación Actual]])</f>
        <v>TC-2025Rodando</v>
      </c>
    </row>
    <row r="546" spans="1:51" ht="12" x14ac:dyDescent="0.25">
      <c r="A546" s="227" t="s">
        <v>227</v>
      </c>
      <c r="B546" s="217" t="s">
        <v>228</v>
      </c>
      <c r="C546" s="228" t="s">
        <v>296</v>
      </c>
      <c r="D546" s="229" t="s">
        <v>61</v>
      </c>
      <c r="E546" s="255"/>
      <c r="F546" s="256" t="s">
        <v>71</v>
      </c>
      <c r="G546" s="256" t="s">
        <v>271</v>
      </c>
      <c r="H546" s="257" t="str">
        <f>IF(BASE_DATOS[[#This Row],[N-R]]="N",BASE_DATOS[[#This Row],[Diseño]],"Reencauche")</f>
        <v>KMAXD</v>
      </c>
      <c r="I546" s="256" t="s">
        <v>294</v>
      </c>
      <c r="J546" s="243" t="s">
        <v>72</v>
      </c>
      <c r="K546" s="258">
        <v>22.2</v>
      </c>
      <c r="L546" s="241">
        <v>110</v>
      </c>
      <c r="M546" s="259"/>
      <c r="N546" s="260"/>
      <c r="O546" s="277"/>
      <c r="P546" s="278"/>
      <c r="Q546" s="279"/>
      <c r="R546" s="309" t="s">
        <v>103</v>
      </c>
      <c r="S546" s="310">
        <v>45386</v>
      </c>
      <c r="T546" s="313"/>
      <c r="U546" s="279"/>
      <c r="V546" s="227">
        <v>13</v>
      </c>
      <c r="W546" s="281"/>
      <c r="X546" s="282">
        <v>13</v>
      </c>
      <c r="Y546" s="293">
        <f t="shared" ref="Y546:Y569" si="23">IFERROR(MIN(V546:X546),"")</f>
        <v>13</v>
      </c>
      <c r="Z546" s="175" t="s">
        <v>85</v>
      </c>
      <c r="AA546" s="342">
        <f>IFERROR(BASE_DATOS[[#This Row],[NSK Original]]-BASE_DATOS[[#This Row],[NSK]]," ")</f>
        <v>9.1999999999999993</v>
      </c>
      <c r="AB546" s="343">
        <f>'NSK-TRACTO'!$A$2</f>
        <v>6</v>
      </c>
      <c r="AC546" s="343">
        <f>IF(BASE_DATOS[[#This Row],[NSK]]&gt;=BASE_DATOS[[#This Row],[NSK Reen]],BASE_DATOS[[#This Row],[NSK Reen]],BASE_DATOS[[#This Row],[NSK]])</f>
        <v>6</v>
      </c>
      <c r="AD546" s="344">
        <f>IFERROR(100%-(BASE_DATOS[[#This Row],[NSK Reen]]/BASE_DATOS[[#This Row],[NSK Original]]),"")</f>
        <v>0.72972972972972971</v>
      </c>
      <c r="AE546" s="344">
        <f>IFERROR(100%-BASE_DATOS[[#This Row],[NSK]]/BASE_DATOS[[#This Row],[NSK Original]],"")</f>
        <v>0.4144144144144144</v>
      </c>
      <c r="AF546" s="344">
        <f>IFERROR(BASE_DATOS[[#This Row],[% Max Des.]]-BASE_DATOS[[#This Row],[% Des]],"")</f>
        <v>0.31531531531531531</v>
      </c>
      <c r="AG546" s="287"/>
      <c r="AH546" s="273"/>
      <c r="AI546" s="363" t="str">
        <f>IF(OR(BASE_DATOS[[#This Row],[Hr.]]="",BASE_DATOS[[#This Row],[Hr. Actual]]=""),"",BASE_DATOS[[#This Row],[Hr. Actual]]-BASE_DATOS[[#This Row],[Hr.]]+BASE_DATOS[[#This Row],[Horas Acumuladas]])</f>
        <v/>
      </c>
      <c r="AJ546" s="364" t="str">
        <f>IFERROR(BASE_DATOS[[#This Row],[Precio US$]]/BASE_DATOS[[#This Row],[Horas Rodadas]],"")</f>
        <v/>
      </c>
      <c r="AK546" s="365" t="str">
        <f>IFERROR(BASE_DATOS[[#This Row],[Horas Rodadas]]/(BASE_DATOS[[#This Row],[NSK Original]]-BASE_DATOS[[#This Row],[NSK]]),"")</f>
        <v/>
      </c>
      <c r="AL54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46" s="366" t="str">
        <f>IFERROR(BASE_DATOS[[#This Row],[Precio US$]]/BASE_DATOS[[#This Row],[Horas Proy.]],"")</f>
        <v/>
      </c>
      <c r="AN546" s="176" t="str">
        <f>IF(OR(BASE_DATOS[[#This Row],[Km.]]="",BASE_DATOS[[#This Row],[Km. Actual]]=""),"",BASE_DATOS[[#This Row],[Km. Actual]]-BASE_DATOS[[#This Row],[Km.]]+BASE_DATOS[[#This Row],[Kilómetros Acumulados]])</f>
        <v/>
      </c>
      <c r="AO546" s="177" t="str">
        <f>IFERROR(BASE_DATOS[[#This Row],[Precio US$]]/BASE_DATOS[[#This Row],[Kilómetros Rodados]],"")</f>
        <v/>
      </c>
      <c r="AP546" s="176" t="str">
        <f>IFERROR(BASE_DATOS[[#This Row],[Kilómetros Rodados]]/(BASE_DATOS[[#This Row],[NSK Original]]-BASE_DATOS[[#This Row],[NSK]]),"")</f>
        <v/>
      </c>
      <c r="AQ54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46" s="177" t="str">
        <f>IFERROR(BASE_DATOS[[#This Row],[Precio US$]]/BASE_DATOS[[#This Row],[Kilómetros Proy.]],"")</f>
        <v/>
      </c>
      <c r="AS546" s="167" t="s">
        <v>62</v>
      </c>
      <c r="AT546" s="167"/>
      <c r="AU546" s="167"/>
      <c r="AV546" s="167"/>
      <c r="AW546" s="179"/>
      <c r="AX546" s="179"/>
      <c r="AY546" s="179" t="str">
        <f>CONCATENATE(BASE_DATOS[[#This Row],[Código_U]]&amp;BASE_DATOS[[#This Row],[Pos.]]&amp;BASE_DATOS[[#This Row],[Situación Actual]])</f>
        <v>TC-2026Rodando</v>
      </c>
    </row>
    <row r="547" spans="1:51" ht="12" x14ac:dyDescent="0.25">
      <c r="A547" s="227" t="s">
        <v>227</v>
      </c>
      <c r="B547" s="217" t="s">
        <v>228</v>
      </c>
      <c r="C547" s="228" t="s">
        <v>296</v>
      </c>
      <c r="D547" s="229" t="s">
        <v>61</v>
      </c>
      <c r="E547" s="255"/>
      <c r="F547" s="256" t="s">
        <v>71</v>
      </c>
      <c r="G547" s="256" t="s">
        <v>271</v>
      </c>
      <c r="H547" s="257" t="str">
        <f>IF(BASE_DATOS[[#This Row],[N-R]]="N",BASE_DATOS[[#This Row],[Diseño]],"Reencauche")</f>
        <v>KMAXD</v>
      </c>
      <c r="I547" s="256" t="s">
        <v>294</v>
      </c>
      <c r="J547" s="243" t="s">
        <v>72</v>
      </c>
      <c r="K547" s="258">
        <v>22.2</v>
      </c>
      <c r="L547" s="241">
        <v>110</v>
      </c>
      <c r="M547" s="259"/>
      <c r="N547" s="260"/>
      <c r="O547" s="277"/>
      <c r="P547" s="278"/>
      <c r="Q547" s="279"/>
      <c r="R547" s="309" t="s">
        <v>104</v>
      </c>
      <c r="S547" s="310">
        <v>45386</v>
      </c>
      <c r="T547" s="313"/>
      <c r="U547" s="279"/>
      <c r="V547" s="227">
        <v>19</v>
      </c>
      <c r="W547" s="281"/>
      <c r="X547" s="282">
        <v>19</v>
      </c>
      <c r="Y547" s="293">
        <f t="shared" si="23"/>
        <v>19</v>
      </c>
      <c r="Z547" s="175" t="s">
        <v>85</v>
      </c>
      <c r="AA547" s="342">
        <f>IFERROR(BASE_DATOS[[#This Row],[NSK Original]]-BASE_DATOS[[#This Row],[NSK]]," ")</f>
        <v>3.1999999999999993</v>
      </c>
      <c r="AB547" s="343">
        <f>'NSK-TRACTO'!$A$2</f>
        <v>6</v>
      </c>
      <c r="AC547" s="343">
        <f>IF(BASE_DATOS[[#This Row],[NSK]]&gt;=BASE_DATOS[[#This Row],[NSK Reen]],BASE_DATOS[[#This Row],[NSK Reen]],BASE_DATOS[[#This Row],[NSK]])</f>
        <v>6</v>
      </c>
      <c r="AD547" s="344">
        <f>IFERROR(100%-(BASE_DATOS[[#This Row],[NSK Reen]]/BASE_DATOS[[#This Row],[NSK Original]]),"")</f>
        <v>0.72972972972972971</v>
      </c>
      <c r="AE547" s="344">
        <f>IFERROR(100%-BASE_DATOS[[#This Row],[NSK]]/BASE_DATOS[[#This Row],[NSK Original]],"")</f>
        <v>0.14414414414414412</v>
      </c>
      <c r="AF547" s="344">
        <f>IFERROR(BASE_DATOS[[#This Row],[% Max Des.]]-BASE_DATOS[[#This Row],[% Des]],"")</f>
        <v>0.5855855855855856</v>
      </c>
      <c r="AG547" s="287"/>
      <c r="AH547" s="273"/>
      <c r="AI547" s="363" t="str">
        <f>IF(OR(BASE_DATOS[[#This Row],[Hr.]]="",BASE_DATOS[[#This Row],[Hr. Actual]]=""),"",BASE_DATOS[[#This Row],[Hr. Actual]]-BASE_DATOS[[#This Row],[Hr.]]+BASE_DATOS[[#This Row],[Horas Acumuladas]])</f>
        <v/>
      </c>
      <c r="AJ547" s="364" t="str">
        <f>IFERROR(BASE_DATOS[[#This Row],[Precio US$]]/BASE_DATOS[[#This Row],[Horas Rodadas]],"")</f>
        <v/>
      </c>
      <c r="AK547" s="365" t="str">
        <f>IFERROR(BASE_DATOS[[#This Row],[Horas Rodadas]]/(BASE_DATOS[[#This Row],[NSK Original]]-BASE_DATOS[[#This Row],[NSK]]),"")</f>
        <v/>
      </c>
      <c r="AL54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47" s="366" t="str">
        <f>IFERROR(BASE_DATOS[[#This Row],[Precio US$]]/BASE_DATOS[[#This Row],[Horas Proy.]],"")</f>
        <v/>
      </c>
      <c r="AN547" s="176" t="str">
        <f>IF(OR(BASE_DATOS[[#This Row],[Km.]]="",BASE_DATOS[[#This Row],[Km. Actual]]=""),"",BASE_DATOS[[#This Row],[Km. Actual]]-BASE_DATOS[[#This Row],[Km.]]+BASE_DATOS[[#This Row],[Kilómetros Acumulados]])</f>
        <v/>
      </c>
      <c r="AO547" s="177" t="str">
        <f>IFERROR(BASE_DATOS[[#This Row],[Precio US$]]/BASE_DATOS[[#This Row],[Kilómetros Rodados]],"")</f>
        <v/>
      </c>
      <c r="AP547" s="176" t="str">
        <f>IFERROR(BASE_DATOS[[#This Row],[Kilómetros Rodados]]/(BASE_DATOS[[#This Row],[NSK Original]]-BASE_DATOS[[#This Row],[NSK]]),"")</f>
        <v/>
      </c>
      <c r="AQ54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47" s="177" t="str">
        <f>IFERROR(BASE_DATOS[[#This Row],[Precio US$]]/BASE_DATOS[[#This Row],[Kilómetros Proy.]],"")</f>
        <v/>
      </c>
      <c r="AS547" s="167" t="s">
        <v>62</v>
      </c>
      <c r="AT547" s="167"/>
      <c r="AU547" s="167"/>
      <c r="AV547" s="167"/>
      <c r="AW547" s="179"/>
      <c r="AX547" s="179"/>
      <c r="AY547" s="179" t="str">
        <f>CONCATENATE(BASE_DATOS[[#This Row],[Código_U]]&amp;BASE_DATOS[[#This Row],[Pos.]]&amp;BASE_DATOS[[#This Row],[Situación Actual]])</f>
        <v>TC-2027Rodando</v>
      </c>
    </row>
    <row r="548" spans="1:51" ht="12" x14ac:dyDescent="0.25">
      <c r="A548" s="227" t="s">
        <v>227</v>
      </c>
      <c r="B548" s="217" t="s">
        <v>228</v>
      </c>
      <c r="C548" s="228" t="s">
        <v>296</v>
      </c>
      <c r="D548" s="229" t="s">
        <v>61</v>
      </c>
      <c r="E548" s="255"/>
      <c r="F548" s="256" t="s">
        <v>71</v>
      </c>
      <c r="G548" s="256" t="s">
        <v>271</v>
      </c>
      <c r="H548" s="257" t="str">
        <f>IF(BASE_DATOS[[#This Row],[N-R]]="N",BASE_DATOS[[#This Row],[Diseño]],"Reencauche")</f>
        <v>KMAXD</v>
      </c>
      <c r="I548" s="256" t="s">
        <v>294</v>
      </c>
      <c r="J548" s="243" t="s">
        <v>72</v>
      </c>
      <c r="K548" s="258">
        <v>22.2</v>
      </c>
      <c r="L548" s="241">
        <v>110</v>
      </c>
      <c r="M548" s="259"/>
      <c r="N548" s="260"/>
      <c r="O548" s="277"/>
      <c r="P548" s="278"/>
      <c r="Q548" s="279"/>
      <c r="R548" s="309" t="s">
        <v>105</v>
      </c>
      <c r="S548" s="310">
        <v>45386</v>
      </c>
      <c r="T548" s="313"/>
      <c r="U548" s="279"/>
      <c r="V548" s="227">
        <v>19</v>
      </c>
      <c r="W548" s="281"/>
      <c r="X548" s="282">
        <v>19</v>
      </c>
      <c r="Y548" s="293">
        <f t="shared" si="23"/>
        <v>19</v>
      </c>
      <c r="Z548" s="161" t="s">
        <v>73</v>
      </c>
      <c r="AA548" s="342">
        <f>IFERROR(BASE_DATOS[[#This Row],[NSK Original]]-BASE_DATOS[[#This Row],[NSK]]," ")</f>
        <v>3.1999999999999993</v>
      </c>
      <c r="AB548" s="343">
        <f>'NSK-TRACTO'!$A$2</f>
        <v>6</v>
      </c>
      <c r="AC548" s="343">
        <f>IF(BASE_DATOS[[#This Row],[NSK]]&gt;=BASE_DATOS[[#This Row],[NSK Reen]],BASE_DATOS[[#This Row],[NSK Reen]],BASE_DATOS[[#This Row],[NSK]])</f>
        <v>6</v>
      </c>
      <c r="AD548" s="344">
        <f>IFERROR(100%-(BASE_DATOS[[#This Row],[NSK Reen]]/BASE_DATOS[[#This Row],[NSK Original]]),"")</f>
        <v>0.72972972972972971</v>
      </c>
      <c r="AE548" s="344">
        <f>IFERROR(100%-BASE_DATOS[[#This Row],[NSK]]/BASE_DATOS[[#This Row],[NSK Original]],"")</f>
        <v>0.14414414414414412</v>
      </c>
      <c r="AF548" s="344">
        <f>IFERROR(BASE_DATOS[[#This Row],[% Max Des.]]-BASE_DATOS[[#This Row],[% Des]],"")</f>
        <v>0.5855855855855856</v>
      </c>
      <c r="AG548" s="287"/>
      <c r="AH548" s="273"/>
      <c r="AI548" s="363" t="str">
        <f>IF(OR(BASE_DATOS[[#This Row],[Hr.]]="",BASE_DATOS[[#This Row],[Hr. Actual]]=""),"",BASE_DATOS[[#This Row],[Hr. Actual]]-BASE_DATOS[[#This Row],[Hr.]]+BASE_DATOS[[#This Row],[Horas Acumuladas]])</f>
        <v/>
      </c>
      <c r="AJ548" s="364" t="str">
        <f>IFERROR(BASE_DATOS[[#This Row],[Precio US$]]/BASE_DATOS[[#This Row],[Horas Rodadas]],"")</f>
        <v/>
      </c>
      <c r="AK548" s="365" t="str">
        <f>IFERROR(BASE_DATOS[[#This Row],[Horas Rodadas]]/(BASE_DATOS[[#This Row],[NSK Original]]-BASE_DATOS[[#This Row],[NSK]]),"")</f>
        <v/>
      </c>
      <c r="AL54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48" s="366" t="str">
        <f>IFERROR(BASE_DATOS[[#This Row],[Precio US$]]/BASE_DATOS[[#This Row],[Horas Proy.]],"")</f>
        <v/>
      </c>
      <c r="AN548" s="176" t="str">
        <f>IF(OR(BASE_DATOS[[#This Row],[Km.]]="",BASE_DATOS[[#This Row],[Km. Actual]]=""),"",BASE_DATOS[[#This Row],[Km. Actual]]-BASE_DATOS[[#This Row],[Km.]]+BASE_DATOS[[#This Row],[Kilómetros Acumulados]])</f>
        <v/>
      </c>
      <c r="AO548" s="177" t="str">
        <f>IFERROR(BASE_DATOS[[#This Row],[Precio US$]]/BASE_DATOS[[#This Row],[Kilómetros Rodados]],"")</f>
        <v/>
      </c>
      <c r="AP548" s="176" t="str">
        <f>IFERROR(BASE_DATOS[[#This Row],[Kilómetros Rodados]]/(BASE_DATOS[[#This Row],[NSK Original]]-BASE_DATOS[[#This Row],[NSK]]),"")</f>
        <v/>
      </c>
      <c r="AQ54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48" s="177" t="str">
        <f>IFERROR(BASE_DATOS[[#This Row],[Precio US$]]/BASE_DATOS[[#This Row],[Kilómetros Proy.]],"")</f>
        <v/>
      </c>
      <c r="AS548" s="167" t="s">
        <v>62</v>
      </c>
      <c r="AT548" s="167"/>
      <c r="AU548" s="167"/>
      <c r="AV548" s="167"/>
      <c r="AW548" s="179"/>
      <c r="AX548" s="179"/>
      <c r="AY548" s="179" t="str">
        <f>CONCATENATE(BASE_DATOS[[#This Row],[Código_U]]&amp;BASE_DATOS[[#This Row],[Pos.]]&amp;BASE_DATOS[[#This Row],[Situación Actual]])</f>
        <v>TC-2028Rodando</v>
      </c>
    </row>
    <row r="549" spans="1:51" ht="12" x14ac:dyDescent="0.25">
      <c r="A549" s="227" t="s">
        <v>227</v>
      </c>
      <c r="B549" s="217" t="s">
        <v>228</v>
      </c>
      <c r="C549" s="228" t="s">
        <v>296</v>
      </c>
      <c r="D549" s="229" t="s">
        <v>61</v>
      </c>
      <c r="E549" s="255"/>
      <c r="F549" s="256" t="s">
        <v>71</v>
      </c>
      <c r="G549" s="256" t="s">
        <v>271</v>
      </c>
      <c r="H549" s="257" t="str">
        <f>IF(BASE_DATOS[[#This Row],[N-R]]="N",BASE_DATOS[[#This Row],[Diseño]],"Reencauche")</f>
        <v>KMAXD</v>
      </c>
      <c r="I549" s="256" t="s">
        <v>294</v>
      </c>
      <c r="J549" s="243" t="s">
        <v>72</v>
      </c>
      <c r="K549" s="258">
        <v>22.2</v>
      </c>
      <c r="L549" s="241">
        <v>110</v>
      </c>
      <c r="M549" s="259"/>
      <c r="N549" s="260"/>
      <c r="O549" s="277"/>
      <c r="P549" s="278"/>
      <c r="Q549" s="279"/>
      <c r="R549" s="309" t="s">
        <v>106</v>
      </c>
      <c r="S549" s="310">
        <v>45386</v>
      </c>
      <c r="T549" s="313"/>
      <c r="U549" s="279"/>
      <c r="V549" s="227">
        <v>19</v>
      </c>
      <c r="W549" s="281"/>
      <c r="X549" s="282">
        <v>19</v>
      </c>
      <c r="Y549" s="293">
        <f t="shared" si="23"/>
        <v>19</v>
      </c>
      <c r="Z549" s="161" t="s">
        <v>73</v>
      </c>
      <c r="AA549" s="342">
        <f>IFERROR(BASE_DATOS[[#This Row],[NSK Original]]-BASE_DATOS[[#This Row],[NSK]]," ")</f>
        <v>3.1999999999999993</v>
      </c>
      <c r="AB549" s="343">
        <f>'NSK-TRACTO'!$A$2</f>
        <v>6</v>
      </c>
      <c r="AC549" s="343">
        <f>IF(BASE_DATOS[[#This Row],[NSK]]&gt;=BASE_DATOS[[#This Row],[NSK Reen]],BASE_DATOS[[#This Row],[NSK Reen]],BASE_DATOS[[#This Row],[NSK]])</f>
        <v>6</v>
      </c>
      <c r="AD549" s="344">
        <f>IFERROR(100%-(BASE_DATOS[[#This Row],[NSK Reen]]/BASE_DATOS[[#This Row],[NSK Original]]),"")</f>
        <v>0.72972972972972971</v>
      </c>
      <c r="AE549" s="344">
        <f>IFERROR(100%-BASE_DATOS[[#This Row],[NSK]]/BASE_DATOS[[#This Row],[NSK Original]],"")</f>
        <v>0.14414414414414412</v>
      </c>
      <c r="AF549" s="344">
        <f>IFERROR(BASE_DATOS[[#This Row],[% Max Des.]]-BASE_DATOS[[#This Row],[% Des]],"")</f>
        <v>0.5855855855855856</v>
      </c>
      <c r="AG549" s="287"/>
      <c r="AH549" s="273"/>
      <c r="AI549" s="363" t="str">
        <f>IF(OR(BASE_DATOS[[#This Row],[Hr.]]="",BASE_DATOS[[#This Row],[Hr. Actual]]=""),"",BASE_DATOS[[#This Row],[Hr. Actual]]-BASE_DATOS[[#This Row],[Hr.]]+BASE_DATOS[[#This Row],[Horas Acumuladas]])</f>
        <v/>
      </c>
      <c r="AJ549" s="364" t="str">
        <f>IFERROR(BASE_DATOS[[#This Row],[Precio US$]]/BASE_DATOS[[#This Row],[Horas Rodadas]],"")</f>
        <v/>
      </c>
      <c r="AK549" s="365" t="str">
        <f>IFERROR(BASE_DATOS[[#This Row],[Horas Rodadas]]/(BASE_DATOS[[#This Row],[NSK Original]]-BASE_DATOS[[#This Row],[NSK]]),"")</f>
        <v/>
      </c>
      <c r="AL54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49" s="366" t="str">
        <f>IFERROR(BASE_DATOS[[#This Row],[Precio US$]]/BASE_DATOS[[#This Row],[Horas Proy.]],"")</f>
        <v/>
      </c>
      <c r="AN549" s="176" t="str">
        <f>IF(OR(BASE_DATOS[[#This Row],[Km.]]="",BASE_DATOS[[#This Row],[Km. Actual]]=""),"",BASE_DATOS[[#This Row],[Km. Actual]]-BASE_DATOS[[#This Row],[Km.]]+BASE_DATOS[[#This Row],[Kilómetros Acumulados]])</f>
        <v/>
      </c>
      <c r="AO549" s="177" t="str">
        <f>IFERROR(BASE_DATOS[[#This Row],[Precio US$]]/BASE_DATOS[[#This Row],[Kilómetros Rodados]],"")</f>
        <v/>
      </c>
      <c r="AP549" s="176" t="str">
        <f>IFERROR(BASE_DATOS[[#This Row],[Kilómetros Rodados]]/(BASE_DATOS[[#This Row],[NSK Original]]-BASE_DATOS[[#This Row],[NSK]]),"")</f>
        <v/>
      </c>
      <c r="AQ54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49" s="177" t="str">
        <f>IFERROR(BASE_DATOS[[#This Row],[Precio US$]]/BASE_DATOS[[#This Row],[Kilómetros Proy.]],"")</f>
        <v/>
      </c>
      <c r="AS549" s="167" t="s">
        <v>62</v>
      </c>
      <c r="AT549" s="167"/>
      <c r="AU549" s="167"/>
      <c r="AV549" s="167"/>
      <c r="AW549" s="179"/>
      <c r="AX549" s="179"/>
      <c r="AY549" s="179" t="str">
        <f>CONCATENATE(BASE_DATOS[[#This Row],[Código_U]]&amp;BASE_DATOS[[#This Row],[Pos.]]&amp;BASE_DATOS[[#This Row],[Situación Actual]])</f>
        <v>TC-2029Rodando</v>
      </c>
    </row>
    <row r="550" spans="1:51" ht="12" x14ac:dyDescent="0.25">
      <c r="A550" s="227" t="s">
        <v>227</v>
      </c>
      <c r="B550" s="217" t="s">
        <v>228</v>
      </c>
      <c r="C550" s="228" t="s">
        <v>296</v>
      </c>
      <c r="D550" s="229" t="s">
        <v>61</v>
      </c>
      <c r="E550" s="255"/>
      <c r="F550" s="256" t="s">
        <v>71</v>
      </c>
      <c r="G550" s="256" t="s">
        <v>271</v>
      </c>
      <c r="H550" s="257" t="str">
        <f>IF(BASE_DATOS[[#This Row],[N-R]]="N",BASE_DATOS[[#This Row],[Diseño]],"Reencauche")</f>
        <v>KMAXD</v>
      </c>
      <c r="I550" s="256" t="s">
        <v>294</v>
      </c>
      <c r="J550" s="243" t="s">
        <v>72</v>
      </c>
      <c r="K550" s="258">
        <v>22.2</v>
      </c>
      <c r="L550" s="241">
        <v>110</v>
      </c>
      <c r="M550" s="259"/>
      <c r="N550" s="260"/>
      <c r="O550" s="277"/>
      <c r="P550" s="278"/>
      <c r="Q550" s="279"/>
      <c r="R550" s="309" t="s">
        <v>107</v>
      </c>
      <c r="S550" s="310">
        <v>45386</v>
      </c>
      <c r="T550" s="313"/>
      <c r="U550" s="279"/>
      <c r="V550" s="227">
        <v>19</v>
      </c>
      <c r="W550" s="281"/>
      <c r="X550" s="282">
        <v>19</v>
      </c>
      <c r="Y550" s="293">
        <f t="shared" si="23"/>
        <v>19</v>
      </c>
      <c r="Z550" s="175" t="s">
        <v>85</v>
      </c>
      <c r="AA550" s="342">
        <f>IFERROR(BASE_DATOS[[#This Row],[NSK Original]]-BASE_DATOS[[#This Row],[NSK]]," ")</f>
        <v>3.1999999999999993</v>
      </c>
      <c r="AB550" s="343">
        <f>'NSK-TRACTO'!$A$2</f>
        <v>6</v>
      </c>
      <c r="AC550" s="343">
        <f>IF(BASE_DATOS[[#This Row],[NSK]]&gt;=BASE_DATOS[[#This Row],[NSK Reen]],BASE_DATOS[[#This Row],[NSK Reen]],BASE_DATOS[[#This Row],[NSK]])</f>
        <v>6</v>
      </c>
      <c r="AD550" s="344">
        <f>IFERROR(100%-(BASE_DATOS[[#This Row],[NSK Reen]]/BASE_DATOS[[#This Row],[NSK Original]]),"")</f>
        <v>0.72972972972972971</v>
      </c>
      <c r="AE550" s="344">
        <f>IFERROR(100%-BASE_DATOS[[#This Row],[NSK]]/BASE_DATOS[[#This Row],[NSK Original]],"")</f>
        <v>0.14414414414414412</v>
      </c>
      <c r="AF550" s="344">
        <f>IFERROR(BASE_DATOS[[#This Row],[% Max Des.]]-BASE_DATOS[[#This Row],[% Des]],"")</f>
        <v>0.5855855855855856</v>
      </c>
      <c r="AG550" s="287"/>
      <c r="AH550" s="273"/>
      <c r="AI550" s="363" t="str">
        <f>IF(OR(BASE_DATOS[[#This Row],[Hr.]]="",BASE_DATOS[[#This Row],[Hr. Actual]]=""),"",BASE_DATOS[[#This Row],[Hr. Actual]]-BASE_DATOS[[#This Row],[Hr.]]+BASE_DATOS[[#This Row],[Horas Acumuladas]])</f>
        <v/>
      </c>
      <c r="AJ550" s="364" t="str">
        <f>IFERROR(BASE_DATOS[[#This Row],[Precio US$]]/BASE_DATOS[[#This Row],[Horas Rodadas]],"")</f>
        <v/>
      </c>
      <c r="AK550" s="365" t="str">
        <f>IFERROR(BASE_DATOS[[#This Row],[Horas Rodadas]]/(BASE_DATOS[[#This Row],[NSK Original]]-BASE_DATOS[[#This Row],[NSK]]),"")</f>
        <v/>
      </c>
      <c r="AL55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50" s="366" t="str">
        <f>IFERROR(BASE_DATOS[[#This Row],[Precio US$]]/BASE_DATOS[[#This Row],[Horas Proy.]],"")</f>
        <v/>
      </c>
      <c r="AN550" s="176" t="str">
        <f>IF(OR(BASE_DATOS[[#This Row],[Km.]]="",BASE_DATOS[[#This Row],[Km. Actual]]=""),"",BASE_DATOS[[#This Row],[Km. Actual]]-BASE_DATOS[[#This Row],[Km.]]+BASE_DATOS[[#This Row],[Kilómetros Acumulados]])</f>
        <v/>
      </c>
      <c r="AO550" s="177" t="str">
        <f>IFERROR(BASE_DATOS[[#This Row],[Precio US$]]/BASE_DATOS[[#This Row],[Kilómetros Rodados]],"")</f>
        <v/>
      </c>
      <c r="AP550" s="176" t="str">
        <f>IFERROR(BASE_DATOS[[#This Row],[Kilómetros Rodados]]/(BASE_DATOS[[#This Row],[NSK Original]]-BASE_DATOS[[#This Row],[NSK]]),"")</f>
        <v/>
      </c>
      <c r="AQ55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50" s="177" t="str">
        <f>IFERROR(BASE_DATOS[[#This Row],[Precio US$]]/BASE_DATOS[[#This Row],[Kilómetros Proy.]],"")</f>
        <v/>
      </c>
      <c r="AS550" s="167" t="s">
        <v>62</v>
      </c>
      <c r="AT550" s="167"/>
      <c r="AU550" s="167"/>
      <c r="AV550" s="167"/>
      <c r="AW550" s="179"/>
      <c r="AX550" s="179"/>
      <c r="AY550" s="179" t="str">
        <f>CONCATENATE(BASE_DATOS[[#This Row],[Código_U]]&amp;BASE_DATOS[[#This Row],[Pos.]]&amp;BASE_DATOS[[#This Row],[Situación Actual]])</f>
        <v>TC-20210Rodando</v>
      </c>
    </row>
    <row r="551" spans="1:51" ht="12" x14ac:dyDescent="0.25">
      <c r="A551" s="222" t="s">
        <v>233</v>
      </c>
      <c r="B551" s="213" t="s">
        <v>230</v>
      </c>
      <c r="C551" s="225" t="s">
        <v>295</v>
      </c>
      <c r="D551" s="226" t="s">
        <v>87</v>
      </c>
      <c r="E551" s="249"/>
      <c r="F551" s="250" t="s">
        <v>97</v>
      </c>
      <c r="G551" s="250" t="s">
        <v>269</v>
      </c>
      <c r="H551" s="251" t="str">
        <f>IF(BASE_DATOS[[#This Row],[N-R]]="N",BASE_DATOS[[#This Row],[Diseño]],"Reencauche")</f>
        <v>AGC28</v>
      </c>
      <c r="I551" s="250" t="s">
        <v>270</v>
      </c>
      <c r="J551" s="235" t="s">
        <v>72</v>
      </c>
      <c r="K551" s="252">
        <v>16.5</v>
      </c>
      <c r="L551" s="250">
        <v>110</v>
      </c>
      <c r="M551" s="253"/>
      <c r="N551" s="254"/>
      <c r="O551" s="274"/>
      <c r="P551" s="275"/>
      <c r="Q551" s="276"/>
      <c r="R551" s="305" t="s">
        <v>98</v>
      </c>
      <c r="S551" s="306">
        <v>45386</v>
      </c>
      <c r="T551" s="314"/>
      <c r="U551" s="276"/>
      <c r="V551" s="224">
        <v>14</v>
      </c>
      <c r="W551" s="325">
        <v>14</v>
      </c>
      <c r="X551" s="326">
        <v>14</v>
      </c>
      <c r="Y551" s="292">
        <f t="shared" si="23"/>
        <v>14</v>
      </c>
      <c r="Z551" s="194" t="s">
        <v>85</v>
      </c>
      <c r="AA551" s="339">
        <f>IFERROR(BASE_DATOS[[#This Row],[NSK Original]]-BASE_DATOS[[#This Row],[NSK]]," ")</f>
        <v>2.5</v>
      </c>
      <c r="AB551" s="340">
        <f>'NSK-TRACTO'!$A$2</f>
        <v>6</v>
      </c>
      <c r="AC551" s="340">
        <f>IF(BASE_DATOS[[#This Row],[NSK]]&gt;=BASE_DATOS[[#This Row],[NSK Reen]],BASE_DATOS[[#This Row],[NSK Reen]],BASE_DATOS[[#This Row],[NSK]])</f>
        <v>6</v>
      </c>
      <c r="AD551" s="341">
        <f>IFERROR(100%-(BASE_DATOS[[#This Row],[NSK Reen]]/BASE_DATOS[[#This Row],[NSK Original]]),"")</f>
        <v>0.63636363636363635</v>
      </c>
      <c r="AE551" s="341">
        <f>IFERROR(100%-BASE_DATOS[[#This Row],[NSK]]/BASE_DATOS[[#This Row],[NSK Original]],"")</f>
        <v>0.15151515151515149</v>
      </c>
      <c r="AF551" s="341">
        <f>IFERROR(BASE_DATOS[[#This Row],[% Max Des.]]-BASE_DATOS[[#This Row],[% Des]],"")</f>
        <v>0.48484848484848486</v>
      </c>
      <c r="AG551" s="284"/>
      <c r="AH551" s="335"/>
      <c r="AI551" s="359" t="str">
        <f>IF(OR(BASE_DATOS[[#This Row],[Hr.]]="",BASE_DATOS[[#This Row],[Hr. Actual]]=""),"",BASE_DATOS[[#This Row],[Hr. Actual]]-BASE_DATOS[[#This Row],[Hr.]]+BASE_DATOS[[#This Row],[Horas Acumuladas]])</f>
        <v/>
      </c>
      <c r="AJ551" s="360" t="str">
        <f>IFERROR(BASE_DATOS[[#This Row],[Precio US$]]/BASE_DATOS[[#This Row],[Horas Rodadas]],"")</f>
        <v/>
      </c>
      <c r="AK551" s="361" t="str">
        <f>IFERROR(BASE_DATOS[[#This Row],[Horas Rodadas]]/(BASE_DATOS[[#This Row],[NSK Original]]-BASE_DATOS[[#This Row],[NSK]]),"")</f>
        <v/>
      </c>
      <c r="AL551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51" s="362" t="str">
        <f>IFERROR(BASE_DATOS[[#This Row],[Precio US$]]/BASE_DATOS[[#This Row],[Horas Proy.]],"")</f>
        <v/>
      </c>
      <c r="AN551" s="195" t="str">
        <f>IF(OR(BASE_DATOS[[#This Row],[Km.]]="",BASE_DATOS[[#This Row],[Km. Actual]]=""),"",BASE_DATOS[[#This Row],[Km. Actual]]-BASE_DATOS[[#This Row],[Km.]]+BASE_DATOS[[#This Row],[Kilómetros Acumulados]])</f>
        <v/>
      </c>
      <c r="AO551" s="196" t="str">
        <f>IFERROR(BASE_DATOS[[#This Row],[Precio US$]]/BASE_DATOS[[#This Row],[Kilómetros Rodados]],"")</f>
        <v/>
      </c>
      <c r="AP551" s="195" t="str">
        <f>IFERROR(BASE_DATOS[[#This Row],[Kilómetros Rodados]]/(BASE_DATOS[[#This Row],[NSK Original]]-BASE_DATOS[[#This Row],[NSK]]),"")</f>
        <v/>
      </c>
      <c r="AQ551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51" s="196" t="str">
        <f>IFERROR(BASE_DATOS[[#This Row],[Precio US$]]/BASE_DATOS[[#This Row],[Kilómetros Proy.]],"")</f>
        <v/>
      </c>
      <c r="AS551" s="191" t="s">
        <v>62</v>
      </c>
      <c r="AT551" s="191"/>
      <c r="AU551" s="191"/>
      <c r="AV551" s="191"/>
      <c r="AW551" s="198"/>
      <c r="AX551" s="198"/>
      <c r="AY551" s="198" t="str">
        <f>CONCATENATE(BASE_DATOS[[#This Row],[Código_U]]&amp;BASE_DATOS[[#This Row],[Pos.]]&amp;BASE_DATOS[[#This Row],[Situación Actual]])</f>
        <v>SR-2041Rodando</v>
      </c>
    </row>
    <row r="552" spans="1:51" ht="12" x14ac:dyDescent="0.25">
      <c r="A552" s="223" t="s">
        <v>233</v>
      </c>
      <c r="B552" s="217" t="s">
        <v>230</v>
      </c>
      <c r="C552" s="228" t="s">
        <v>295</v>
      </c>
      <c r="D552" s="229" t="s">
        <v>87</v>
      </c>
      <c r="E552" s="255"/>
      <c r="F552" s="256" t="s">
        <v>97</v>
      </c>
      <c r="G552" s="256" t="s">
        <v>269</v>
      </c>
      <c r="H552" s="257" t="str">
        <f>IF(BASE_DATOS[[#This Row],[N-R]]="N",BASE_DATOS[[#This Row],[Diseño]],"Reencauche")</f>
        <v>AGC28</v>
      </c>
      <c r="I552" s="256" t="s">
        <v>270</v>
      </c>
      <c r="J552" s="243" t="s">
        <v>72</v>
      </c>
      <c r="K552" s="258">
        <v>16.5</v>
      </c>
      <c r="L552" s="256">
        <v>110</v>
      </c>
      <c r="M552" s="259"/>
      <c r="N552" s="260"/>
      <c r="O552" s="277"/>
      <c r="P552" s="278"/>
      <c r="Q552" s="279"/>
      <c r="R552" s="309" t="s">
        <v>99</v>
      </c>
      <c r="S552" s="310">
        <v>45386</v>
      </c>
      <c r="T552" s="313"/>
      <c r="U552" s="279"/>
      <c r="V552" s="227">
        <v>14</v>
      </c>
      <c r="W552" s="281">
        <v>14</v>
      </c>
      <c r="X552" s="282">
        <v>14</v>
      </c>
      <c r="Y552" s="293">
        <f t="shared" si="23"/>
        <v>14</v>
      </c>
      <c r="Z552" s="175" t="s">
        <v>85</v>
      </c>
      <c r="AA552" s="342">
        <f>IFERROR(BASE_DATOS[[#This Row],[NSK Original]]-BASE_DATOS[[#This Row],[NSK]]," ")</f>
        <v>2.5</v>
      </c>
      <c r="AB552" s="343">
        <f>'NSK-TRACTO'!$A$2</f>
        <v>6</v>
      </c>
      <c r="AC552" s="343">
        <f>IF(BASE_DATOS[[#This Row],[NSK]]&gt;=BASE_DATOS[[#This Row],[NSK Reen]],BASE_DATOS[[#This Row],[NSK Reen]],BASE_DATOS[[#This Row],[NSK]])</f>
        <v>6</v>
      </c>
      <c r="AD552" s="344">
        <f>IFERROR(100%-(BASE_DATOS[[#This Row],[NSK Reen]]/BASE_DATOS[[#This Row],[NSK Original]]),"")</f>
        <v>0.63636363636363635</v>
      </c>
      <c r="AE552" s="344">
        <f>IFERROR(100%-BASE_DATOS[[#This Row],[NSK]]/BASE_DATOS[[#This Row],[NSK Original]],"")</f>
        <v>0.15151515151515149</v>
      </c>
      <c r="AF552" s="344">
        <f>IFERROR(BASE_DATOS[[#This Row],[% Max Des.]]-BASE_DATOS[[#This Row],[% Des]],"")</f>
        <v>0.48484848484848486</v>
      </c>
      <c r="AG552" s="287"/>
      <c r="AH552" s="273"/>
      <c r="AI552" s="363" t="str">
        <f>IF(OR(BASE_DATOS[[#This Row],[Hr.]]="",BASE_DATOS[[#This Row],[Hr. Actual]]=""),"",BASE_DATOS[[#This Row],[Hr. Actual]]-BASE_DATOS[[#This Row],[Hr.]]+BASE_DATOS[[#This Row],[Horas Acumuladas]])</f>
        <v/>
      </c>
      <c r="AJ552" s="364" t="str">
        <f>IFERROR(BASE_DATOS[[#This Row],[Precio US$]]/BASE_DATOS[[#This Row],[Horas Rodadas]],"")</f>
        <v/>
      </c>
      <c r="AK552" s="365" t="str">
        <f>IFERROR(BASE_DATOS[[#This Row],[Horas Rodadas]]/(BASE_DATOS[[#This Row],[NSK Original]]-BASE_DATOS[[#This Row],[NSK]]),"")</f>
        <v/>
      </c>
      <c r="AL55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52" s="366" t="str">
        <f>IFERROR(BASE_DATOS[[#This Row],[Precio US$]]/BASE_DATOS[[#This Row],[Horas Proy.]],"")</f>
        <v/>
      </c>
      <c r="AN552" s="176" t="str">
        <f>IF(OR(BASE_DATOS[[#This Row],[Km.]]="",BASE_DATOS[[#This Row],[Km. Actual]]=""),"",BASE_DATOS[[#This Row],[Km. Actual]]-BASE_DATOS[[#This Row],[Km.]]+BASE_DATOS[[#This Row],[Kilómetros Acumulados]])</f>
        <v/>
      </c>
      <c r="AO552" s="177" t="str">
        <f>IFERROR(BASE_DATOS[[#This Row],[Precio US$]]/BASE_DATOS[[#This Row],[Kilómetros Rodados]],"")</f>
        <v/>
      </c>
      <c r="AP552" s="176" t="str">
        <f>IFERROR(BASE_DATOS[[#This Row],[Kilómetros Rodados]]/(BASE_DATOS[[#This Row],[NSK Original]]-BASE_DATOS[[#This Row],[NSK]]),"")</f>
        <v/>
      </c>
      <c r="AQ55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52" s="177" t="str">
        <f>IFERROR(BASE_DATOS[[#This Row],[Precio US$]]/BASE_DATOS[[#This Row],[Kilómetros Proy.]],"")</f>
        <v/>
      </c>
      <c r="AS552" s="167" t="s">
        <v>62</v>
      </c>
      <c r="AT552" s="167"/>
      <c r="AU552" s="167"/>
      <c r="AV552" s="167"/>
      <c r="AW552" s="179"/>
      <c r="AX552" s="179"/>
      <c r="AY552" s="179" t="str">
        <f>CONCATENATE(BASE_DATOS[[#This Row],[Código_U]]&amp;BASE_DATOS[[#This Row],[Pos.]]&amp;BASE_DATOS[[#This Row],[Situación Actual]])</f>
        <v>SR-2042Rodando</v>
      </c>
    </row>
    <row r="553" spans="1:51" ht="12" x14ac:dyDescent="0.25">
      <c r="A553" s="223" t="s">
        <v>233</v>
      </c>
      <c r="B553" s="217" t="s">
        <v>230</v>
      </c>
      <c r="C553" s="228" t="s">
        <v>295</v>
      </c>
      <c r="D553" s="229" t="s">
        <v>87</v>
      </c>
      <c r="E553" s="255"/>
      <c r="F553" s="256" t="s">
        <v>97</v>
      </c>
      <c r="G553" s="256" t="s">
        <v>269</v>
      </c>
      <c r="H553" s="257" t="str">
        <f>IF(BASE_DATOS[[#This Row],[N-R]]="N",BASE_DATOS[[#This Row],[Diseño]],"Reencauche")</f>
        <v>AGC28</v>
      </c>
      <c r="I553" s="256" t="s">
        <v>270</v>
      </c>
      <c r="J553" s="243" t="s">
        <v>72</v>
      </c>
      <c r="K553" s="258">
        <v>16.5</v>
      </c>
      <c r="L553" s="256">
        <v>110</v>
      </c>
      <c r="M553" s="259"/>
      <c r="N553" s="260"/>
      <c r="O553" s="277"/>
      <c r="P553" s="278"/>
      <c r="Q553" s="279"/>
      <c r="R553" s="309" t="s">
        <v>100</v>
      </c>
      <c r="S553" s="310">
        <v>45386</v>
      </c>
      <c r="T553" s="313"/>
      <c r="U553" s="279"/>
      <c r="V553" s="227">
        <v>10</v>
      </c>
      <c r="W553" s="281">
        <v>10</v>
      </c>
      <c r="X553" s="282">
        <v>10</v>
      </c>
      <c r="Y553" s="293">
        <f t="shared" si="23"/>
        <v>10</v>
      </c>
      <c r="Z553" s="175" t="s">
        <v>85</v>
      </c>
      <c r="AA553" s="342">
        <f>IFERROR(BASE_DATOS[[#This Row],[NSK Original]]-BASE_DATOS[[#This Row],[NSK]]," ")</f>
        <v>6.5</v>
      </c>
      <c r="AB553" s="343">
        <f>'NSK-TRACTO'!$A$2</f>
        <v>6</v>
      </c>
      <c r="AC553" s="343">
        <f>IF(BASE_DATOS[[#This Row],[NSK]]&gt;=BASE_DATOS[[#This Row],[NSK Reen]],BASE_DATOS[[#This Row],[NSK Reen]],BASE_DATOS[[#This Row],[NSK]])</f>
        <v>6</v>
      </c>
      <c r="AD553" s="344">
        <f>IFERROR(100%-(BASE_DATOS[[#This Row],[NSK Reen]]/BASE_DATOS[[#This Row],[NSK Original]]),"")</f>
        <v>0.63636363636363635</v>
      </c>
      <c r="AE553" s="344">
        <f>IFERROR(100%-BASE_DATOS[[#This Row],[NSK]]/BASE_DATOS[[#This Row],[NSK Original]],"")</f>
        <v>0.39393939393939392</v>
      </c>
      <c r="AF553" s="344">
        <f>IFERROR(BASE_DATOS[[#This Row],[% Max Des.]]-BASE_DATOS[[#This Row],[% Des]],"")</f>
        <v>0.24242424242424243</v>
      </c>
      <c r="AG553" s="287"/>
      <c r="AH553" s="273"/>
      <c r="AI553" s="363" t="str">
        <f>IF(OR(BASE_DATOS[[#This Row],[Hr.]]="",BASE_DATOS[[#This Row],[Hr. Actual]]=""),"",BASE_DATOS[[#This Row],[Hr. Actual]]-BASE_DATOS[[#This Row],[Hr.]]+BASE_DATOS[[#This Row],[Horas Acumuladas]])</f>
        <v/>
      </c>
      <c r="AJ553" s="364" t="str">
        <f>IFERROR(BASE_DATOS[[#This Row],[Precio US$]]/BASE_DATOS[[#This Row],[Horas Rodadas]],"")</f>
        <v/>
      </c>
      <c r="AK553" s="365" t="str">
        <f>IFERROR(BASE_DATOS[[#This Row],[Horas Rodadas]]/(BASE_DATOS[[#This Row],[NSK Original]]-BASE_DATOS[[#This Row],[NSK]]),"")</f>
        <v/>
      </c>
      <c r="AL55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53" s="366" t="str">
        <f>IFERROR(BASE_DATOS[[#This Row],[Precio US$]]/BASE_DATOS[[#This Row],[Horas Proy.]],"")</f>
        <v/>
      </c>
      <c r="AN553" s="176" t="str">
        <f>IF(OR(BASE_DATOS[[#This Row],[Km.]]="",BASE_DATOS[[#This Row],[Km. Actual]]=""),"",BASE_DATOS[[#This Row],[Km. Actual]]-BASE_DATOS[[#This Row],[Km.]]+BASE_DATOS[[#This Row],[Kilómetros Acumulados]])</f>
        <v/>
      </c>
      <c r="AO553" s="177" t="str">
        <f>IFERROR(BASE_DATOS[[#This Row],[Precio US$]]/BASE_DATOS[[#This Row],[Kilómetros Rodados]],"")</f>
        <v/>
      </c>
      <c r="AP553" s="176" t="str">
        <f>IFERROR(BASE_DATOS[[#This Row],[Kilómetros Rodados]]/(BASE_DATOS[[#This Row],[NSK Original]]-BASE_DATOS[[#This Row],[NSK]]),"")</f>
        <v/>
      </c>
      <c r="AQ55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53" s="177" t="str">
        <f>IFERROR(BASE_DATOS[[#This Row],[Precio US$]]/BASE_DATOS[[#This Row],[Kilómetros Proy.]],"")</f>
        <v/>
      </c>
      <c r="AS553" s="167" t="s">
        <v>62</v>
      </c>
      <c r="AT553" s="167"/>
      <c r="AU553" s="167"/>
      <c r="AV553" s="167"/>
      <c r="AW553" s="179"/>
      <c r="AX553" s="179"/>
      <c r="AY553" s="179" t="str">
        <f>CONCATENATE(BASE_DATOS[[#This Row],[Código_U]]&amp;BASE_DATOS[[#This Row],[Pos.]]&amp;BASE_DATOS[[#This Row],[Situación Actual]])</f>
        <v>SR-2043Rodando</v>
      </c>
    </row>
    <row r="554" spans="1:51" ht="12" x14ac:dyDescent="0.25">
      <c r="A554" s="223" t="s">
        <v>233</v>
      </c>
      <c r="B554" s="217" t="s">
        <v>230</v>
      </c>
      <c r="C554" s="228" t="s">
        <v>295</v>
      </c>
      <c r="D554" s="229" t="s">
        <v>87</v>
      </c>
      <c r="E554" s="255"/>
      <c r="F554" s="256" t="s">
        <v>97</v>
      </c>
      <c r="G554" s="256" t="s">
        <v>269</v>
      </c>
      <c r="H554" s="257" t="str">
        <f>IF(BASE_DATOS[[#This Row],[N-R]]="N",BASE_DATOS[[#This Row],[Diseño]],"Reencauche")</f>
        <v>AGC28</v>
      </c>
      <c r="I554" s="256" t="s">
        <v>270</v>
      </c>
      <c r="J554" s="243" t="s">
        <v>72</v>
      </c>
      <c r="K554" s="258">
        <v>16.5</v>
      </c>
      <c r="L554" s="256">
        <v>110</v>
      </c>
      <c r="M554" s="259"/>
      <c r="N554" s="260"/>
      <c r="O554" s="277"/>
      <c r="P554" s="278"/>
      <c r="Q554" s="279"/>
      <c r="R554" s="309" t="s">
        <v>101</v>
      </c>
      <c r="S554" s="310">
        <v>45386</v>
      </c>
      <c r="T554" s="313"/>
      <c r="U554" s="279"/>
      <c r="V554" s="227">
        <v>9</v>
      </c>
      <c r="W554" s="281">
        <v>9</v>
      </c>
      <c r="X554" s="282">
        <v>9</v>
      </c>
      <c r="Y554" s="293">
        <f t="shared" si="23"/>
        <v>9</v>
      </c>
      <c r="Z554" s="175" t="s">
        <v>85</v>
      </c>
      <c r="AA554" s="342">
        <f>IFERROR(BASE_DATOS[[#This Row],[NSK Original]]-BASE_DATOS[[#This Row],[NSK]]," ")</f>
        <v>7.5</v>
      </c>
      <c r="AB554" s="343">
        <f>'NSK-TRACTO'!$A$2</f>
        <v>6</v>
      </c>
      <c r="AC554" s="343">
        <f>IF(BASE_DATOS[[#This Row],[NSK]]&gt;=BASE_DATOS[[#This Row],[NSK Reen]],BASE_DATOS[[#This Row],[NSK Reen]],BASE_DATOS[[#This Row],[NSK]])</f>
        <v>6</v>
      </c>
      <c r="AD554" s="344">
        <f>IFERROR(100%-(BASE_DATOS[[#This Row],[NSK Reen]]/BASE_DATOS[[#This Row],[NSK Original]]),"")</f>
        <v>0.63636363636363635</v>
      </c>
      <c r="AE554" s="344">
        <f>IFERROR(100%-BASE_DATOS[[#This Row],[NSK]]/BASE_DATOS[[#This Row],[NSK Original]],"")</f>
        <v>0.45454545454545459</v>
      </c>
      <c r="AF554" s="344">
        <f>IFERROR(BASE_DATOS[[#This Row],[% Max Des.]]-BASE_DATOS[[#This Row],[% Des]],"")</f>
        <v>0.18181818181818177</v>
      </c>
      <c r="AG554" s="287"/>
      <c r="AH554" s="273"/>
      <c r="AI554" s="363" t="str">
        <f>IF(OR(BASE_DATOS[[#This Row],[Hr.]]="",BASE_DATOS[[#This Row],[Hr. Actual]]=""),"",BASE_DATOS[[#This Row],[Hr. Actual]]-BASE_DATOS[[#This Row],[Hr.]]+BASE_DATOS[[#This Row],[Horas Acumuladas]])</f>
        <v/>
      </c>
      <c r="AJ554" s="364" t="str">
        <f>IFERROR(BASE_DATOS[[#This Row],[Precio US$]]/BASE_DATOS[[#This Row],[Horas Rodadas]],"")</f>
        <v/>
      </c>
      <c r="AK554" s="365" t="str">
        <f>IFERROR(BASE_DATOS[[#This Row],[Horas Rodadas]]/(BASE_DATOS[[#This Row],[NSK Original]]-BASE_DATOS[[#This Row],[NSK]]),"")</f>
        <v/>
      </c>
      <c r="AL55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54" s="366" t="str">
        <f>IFERROR(BASE_DATOS[[#This Row],[Precio US$]]/BASE_DATOS[[#This Row],[Horas Proy.]],"")</f>
        <v/>
      </c>
      <c r="AN554" s="176" t="str">
        <f>IF(OR(BASE_DATOS[[#This Row],[Km.]]="",BASE_DATOS[[#This Row],[Km. Actual]]=""),"",BASE_DATOS[[#This Row],[Km. Actual]]-BASE_DATOS[[#This Row],[Km.]]+BASE_DATOS[[#This Row],[Kilómetros Acumulados]])</f>
        <v/>
      </c>
      <c r="AO554" s="177" t="str">
        <f>IFERROR(BASE_DATOS[[#This Row],[Precio US$]]/BASE_DATOS[[#This Row],[Kilómetros Rodados]],"")</f>
        <v/>
      </c>
      <c r="AP554" s="176" t="str">
        <f>IFERROR(BASE_DATOS[[#This Row],[Kilómetros Rodados]]/(BASE_DATOS[[#This Row],[NSK Original]]-BASE_DATOS[[#This Row],[NSK]]),"")</f>
        <v/>
      </c>
      <c r="AQ55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54" s="177" t="str">
        <f>IFERROR(BASE_DATOS[[#This Row],[Precio US$]]/BASE_DATOS[[#This Row],[Kilómetros Proy.]],"")</f>
        <v/>
      </c>
      <c r="AS554" s="167" t="s">
        <v>62</v>
      </c>
      <c r="AT554" s="167"/>
      <c r="AU554" s="167"/>
      <c r="AV554" s="167"/>
      <c r="AW554" s="179"/>
      <c r="AX554" s="179"/>
      <c r="AY554" s="179" t="str">
        <f>CONCATENATE(BASE_DATOS[[#This Row],[Código_U]]&amp;BASE_DATOS[[#This Row],[Pos.]]&amp;BASE_DATOS[[#This Row],[Situación Actual]])</f>
        <v>SR-2044Rodando</v>
      </c>
    </row>
    <row r="555" spans="1:51" ht="12" x14ac:dyDescent="0.25">
      <c r="A555" s="223" t="s">
        <v>233</v>
      </c>
      <c r="B555" s="217" t="s">
        <v>230</v>
      </c>
      <c r="C555" s="228" t="s">
        <v>295</v>
      </c>
      <c r="D555" s="229" t="s">
        <v>87</v>
      </c>
      <c r="E555" s="255"/>
      <c r="F555" s="256" t="s">
        <v>97</v>
      </c>
      <c r="G555" s="256" t="s">
        <v>269</v>
      </c>
      <c r="H555" s="257" t="str">
        <f>IF(BASE_DATOS[[#This Row],[N-R]]="N",BASE_DATOS[[#This Row],[Diseño]],"Reencauche")</f>
        <v>AGC28</v>
      </c>
      <c r="I555" s="256" t="s">
        <v>270</v>
      </c>
      <c r="J555" s="243" t="s">
        <v>72</v>
      </c>
      <c r="K555" s="258">
        <v>16.5</v>
      </c>
      <c r="L555" s="256">
        <v>110</v>
      </c>
      <c r="M555" s="259"/>
      <c r="N555" s="260"/>
      <c r="O555" s="277"/>
      <c r="P555" s="278"/>
      <c r="Q555" s="279"/>
      <c r="R555" s="309" t="s">
        <v>102</v>
      </c>
      <c r="S555" s="310">
        <v>45386</v>
      </c>
      <c r="T555" s="313"/>
      <c r="U555" s="279"/>
      <c r="V555" s="227">
        <v>12</v>
      </c>
      <c r="W555" s="281">
        <v>12</v>
      </c>
      <c r="X555" s="282">
        <v>12</v>
      </c>
      <c r="Y555" s="293">
        <f t="shared" si="23"/>
        <v>12</v>
      </c>
      <c r="Z555" s="175" t="s">
        <v>85</v>
      </c>
      <c r="AA555" s="342">
        <f>IFERROR(BASE_DATOS[[#This Row],[NSK Original]]-BASE_DATOS[[#This Row],[NSK]]," ")</f>
        <v>4.5</v>
      </c>
      <c r="AB555" s="343">
        <f>'NSK-TRACTO'!$A$2</f>
        <v>6</v>
      </c>
      <c r="AC555" s="343">
        <f>IF(BASE_DATOS[[#This Row],[NSK]]&gt;=BASE_DATOS[[#This Row],[NSK Reen]],BASE_DATOS[[#This Row],[NSK Reen]],BASE_DATOS[[#This Row],[NSK]])</f>
        <v>6</v>
      </c>
      <c r="AD555" s="344">
        <f>IFERROR(100%-(BASE_DATOS[[#This Row],[NSK Reen]]/BASE_DATOS[[#This Row],[NSK Original]]),"")</f>
        <v>0.63636363636363635</v>
      </c>
      <c r="AE555" s="344">
        <f>IFERROR(100%-BASE_DATOS[[#This Row],[NSK]]/BASE_DATOS[[#This Row],[NSK Original]],"")</f>
        <v>0.27272727272727271</v>
      </c>
      <c r="AF555" s="344">
        <f>IFERROR(BASE_DATOS[[#This Row],[% Max Des.]]-BASE_DATOS[[#This Row],[% Des]],"")</f>
        <v>0.36363636363636365</v>
      </c>
      <c r="AG555" s="287"/>
      <c r="AH555" s="273"/>
      <c r="AI555" s="363" t="str">
        <f>IF(OR(BASE_DATOS[[#This Row],[Hr.]]="",BASE_DATOS[[#This Row],[Hr. Actual]]=""),"",BASE_DATOS[[#This Row],[Hr. Actual]]-BASE_DATOS[[#This Row],[Hr.]]+BASE_DATOS[[#This Row],[Horas Acumuladas]])</f>
        <v/>
      </c>
      <c r="AJ555" s="364" t="str">
        <f>IFERROR(BASE_DATOS[[#This Row],[Precio US$]]/BASE_DATOS[[#This Row],[Horas Rodadas]],"")</f>
        <v/>
      </c>
      <c r="AK555" s="365" t="str">
        <f>IFERROR(BASE_DATOS[[#This Row],[Horas Rodadas]]/(BASE_DATOS[[#This Row],[NSK Original]]-BASE_DATOS[[#This Row],[NSK]]),"")</f>
        <v/>
      </c>
      <c r="AL55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55" s="366" t="str">
        <f>IFERROR(BASE_DATOS[[#This Row],[Precio US$]]/BASE_DATOS[[#This Row],[Horas Proy.]],"")</f>
        <v/>
      </c>
      <c r="AN555" s="176" t="str">
        <f>IF(OR(BASE_DATOS[[#This Row],[Km.]]="",BASE_DATOS[[#This Row],[Km. Actual]]=""),"",BASE_DATOS[[#This Row],[Km. Actual]]-BASE_DATOS[[#This Row],[Km.]]+BASE_DATOS[[#This Row],[Kilómetros Acumulados]])</f>
        <v/>
      </c>
      <c r="AO555" s="177" t="str">
        <f>IFERROR(BASE_DATOS[[#This Row],[Precio US$]]/BASE_DATOS[[#This Row],[Kilómetros Rodados]],"")</f>
        <v/>
      </c>
      <c r="AP555" s="176" t="str">
        <f>IFERROR(BASE_DATOS[[#This Row],[Kilómetros Rodados]]/(BASE_DATOS[[#This Row],[NSK Original]]-BASE_DATOS[[#This Row],[NSK]]),"")</f>
        <v/>
      </c>
      <c r="AQ55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55" s="177" t="str">
        <f>IFERROR(BASE_DATOS[[#This Row],[Precio US$]]/BASE_DATOS[[#This Row],[Kilómetros Proy.]],"")</f>
        <v/>
      </c>
      <c r="AS555" s="167" t="s">
        <v>62</v>
      </c>
      <c r="AT555" s="167"/>
      <c r="AU555" s="167"/>
      <c r="AV555" s="167"/>
      <c r="AW555" s="179"/>
      <c r="AX555" s="179"/>
      <c r="AY555" s="179" t="str">
        <f>CONCATENATE(BASE_DATOS[[#This Row],[Código_U]]&amp;BASE_DATOS[[#This Row],[Pos.]]&amp;BASE_DATOS[[#This Row],[Situación Actual]])</f>
        <v>SR-2045Rodando</v>
      </c>
    </row>
    <row r="556" spans="1:51" ht="12" x14ac:dyDescent="0.25">
      <c r="A556" s="223" t="s">
        <v>233</v>
      </c>
      <c r="B556" s="217" t="s">
        <v>230</v>
      </c>
      <c r="C556" s="228" t="s">
        <v>295</v>
      </c>
      <c r="D556" s="229" t="s">
        <v>87</v>
      </c>
      <c r="E556" s="255"/>
      <c r="F556" s="256" t="s">
        <v>97</v>
      </c>
      <c r="G556" s="256" t="s">
        <v>269</v>
      </c>
      <c r="H556" s="257" t="str">
        <f>IF(BASE_DATOS[[#This Row],[N-R]]="N",BASE_DATOS[[#This Row],[Diseño]],"Reencauche")</f>
        <v>AGC28</v>
      </c>
      <c r="I556" s="256" t="s">
        <v>270</v>
      </c>
      <c r="J556" s="243" t="s">
        <v>72</v>
      </c>
      <c r="K556" s="258">
        <v>16.5</v>
      </c>
      <c r="L556" s="256">
        <v>110</v>
      </c>
      <c r="M556" s="259"/>
      <c r="N556" s="260"/>
      <c r="O556" s="277"/>
      <c r="P556" s="278"/>
      <c r="Q556" s="279"/>
      <c r="R556" s="309" t="s">
        <v>103</v>
      </c>
      <c r="S556" s="310">
        <v>45386</v>
      </c>
      <c r="T556" s="313"/>
      <c r="U556" s="279"/>
      <c r="V556" s="227">
        <v>12</v>
      </c>
      <c r="W556" s="281">
        <v>12</v>
      </c>
      <c r="X556" s="282">
        <v>12</v>
      </c>
      <c r="Y556" s="293">
        <f t="shared" si="23"/>
        <v>12</v>
      </c>
      <c r="Z556" s="175" t="s">
        <v>85</v>
      </c>
      <c r="AA556" s="342">
        <f>IFERROR(BASE_DATOS[[#This Row],[NSK Original]]-BASE_DATOS[[#This Row],[NSK]]," ")</f>
        <v>4.5</v>
      </c>
      <c r="AB556" s="343">
        <f>'NSK-TRACTO'!$A$2</f>
        <v>6</v>
      </c>
      <c r="AC556" s="343">
        <f>IF(BASE_DATOS[[#This Row],[NSK]]&gt;=BASE_DATOS[[#This Row],[NSK Reen]],BASE_DATOS[[#This Row],[NSK Reen]],BASE_DATOS[[#This Row],[NSK]])</f>
        <v>6</v>
      </c>
      <c r="AD556" s="344">
        <f>IFERROR(100%-(BASE_DATOS[[#This Row],[NSK Reen]]/BASE_DATOS[[#This Row],[NSK Original]]),"")</f>
        <v>0.63636363636363635</v>
      </c>
      <c r="AE556" s="344">
        <f>IFERROR(100%-BASE_DATOS[[#This Row],[NSK]]/BASE_DATOS[[#This Row],[NSK Original]],"")</f>
        <v>0.27272727272727271</v>
      </c>
      <c r="AF556" s="344">
        <f>IFERROR(BASE_DATOS[[#This Row],[% Max Des.]]-BASE_DATOS[[#This Row],[% Des]],"")</f>
        <v>0.36363636363636365</v>
      </c>
      <c r="AG556" s="287"/>
      <c r="AH556" s="273"/>
      <c r="AI556" s="363" t="str">
        <f>IF(OR(BASE_DATOS[[#This Row],[Hr.]]="",BASE_DATOS[[#This Row],[Hr. Actual]]=""),"",BASE_DATOS[[#This Row],[Hr. Actual]]-BASE_DATOS[[#This Row],[Hr.]]+BASE_DATOS[[#This Row],[Horas Acumuladas]])</f>
        <v/>
      </c>
      <c r="AJ556" s="364" t="str">
        <f>IFERROR(BASE_DATOS[[#This Row],[Precio US$]]/BASE_DATOS[[#This Row],[Horas Rodadas]],"")</f>
        <v/>
      </c>
      <c r="AK556" s="365" t="str">
        <f>IFERROR(BASE_DATOS[[#This Row],[Horas Rodadas]]/(BASE_DATOS[[#This Row],[NSK Original]]-BASE_DATOS[[#This Row],[NSK]]),"")</f>
        <v/>
      </c>
      <c r="AL55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56" s="366" t="str">
        <f>IFERROR(BASE_DATOS[[#This Row],[Precio US$]]/BASE_DATOS[[#This Row],[Horas Proy.]],"")</f>
        <v/>
      </c>
      <c r="AN556" s="176" t="str">
        <f>IF(OR(BASE_DATOS[[#This Row],[Km.]]="",BASE_DATOS[[#This Row],[Km. Actual]]=""),"",BASE_DATOS[[#This Row],[Km. Actual]]-BASE_DATOS[[#This Row],[Km.]]+BASE_DATOS[[#This Row],[Kilómetros Acumulados]])</f>
        <v/>
      </c>
      <c r="AO556" s="177" t="str">
        <f>IFERROR(BASE_DATOS[[#This Row],[Precio US$]]/BASE_DATOS[[#This Row],[Kilómetros Rodados]],"")</f>
        <v/>
      </c>
      <c r="AP556" s="176" t="str">
        <f>IFERROR(BASE_DATOS[[#This Row],[Kilómetros Rodados]]/(BASE_DATOS[[#This Row],[NSK Original]]-BASE_DATOS[[#This Row],[NSK]]),"")</f>
        <v/>
      </c>
      <c r="AQ55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56" s="177" t="str">
        <f>IFERROR(BASE_DATOS[[#This Row],[Precio US$]]/BASE_DATOS[[#This Row],[Kilómetros Proy.]],"")</f>
        <v/>
      </c>
      <c r="AS556" s="167" t="s">
        <v>62</v>
      </c>
      <c r="AT556" s="167"/>
      <c r="AU556" s="167"/>
      <c r="AV556" s="167"/>
      <c r="AW556" s="179"/>
      <c r="AX556" s="179"/>
      <c r="AY556" s="179" t="str">
        <f>CONCATENATE(BASE_DATOS[[#This Row],[Código_U]]&amp;BASE_DATOS[[#This Row],[Pos.]]&amp;BASE_DATOS[[#This Row],[Situación Actual]])</f>
        <v>SR-2046Rodando</v>
      </c>
    </row>
    <row r="557" spans="1:51" ht="12" x14ac:dyDescent="0.25">
      <c r="A557" s="223" t="s">
        <v>233</v>
      </c>
      <c r="B557" s="217" t="s">
        <v>230</v>
      </c>
      <c r="C557" s="228" t="s">
        <v>295</v>
      </c>
      <c r="D557" s="229" t="s">
        <v>384</v>
      </c>
      <c r="E557" s="255"/>
      <c r="F557" s="256" t="s">
        <v>97</v>
      </c>
      <c r="G557" s="256" t="s">
        <v>269</v>
      </c>
      <c r="H557" s="257" t="str">
        <f>IF(BASE_DATOS[[#This Row],[N-R]]="N",BASE_DATOS[[#This Row],[Diseño]],"Reencauche")</f>
        <v>AGC28</v>
      </c>
      <c r="I557" s="256" t="s">
        <v>270</v>
      </c>
      <c r="J557" s="243" t="s">
        <v>72</v>
      </c>
      <c r="K557" s="258">
        <v>16.5</v>
      </c>
      <c r="L557" s="256">
        <v>110</v>
      </c>
      <c r="M557" s="259"/>
      <c r="N557" s="260"/>
      <c r="O557" s="277"/>
      <c r="P557" s="278"/>
      <c r="Q557" s="279"/>
      <c r="R557" s="304" t="s">
        <v>509</v>
      </c>
      <c r="S557" s="310">
        <v>45386</v>
      </c>
      <c r="T557" s="313"/>
      <c r="U557" s="279"/>
      <c r="V557" s="227">
        <v>10</v>
      </c>
      <c r="W557" s="281">
        <v>10</v>
      </c>
      <c r="X557" s="282">
        <v>10</v>
      </c>
      <c r="Y557" s="293">
        <f t="shared" si="23"/>
        <v>10</v>
      </c>
      <c r="Z557" s="175" t="s">
        <v>85</v>
      </c>
      <c r="AA557" s="342">
        <f>IFERROR(BASE_DATOS[[#This Row],[NSK Original]]-BASE_DATOS[[#This Row],[NSK]]," ")</f>
        <v>6.5</v>
      </c>
      <c r="AB557" s="343">
        <f>'NSK-TRACTO'!$A$2</f>
        <v>6</v>
      </c>
      <c r="AC557" s="343">
        <f>IF(BASE_DATOS[[#This Row],[NSK]]&gt;=BASE_DATOS[[#This Row],[NSK Reen]],BASE_DATOS[[#This Row],[NSK Reen]],BASE_DATOS[[#This Row],[NSK]])</f>
        <v>6</v>
      </c>
      <c r="AD557" s="344">
        <f>IFERROR(100%-(BASE_DATOS[[#This Row],[NSK Reen]]/BASE_DATOS[[#This Row],[NSK Original]]),"")</f>
        <v>0.63636363636363635</v>
      </c>
      <c r="AE557" s="344">
        <f>IFERROR(100%-BASE_DATOS[[#This Row],[NSK]]/BASE_DATOS[[#This Row],[NSK Original]],"")</f>
        <v>0.39393939393939392</v>
      </c>
      <c r="AF557" s="344">
        <f>IFERROR(BASE_DATOS[[#This Row],[% Max Des.]]-BASE_DATOS[[#This Row],[% Des]],"")</f>
        <v>0.24242424242424243</v>
      </c>
      <c r="AG557" s="287"/>
      <c r="AH557" s="273"/>
      <c r="AI557" s="363" t="str">
        <f>IF(OR(BASE_DATOS[[#This Row],[Hr.]]="",BASE_DATOS[[#This Row],[Hr. Actual]]=""),"",BASE_DATOS[[#This Row],[Hr. Actual]]-BASE_DATOS[[#This Row],[Hr.]]+BASE_DATOS[[#This Row],[Horas Acumuladas]])</f>
        <v/>
      </c>
      <c r="AJ557" s="364" t="str">
        <f>IFERROR(BASE_DATOS[[#This Row],[Precio US$]]/BASE_DATOS[[#This Row],[Horas Rodadas]],"")</f>
        <v/>
      </c>
      <c r="AK557" s="365" t="str">
        <f>IFERROR(BASE_DATOS[[#This Row],[Horas Rodadas]]/(BASE_DATOS[[#This Row],[NSK Original]]-BASE_DATOS[[#This Row],[NSK]]),"")</f>
        <v/>
      </c>
      <c r="AL55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57" s="366" t="str">
        <f>IFERROR(BASE_DATOS[[#This Row],[Precio US$]]/BASE_DATOS[[#This Row],[Horas Proy.]],"")</f>
        <v/>
      </c>
      <c r="AN557" s="176" t="str">
        <f>IF(OR(BASE_DATOS[[#This Row],[Km.]]="",BASE_DATOS[[#This Row],[Km. Actual]]=""),"",BASE_DATOS[[#This Row],[Km. Actual]]-BASE_DATOS[[#This Row],[Km.]]+BASE_DATOS[[#This Row],[Kilómetros Acumulados]])</f>
        <v/>
      </c>
      <c r="AO557" s="177" t="str">
        <f>IFERROR(BASE_DATOS[[#This Row],[Precio US$]]/BASE_DATOS[[#This Row],[Kilómetros Rodados]],"")</f>
        <v/>
      </c>
      <c r="AP557" s="176" t="str">
        <f>IFERROR(BASE_DATOS[[#This Row],[Kilómetros Rodados]]/(BASE_DATOS[[#This Row],[NSK Original]]-BASE_DATOS[[#This Row],[NSK]]),"")</f>
        <v/>
      </c>
      <c r="AQ55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57" s="177" t="str">
        <f>IFERROR(BASE_DATOS[[#This Row],[Precio US$]]/BASE_DATOS[[#This Row],[Kilómetros Proy.]],"")</f>
        <v/>
      </c>
      <c r="AS557" s="167" t="s">
        <v>62</v>
      </c>
      <c r="AT557" s="167"/>
      <c r="AU557" s="167"/>
      <c r="AV557" s="167"/>
      <c r="AW557" s="179"/>
      <c r="AX557" s="179"/>
      <c r="AY557" s="179" t="str">
        <f>CONCATENATE(BASE_DATOS[[#This Row],[Código_U]]&amp;BASE_DATOS[[#This Row],[Pos.]]&amp;BASE_DATOS[[#This Row],[Situación Actual]])</f>
        <v>SR-204RERodando</v>
      </c>
    </row>
    <row r="558" spans="1:51" ht="12" x14ac:dyDescent="0.25">
      <c r="A558" s="223" t="s">
        <v>233</v>
      </c>
      <c r="B558" s="217" t="s">
        <v>230</v>
      </c>
      <c r="C558" s="228" t="s">
        <v>295</v>
      </c>
      <c r="D558" s="229" t="s">
        <v>108</v>
      </c>
      <c r="E558" s="255"/>
      <c r="F558" s="256" t="s">
        <v>273</v>
      </c>
      <c r="G558" s="256" t="s">
        <v>271</v>
      </c>
      <c r="H558" s="257" t="str">
        <f>IF(BASE_DATOS[[#This Row],[N-R]]="N",BASE_DATOS[[#This Row],[Diseño]],"Reencauche")</f>
        <v>Reencauche</v>
      </c>
      <c r="I558" s="256" t="s">
        <v>282</v>
      </c>
      <c r="J558" s="243" t="s">
        <v>82</v>
      </c>
      <c r="K558" s="258">
        <v>22</v>
      </c>
      <c r="L558" s="256">
        <v>110</v>
      </c>
      <c r="M558" s="259"/>
      <c r="N558" s="260"/>
      <c r="O558" s="277"/>
      <c r="P558" s="278"/>
      <c r="Q558" s="279"/>
      <c r="R558" s="309" t="s">
        <v>108</v>
      </c>
      <c r="S558" s="310">
        <v>45386</v>
      </c>
      <c r="T558" s="313"/>
      <c r="U558" s="279"/>
      <c r="V558" s="227">
        <v>7</v>
      </c>
      <c r="W558" s="281">
        <v>7</v>
      </c>
      <c r="X558" s="282">
        <v>8</v>
      </c>
      <c r="Y558" s="293">
        <f t="shared" si="23"/>
        <v>7</v>
      </c>
      <c r="Z558" s="175" t="s">
        <v>85</v>
      </c>
      <c r="AA558" s="342">
        <f>IFERROR(BASE_DATOS[[#This Row],[NSK Original]]-BASE_DATOS[[#This Row],[NSK]]," ")</f>
        <v>15</v>
      </c>
      <c r="AB558" s="343">
        <f>'NSK-TRACTO'!$A$2</f>
        <v>6</v>
      </c>
      <c r="AC558" s="343">
        <f>IF(BASE_DATOS[[#This Row],[NSK]]&gt;=BASE_DATOS[[#This Row],[NSK Reen]],BASE_DATOS[[#This Row],[NSK Reen]],BASE_DATOS[[#This Row],[NSK]])</f>
        <v>6</v>
      </c>
      <c r="AD558" s="344">
        <f>IFERROR(100%-(BASE_DATOS[[#This Row],[NSK Reen]]/BASE_DATOS[[#This Row],[NSK Original]]),"")</f>
        <v>0.72727272727272729</v>
      </c>
      <c r="AE558" s="344">
        <f>IFERROR(100%-BASE_DATOS[[#This Row],[NSK]]/BASE_DATOS[[#This Row],[NSK Original]],"")</f>
        <v>0.68181818181818188</v>
      </c>
      <c r="AF558" s="344">
        <f>IFERROR(BASE_DATOS[[#This Row],[% Max Des.]]-BASE_DATOS[[#This Row],[% Des]],"")</f>
        <v>4.5454545454545414E-2</v>
      </c>
      <c r="AG558" s="287"/>
      <c r="AH558" s="273"/>
      <c r="AI558" s="363" t="str">
        <f>IF(OR(BASE_DATOS[[#This Row],[Hr.]]="",BASE_DATOS[[#This Row],[Hr. Actual]]=""),"",BASE_DATOS[[#This Row],[Hr. Actual]]-BASE_DATOS[[#This Row],[Hr.]]+BASE_DATOS[[#This Row],[Horas Acumuladas]])</f>
        <v/>
      </c>
      <c r="AJ558" s="364" t="str">
        <f>IFERROR(BASE_DATOS[[#This Row],[Precio US$]]/BASE_DATOS[[#This Row],[Horas Rodadas]],"")</f>
        <v/>
      </c>
      <c r="AK558" s="365" t="str">
        <f>IFERROR(BASE_DATOS[[#This Row],[Horas Rodadas]]/(BASE_DATOS[[#This Row],[NSK Original]]-BASE_DATOS[[#This Row],[NSK]]),"")</f>
        <v/>
      </c>
      <c r="AL55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58" s="366" t="str">
        <f>IFERROR(BASE_DATOS[[#This Row],[Precio US$]]/BASE_DATOS[[#This Row],[Horas Proy.]],"")</f>
        <v/>
      </c>
      <c r="AN558" s="176" t="str">
        <f>IF(OR(BASE_DATOS[[#This Row],[Km.]]="",BASE_DATOS[[#This Row],[Km. Actual]]=""),"",BASE_DATOS[[#This Row],[Km. Actual]]-BASE_DATOS[[#This Row],[Km.]]+BASE_DATOS[[#This Row],[Kilómetros Acumulados]])</f>
        <v/>
      </c>
      <c r="AO558" s="177" t="str">
        <f>IFERROR(BASE_DATOS[[#This Row],[Precio US$]]/BASE_DATOS[[#This Row],[Kilómetros Rodados]],"")</f>
        <v/>
      </c>
      <c r="AP558" s="176" t="str">
        <f>IFERROR(BASE_DATOS[[#This Row],[Kilómetros Rodados]]/(BASE_DATOS[[#This Row],[NSK Original]]-BASE_DATOS[[#This Row],[NSK]]),"")</f>
        <v/>
      </c>
      <c r="AQ55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58" s="177" t="str">
        <f>IFERROR(BASE_DATOS[[#This Row],[Precio US$]]/BASE_DATOS[[#This Row],[Kilómetros Proy.]],"")</f>
        <v/>
      </c>
      <c r="AS558" s="167" t="s">
        <v>62</v>
      </c>
      <c r="AT558" s="167"/>
      <c r="AU558" s="167"/>
      <c r="AV558" s="167"/>
      <c r="AW558" s="179"/>
      <c r="AX558" s="179"/>
      <c r="AY558" s="179" t="str">
        <f>CONCATENATE(BASE_DATOS[[#This Row],[Código_U]]&amp;BASE_DATOS[[#This Row],[Pos.]]&amp;BASE_DATOS[[#This Row],[Situación Actual]])</f>
        <v>SR-204RTRodando</v>
      </c>
    </row>
    <row r="559" spans="1:51" ht="12" x14ac:dyDescent="0.25">
      <c r="A559" s="224" t="s">
        <v>231</v>
      </c>
      <c r="B559" s="213" t="s">
        <v>232</v>
      </c>
      <c r="C559" s="225" t="s">
        <v>296</v>
      </c>
      <c r="D559" s="226" t="s">
        <v>86</v>
      </c>
      <c r="E559" s="249"/>
      <c r="F559" s="250" t="s">
        <v>71</v>
      </c>
      <c r="G559" s="250" t="s">
        <v>271</v>
      </c>
      <c r="H559" s="251" t="str">
        <f>IF(BASE_DATOS[[#This Row],[N-R]]="N",BASE_DATOS[[#This Row],[Diseño]],"Reencauche")</f>
        <v>KMAX S</v>
      </c>
      <c r="I559" s="250" t="s">
        <v>287</v>
      </c>
      <c r="J559" s="235" t="s">
        <v>72</v>
      </c>
      <c r="K559" s="252">
        <v>15.8</v>
      </c>
      <c r="L559" s="233">
        <v>100</v>
      </c>
      <c r="M559" s="253"/>
      <c r="N559" s="254"/>
      <c r="O559" s="274"/>
      <c r="P559" s="275"/>
      <c r="Q559" s="276"/>
      <c r="R559" s="305" t="s">
        <v>98</v>
      </c>
      <c r="S559" s="306">
        <v>45385</v>
      </c>
      <c r="T559" s="314"/>
      <c r="U559" s="276"/>
      <c r="V559" s="224">
        <v>9</v>
      </c>
      <c r="W559" s="325">
        <v>11</v>
      </c>
      <c r="X559" s="326">
        <v>9</v>
      </c>
      <c r="Y559" s="292">
        <f t="shared" si="23"/>
        <v>9</v>
      </c>
      <c r="Z559" s="194" t="s">
        <v>85</v>
      </c>
      <c r="AA559" s="339">
        <f>IFERROR(BASE_DATOS[[#This Row],[NSK Original]]-BASE_DATOS[[#This Row],[NSK]]," ")</f>
        <v>6.8000000000000007</v>
      </c>
      <c r="AB559" s="340">
        <f>'NSK-TRACTO'!$A$2</f>
        <v>6</v>
      </c>
      <c r="AC559" s="340">
        <f>IF(BASE_DATOS[[#This Row],[NSK]]&gt;=BASE_DATOS[[#This Row],[NSK Reen]],BASE_DATOS[[#This Row],[NSK Reen]],BASE_DATOS[[#This Row],[NSK]])</f>
        <v>6</v>
      </c>
      <c r="AD559" s="341">
        <f>IFERROR(100%-(BASE_DATOS[[#This Row],[NSK Reen]]/BASE_DATOS[[#This Row],[NSK Original]]),"")</f>
        <v>0.620253164556962</v>
      </c>
      <c r="AE559" s="341">
        <f>IFERROR(100%-BASE_DATOS[[#This Row],[NSK]]/BASE_DATOS[[#This Row],[NSK Original]],"")</f>
        <v>0.43037974683544311</v>
      </c>
      <c r="AF559" s="341">
        <f>IFERROR(BASE_DATOS[[#This Row],[% Max Des.]]-BASE_DATOS[[#This Row],[% Des]],"")</f>
        <v>0.18987341772151889</v>
      </c>
      <c r="AG559" s="284"/>
      <c r="AH559" s="335"/>
      <c r="AI559" s="359" t="str">
        <f>IF(OR(BASE_DATOS[[#This Row],[Hr.]]="",BASE_DATOS[[#This Row],[Hr. Actual]]=""),"",BASE_DATOS[[#This Row],[Hr. Actual]]-BASE_DATOS[[#This Row],[Hr.]]+BASE_DATOS[[#This Row],[Horas Acumuladas]])</f>
        <v/>
      </c>
      <c r="AJ559" s="360" t="str">
        <f>IFERROR(BASE_DATOS[[#This Row],[Precio US$]]/BASE_DATOS[[#This Row],[Horas Rodadas]],"")</f>
        <v/>
      </c>
      <c r="AK559" s="361" t="str">
        <f>IFERROR(BASE_DATOS[[#This Row],[Horas Rodadas]]/(BASE_DATOS[[#This Row],[NSK Original]]-BASE_DATOS[[#This Row],[NSK]]),"")</f>
        <v/>
      </c>
      <c r="AL559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59" s="362" t="str">
        <f>IFERROR(BASE_DATOS[[#This Row],[Precio US$]]/BASE_DATOS[[#This Row],[Horas Proy.]],"")</f>
        <v/>
      </c>
      <c r="AN559" s="195" t="str">
        <f>IF(OR(BASE_DATOS[[#This Row],[Km.]]="",BASE_DATOS[[#This Row],[Km. Actual]]=""),"",BASE_DATOS[[#This Row],[Km. Actual]]-BASE_DATOS[[#This Row],[Km.]]+BASE_DATOS[[#This Row],[Kilómetros Acumulados]])</f>
        <v/>
      </c>
      <c r="AO559" s="196" t="str">
        <f>IFERROR(BASE_DATOS[[#This Row],[Precio US$]]/BASE_DATOS[[#This Row],[Kilómetros Rodados]],"")</f>
        <v/>
      </c>
      <c r="AP559" s="195" t="str">
        <f>IFERROR(BASE_DATOS[[#This Row],[Kilómetros Rodados]]/(BASE_DATOS[[#This Row],[NSK Original]]-BASE_DATOS[[#This Row],[NSK]]),"")</f>
        <v/>
      </c>
      <c r="AQ559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59" s="196" t="str">
        <f>IFERROR(BASE_DATOS[[#This Row],[Precio US$]]/BASE_DATOS[[#This Row],[Kilómetros Proy.]],"")</f>
        <v/>
      </c>
      <c r="AS559" s="191" t="s">
        <v>62</v>
      </c>
      <c r="AT559" s="191"/>
      <c r="AU559" s="191"/>
      <c r="AV559" s="191"/>
      <c r="AW559" s="198"/>
      <c r="AX559" s="198"/>
      <c r="AY559" s="198" t="str">
        <f>CONCATENATE(BASE_DATOS[[#This Row],[Código_U]]&amp;BASE_DATOS[[#This Row],[Pos.]]&amp;BASE_DATOS[[#This Row],[Situación Actual]])</f>
        <v>TC-2041Rodando</v>
      </c>
    </row>
    <row r="560" spans="1:51" ht="12" x14ac:dyDescent="0.25">
      <c r="A560" s="227" t="s">
        <v>231</v>
      </c>
      <c r="B560" s="217" t="s">
        <v>232</v>
      </c>
      <c r="C560" s="228" t="s">
        <v>296</v>
      </c>
      <c r="D560" s="229" t="s">
        <v>86</v>
      </c>
      <c r="E560" s="255"/>
      <c r="F560" s="256" t="s">
        <v>71</v>
      </c>
      <c r="G560" s="256" t="s">
        <v>271</v>
      </c>
      <c r="H560" s="257" t="str">
        <f>IF(BASE_DATOS[[#This Row],[N-R]]="N",BASE_DATOS[[#This Row],[Diseño]],"Reencauche")</f>
        <v>KMAX S</v>
      </c>
      <c r="I560" s="256" t="s">
        <v>287</v>
      </c>
      <c r="J560" s="243" t="s">
        <v>72</v>
      </c>
      <c r="K560" s="258">
        <v>15.8</v>
      </c>
      <c r="L560" s="241">
        <v>100</v>
      </c>
      <c r="M560" s="259"/>
      <c r="N560" s="260"/>
      <c r="O560" s="277"/>
      <c r="P560" s="278"/>
      <c r="Q560" s="279"/>
      <c r="R560" s="309" t="s">
        <v>99</v>
      </c>
      <c r="S560" s="310">
        <v>45385</v>
      </c>
      <c r="T560" s="313"/>
      <c r="U560" s="279"/>
      <c r="V560" s="227">
        <v>10</v>
      </c>
      <c r="W560" s="281">
        <v>11</v>
      </c>
      <c r="X560" s="282">
        <v>10</v>
      </c>
      <c r="Y560" s="293">
        <f t="shared" si="23"/>
        <v>10</v>
      </c>
      <c r="Z560" s="175" t="s">
        <v>85</v>
      </c>
      <c r="AA560" s="342">
        <f>IFERROR(BASE_DATOS[[#This Row],[NSK Original]]-BASE_DATOS[[#This Row],[NSK]]," ")</f>
        <v>5.8000000000000007</v>
      </c>
      <c r="AB560" s="343">
        <f>'NSK-TRACTO'!$A$2</f>
        <v>6</v>
      </c>
      <c r="AC560" s="343">
        <f>IF(BASE_DATOS[[#This Row],[NSK]]&gt;=BASE_DATOS[[#This Row],[NSK Reen]],BASE_DATOS[[#This Row],[NSK Reen]],BASE_DATOS[[#This Row],[NSK]])</f>
        <v>6</v>
      </c>
      <c r="AD560" s="344">
        <f>IFERROR(100%-(BASE_DATOS[[#This Row],[NSK Reen]]/BASE_DATOS[[#This Row],[NSK Original]]),"")</f>
        <v>0.620253164556962</v>
      </c>
      <c r="AE560" s="344">
        <f>IFERROR(100%-BASE_DATOS[[#This Row],[NSK]]/BASE_DATOS[[#This Row],[NSK Original]],"")</f>
        <v>0.36708860759493678</v>
      </c>
      <c r="AF560" s="344">
        <f>IFERROR(BASE_DATOS[[#This Row],[% Max Des.]]-BASE_DATOS[[#This Row],[% Des]],"")</f>
        <v>0.25316455696202522</v>
      </c>
      <c r="AG560" s="287"/>
      <c r="AH560" s="273"/>
      <c r="AI560" s="363" t="str">
        <f>IF(OR(BASE_DATOS[[#This Row],[Hr.]]="",BASE_DATOS[[#This Row],[Hr. Actual]]=""),"",BASE_DATOS[[#This Row],[Hr. Actual]]-BASE_DATOS[[#This Row],[Hr.]]+BASE_DATOS[[#This Row],[Horas Acumuladas]])</f>
        <v/>
      </c>
      <c r="AJ560" s="364" t="str">
        <f>IFERROR(BASE_DATOS[[#This Row],[Precio US$]]/BASE_DATOS[[#This Row],[Horas Rodadas]],"")</f>
        <v/>
      </c>
      <c r="AK560" s="365" t="str">
        <f>IFERROR(BASE_DATOS[[#This Row],[Horas Rodadas]]/(BASE_DATOS[[#This Row],[NSK Original]]-BASE_DATOS[[#This Row],[NSK]]),"")</f>
        <v/>
      </c>
      <c r="AL56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60" s="366" t="str">
        <f>IFERROR(BASE_DATOS[[#This Row],[Precio US$]]/BASE_DATOS[[#This Row],[Horas Proy.]],"")</f>
        <v/>
      </c>
      <c r="AN560" s="176" t="str">
        <f>IF(OR(BASE_DATOS[[#This Row],[Km.]]="",BASE_DATOS[[#This Row],[Km. Actual]]=""),"",BASE_DATOS[[#This Row],[Km. Actual]]-BASE_DATOS[[#This Row],[Km.]]+BASE_DATOS[[#This Row],[Kilómetros Acumulados]])</f>
        <v/>
      </c>
      <c r="AO560" s="177" t="str">
        <f>IFERROR(BASE_DATOS[[#This Row],[Precio US$]]/BASE_DATOS[[#This Row],[Kilómetros Rodados]],"")</f>
        <v/>
      </c>
      <c r="AP560" s="176" t="str">
        <f>IFERROR(BASE_DATOS[[#This Row],[Kilómetros Rodados]]/(BASE_DATOS[[#This Row],[NSK Original]]-BASE_DATOS[[#This Row],[NSK]]),"")</f>
        <v/>
      </c>
      <c r="AQ56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60" s="177" t="str">
        <f>IFERROR(BASE_DATOS[[#This Row],[Precio US$]]/BASE_DATOS[[#This Row],[Kilómetros Proy.]],"")</f>
        <v/>
      </c>
      <c r="AS560" s="167" t="s">
        <v>62</v>
      </c>
      <c r="AT560" s="167"/>
      <c r="AU560" s="167"/>
      <c r="AV560" s="167"/>
      <c r="AW560" s="179"/>
      <c r="AX560" s="179"/>
      <c r="AY560" s="179" t="str">
        <f>CONCATENATE(BASE_DATOS[[#This Row],[Código_U]]&amp;BASE_DATOS[[#This Row],[Pos.]]&amp;BASE_DATOS[[#This Row],[Situación Actual]])</f>
        <v>TC-2042Rodando</v>
      </c>
    </row>
    <row r="561" spans="1:51" ht="12" x14ac:dyDescent="0.25">
      <c r="A561" s="227" t="s">
        <v>231</v>
      </c>
      <c r="B561" s="217" t="s">
        <v>232</v>
      </c>
      <c r="C561" s="228" t="s">
        <v>296</v>
      </c>
      <c r="D561" s="229" t="s">
        <v>61</v>
      </c>
      <c r="E561" s="255"/>
      <c r="F561" s="256" t="s">
        <v>273</v>
      </c>
      <c r="G561" s="256" t="s">
        <v>271</v>
      </c>
      <c r="H561" s="257" t="str">
        <f>IF(BASE_DATOS[[#This Row],[N-R]]="N",BASE_DATOS[[#This Row],[Diseño]],"Reencauche")</f>
        <v>XMULTI2D</v>
      </c>
      <c r="I561" s="256" t="s">
        <v>299</v>
      </c>
      <c r="J561" s="243" t="s">
        <v>72</v>
      </c>
      <c r="K561" s="258">
        <v>21.4</v>
      </c>
      <c r="L561" s="241">
        <v>110</v>
      </c>
      <c r="M561" s="259"/>
      <c r="N561" s="260"/>
      <c r="O561" s="277"/>
      <c r="P561" s="278"/>
      <c r="Q561" s="279"/>
      <c r="R561" s="309" t="s">
        <v>100</v>
      </c>
      <c r="S561" s="310">
        <v>45385</v>
      </c>
      <c r="T561" s="313"/>
      <c r="U561" s="279"/>
      <c r="V561" s="227">
        <v>19</v>
      </c>
      <c r="W561" s="281"/>
      <c r="X561" s="282">
        <v>19</v>
      </c>
      <c r="Y561" s="293">
        <f t="shared" si="23"/>
        <v>19</v>
      </c>
      <c r="Z561" s="175" t="s">
        <v>85</v>
      </c>
      <c r="AA561" s="342">
        <f>IFERROR(BASE_DATOS[[#This Row],[NSK Original]]-BASE_DATOS[[#This Row],[NSK]]," ")</f>
        <v>2.3999999999999986</v>
      </c>
      <c r="AB561" s="343">
        <f>'NSK-TRACTO'!$A$2</f>
        <v>6</v>
      </c>
      <c r="AC561" s="343">
        <f>IF(BASE_DATOS[[#This Row],[NSK]]&gt;=BASE_DATOS[[#This Row],[NSK Reen]],BASE_DATOS[[#This Row],[NSK Reen]],BASE_DATOS[[#This Row],[NSK]])</f>
        <v>6</v>
      </c>
      <c r="AD561" s="344">
        <f>IFERROR(100%-(BASE_DATOS[[#This Row],[NSK Reen]]/BASE_DATOS[[#This Row],[NSK Original]]),"")</f>
        <v>0.71962616822429903</v>
      </c>
      <c r="AE561" s="344">
        <f>IFERROR(100%-BASE_DATOS[[#This Row],[NSK]]/BASE_DATOS[[#This Row],[NSK Original]],"")</f>
        <v>0.11214953271028028</v>
      </c>
      <c r="AF561" s="344">
        <f>IFERROR(BASE_DATOS[[#This Row],[% Max Des.]]-BASE_DATOS[[#This Row],[% Des]],"")</f>
        <v>0.60747663551401876</v>
      </c>
      <c r="AG561" s="287"/>
      <c r="AH561" s="273"/>
      <c r="AI561" s="363" t="str">
        <f>IF(OR(BASE_DATOS[[#This Row],[Hr.]]="",BASE_DATOS[[#This Row],[Hr. Actual]]=""),"",BASE_DATOS[[#This Row],[Hr. Actual]]-BASE_DATOS[[#This Row],[Hr.]]+BASE_DATOS[[#This Row],[Horas Acumuladas]])</f>
        <v/>
      </c>
      <c r="AJ561" s="364" t="str">
        <f>IFERROR(BASE_DATOS[[#This Row],[Precio US$]]/BASE_DATOS[[#This Row],[Horas Rodadas]],"")</f>
        <v/>
      </c>
      <c r="AK561" s="365" t="str">
        <f>IFERROR(BASE_DATOS[[#This Row],[Horas Rodadas]]/(BASE_DATOS[[#This Row],[NSK Original]]-BASE_DATOS[[#This Row],[NSK]]),"")</f>
        <v/>
      </c>
      <c r="AL56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61" s="366" t="str">
        <f>IFERROR(BASE_DATOS[[#This Row],[Precio US$]]/BASE_DATOS[[#This Row],[Horas Proy.]],"")</f>
        <v/>
      </c>
      <c r="AN561" s="176" t="str">
        <f>IF(OR(BASE_DATOS[[#This Row],[Km.]]="",BASE_DATOS[[#This Row],[Km. Actual]]=""),"",BASE_DATOS[[#This Row],[Km. Actual]]-BASE_DATOS[[#This Row],[Km.]]+BASE_DATOS[[#This Row],[Kilómetros Acumulados]])</f>
        <v/>
      </c>
      <c r="AO561" s="177" t="str">
        <f>IFERROR(BASE_DATOS[[#This Row],[Precio US$]]/BASE_DATOS[[#This Row],[Kilómetros Rodados]],"")</f>
        <v/>
      </c>
      <c r="AP561" s="176" t="str">
        <f>IFERROR(BASE_DATOS[[#This Row],[Kilómetros Rodados]]/(BASE_DATOS[[#This Row],[NSK Original]]-BASE_DATOS[[#This Row],[NSK]]),"")</f>
        <v/>
      </c>
      <c r="AQ56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61" s="177" t="str">
        <f>IFERROR(BASE_DATOS[[#This Row],[Precio US$]]/BASE_DATOS[[#This Row],[Kilómetros Proy.]],"")</f>
        <v/>
      </c>
      <c r="AS561" s="167" t="s">
        <v>62</v>
      </c>
      <c r="AT561" s="167"/>
      <c r="AU561" s="167"/>
      <c r="AV561" s="167"/>
      <c r="AW561" s="179"/>
      <c r="AX561" s="179"/>
      <c r="AY561" s="179" t="str">
        <f>CONCATENATE(BASE_DATOS[[#This Row],[Código_U]]&amp;BASE_DATOS[[#This Row],[Pos.]]&amp;BASE_DATOS[[#This Row],[Situación Actual]])</f>
        <v>TC-2043Rodando</v>
      </c>
    </row>
    <row r="562" spans="1:51" ht="12" x14ac:dyDescent="0.25">
      <c r="A562" s="227" t="s">
        <v>231</v>
      </c>
      <c r="B562" s="217" t="s">
        <v>232</v>
      </c>
      <c r="C562" s="228" t="s">
        <v>296</v>
      </c>
      <c r="D562" s="229" t="s">
        <v>61</v>
      </c>
      <c r="E562" s="255"/>
      <c r="F562" s="256" t="s">
        <v>273</v>
      </c>
      <c r="G562" s="256" t="s">
        <v>271</v>
      </c>
      <c r="H562" s="257" t="str">
        <f>IF(BASE_DATOS[[#This Row],[N-R]]="N",BASE_DATOS[[#This Row],[Diseño]],"Reencauche")</f>
        <v>XMULTI2D</v>
      </c>
      <c r="I562" s="256" t="s">
        <v>299</v>
      </c>
      <c r="J562" s="243" t="s">
        <v>72</v>
      </c>
      <c r="K562" s="258">
        <v>21.4</v>
      </c>
      <c r="L562" s="241">
        <v>110</v>
      </c>
      <c r="M562" s="259"/>
      <c r="N562" s="260"/>
      <c r="O562" s="277"/>
      <c r="P562" s="278"/>
      <c r="Q562" s="279"/>
      <c r="R562" s="309" t="s">
        <v>101</v>
      </c>
      <c r="S562" s="310">
        <v>45385</v>
      </c>
      <c r="T562" s="313"/>
      <c r="U562" s="279"/>
      <c r="V562" s="227">
        <v>19</v>
      </c>
      <c r="W562" s="281"/>
      <c r="X562" s="282">
        <v>19</v>
      </c>
      <c r="Y562" s="293">
        <f t="shared" si="23"/>
        <v>19</v>
      </c>
      <c r="Z562" s="175" t="s">
        <v>85</v>
      </c>
      <c r="AA562" s="342">
        <f>IFERROR(BASE_DATOS[[#This Row],[NSK Original]]-BASE_DATOS[[#This Row],[NSK]]," ")</f>
        <v>2.3999999999999986</v>
      </c>
      <c r="AB562" s="343">
        <f>'NSK-TRACTO'!$A$2</f>
        <v>6</v>
      </c>
      <c r="AC562" s="343">
        <f>IF(BASE_DATOS[[#This Row],[NSK]]&gt;=BASE_DATOS[[#This Row],[NSK Reen]],BASE_DATOS[[#This Row],[NSK Reen]],BASE_DATOS[[#This Row],[NSK]])</f>
        <v>6</v>
      </c>
      <c r="AD562" s="344">
        <f>IFERROR(100%-(BASE_DATOS[[#This Row],[NSK Reen]]/BASE_DATOS[[#This Row],[NSK Original]]),"")</f>
        <v>0.71962616822429903</v>
      </c>
      <c r="AE562" s="344">
        <f>IFERROR(100%-BASE_DATOS[[#This Row],[NSK]]/BASE_DATOS[[#This Row],[NSK Original]],"")</f>
        <v>0.11214953271028028</v>
      </c>
      <c r="AF562" s="344">
        <f>IFERROR(BASE_DATOS[[#This Row],[% Max Des.]]-BASE_DATOS[[#This Row],[% Des]],"")</f>
        <v>0.60747663551401876</v>
      </c>
      <c r="AG562" s="287"/>
      <c r="AH562" s="273"/>
      <c r="AI562" s="363" t="str">
        <f>IF(OR(BASE_DATOS[[#This Row],[Hr.]]="",BASE_DATOS[[#This Row],[Hr. Actual]]=""),"",BASE_DATOS[[#This Row],[Hr. Actual]]-BASE_DATOS[[#This Row],[Hr.]]+BASE_DATOS[[#This Row],[Horas Acumuladas]])</f>
        <v/>
      </c>
      <c r="AJ562" s="364" t="str">
        <f>IFERROR(BASE_DATOS[[#This Row],[Precio US$]]/BASE_DATOS[[#This Row],[Horas Rodadas]],"")</f>
        <v/>
      </c>
      <c r="AK562" s="365" t="str">
        <f>IFERROR(BASE_DATOS[[#This Row],[Horas Rodadas]]/(BASE_DATOS[[#This Row],[NSK Original]]-BASE_DATOS[[#This Row],[NSK]]),"")</f>
        <v/>
      </c>
      <c r="AL56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62" s="366" t="str">
        <f>IFERROR(BASE_DATOS[[#This Row],[Precio US$]]/BASE_DATOS[[#This Row],[Horas Proy.]],"")</f>
        <v/>
      </c>
      <c r="AN562" s="176" t="str">
        <f>IF(OR(BASE_DATOS[[#This Row],[Km.]]="",BASE_DATOS[[#This Row],[Km. Actual]]=""),"",BASE_DATOS[[#This Row],[Km. Actual]]-BASE_DATOS[[#This Row],[Km.]]+BASE_DATOS[[#This Row],[Kilómetros Acumulados]])</f>
        <v/>
      </c>
      <c r="AO562" s="177" t="str">
        <f>IFERROR(BASE_DATOS[[#This Row],[Precio US$]]/BASE_DATOS[[#This Row],[Kilómetros Rodados]],"")</f>
        <v/>
      </c>
      <c r="AP562" s="176" t="str">
        <f>IFERROR(BASE_DATOS[[#This Row],[Kilómetros Rodados]]/(BASE_DATOS[[#This Row],[NSK Original]]-BASE_DATOS[[#This Row],[NSK]]),"")</f>
        <v/>
      </c>
      <c r="AQ56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62" s="177" t="str">
        <f>IFERROR(BASE_DATOS[[#This Row],[Precio US$]]/BASE_DATOS[[#This Row],[Kilómetros Proy.]],"")</f>
        <v/>
      </c>
      <c r="AS562" s="167" t="s">
        <v>62</v>
      </c>
      <c r="AT562" s="167"/>
      <c r="AU562" s="167"/>
      <c r="AV562" s="167"/>
      <c r="AW562" s="179"/>
      <c r="AX562" s="179"/>
      <c r="AY562" s="179" t="str">
        <f>CONCATENATE(BASE_DATOS[[#This Row],[Código_U]]&amp;BASE_DATOS[[#This Row],[Pos.]]&amp;BASE_DATOS[[#This Row],[Situación Actual]])</f>
        <v>TC-2044Rodando</v>
      </c>
    </row>
    <row r="563" spans="1:51" ht="12" x14ac:dyDescent="0.25">
      <c r="A563" s="227" t="s">
        <v>231</v>
      </c>
      <c r="B563" s="217" t="s">
        <v>232</v>
      </c>
      <c r="C563" s="228" t="s">
        <v>296</v>
      </c>
      <c r="D563" s="229" t="s">
        <v>61</v>
      </c>
      <c r="E563" s="255"/>
      <c r="F563" s="256" t="s">
        <v>273</v>
      </c>
      <c r="G563" s="256" t="s">
        <v>271</v>
      </c>
      <c r="H563" s="257" t="str">
        <f>IF(BASE_DATOS[[#This Row],[N-R]]="N",BASE_DATOS[[#This Row],[Diseño]],"Reencauche")</f>
        <v>XMULTI2D</v>
      </c>
      <c r="I563" s="256" t="s">
        <v>299</v>
      </c>
      <c r="J563" s="243" t="s">
        <v>72</v>
      </c>
      <c r="K563" s="258">
        <v>21.4</v>
      </c>
      <c r="L563" s="241">
        <v>110</v>
      </c>
      <c r="M563" s="259"/>
      <c r="N563" s="260"/>
      <c r="O563" s="277"/>
      <c r="P563" s="278"/>
      <c r="Q563" s="279"/>
      <c r="R563" s="309" t="s">
        <v>102</v>
      </c>
      <c r="S563" s="310">
        <v>45385</v>
      </c>
      <c r="T563" s="313"/>
      <c r="U563" s="279"/>
      <c r="V563" s="227">
        <v>19</v>
      </c>
      <c r="W563" s="281"/>
      <c r="X563" s="282">
        <v>19</v>
      </c>
      <c r="Y563" s="293">
        <f t="shared" si="23"/>
        <v>19</v>
      </c>
      <c r="Z563" s="175" t="s">
        <v>85</v>
      </c>
      <c r="AA563" s="342">
        <f>IFERROR(BASE_DATOS[[#This Row],[NSK Original]]-BASE_DATOS[[#This Row],[NSK]]," ")</f>
        <v>2.3999999999999986</v>
      </c>
      <c r="AB563" s="343">
        <f>'NSK-TRACTO'!$A$2</f>
        <v>6</v>
      </c>
      <c r="AC563" s="343">
        <f>IF(BASE_DATOS[[#This Row],[NSK]]&gt;=BASE_DATOS[[#This Row],[NSK Reen]],BASE_DATOS[[#This Row],[NSK Reen]],BASE_DATOS[[#This Row],[NSK]])</f>
        <v>6</v>
      </c>
      <c r="AD563" s="344">
        <f>IFERROR(100%-(BASE_DATOS[[#This Row],[NSK Reen]]/BASE_DATOS[[#This Row],[NSK Original]]),"")</f>
        <v>0.71962616822429903</v>
      </c>
      <c r="AE563" s="344">
        <f>IFERROR(100%-BASE_DATOS[[#This Row],[NSK]]/BASE_DATOS[[#This Row],[NSK Original]],"")</f>
        <v>0.11214953271028028</v>
      </c>
      <c r="AF563" s="344">
        <f>IFERROR(BASE_DATOS[[#This Row],[% Max Des.]]-BASE_DATOS[[#This Row],[% Des]],"")</f>
        <v>0.60747663551401876</v>
      </c>
      <c r="AG563" s="287"/>
      <c r="AH563" s="273"/>
      <c r="AI563" s="363" t="str">
        <f>IF(OR(BASE_DATOS[[#This Row],[Hr.]]="",BASE_DATOS[[#This Row],[Hr. Actual]]=""),"",BASE_DATOS[[#This Row],[Hr. Actual]]-BASE_DATOS[[#This Row],[Hr.]]+BASE_DATOS[[#This Row],[Horas Acumuladas]])</f>
        <v/>
      </c>
      <c r="AJ563" s="364" t="str">
        <f>IFERROR(BASE_DATOS[[#This Row],[Precio US$]]/BASE_DATOS[[#This Row],[Horas Rodadas]],"")</f>
        <v/>
      </c>
      <c r="AK563" s="365" t="str">
        <f>IFERROR(BASE_DATOS[[#This Row],[Horas Rodadas]]/(BASE_DATOS[[#This Row],[NSK Original]]-BASE_DATOS[[#This Row],[NSK]]),"")</f>
        <v/>
      </c>
      <c r="AL56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63" s="366" t="str">
        <f>IFERROR(BASE_DATOS[[#This Row],[Precio US$]]/BASE_DATOS[[#This Row],[Horas Proy.]],"")</f>
        <v/>
      </c>
      <c r="AN563" s="176" t="str">
        <f>IF(OR(BASE_DATOS[[#This Row],[Km.]]="",BASE_DATOS[[#This Row],[Km. Actual]]=""),"",BASE_DATOS[[#This Row],[Km. Actual]]-BASE_DATOS[[#This Row],[Km.]]+BASE_DATOS[[#This Row],[Kilómetros Acumulados]])</f>
        <v/>
      </c>
      <c r="AO563" s="177" t="str">
        <f>IFERROR(BASE_DATOS[[#This Row],[Precio US$]]/BASE_DATOS[[#This Row],[Kilómetros Rodados]],"")</f>
        <v/>
      </c>
      <c r="AP563" s="176" t="str">
        <f>IFERROR(BASE_DATOS[[#This Row],[Kilómetros Rodados]]/(BASE_DATOS[[#This Row],[NSK Original]]-BASE_DATOS[[#This Row],[NSK]]),"")</f>
        <v/>
      </c>
      <c r="AQ56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63" s="177" t="str">
        <f>IFERROR(BASE_DATOS[[#This Row],[Precio US$]]/BASE_DATOS[[#This Row],[Kilómetros Proy.]],"")</f>
        <v/>
      </c>
      <c r="AS563" s="167" t="s">
        <v>62</v>
      </c>
      <c r="AT563" s="167"/>
      <c r="AU563" s="167"/>
      <c r="AV563" s="167"/>
      <c r="AW563" s="179"/>
      <c r="AX563" s="179"/>
      <c r="AY563" s="179" t="str">
        <f>CONCATENATE(BASE_DATOS[[#This Row],[Código_U]]&amp;BASE_DATOS[[#This Row],[Pos.]]&amp;BASE_DATOS[[#This Row],[Situación Actual]])</f>
        <v>TC-2045Rodando</v>
      </c>
    </row>
    <row r="564" spans="1:51" ht="12" x14ac:dyDescent="0.25">
      <c r="A564" s="227" t="s">
        <v>231</v>
      </c>
      <c r="B564" s="217" t="s">
        <v>232</v>
      </c>
      <c r="C564" s="228" t="s">
        <v>296</v>
      </c>
      <c r="D564" s="229" t="s">
        <v>61</v>
      </c>
      <c r="E564" s="255"/>
      <c r="F564" s="256" t="s">
        <v>273</v>
      </c>
      <c r="G564" s="256" t="s">
        <v>271</v>
      </c>
      <c r="H564" s="257" t="str">
        <f>IF(BASE_DATOS[[#This Row],[N-R]]="N",BASE_DATOS[[#This Row],[Diseño]],"Reencauche")</f>
        <v>XMULTI2D</v>
      </c>
      <c r="I564" s="256" t="s">
        <v>299</v>
      </c>
      <c r="J564" s="243" t="s">
        <v>72</v>
      </c>
      <c r="K564" s="258">
        <v>21.4</v>
      </c>
      <c r="L564" s="241">
        <v>110</v>
      </c>
      <c r="M564" s="259"/>
      <c r="N564" s="260"/>
      <c r="O564" s="277"/>
      <c r="P564" s="278"/>
      <c r="Q564" s="279"/>
      <c r="R564" s="309" t="s">
        <v>103</v>
      </c>
      <c r="S564" s="310">
        <v>45385</v>
      </c>
      <c r="T564" s="313"/>
      <c r="U564" s="279"/>
      <c r="V564" s="227">
        <v>19</v>
      </c>
      <c r="W564" s="281"/>
      <c r="X564" s="282">
        <v>19</v>
      </c>
      <c r="Y564" s="293">
        <f t="shared" si="23"/>
        <v>19</v>
      </c>
      <c r="Z564" s="175" t="s">
        <v>85</v>
      </c>
      <c r="AA564" s="342">
        <f>IFERROR(BASE_DATOS[[#This Row],[NSK Original]]-BASE_DATOS[[#This Row],[NSK]]," ")</f>
        <v>2.3999999999999986</v>
      </c>
      <c r="AB564" s="343">
        <f>'NSK-TRACTO'!$A$2</f>
        <v>6</v>
      </c>
      <c r="AC564" s="343">
        <f>IF(BASE_DATOS[[#This Row],[NSK]]&gt;=BASE_DATOS[[#This Row],[NSK Reen]],BASE_DATOS[[#This Row],[NSK Reen]],BASE_DATOS[[#This Row],[NSK]])</f>
        <v>6</v>
      </c>
      <c r="AD564" s="344">
        <f>IFERROR(100%-(BASE_DATOS[[#This Row],[NSK Reen]]/BASE_DATOS[[#This Row],[NSK Original]]),"")</f>
        <v>0.71962616822429903</v>
      </c>
      <c r="AE564" s="344">
        <f>IFERROR(100%-BASE_DATOS[[#This Row],[NSK]]/BASE_DATOS[[#This Row],[NSK Original]],"")</f>
        <v>0.11214953271028028</v>
      </c>
      <c r="AF564" s="344">
        <f>IFERROR(BASE_DATOS[[#This Row],[% Max Des.]]-BASE_DATOS[[#This Row],[% Des]],"")</f>
        <v>0.60747663551401876</v>
      </c>
      <c r="AG564" s="287"/>
      <c r="AH564" s="273"/>
      <c r="AI564" s="363" t="str">
        <f>IF(OR(BASE_DATOS[[#This Row],[Hr.]]="",BASE_DATOS[[#This Row],[Hr. Actual]]=""),"",BASE_DATOS[[#This Row],[Hr. Actual]]-BASE_DATOS[[#This Row],[Hr.]]+BASE_DATOS[[#This Row],[Horas Acumuladas]])</f>
        <v/>
      </c>
      <c r="AJ564" s="364" t="str">
        <f>IFERROR(BASE_DATOS[[#This Row],[Precio US$]]/BASE_DATOS[[#This Row],[Horas Rodadas]],"")</f>
        <v/>
      </c>
      <c r="AK564" s="365" t="str">
        <f>IFERROR(BASE_DATOS[[#This Row],[Horas Rodadas]]/(BASE_DATOS[[#This Row],[NSK Original]]-BASE_DATOS[[#This Row],[NSK]]),"")</f>
        <v/>
      </c>
      <c r="AL56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64" s="366" t="str">
        <f>IFERROR(BASE_DATOS[[#This Row],[Precio US$]]/BASE_DATOS[[#This Row],[Horas Proy.]],"")</f>
        <v/>
      </c>
      <c r="AN564" s="176" t="str">
        <f>IF(OR(BASE_DATOS[[#This Row],[Km.]]="",BASE_DATOS[[#This Row],[Km. Actual]]=""),"",BASE_DATOS[[#This Row],[Km. Actual]]-BASE_DATOS[[#This Row],[Km.]]+BASE_DATOS[[#This Row],[Kilómetros Acumulados]])</f>
        <v/>
      </c>
      <c r="AO564" s="177" t="str">
        <f>IFERROR(BASE_DATOS[[#This Row],[Precio US$]]/BASE_DATOS[[#This Row],[Kilómetros Rodados]],"")</f>
        <v/>
      </c>
      <c r="AP564" s="176" t="str">
        <f>IFERROR(BASE_DATOS[[#This Row],[Kilómetros Rodados]]/(BASE_DATOS[[#This Row],[NSK Original]]-BASE_DATOS[[#This Row],[NSK]]),"")</f>
        <v/>
      </c>
      <c r="AQ56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64" s="177" t="str">
        <f>IFERROR(BASE_DATOS[[#This Row],[Precio US$]]/BASE_DATOS[[#This Row],[Kilómetros Proy.]],"")</f>
        <v/>
      </c>
      <c r="AS564" s="167" t="s">
        <v>62</v>
      </c>
      <c r="AT564" s="167"/>
      <c r="AU564" s="167"/>
      <c r="AV564" s="167"/>
      <c r="AW564" s="179"/>
      <c r="AX564" s="179"/>
      <c r="AY564" s="179" t="str">
        <f>CONCATENATE(BASE_DATOS[[#This Row],[Código_U]]&amp;BASE_DATOS[[#This Row],[Pos.]]&amp;BASE_DATOS[[#This Row],[Situación Actual]])</f>
        <v>TC-2046Rodando</v>
      </c>
    </row>
    <row r="565" spans="1:51" ht="12" x14ac:dyDescent="0.25">
      <c r="A565" s="227" t="s">
        <v>231</v>
      </c>
      <c r="B565" s="217" t="s">
        <v>232</v>
      </c>
      <c r="C565" s="228" t="s">
        <v>296</v>
      </c>
      <c r="D565" s="229" t="s">
        <v>61</v>
      </c>
      <c r="E565" s="255" t="s">
        <v>343</v>
      </c>
      <c r="F565" s="256" t="s">
        <v>71</v>
      </c>
      <c r="G565" s="256" t="s">
        <v>271</v>
      </c>
      <c r="H565" s="257" t="str">
        <f>IF(BASE_DATOS[[#This Row],[N-R]]="N",BASE_DATOS[[#This Row],[Diseño]],"Reencauche")</f>
        <v>KMAXD</v>
      </c>
      <c r="I565" s="256" t="s">
        <v>294</v>
      </c>
      <c r="J565" s="243" t="s">
        <v>72</v>
      </c>
      <c r="K565" s="258">
        <v>22.2</v>
      </c>
      <c r="L565" s="241">
        <v>110</v>
      </c>
      <c r="M565" s="259"/>
      <c r="N565" s="260"/>
      <c r="O565" s="277"/>
      <c r="P565" s="278"/>
      <c r="Q565" s="279"/>
      <c r="R565" s="309" t="s">
        <v>104</v>
      </c>
      <c r="S565" s="310">
        <v>45385</v>
      </c>
      <c r="T565" s="313"/>
      <c r="U565" s="279"/>
      <c r="V565" s="227">
        <v>18</v>
      </c>
      <c r="W565" s="281"/>
      <c r="X565" s="282">
        <v>18</v>
      </c>
      <c r="Y565" s="293">
        <f t="shared" si="23"/>
        <v>18</v>
      </c>
      <c r="Z565" s="175" t="s">
        <v>85</v>
      </c>
      <c r="AA565" s="342">
        <f>IFERROR(BASE_DATOS[[#This Row],[NSK Original]]-BASE_DATOS[[#This Row],[NSK]]," ")</f>
        <v>4.1999999999999993</v>
      </c>
      <c r="AB565" s="343">
        <f>'NSK-TRACTO'!$A$2</f>
        <v>6</v>
      </c>
      <c r="AC565" s="343">
        <f>IF(BASE_DATOS[[#This Row],[NSK]]&gt;=BASE_DATOS[[#This Row],[NSK Reen]],BASE_DATOS[[#This Row],[NSK Reen]],BASE_DATOS[[#This Row],[NSK]])</f>
        <v>6</v>
      </c>
      <c r="AD565" s="344">
        <f>IFERROR(100%-(BASE_DATOS[[#This Row],[NSK Reen]]/BASE_DATOS[[#This Row],[NSK Original]]),"")</f>
        <v>0.72972972972972971</v>
      </c>
      <c r="AE565" s="344">
        <f>IFERROR(100%-BASE_DATOS[[#This Row],[NSK]]/BASE_DATOS[[#This Row],[NSK Original]],"")</f>
        <v>0.18918918918918914</v>
      </c>
      <c r="AF565" s="344">
        <f>IFERROR(BASE_DATOS[[#This Row],[% Max Des.]]-BASE_DATOS[[#This Row],[% Des]],"")</f>
        <v>0.54054054054054057</v>
      </c>
      <c r="AG565" s="287"/>
      <c r="AH565" s="273"/>
      <c r="AI565" s="363" t="str">
        <f>IF(OR(BASE_DATOS[[#This Row],[Hr.]]="",BASE_DATOS[[#This Row],[Hr. Actual]]=""),"",BASE_DATOS[[#This Row],[Hr. Actual]]-BASE_DATOS[[#This Row],[Hr.]]+BASE_DATOS[[#This Row],[Horas Acumuladas]])</f>
        <v/>
      </c>
      <c r="AJ565" s="364" t="str">
        <f>IFERROR(BASE_DATOS[[#This Row],[Precio US$]]/BASE_DATOS[[#This Row],[Horas Rodadas]],"")</f>
        <v/>
      </c>
      <c r="AK565" s="365" t="str">
        <f>IFERROR(BASE_DATOS[[#This Row],[Horas Rodadas]]/(BASE_DATOS[[#This Row],[NSK Original]]-BASE_DATOS[[#This Row],[NSK]]),"")</f>
        <v/>
      </c>
      <c r="AL56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65" s="366" t="str">
        <f>IFERROR(BASE_DATOS[[#This Row],[Precio US$]]/BASE_DATOS[[#This Row],[Horas Proy.]],"")</f>
        <v/>
      </c>
      <c r="AN565" s="176" t="str">
        <f>IF(OR(BASE_DATOS[[#This Row],[Km.]]="",BASE_DATOS[[#This Row],[Km. Actual]]=""),"",BASE_DATOS[[#This Row],[Km. Actual]]-BASE_DATOS[[#This Row],[Km.]]+BASE_DATOS[[#This Row],[Kilómetros Acumulados]])</f>
        <v/>
      </c>
      <c r="AO565" s="177" t="str">
        <f>IFERROR(BASE_DATOS[[#This Row],[Precio US$]]/BASE_DATOS[[#This Row],[Kilómetros Rodados]],"")</f>
        <v/>
      </c>
      <c r="AP565" s="176" t="str">
        <f>IFERROR(BASE_DATOS[[#This Row],[Kilómetros Rodados]]/(BASE_DATOS[[#This Row],[NSK Original]]-BASE_DATOS[[#This Row],[NSK]]),"")</f>
        <v/>
      </c>
      <c r="AQ56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65" s="177" t="str">
        <f>IFERROR(BASE_DATOS[[#This Row],[Precio US$]]/BASE_DATOS[[#This Row],[Kilómetros Proy.]],"")</f>
        <v/>
      </c>
      <c r="AS565" s="167" t="s">
        <v>62</v>
      </c>
      <c r="AT565" s="167"/>
      <c r="AU565" s="167"/>
      <c r="AV565" s="167"/>
      <c r="AW565" s="179"/>
      <c r="AX565" s="179"/>
      <c r="AY565" s="179" t="str">
        <f>CONCATENATE(BASE_DATOS[[#This Row],[Código_U]]&amp;BASE_DATOS[[#This Row],[Pos.]]&amp;BASE_DATOS[[#This Row],[Situación Actual]])</f>
        <v>TC-2047Rodando</v>
      </c>
    </row>
    <row r="566" spans="1:51" ht="12" x14ac:dyDescent="0.25">
      <c r="A566" s="227" t="s">
        <v>231</v>
      </c>
      <c r="B566" s="217" t="s">
        <v>232</v>
      </c>
      <c r="C566" s="228" t="s">
        <v>296</v>
      </c>
      <c r="D566" s="229" t="s">
        <v>61</v>
      </c>
      <c r="E566" s="255" t="s">
        <v>344</v>
      </c>
      <c r="F566" s="256" t="s">
        <v>71</v>
      </c>
      <c r="G566" s="256" t="s">
        <v>271</v>
      </c>
      <c r="H566" s="257" t="str">
        <f>IF(BASE_DATOS[[#This Row],[N-R]]="N",BASE_DATOS[[#This Row],[Diseño]],"Reencauche")</f>
        <v>KMAXD</v>
      </c>
      <c r="I566" s="256" t="s">
        <v>294</v>
      </c>
      <c r="J566" s="243" t="s">
        <v>72</v>
      </c>
      <c r="K566" s="258">
        <v>22.2</v>
      </c>
      <c r="L566" s="241">
        <v>110</v>
      </c>
      <c r="M566" s="259"/>
      <c r="N566" s="260"/>
      <c r="O566" s="277"/>
      <c r="P566" s="278"/>
      <c r="Q566" s="279"/>
      <c r="R566" s="309" t="s">
        <v>105</v>
      </c>
      <c r="S566" s="310">
        <v>45385</v>
      </c>
      <c r="T566" s="313"/>
      <c r="U566" s="279"/>
      <c r="V566" s="227">
        <v>18</v>
      </c>
      <c r="W566" s="281"/>
      <c r="X566" s="282">
        <v>18</v>
      </c>
      <c r="Y566" s="293">
        <f t="shared" si="23"/>
        <v>18</v>
      </c>
      <c r="Z566" s="175" t="s">
        <v>85</v>
      </c>
      <c r="AA566" s="342">
        <f>IFERROR(BASE_DATOS[[#This Row],[NSK Original]]-BASE_DATOS[[#This Row],[NSK]]," ")</f>
        <v>4.1999999999999993</v>
      </c>
      <c r="AB566" s="343">
        <f>'NSK-TRACTO'!$A$2</f>
        <v>6</v>
      </c>
      <c r="AC566" s="343">
        <f>IF(BASE_DATOS[[#This Row],[NSK]]&gt;=BASE_DATOS[[#This Row],[NSK Reen]],BASE_DATOS[[#This Row],[NSK Reen]],BASE_DATOS[[#This Row],[NSK]])</f>
        <v>6</v>
      </c>
      <c r="AD566" s="344">
        <f>IFERROR(100%-(BASE_DATOS[[#This Row],[NSK Reen]]/BASE_DATOS[[#This Row],[NSK Original]]),"")</f>
        <v>0.72972972972972971</v>
      </c>
      <c r="AE566" s="344">
        <f>IFERROR(100%-BASE_DATOS[[#This Row],[NSK]]/BASE_DATOS[[#This Row],[NSK Original]],"")</f>
        <v>0.18918918918918914</v>
      </c>
      <c r="AF566" s="344">
        <f>IFERROR(BASE_DATOS[[#This Row],[% Max Des.]]-BASE_DATOS[[#This Row],[% Des]],"")</f>
        <v>0.54054054054054057</v>
      </c>
      <c r="AG566" s="287"/>
      <c r="AH566" s="273"/>
      <c r="AI566" s="363" t="str">
        <f>IF(OR(BASE_DATOS[[#This Row],[Hr.]]="",BASE_DATOS[[#This Row],[Hr. Actual]]=""),"",BASE_DATOS[[#This Row],[Hr. Actual]]-BASE_DATOS[[#This Row],[Hr.]]+BASE_DATOS[[#This Row],[Horas Acumuladas]])</f>
        <v/>
      </c>
      <c r="AJ566" s="364" t="str">
        <f>IFERROR(BASE_DATOS[[#This Row],[Precio US$]]/BASE_DATOS[[#This Row],[Horas Rodadas]],"")</f>
        <v/>
      </c>
      <c r="AK566" s="365" t="str">
        <f>IFERROR(BASE_DATOS[[#This Row],[Horas Rodadas]]/(BASE_DATOS[[#This Row],[NSK Original]]-BASE_DATOS[[#This Row],[NSK]]),"")</f>
        <v/>
      </c>
      <c r="AL56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66" s="366" t="str">
        <f>IFERROR(BASE_DATOS[[#This Row],[Precio US$]]/BASE_DATOS[[#This Row],[Horas Proy.]],"")</f>
        <v/>
      </c>
      <c r="AN566" s="176" t="str">
        <f>IF(OR(BASE_DATOS[[#This Row],[Km.]]="",BASE_DATOS[[#This Row],[Km. Actual]]=""),"",BASE_DATOS[[#This Row],[Km. Actual]]-BASE_DATOS[[#This Row],[Km.]]+BASE_DATOS[[#This Row],[Kilómetros Acumulados]])</f>
        <v/>
      </c>
      <c r="AO566" s="177" t="str">
        <f>IFERROR(BASE_DATOS[[#This Row],[Precio US$]]/BASE_DATOS[[#This Row],[Kilómetros Rodados]],"")</f>
        <v/>
      </c>
      <c r="AP566" s="176" t="str">
        <f>IFERROR(BASE_DATOS[[#This Row],[Kilómetros Rodados]]/(BASE_DATOS[[#This Row],[NSK Original]]-BASE_DATOS[[#This Row],[NSK]]),"")</f>
        <v/>
      </c>
      <c r="AQ56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66" s="177" t="str">
        <f>IFERROR(BASE_DATOS[[#This Row],[Precio US$]]/BASE_DATOS[[#This Row],[Kilómetros Proy.]],"")</f>
        <v/>
      </c>
      <c r="AS566" s="167" t="s">
        <v>62</v>
      </c>
      <c r="AT566" s="167"/>
      <c r="AU566" s="167"/>
      <c r="AV566" s="167"/>
      <c r="AW566" s="179"/>
      <c r="AX566" s="179"/>
      <c r="AY566" s="179" t="str">
        <f>CONCATENATE(BASE_DATOS[[#This Row],[Código_U]]&amp;BASE_DATOS[[#This Row],[Pos.]]&amp;BASE_DATOS[[#This Row],[Situación Actual]])</f>
        <v>TC-2048Rodando</v>
      </c>
    </row>
    <row r="567" spans="1:51" ht="12" x14ac:dyDescent="0.25">
      <c r="A567" s="227" t="s">
        <v>231</v>
      </c>
      <c r="B567" s="217" t="s">
        <v>232</v>
      </c>
      <c r="C567" s="228" t="s">
        <v>296</v>
      </c>
      <c r="D567" s="229" t="s">
        <v>61</v>
      </c>
      <c r="E567" s="255" t="s">
        <v>345</v>
      </c>
      <c r="F567" s="256" t="s">
        <v>71</v>
      </c>
      <c r="G567" s="256" t="s">
        <v>271</v>
      </c>
      <c r="H567" s="257" t="str">
        <f>IF(BASE_DATOS[[#This Row],[N-R]]="N",BASE_DATOS[[#This Row],[Diseño]],"Reencauche")</f>
        <v>KMAXD</v>
      </c>
      <c r="I567" s="256" t="s">
        <v>294</v>
      </c>
      <c r="J567" s="243" t="s">
        <v>72</v>
      </c>
      <c r="K567" s="258">
        <v>22.2</v>
      </c>
      <c r="L567" s="241">
        <v>110</v>
      </c>
      <c r="M567" s="259"/>
      <c r="N567" s="260"/>
      <c r="O567" s="277"/>
      <c r="P567" s="278"/>
      <c r="Q567" s="279"/>
      <c r="R567" s="309" t="s">
        <v>106</v>
      </c>
      <c r="S567" s="310">
        <v>45385</v>
      </c>
      <c r="T567" s="313"/>
      <c r="U567" s="279"/>
      <c r="V567" s="227">
        <v>18</v>
      </c>
      <c r="W567" s="281"/>
      <c r="X567" s="282">
        <v>18</v>
      </c>
      <c r="Y567" s="293">
        <f t="shared" si="23"/>
        <v>18</v>
      </c>
      <c r="Z567" s="175" t="s">
        <v>85</v>
      </c>
      <c r="AA567" s="342">
        <f>IFERROR(BASE_DATOS[[#This Row],[NSK Original]]-BASE_DATOS[[#This Row],[NSK]]," ")</f>
        <v>4.1999999999999993</v>
      </c>
      <c r="AB567" s="343">
        <f>'NSK-TRACTO'!$A$2</f>
        <v>6</v>
      </c>
      <c r="AC567" s="343">
        <f>IF(BASE_DATOS[[#This Row],[NSK]]&gt;=BASE_DATOS[[#This Row],[NSK Reen]],BASE_DATOS[[#This Row],[NSK Reen]],BASE_DATOS[[#This Row],[NSK]])</f>
        <v>6</v>
      </c>
      <c r="AD567" s="344">
        <f>IFERROR(100%-(BASE_DATOS[[#This Row],[NSK Reen]]/BASE_DATOS[[#This Row],[NSK Original]]),"")</f>
        <v>0.72972972972972971</v>
      </c>
      <c r="AE567" s="344">
        <f>IFERROR(100%-BASE_DATOS[[#This Row],[NSK]]/BASE_DATOS[[#This Row],[NSK Original]],"")</f>
        <v>0.18918918918918914</v>
      </c>
      <c r="AF567" s="344">
        <f>IFERROR(BASE_DATOS[[#This Row],[% Max Des.]]-BASE_DATOS[[#This Row],[% Des]],"")</f>
        <v>0.54054054054054057</v>
      </c>
      <c r="AG567" s="287"/>
      <c r="AH567" s="273"/>
      <c r="AI567" s="363" t="str">
        <f>IF(OR(BASE_DATOS[[#This Row],[Hr.]]="",BASE_DATOS[[#This Row],[Hr. Actual]]=""),"",BASE_DATOS[[#This Row],[Hr. Actual]]-BASE_DATOS[[#This Row],[Hr.]]+BASE_DATOS[[#This Row],[Horas Acumuladas]])</f>
        <v/>
      </c>
      <c r="AJ567" s="364" t="str">
        <f>IFERROR(BASE_DATOS[[#This Row],[Precio US$]]/BASE_DATOS[[#This Row],[Horas Rodadas]],"")</f>
        <v/>
      </c>
      <c r="AK567" s="365" t="str">
        <f>IFERROR(BASE_DATOS[[#This Row],[Horas Rodadas]]/(BASE_DATOS[[#This Row],[NSK Original]]-BASE_DATOS[[#This Row],[NSK]]),"")</f>
        <v/>
      </c>
      <c r="AL56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67" s="366" t="str">
        <f>IFERROR(BASE_DATOS[[#This Row],[Precio US$]]/BASE_DATOS[[#This Row],[Horas Proy.]],"")</f>
        <v/>
      </c>
      <c r="AN567" s="176" t="str">
        <f>IF(OR(BASE_DATOS[[#This Row],[Km.]]="",BASE_DATOS[[#This Row],[Km. Actual]]=""),"",BASE_DATOS[[#This Row],[Km. Actual]]-BASE_DATOS[[#This Row],[Km.]]+BASE_DATOS[[#This Row],[Kilómetros Acumulados]])</f>
        <v/>
      </c>
      <c r="AO567" s="177" t="str">
        <f>IFERROR(BASE_DATOS[[#This Row],[Precio US$]]/BASE_DATOS[[#This Row],[Kilómetros Rodados]],"")</f>
        <v/>
      </c>
      <c r="AP567" s="176" t="str">
        <f>IFERROR(BASE_DATOS[[#This Row],[Kilómetros Rodados]]/(BASE_DATOS[[#This Row],[NSK Original]]-BASE_DATOS[[#This Row],[NSK]]),"")</f>
        <v/>
      </c>
      <c r="AQ56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67" s="177" t="str">
        <f>IFERROR(BASE_DATOS[[#This Row],[Precio US$]]/BASE_DATOS[[#This Row],[Kilómetros Proy.]],"")</f>
        <v/>
      </c>
      <c r="AS567" s="167" t="s">
        <v>62</v>
      </c>
      <c r="AT567" s="167"/>
      <c r="AU567" s="167"/>
      <c r="AV567" s="167"/>
      <c r="AW567" s="179"/>
      <c r="AX567" s="179"/>
      <c r="AY567" s="179" t="str">
        <f>CONCATENATE(BASE_DATOS[[#This Row],[Código_U]]&amp;BASE_DATOS[[#This Row],[Pos.]]&amp;BASE_DATOS[[#This Row],[Situación Actual]])</f>
        <v>TC-2049Rodando</v>
      </c>
    </row>
    <row r="568" spans="1:51" ht="12" x14ac:dyDescent="0.25">
      <c r="A568" s="227" t="s">
        <v>231</v>
      </c>
      <c r="B568" s="217" t="s">
        <v>232</v>
      </c>
      <c r="C568" s="228" t="s">
        <v>296</v>
      </c>
      <c r="D568" s="229" t="s">
        <v>61</v>
      </c>
      <c r="E568" s="255" t="s">
        <v>346</v>
      </c>
      <c r="F568" s="256" t="s">
        <v>71</v>
      </c>
      <c r="G568" s="256" t="s">
        <v>271</v>
      </c>
      <c r="H568" s="257" t="str">
        <f>IF(BASE_DATOS[[#This Row],[N-R]]="N",BASE_DATOS[[#This Row],[Diseño]],"Reencauche")</f>
        <v>KMAXD</v>
      </c>
      <c r="I568" s="256" t="s">
        <v>294</v>
      </c>
      <c r="J568" s="243" t="s">
        <v>72</v>
      </c>
      <c r="K568" s="258">
        <v>22.2</v>
      </c>
      <c r="L568" s="241">
        <v>110</v>
      </c>
      <c r="M568" s="259"/>
      <c r="N568" s="260"/>
      <c r="O568" s="277"/>
      <c r="P568" s="278"/>
      <c r="Q568" s="279"/>
      <c r="R568" s="309" t="s">
        <v>107</v>
      </c>
      <c r="S568" s="310">
        <v>45385</v>
      </c>
      <c r="T568" s="313"/>
      <c r="U568" s="279"/>
      <c r="V568" s="227">
        <v>18</v>
      </c>
      <c r="W568" s="281"/>
      <c r="X568" s="282">
        <v>18</v>
      </c>
      <c r="Y568" s="293">
        <f t="shared" si="23"/>
        <v>18</v>
      </c>
      <c r="Z568" s="175" t="s">
        <v>85</v>
      </c>
      <c r="AA568" s="342">
        <f>IFERROR(BASE_DATOS[[#This Row],[NSK Original]]-BASE_DATOS[[#This Row],[NSK]]," ")</f>
        <v>4.1999999999999993</v>
      </c>
      <c r="AB568" s="343">
        <f>'NSK-TRACTO'!$A$2</f>
        <v>6</v>
      </c>
      <c r="AC568" s="343">
        <f>IF(BASE_DATOS[[#This Row],[NSK]]&gt;=BASE_DATOS[[#This Row],[NSK Reen]],BASE_DATOS[[#This Row],[NSK Reen]],BASE_DATOS[[#This Row],[NSK]])</f>
        <v>6</v>
      </c>
      <c r="AD568" s="344">
        <f>IFERROR(100%-(BASE_DATOS[[#This Row],[NSK Reen]]/BASE_DATOS[[#This Row],[NSK Original]]),"")</f>
        <v>0.72972972972972971</v>
      </c>
      <c r="AE568" s="344">
        <f>IFERROR(100%-BASE_DATOS[[#This Row],[NSK]]/BASE_DATOS[[#This Row],[NSK Original]],"")</f>
        <v>0.18918918918918914</v>
      </c>
      <c r="AF568" s="344">
        <f>IFERROR(BASE_DATOS[[#This Row],[% Max Des.]]-BASE_DATOS[[#This Row],[% Des]],"")</f>
        <v>0.54054054054054057</v>
      </c>
      <c r="AG568" s="287"/>
      <c r="AH568" s="273"/>
      <c r="AI568" s="363" t="str">
        <f>IF(OR(BASE_DATOS[[#This Row],[Hr.]]="",BASE_DATOS[[#This Row],[Hr. Actual]]=""),"",BASE_DATOS[[#This Row],[Hr. Actual]]-BASE_DATOS[[#This Row],[Hr.]]+BASE_DATOS[[#This Row],[Horas Acumuladas]])</f>
        <v/>
      </c>
      <c r="AJ568" s="364" t="str">
        <f>IFERROR(BASE_DATOS[[#This Row],[Precio US$]]/BASE_DATOS[[#This Row],[Horas Rodadas]],"")</f>
        <v/>
      </c>
      <c r="AK568" s="365" t="str">
        <f>IFERROR(BASE_DATOS[[#This Row],[Horas Rodadas]]/(BASE_DATOS[[#This Row],[NSK Original]]-BASE_DATOS[[#This Row],[NSK]]),"")</f>
        <v/>
      </c>
      <c r="AL56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68" s="366" t="str">
        <f>IFERROR(BASE_DATOS[[#This Row],[Precio US$]]/BASE_DATOS[[#This Row],[Horas Proy.]],"")</f>
        <v/>
      </c>
      <c r="AN568" s="176" t="str">
        <f>IF(OR(BASE_DATOS[[#This Row],[Km.]]="",BASE_DATOS[[#This Row],[Km. Actual]]=""),"",BASE_DATOS[[#This Row],[Km. Actual]]-BASE_DATOS[[#This Row],[Km.]]+BASE_DATOS[[#This Row],[Kilómetros Acumulados]])</f>
        <v/>
      </c>
      <c r="AO568" s="177" t="str">
        <f>IFERROR(BASE_DATOS[[#This Row],[Precio US$]]/BASE_DATOS[[#This Row],[Kilómetros Rodados]],"")</f>
        <v/>
      </c>
      <c r="AP568" s="176" t="str">
        <f>IFERROR(BASE_DATOS[[#This Row],[Kilómetros Rodados]]/(BASE_DATOS[[#This Row],[NSK Original]]-BASE_DATOS[[#This Row],[NSK]]),"")</f>
        <v/>
      </c>
      <c r="AQ56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68" s="177" t="str">
        <f>IFERROR(BASE_DATOS[[#This Row],[Precio US$]]/BASE_DATOS[[#This Row],[Kilómetros Proy.]],"")</f>
        <v/>
      </c>
      <c r="AS568" s="167" t="s">
        <v>62</v>
      </c>
      <c r="AT568" s="167"/>
      <c r="AU568" s="167"/>
      <c r="AV568" s="167"/>
      <c r="AW568" s="179"/>
      <c r="AX568" s="179"/>
      <c r="AY568" s="179" t="str">
        <f>CONCATENATE(BASE_DATOS[[#This Row],[Código_U]]&amp;BASE_DATOS[[#This Row],[Pos.]]&amp;BASE_DATOS[[#This Row],[Situación Actual]])</f>
        <v>TC-20410Rodando</v>
      </c>
    </row>
    <row r="569" spans="1:51" ht="12" x14ac:dyDescent="0.25">
      <c r="A569" s="224" t="s">
        <v>234</v>
      </c>
      <c r="B569" s="213" t="s">
        <v>235</v>
      </c>
      <c r="C569" s="225" t="s">
        <v>296</v>
      </c>
      <c r="D569" s="226" t="s">
        <v>86</v>
      </c>
      <c r="E569" s="232" t="s">
        <v>398</v>
      </c>
      <c r="F569" s="250" t="s">
        <v>71</v>
      </c>
      <c r="G569" s="250" t="s">
        <v>271</v>
      </c>
      <c r="H569" s="251" t="str">
        <f>IF(BASE_DATOS[[#This Row],[N-R]]="N",BASE_DATOS[[#This Row],[Diseño]],"Reencauche")</f>
        <v>KMAX S</v>
      </c>
      <c r="I569" s="250" t="s">
        <v>287</v>
      </c>
      <c r="J569" s="235" t="s">
        <v>72</v>
      </c>
      <c r="K569" s="252">
        <v>15.8</v>
      </c>
      <c r="L569" s="233">
        <v>100</v>
      </c>
      <c r="M569" s="253"/>
      <c r="N569" s="254"/>
      <c r="O569" s="274"/>
      <c r="P569" s="275"/>
      <c r="Q569" s="276"/>
      <c r="R569" s="305" t="s">
        <v>98</v>
      </c>
      <c r="S569" s="306">
        <v>45384</v>
      </c>
      <c r="T569" s="314"/>
      <c r="U569" s="276"/>
      <c r="V569" s="224">
        <v>13</v>
      </c>
      <c r="W569" s="325">
        <v>14</v>
      </c>
      <c r="X569" s="326">
        <v>14</v>
      </c>
      <c r="Y569" s="292">
        <f t="shared" si="23"/>
        <v>13</v>
      </c>
      <c r="Z569" s="185" t="s">
        <v>73</v>
      </c>
      <c r="AA569" s="339">
        <f>IFERROR(BASE_DATOS[[#This Row],[NSK Original]]-BASE_DATOS[[#This Row],[NSK]]," ")</f>
        <v>2.8000000000000007</v>
      </c>
      <c r="AB569" s="340">
        <f>'NSK-TRACTO'!$A$2</f>
        <v>6</v>
      </c>
      <c r="AC569" s="340">
        <f>IF(BASE_DATOS[[#This Row],[NSK]]&gt;=BASE_DATOS[[#This Row],[NSK Reen]],BASE_DATOS[[#This Row],[NSK Reen]],BASE_DATOS[[#This Row],[NSK]])</f>
        <v>6</v>
      </c>
      <c r="AD569" s="341">
        <f>IFERROR(100%-(BASE_DATOS[[#This Row],[NSK Reen]]/BASE_DATOS[[#This Row],[NSK Original]]),"")</f>
        <v>0.620253164556962</v>
      </c>
      <c r="AE569" s="341">
        <f>IFERROR(100%-BASE_DATOS[[#This Row],[NSK]]/BASE_DATOS[[#This Row],[NSK Original]],"")</f>
        <v>0.17721518987341778</v>
      </c>
      <c r="AF569" s="341">
        <f>IFERROR(BASE_DATOS[[#This Row],[% Max Des.]]-BASE_DATOS[[#This Row],[% Des]],"")</f>
        <v>0.44303797468354422</v>
      </c>
      <c r="AG569" s="284"/>
      <c r="AH569" s="335"/>
      <c r="AI569" s="359" t="str">
        <f>IF(OR(BASE_DATOS[[#This Row],[Hr.]]="",BASE_DATOS[[#This Row],[Hr. Actual]]=""),"",BASE_DATOS[[#This Row],[Hr. Actual]]-BASE_DATOS[[#This Row],[Hr.]]+BASE_DATOS[[#This Row],[Horas Acumuladas]])</f>
        <v/>
      </c>
      <c r="AJ569" s="360" t="str">
        <f>IFERROR(BASE_DATOS[[#This Row],[Precio US$]]/BASE_DATOS[[#This Row],[Horas Rodadas]],"")</f>
        <v/>
      </c>
      <c r="AK569" s="361" t="str">
        <f>IFERROR(BASE_DATOS[[#This Row],[Horas Rodadas]]/(BASE_DATOS[[#This Row],[NSK Original]]-BASE_DATOS[[#This Row],[NSK]]),"")</f>
        <v/>
      </c>
      <c r="AL569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69" s="362" t="str">
        <f>IFERROR(BASE_DATOS[[#This Row],[Precio US$]]/BASE_DATOS[[#This Row],[Horas Proy.]],"")</f>
        <v/>
      </c>
      <c r="AN569" s="195" t="str">
        <f>IF(OR(BASE_DATOS[[#This Row],[Km.]]="",BASE_DATOS[[#This Row],[Km. Actual]]=""),"",BASE_DATOS[[#This Row],[Km. Actual]]-BASE_DATOS[[#This Row],[Km.]]+BASE_DATOS[[#This Row],[Kilómetros Acumulados]])</f>
        <v/>
      </c>
      <c r="AO569" s="196" t="str">
        <f>IFERROR(BASE_DATOS[[#This Row],[Precio US$]]/BASE_DATOS[[#This Row],[Kilómetros Rodados]],"")</f>
        <v/>
      </c>
      <c r="AP569" s="195" t="str">
        <f>IFERROR(BASE_DATOS[[#This Row],[Kilómetros Rodados]]/(BASE_DATOS[[#This Row],[NSK Original]]-BASE_DATOS[[#This Row],[NSK]]),"")</f>
        <v/>
      </c>
      <c r="AQ569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69" s="196" t="str">
        <f>IFERROR(BASE_DATOS[[#This Row],[Precio US$]]/BASE_DATOS[[#This Row],[Kilómetros Proy.]],"")</f>
        <v/>
      </c>
      <c r="AS569" s="191" t="s">
        <v>62</v>
      </c>
      <c r="AT569" s="191"/>
      <c r="AU569" s="191"/>
      <c r="AV569" s="191"/>
      <c r="AW569" s="198"/>
      <c r="AX569" s="198"/>
      <c r="AY569" s="198" t="str">
        <f>CONCATENATE(BASE_DATOS[[#This Row],[Código_U]]&amp;BASE_DATOS[[#This Row],[Pos.]]&amp;BASE_DATOS[[#This Row],[Situación Actual]])</f>
        <v>TC-2061Rodando</v>
      </c>
    </row>
    <row r="570" spans="1:51" ht="12" x14ac:dyDescent="0.25">
      <c r="A570" s="227" t="s">
        <v>234</v>
      </c>
      <c r="B570" s="217" t="s">
        <v>235</v>
      </c>
      <c r="C570" s="228" t="s">
        <v>296</v>
      </c>
      <c r="D570" s="229" t="s">
        <v>86</v>
      </c>
      <c r="E570" s="248" t="s">
        <v>399</v>
      </c>
      <c r="F570" s="256" t="s">
        <v>71</v>
      </c>
      <c r="G570" s="256" t="s">
        <v>271</v>
      </c>
      <c r="H570" s="257" t="str">
        <f>IF(BASE_DATOS[[#This Row],[N-R]]="N",BASE_DATOS[[#This Row],[Diseño]],"Reencauche")</f>
        <v>KMAX S</v>
      </c>
      <c r="I570" s="256" t="s">
        <v>287</v>
      </c>
      <c r="J570" s="243" t="s">
        <v>72</v>
      </c>
      <c r="K570" s="258">
        <v>15.8</v>
      </c>
      <c r="L570" s="241">
        <v>100</v>
      </c>
      <c r="M570" s="259"/>
      <c r="N570" s="260"/>
      <c r="O570" s="277"/>
      <c r="P570" s="278"/>
      <c r="Q570" s="279"/>
      <c r="R570" s="309" t="s">
        <v>99</v>
      </c>
      <c r="S570" s="310">
        <v>45384</v>
      </c>
      <c r="T570" s="313"/>
      <c r="U570" s="279"/>
      <c r="V570" s="227">
        <v>13</v>
      </c>
      <c r="W570" s="281">
        <v>14</v>
      </c>
      <c r="X570" s="282">
        <v>14</v>
      </c>
      <c r="Y570" s="293">
        <f t="shared" ref="Y570:Y586" si="24">IFERROR(MIN(V570:X570),"")</f>
        <v>13</v>
      </c>
      <c r="Z570" s="175" t="s">
        <v>85</v>
      </c>
      <c r="AA570" s="342">
        <f>IFERROR(BASE_DATOS[[#This Row],[NSK Original]]-BASE_DATOS[[#This Row],[NSK]]," ")</f>
        <v>2.8000000000000007</v>
      </c>
      <c r="AB570" s="343">
        <f>'NSK-TRACTO'!$A$2</f>
        <v>6</v>
      </c>
      <c r="AC570" s="343">
        <f>IF(BASE_DATOS[[#This Row],[NSK]]&gt;=BASE_DATOS[[#This Row],[NSK Reen]],BASE_DATOS[[#This Row],[NSK Reen]],BASE_DATOS[[#This Row],[NSK]])</f>
        <v>6</v>
      </c>
      <c r="AD570" s="344">
        <f>IFERROR(100%-(BASE_DATOS[[#This Row],[NSK Reen]]/BASE_DATOS[[#This Row],[NSK Original]]),"")</f>
        <v>0.620253164556962</v>
      </c>
      <c r="AE570" s="344">
        <f>IFERROR(100%-BASE_DATOS[[#This Row],[NSK]]/BASE_DATOS[[#This Row],[NSK Original]],"")</f>
        <v>0.17721518987341778</v>
      </c>
      <c r="AF570" s="344">
        <f>IFERROR(BASE_DATOS[[#This Row],[% Max Des.]]-BASE_DATOS[[#This Row],[% Des]],"")</f>
        <v>0.44303797468354422</v>
      </c>
      <c r="AG570" s="287"/>
      <c r="AH570" s="273"/>
      <c r="AI570" s="363" t="str">
        <f>IF(OR(BASE_DATOS[[#This Row],[Hr.]]="",BASE_DATOS[[#This Row],[Hr. Actual]]=""),"",BASE_DATOS[[#This Row],[Hr. Actual]]-BASE_DATOS[[#This Row],[Hr.]]+BASE_DATOS[[#This Row],[Horas Acumuladas]])</f>
        <v/>
      </c>
      <c r="AJ570" s="364" t="str">
        <f>IFERROR(BASE_DATOS[[#This Row],[Precio US$]]/BASE_DATOS[[#This Row],[Horas Rodadas]],"")</f>
        <v/>
      </c>
      <c r="AK570" s="365" t="str">
        <f>IFERROR(BASE_DATOS[[#This Row],[Horas Rodadas]]/(BASE_DATOS[[#This Row],[NSK Original]]-BASE_DATOS[[#This Row],[NSK]]),"")</f>
        <v/>
      </c>
      <c r="AL57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70" s="366" t="str">
        <f>IFERROR(BASE_DATOS[[#This Row],[Precio US$]]/BASE_DATOS[[#This Row],[Horas Proy.]],"")</f>
        <v/>
      </c>
      <c r="AN570" s="176" t="str">
        <f>IF(OR(BASE_DATOS[[#This Row],[Km.]]="",BASE_DATOS[[#This Row],[Km. Actual]]=""),"",BASE_DATOS[[#This Row],[Km. Actual]]-BASE_DATOS[[#This Row],[Km.]]+BASE_DATOS[[#This Row],[Kilómetros Acumulados]])</f>
        <v/>
      </c>
      <c r="AO570" s="177" t="str">
        <f>IFERROR(BASE_DATOS[[#This Row],[Precio US$]]/BASE_DATOS[[#This Row],[Kilómetros Rodados]],"")</f>
        <v/>
      </c>
      <c r="AP570" s="176" t="str">
        <f>IFERROR(BASE_DATOS[[#This Row],[Kilómetros Rodados]]/(BASE_DATOS[[#This Row],[NSK Original]]-BASE_DATOS[[#This Row],[NSK]]),"")</f>
        <v/>
      </c>
      <c r="AQ57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70" s="177" t="str">
        <f>IFERROR(BASE_DATOS[[#This Row],[Precio US$]]/BASE_DATOS[[#This Row],[Kilómetros Proy.]],"")</f>
        <v/>
      </c>
      <c r="AS570" s="167" t="s">
        <v>62</v>
      </c>
      <c r="AT570" s="167"/>
      <c r="AU570" s="167"/>
      <c r="AV570" s="167"/>
      <c r="AW570" s="179"/>
      <c r="AX570" s="179"/>
      <c r="AY570" s="179" t="str">
        <f>CONCATENATE(BASE_DATOS[[#This Row],[Código_U]]&amp;BASE_DATOS[[#This Row],[Pos.]]&amp;BASE_DATOS[[#This Row],[Situación Actual]])</f>
        <v>TC-2062Rodando</v>
      </c>
    </row>
    <row r="571" spans="1:51" ht="12" x14ac:dyDescent="0.25">
      <c r="A571" s="227" t="s">
        <v>234</v>
      </c>
      <c r="B571" s="217" t="s">
        <v>235</v>
      </c>
      <c r="C571" s="228" t="s">
        <v>296</v>
      </c>
      <c r="D571" s="229" t="s">
        <v>61</v>
      </c>
      <c r="E571" s="248" t="s">
        <v>390</v>
      </c>
      <c r="F571" s="256" t="s">
        <v>273</v>
      </c>
      <c r="G571" s="256" t="s">
        <v>271</v>
      </c>
      <c r="H571" s="257" t="str">
        <f>IF(BASE_DATOS[[#This Row],[N-R]]="N",BASE_DATOS[[#This Row],[Diseño]],"Reencauche")</f>
        <v>XMULTI2D</v>
      </c>
      <c r="I571" s="256" t="s">
        <v>299</v>
      </c>
      <c r="J571" s="243" t="s">
        <v>72</v>
      </c>
      <c r="K571" s="258">
        <v>21.4</v>
      </c>
      <c r="L571" s="241">
        <v>110</v>
      </c>
      <c r="M571" s="259"/>
      <c r="N571" s="260"/>
      <c r="O571" s="277"/>
      <c r="P571" s="278"/>
      <c r="Q571" s="279"/>
      <c r="R571" s="309" t="s">
        <v>100</v>
      </c>
      <c r="S571" s="310">
        <v>45384</v>
      </c>
      <c r="T571" s="313"/>
      <c r="U571" s="279"/>
      <c r="V571" s="227">
        <v>20</v>
      </c>
      <c r="W571" s="281"/>
      <c r="X571" s="282">
        <v>20</v>
      </c>
      <c r="Y571" s="293">
        <f t="shared" si="24"/>
        <v>20</v>
      </c>
      <c r="Z571" s="161" t="s">
        <v>73</v>
      </c>
      <c r="AA571" s="342">
        <f>IFERROR(BASE_DATOS[[#This Row],[NSK Original]]-BASE_DATOS[[#This Row],[NSK]]," ")</f>
        <v>1.3999999999999986</v>
      </c>
      <c r="AB571" s="343">
        <f>'NSK-TRACTO'!$A$2</f>
        <v>6</v>
      </c>
      <c r="AC571" s="343">
        <f>IF(BASE_DATOS[[#This Row],[NSK]]&gt;=BASE_DATOS[[#This Row],[NSK Reen]],BASE_DATOS[[#This Row],[NSK Reen]],BASE_DATOS[[#This Row],[NSK]])</f>
        <v>6</v>
      </c>
      <c r="AD571" s="344">
        <f>IFERROR(100%-(BASE_DATOS[[#This Row],[NSK Reen]]/BASE_DATOS[[#This Row],[NSK Original]]),"")</f>
        <v>0.71962616822429903</v>
      </c>
      <c r="AE571" s="344">
        <f>IFERROR(100%-BASE_DATOS[[#This Row],[NSK]]/BASE_DATOS[[#This Row],[NSK Original]],"")</f>
        <v>6.5420560747663448E-2</v>
      </c>
      <c r="AF571" s="344">
        <f>IFERROR(BASE_DATOS[[#This Row],[% Max Des.]]-BASE_DATOS[[#This Row],[% Des]],"")</f>
        <v>0.65420560747663559</v>
      </c>
      <c r="AG571" s="287"/>
      <c r="AH571" s="273"/>
      <c r="AI571" s="363" t="str">
        <f>IF(OR(BASE_DATOS[[#This Row],[Hr.]]="",BASE_DATOS[[#This Row],[Hr. Actual]]=""),"",BASE_DATOS[[#This Row],[Hr. Actual]]-BASE_DATOS[[#This Row],[Hr.]]+BASE_DATOS[[#This Row],[Horas Acumuladas]])</f>
        <v/>
      </c>
      <c r="AJ571" s="364" t="str">
        <f>IFERROR(BASE_DATOS[[#This Row],[Precio US$]]/BASE_DATOS[[#This Row],[Horas Rodadas]],"")</f>
        <v/>
      </c>
      <c r="AK571" s="365" t="str">
        <f>IFERROR(BASE_DATOS[[#This Row],[Horas Rodadas]]/(BASE_DATOS[[#This Row],[NSK Original]]-BASE_DATOS[[#This Row],[NSK]]),"")</f>
        <v/>
      </c>
      <c r="AL57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71" s="366" t="str">
        <f>IFERROR(BASE_DATOS[[#This Row],[Precio US$]]/BASE_DATOS[[#This Row],[Horas Proy.]],"")</f>
        <v/>
      </c>
      <c r="AN571" s="176" t="str">
        <f>IF(OR(BASE_DATOS[[#This Row],[Km.]]="",BASE_DATOS[[#This Row],[Km. Actual]]=""),"",BASE_DATOS[[#This Row],[Km. Actual]]-BASE_DATOS[[#This Row],[Km.]]+BASE_DATOS[[#This Row],[Kilómetros Acumulados]])</f>
        <v/>
      </c>
      <c r="AO571" s="177" t="str">
        <f>IFERROR(BASE_DATOS[[#This Row],[Precio US$]]/BASE_DATOS[[#This Row],[Kilómetros Rodados]],"")</f>
        <v/>
      </c>
      <c r="AP571" s="176" t="str">
        <f>IFERROR(BASE_DATOS[[#This Row],[Kilómetros Rodados]]/(BASE_DATOS[[#This Row],[NSK Original]]-BASE_DATOS[[#This Row],[NSK]]),"")</f>
        <v/>
      </c>
      <c r="AQ57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71" s="177" t="str">
        <f>IFERROR(BASE_DATOS[[#This Row],[Precio US$]]/BASE_DATOS[[#This Row],[Kilómetros Proy.]],"")</f>
        <v/>
      </c>
      <c r="AS571" s="167" t="s">
        <v>62</v>
      </c>
      <c r="AT571" s="167"/>
      <c r="AU571" s="167"/>
      <c r="AV571" s="167"/>
      <c r="AW571" s="179"/>
      <c r="AX571" s="179"/>
      <c r="AY571" s="179" t="str">
        <f>CONCATENATE(BASE_DATOS[[#This Row],[Código_U]]&amp;BASE_DATOS[[#This Row],[Pos.]]&amp;BASE_DATOS[[#This Row],[Situación Actual]])</f>
        <v>TC-2063Rodando</v>
      </c>
    </row>
    <row r="572" spans="1:51" ht="12" x14ac:dyDescent="0.25">
      <c r="A572" s="227" t="s">
        <v>234</v>
      </c>
      <c r="B572" s="217" t="s">
        <v>235</v>
      </c>
      <c r="C572" s="228" t="s">
        <v>296</v>
      </c>
      <c r="D572" s="229" t="s">
        <v>61</v>
      </c>
      <c r="E572" s="248" t="s">
        <v>391</v>
      </c>
      <c r="F572" s="256" t="s">
        <v>273</v>
      </c>
      <c r="G572" s="256" t="s">
        <v>271</v>
      </c>
      <c r="H572" s="257" t="str">
        <f>IF(BASE_DATOS[[#This Row],[N-R]]="N",BASE_DATOS[[#This Row],[Diseño]],"Reencauche")</f>
        <v>XMULTI2D</v>
      </c>
      <c r="I572" s="256" t="s">
        <v>299</v>
      </c>
      <c r="J572" s="243" t="s">
        <v>72</v>
      </c>
      <c r="K572" s="258">
        <v>21.4</v>
      </c>
      <c r="L572" s="241">
        <v>110</v>
      </c>
      <c r="M572" s="259"/>
      <c r="N572" s="260"/>
      <c r="O572" s="277"/>
      <c r="P572" s="278"/>
      <c r="Q572" s="279"/>
      <c r="R572" s="309" t="s">
        <v>101</v>
      </c>
      <c r="S572" s="310">
        <v>45384</v>
      </c>
      <c r="T572" s="313"/>
      <c r="U572" s="279"/>
      <c r="V572" s="227">
        <v>20</v>
      </c>
      <c r="W572" s="281"/>
      <c r="X572" s="282">
        <v>20</v>
      </c>
      <c r="Y572" s="293">
        <f t="shared" si="24"/>
        <v>20</v>
      </c>
      <c r="Z572" s="161" t="s">
        <v>73</v>
      </c>
      <c r="AA572" s="342">
        <f>IFERROR(BASE_DATOS[[#This Row],[NSK Original]]-BASE_DATOS[[#This Row],[NSK]]," ")</f>
        <v>1.3999999999999986</v>
      </c>
      <c r="AB572" s="343">
        <f>'NSK-TRACTO'!$A$2</f>
        <v>6</v>
      </c>
      <c r="AC572" s="343">
        <f>IF(BASE_DATOS[[#This Row],[NSK]]&gt;=BASE_DATOS[[#This Row],[NSK Reen]],BASE_DATOS[[#This Row],[NSK Reen]],BASE_DATOS[[#This Row],[NSK]])</f>
        <v>6</v>
      </c>
      <c r="AD572" s="344">
        <f>IFERROR(100%-(BASE_DATOS[[#This Row],[NSK Reen]]/BASE_DATOS[[#This Row],[NSK Original]]),"")</f>
        <v>0.71962616822429903</v>
      </c>
      <c r="AE572" s="344">
        <f>IFERROR(100%-BASE_DATOS[[#This Row],[NSK]]/BASE_DATOS[[#This Row],[NSK Original]],"")</f>
        <v>6.5420560747663448E-2</v>
      </c>
      <c r="AF572" s="344">
        <f>IFERROR(BASE_DATOS[[#This Row],[% Max Des.]]-BASE_DATOS[[#This Row],[% Des]],"")</f>
        <v>0.65420560747663559</v>
      </c>
      <c r="AG572" s="287"/>
      <c r="AH572" s="273"/>
      <c r="AI572" s="363" t="str">
        <f>IF(OR(BASE_DATOS[[#This Row],[Hr.]]="",BASE_DATOS[[#This Row],[Hr. Actual]]=""),"",BASE_DATOS[[#This Row],[Hr. Actual]]-BASE_DATOS[[#This Row],[Hr.]]+BASE_DATOS[[#This Row],[Horas Acumuladas]])</f>
        <v/>
      </c>
      <c r="AJ572" s="364" t="str">
        <f>IFERROR(BASE_DATOS[[#This Row],[Precio US$]]/BASE_DATOS[[#This Row],[Horas Rodadas]],"")</f>
        <v/>
      </c>
      <c r="AK572" s="365" t="str">
        <f>IFERROR(BASE_DATOS[[#This Row],[Horas Rodadas]]/(BASE_DATOS[[#This Row],[NSK Original]]-BASE_DATOS[[#This Row],[NSK]]),"")</f>
        <v/>
      </c>
      <c r="AL57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72" s="366" t="str">
        <f>IFERROR(BASE_DATOS[[#This Row],[Precio US$]]/BASE_DATOS[[#This Row],[Horas Proy.]],"")</f>
        <v/>
      </c>
      <c r="AN572" s="176" t="str">
        <f>IF(OR(BASE_DATOS[[#This Row],[Km.]]="",BASE_DATOS[[#This Row],[Km. Actual]]=""),"",BASE_DATOS[[#This Row],[Km. Actual]]-BASE_DATOS[[#This Row],[Km.]]+BASE_DATOS[[#This Row],[Kilómetros Acumulados]])</f>
        <v/>
      </c>
      <c r="AO572" s="177" t="str">
        <f>IFERROR(BASE_DATOS[[#This Row],[Precio US$]]/BASE_DATOS[[#This Row],[Kilómetros Rodados]],"")</f>
        <v/>
      </c>
      <c r="AP572" s="176" t="str">
        <f>IFERROR(BASE_DATOS[[#This Row],[Kilómetros Rodados]]/(BASE_DATOS[[#This Row],[NSK Original]]-BASE_DATOS[[#This Row],[NSK]]),"")</f>
        <v/>
      </c>
      <c r="AQ57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72" s="177" t="str">
        <f>IFERROR(BASE_DATOS[[#This Row],[Precio US$]]/BASE_DATOS[[#This Row],[Kilómetros Proy.]],"")</f>
        <v/>
      </c>
      <c r="AS572" s="167" t="s">
        <v>62</v>
      </c>
      <c r="AT572" s="167"/>
      <c r="AU572" s="167"/>
      <c r="AV572" s="167"/>
      <c r="AW572" s="179"/>
      <c r="AX572" s="179"/>
      <c r="AY572" s="179" t="str">
        <f>CONCATENATE(BASE_DATOS[[#This Row],[Código_U]]&amp;BASE_DATOS[[#This Row],[Pos.]]&amp;BASE_DATOS[[#This Row],[Situación Actual]])</f>
        <v>TC-2064Rodando</v>
      </c>
    </row>
    <row r="573" spans="1:51" ht="12" x14ac:dyDescent="0.25">
      <c r="A573" s="227" t="s">
        <v>234</v>
      </c>
      <c r="B573" s="217" t="s">
        <v>235</v>
      </c>
      <c r="C573" s="228" t="s">
        <v>296</v>
      </c>
      <c r="D573" s="229" t="s">
        <v>61</v>
      </c>
      <c r="E573" s="248" t="s">
        <v>392</v>
      </c>
      <c r="F573" s="256" t="s">
        <v>273</v>
      </c>
      <c r="G573" s="256" t="s">
        <v>271</v>
      </c>
      <c r="H573" s="257" t="str">
        <f>IF(BASE_DATOS[[#This Row],[N-R]]="N",BASE_DATOS[[#This Row],[Diseño]],"Reencauche")</f>
        <v>XMULTI2D</v>
      </c>
      <c r="I573" s="256" t="s">
        <v>299</v>
      </c>
      <c r="J573" s="243" t="s">
        <v>72</v>
      </c>
      <c r="K573" s="258">
        <v>21.4</v>
      </c>
      <c r="L573" s="241">
        <v>110</v>
      </c>
      <c r="M573" s="259"/>
      <c r="N573" s="260"/>
      <c r="O573" s="277"/>
      <c r="P573" s="278"/>
      <c r="Q573" s="279"/>
      <c r="R573" s="309" t="s">
        <v>102</v>
      </c>
      <c r="S573" s="310">
        <v>45384</v>
      </c>
      <c r="T573" s="313"/>
      <c r="U573" s="279"/>
      <c r="V573" s="227">
        <v>20</v>
      </c>
      <c r="W573" s="281"/>
      <c r="X573" s="282">
        <v>20</v>
      </c>
      <c r="Y573" s="293">
        <f t="shared" si="24"/>
        <v>20</v>
      </c>
      <c r="Z573" s="161" t="s">
        <v>73</v>
      </c>
      <c r="AA573" s="342">
        <f>IFERROR(BASE_DATOS[[#This Row],[NSK Original]]-BASE_DATOS[[#This Row],[NSK]]," ")</f>
        <v>1.3999999999999986</v>
      </c>
      <c r="AB573" s="343">
        <f>'NSK-TRACTO'!$A$2</f>
        <v>6</v>
      </c>
      <c r="AC573" s="343">
        <f>IF(BASE_DATOS[[#This Row],[NSK]]&gt;=BASE_DATOS[[#This Row],[NSK Reen]],BASE_DATOS[[#This Row],[NSK Reen]],BASE_DATOS[[#This Row],[NSK]])</f>
        <v>6</v>
      </c>
      <c r="AD573" s="344">
        <f>IFERROR(100%-(BASE_DATOS[[#This Row],[NSK Reen]]/BASE_DATOS[[#This Row],[NSK Original]]),"")</f>
        <v>0.71962616822429903</v>
      </c>
      <c r="AE573" s="344">
        <f>IFERROR(100%-BASE_DATOS[[#This Row],[NSK]]/BASE_DATOS[[#This Row],[NSK Original]],"")</f>
        <v>6.5420560747663448E-2</v>
      </c>
      <c r="AF573" s="344">
        <f>IFERROR(BASE_DATOS[[#This Row],[% Max Des.]]-BASE_DATOS[[#This Row],[% Des]],"")</f>
        <v>0.65420560747663559</v>
      </c>
      <c r="AG573" s="287"/>
      <c r="AH573" s="273"/>
      <c r="AI573" s="363" t="str">
        <f>IF(OR(BASE_DATOS[[#This Row],[Hr.]]="",BASE_DATOS[[#This Row],[Hr. Actual]]=""),"",BASE_DATOS[[#This Row],[Hr. Actual]]-BASE_DATOS[[#This Row],[Hr.]]+BASE_DATOS[[#This Row],[Horas Acumuladas]])</f>
        <v/>
      </c>
      <c r="AJ573" s="364" t="str">
        <f>IFERROR(BASE_DATOS[[#This Row],[Precio US$]]/BASE_DATOS[[#This Row],[Horas Rodadas]],"")</f>
        <v/>
      </c>
      <c r="AK573" s="365" t="str">
        <f>IFERROR(BASE_DATOS[[#This Row],[Horas Rodadas]]/(BASE_DATOS[[#This Row],[NSK Original]]-BASE_DATOS[[#This Row],[NSK]]),"")</f>
        <v/>
      </c>
      <c r="AL57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73" s="366" t="str">
        <f>IFERROR(BASE_DATOS[[#This Row],[Precio US$]]/BASE_DATOS[[#This Row],[Horas Proy.]],"")</f>
        <v/>
      </c>
      <c r="AN573" s="176" t="str">
        <f>IF(OR(BASE_DATOS[[#This Row],[Km.]]="",BASE_DATOS[[#This Row],[Km. Actual]]=""),"",BASE_DATOS[[#This Row],[Km. Actual]]-BASE_DATOS[[#This Row],[Km.]]+BASE_DATOS[[#This Row],[Kilómetros Acumulados]])</f>
        <v/>
      </c>
      <c r="AO573" s="177" t="str">
        <f>IFERROR(BASE_DATOS[[#This Row],[Precio US$]]/BASE_DATOS[[#This Row],[Kilómetros Rodados]],"")</f>
        <v/>
      </c>
      <c r="AP573" s="176" t="str">
        <f>IFERROR(BASE_DATOS[[#This Row],[Kilómetros Rodados]]/(BASE_DATOS[[#This Row],[NSK Original]]-BASE_DATOS[[#This Row],[NSK]]),"")</f>
        <v/>
      </c>
      <c r="AQ57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73" s="177" t="str">
        <f>IFERROR(BASE_DATOS[[#This Row],[Precio US$]]/BASE_DATOS[[#This Row],[Kilómetros Proy.]],"")</f>
        <v/>
      </c>
      <c r="AS573" s="167" t="s">
        <v>62</v>
      </c>
      <c r="AT573" s="167"/>
      <c r="AU573" s="167"/>
      <c r="AV573" s="167"/>
      <c r="AW573" s="179"/>
      <c r="AX573" s="179"/>
      <c r="AY573" s="179" t="str">
        <f>CONCATENATE(BASE_DATOS[[#This Row],[Código_U]]&amp;BASE_DATOS[[#This Row],[Pos.]]&amp;BASE_DATOS[[#This Row],[Situación Actual]])</f>
        <v>TC-2065Rodando</v>
      </c>
    </row>
    <row r="574" spans="1:51" ht="12" x14ac:dyDescent="0.25">
      <c r="A574" s="227" t="s">
        <v>234</v>
      </c>
      <c r="B574" s="217" t="s">
        <v>235</v>
      </c>
      <c r="C574" s="228" t="s">
        <v>296</v>
      </c>
      <c r="D574" s="229" t="s">
        <v>61</v>
      </c>
      <c r="E574" s="248" t="s">
        <v>393</v>
      </c>
      <c r="F574" s="256" t="s">
        <v>273</v>
      </c>
      <c r="G574" s="256" t="s">
        <v>271</v>
      </c>
      <c r="H574" s="257" t="str">
        <f>IF(BASE_DATOS[[#This Row],[N-R]]="N",BASE_DATOS[[#This Row],[Diseño]],"Reencauche")</f>
        <v>XMULTI2D</v>
      </c>
      <c r="I574" s="256" t="s">
        <v>299</v>
      </c>
      <c r="J574" s="243" t="s">
        <v>72</v>
      </c>
      <c r="K574" s="258">
        <v>21.4</v>
      </c>
      <c r="L574" s="241">
        <v>110</v>
      </c>
      <c r="M574" s="259"/>
      <c r="N574" s="260"/>
      <c r="O574" s="277"/>
      <c r="P574" s="278"/>
      <c r="Q574" s="279"/>
      <c r="R574" s="309" t="s">
        <v>103</v>
      </c>
      <c r="S574" s="310">
        <v>45384</v>
      </c>
      <c r="T574" s="313"/>
      <c r="U574" s="279"/>
      <c r="V574" s="227">
        <v>20</v>
      </c>
      <c r="W574" s="281"/>
      <c r="X574" s="282">
        <v>20</v>
      </c>
      <c r="Y574" s="293">
        <f t="shared" si="24"/>
        <v>20</v>
      </c>
      <c r="Z574" s="161" t="s">
        <v>73</v>
      </c>
      <c r="AA574" s="342">
        <f>IFERROR(BASE_DATOS[[#This Row],[NSK Original]]-BASE_DATOS[[#This Row],[NSK]]," ")</f>
        <v>1.3999999999999986</v>
      </c>
      <c r="AB574" s="343">
        <f>'NSK-TRACTO'!$A$2</f>
        <v>6</v>
      </c>
      <c r="AC574" s="343">
        <f>IF(BASE_DATOS[[#This Row],[NSK]]&gt;=BASE_DATOS[[#This Row],[NSK Reen]],BASE_DATOS[[#This Row],[NSK Reen]],BASE_DATOS[[#This Row],[NSK]])</f>
        <v>6</v>
      </c>
      <c r="AD574" s="344">
        <f>IFERROR(100%-(BASE_DATOS[[#This Row],[NSK Reen]]/BASE_DATOS[[#This Row],[NSK Original]]),"")</f>
        <v>0.71962616822429903</v>
      </c>
      <c r="AE574" s="344">
        <f>IFERROR(100%-BASE_DATOS[[#This Row],[NSK]]/BASE_DATOS[[#This Row],[NSK Original]],"")</f>
        <v>6.5420560747663448E-2</v>
      </c>
      <c r="AF574" s="344">
        <f>IFERROR(BASE_DATOS[[#This Row],[% Max Des.]]-BASE_DATOS[[#This Row],[% Des]],"")</f>
        <v>0.65420560747663559</v>
      </c>
      <c r="AG574" s="287"/>
      <c r="AH574" s="273"/>
      <c r="AI574" s="363" t="str">
        <f>IF(OR(BASE_DATOS[[#This Row],[Hr.]]="",BASE_DATOS[[#This Row],[Hr. Actual]]=""),"",BASE_DATOS[[#This Row],[Hr. Actual]]-BASE_DATOS[[#This Row],[Hr.]]+BASE_DATOS[[#This Row],[Horas Acumuladas]])</f>
        <v/>
      </c>
      <c r="AJ574" s="364" t="str">
        <f>IFERROR(BASE_DATOS[[#This Row],[Precio US$]]/BASE_DATOS[[#This Row],[Horas Rodadas]],"")</f>
        <v/>
      </c>
      <c r="AK574" s="365" t="str">
        <f>IFERROR(BASE_DATOS[[#This Row],[Horas Rodadas]]/(BASE_DATOS[[#This Row],[NSK Original]]-BASE_DATOS[[#This Row],[NSK]]),"")</f>
        <v/>
      </c>
      <c r="AL57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74" s="366" t="str">
        <f>IFERROR(BASE_DATOS[[#This Row],[Precio US$]]/BASE_DATOS[[#This Row],[Horas Proy.]],"")</f>
        <v/>
      </c>
      <c r="AN574" s="176" t="str">
        <f>IF(OR(BASE_DATOS[[#This Row],[Km.]]="",BASE_DATOS[[#This Row],[Km. Actual]]=""),"",BASE_DATOS[[#This Row],[Km. Actual]]-BASE_DATOS[[#This Row],[Km.]]+BASE_DATOS[[#This Row],[Kilómetros Acumulados]])</f>
        <v/>
      </c>
      <c r="AO574" s="177" t="str">
        <f>IFERROR(BASE_DATOS[[#This Row],[Precio US$]]/BASE_DATOS[[#This Row],[Kilómetros Rodados]],"")</f>
        <v/>
      </c>
      <c r="AP574" s="176" t="str">
        <f>IFERROR(BASE_DATOS[[#This Row],[Kilómetros Rodados]]/(BASE_DATOS[[#This Row],[NSK Original]]-BASE_DATOS[[#This Row],[NSK]]),"")</f>
        <v/>
      </c>
      <c r="AQ57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74" s="177" t="str">
        <f>IFERROR(BASE_DATOS[[#This Row],[Precio US$]]/BASE_DATOS[[#This Row],[Kilómetros Proy.]],"")</f>
        <v/>
      </c>
      <c r="AS574" s="167" t="s">
        <v>62</v>
      </c>
      <c r="AT574" s="167"/>
      <c r="AU574" s="167"/>
      <c r="AV574" s="167"/>
      <c r="AW574" s="179"/>
      <c r="AX574" s="179"/>
      <c r="AY574" s="179" t="str">
        <f>CONCATENATE(BASE_DATOS[[#This Row],[Código_U]]&amp;BASE_DATOS[[#This Row],[Pos.]]&amp;BASE_DATOS[[#This Row],[Situación Actual]])</f>
        <v>TC-2066Rodando</v>
      </c>
    </row>
    <row r="575" spans="1:51" ht="12" x14ac:dyDescent="0.25">
      <c r="A575" s="227" t="s">
        <v>234</v>
      </c>
      <c r="B575" s="217" t="s">
        <v>235</v>
      </c>
      <c r="C575" s="228" t="s">
        <v>296</v>
      </c>
      <c r="D575" s="229" t="s">
        <v>61</v>
      </c>
      <c r="E575" s="248" t="s">
        <v>394</v>
      </c>
      <c r="F575" s="256" t="s">
        <v>273</v>
      </c>
      <c r="G575" s="256" t="s">
        <v>271</v>
      </c>
      <c r="H575" s="257" t="str">
        <f>IF(BASE_DATOS[[#This Row],[N-R]]="N",BASE_DATOS[[#This Row],[Diseño]],"Reencauche")</f>
        <v>XMULTI2D</v>
      </c>
      <c r="I575" s="256" t="s">
        <v>299</v>
      </c>
      <c r="J575" s="243" t="s">
        <v>72</v>
      </c>
      <c r="K575" s="258">
        <v>21.4</v>
      </c>
      <c r="L575" s="241">
        <v>110</v>
      </c>
      <c r="M575" s="259"/>
      <c r="N575" s="260"/>
      <c r="O575" s="277"/>
      <c r="P575" s="278"/>
      <c r="Q575" s="279"/>
      <c r="R575" s="309" t="s">
        <v>104</v>
      </c>
      <c r="S575" s="310">
        <v>45384</v>
      </c>
      <c r="T575" s="313"/>
      <c r="U575" s="279"/>
      <c r="V575" s="227">
        <v>19</v>
      </c>
      <c r="W575" s="281"/>
      <c r="X575" s="282">
        <v>19</v>
      </c>
      <c r="Y575" s="293">
        <f t="shared" si="24"/>
        <v>19</v>
      </c>
      <c r="Z575" s="161" t="s">
        <v>73</v>
      </c>
      <c r="AA575" s="342">
        <f>IFERROR(BASE_DATOS[[#This Row],[NSK Original]]-BASE_DATOS[[#This Row],[NSK]]," ")</f>
        <v>2.3999999999999986</v>
      </c>
      <c r="AB575" s="343">
        <f>'NSK-TRACTO'!$A$2</f>
        <v>6</v>
      </c>
      <c r="AC575" s="343">
        <f>IF(BASE_DATOS[[#This Row],[NSK]]&gt;=BASE_DATOS[[#This Row],[NSK Reen]],BASE_DATOS[[#This Row],[NSK Reen]],BASE_DATOS[[#This Row],[NSK]])</f>
        <v>6</v>
      </c>
      <c r="AD575" s="344">
        <f>IFERROR(100%-(BASE_DATOS[[#This Row],[NSK Reen]]/BASE_DATOS[[#This Row],[NSK Original]]),"")</f>
        <v>0.71962616822429903</v>
      </c>
      <c r="AE575" s="344">
        <f>IFERROR(100%-BASE_DATOS[[#This Row],[NSK]]/BASE_DATOS[[#This Row],[NSK Original]],"")</f>
        <v>0.11214953271028028</v>
      </c>
      <c r="AF575" s="344">
        <f>IFERROR(BASE_DATOS[[#This Row],[% Max Des.]]-BASE_DATOS[[#This Row],[% Des]],"")</f>
        <v>0.60747663551401876</v>
      </c>
      <c r="AG575" s="287"/>
      <c r="AH575" s="273"/>
      <c r="AI575" s="363" t="str">
        <f>IF(OR(BASE_DATOS[[#This Row],[Hr.]]="",BASE_DATOS[[#This Row],[Hr. Actual]]=""),"",BASE_DATOS[[#This Row],[Hr. Actual]]-BASE_DATOS[[#This Row],[Hr.]]+BASE_DATOS[[#This Row],[Horas Acumuladas]])</f>
        <v/>
      </c>
      <c r="AJ575" s="364" t="str">
        <f>IFERROR(BASE_DATOS[[#This Row],[Precio US$]]/BASE_DATOS[[#This Row],[Horas Rodadas]],"")</f>
        <v/>
      </c>
      <c r="AK575" s="365" t="str">
        <f>IFERROR(BASE_DATOS[[#This Row],[Horas Rodadas]]/(BASE_DATOS[[#This Row],[NSK Original]]-BASE_DATOS[[#This Row],[NSK]]),"")</f>
        <v/>
      </c>
      <c r="AL57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75" s="366" t="str">
        <f>IFERROR(BASE_DATOS[[#This Row],[Precio US$]]/BASE_DATOS[[#This Row],[Horas Proy.]],"")</f>
        <v/>
      </c>
      <c r="AN575" s="176" t="str">
        <f>IF(OR(BASE_DATOS[[#This Row],[Km.]]="",BASE_DATOS[[#This Row],[Km. Actual]]=""),"",BASE_DATOS[[#This Row],[Km. Actual]]-BASE_DATOS[[#This Row],[Km.]]+BASE_DATOS[[#This Row],[Kilómetros Acumulados]])</f>
        <v/>
      </c>
      <c r="AO575" s="177" t="str">
        <f>IFERROR(BASE_DATOS[[#This Row],[Precio US$]]/BASE_DATOS[[#This Row],[Kilómetros Rodados]],"")</f>
        <v/>
      </c>
      <c r="AP575" s="176" t="str">
        <f>IFERROR(BASE_DATOS[[#This Row],[Kilómetros Rodados]]/(BASE_DATOS[[#This Row],[NSK Original]]-BASE_DATOS[[#This Row],[NSK]]),"")</f>
        <v/>
      </c>
      <c r="AQ57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75" s="177" t="str">
        <f>IFERROR(BASE_DATOS[[#This Row],[Precio US$]]/BASE_DATOS[[#This Row],[Kilómetros Proy.]],"")</f>
        <v/>
      </c>
      <c r="AS575" s="167" t="s">
        <v>62</v>
      </c>
      <c r="AT575" s="167"/>
      <c r="AU575" s="167"/>
      <c r="AV575" s="167"/>
      <c r="AW575" s="179"/>
      <c r="AX575" s="179"/>
      <c r="AY575" s="179" t="str">
        <f>CONCATENATE(BASE_DATOS[[#This Row],[Código_U]]&amp;BASE_DATOS[[#This Row],[Pos.]]&amp;BASE_DATOS[[#This Row],[Situación Actual]])</f>
        <v>TC-2067Rodando</v>
      </c>
    </row>
    <row r="576" spans="1:51" ht="12" x14ac:dyDescent="0.25">
      <c r="A576" s="227" t="s">
        <v>234</v>
      </c>
      <c r="B576" s="217" t="s">
        <v>235</v>
      </c>
      <c r="C576" s="228" t="s">
        <v>296</v>
      </c>
      <c r="D576" s="229" t="s">
        <v>61</v>
      </c>
      <c r="E576" s="248" t="s">
        <v>395</v>
      </c>
      <c r="F576" s="256" t="s">
        <v>273</v>
      </c>
      <c r="G576" s="256" t="s">
        <v>271</v>
      </c>
      <c r="H576" s="257" t="str">
        <f>IF(BASE_DATOS[[#This Row],[N-R]]="N",BASE_DATOS[[#This Row],[Diseño]],"Reencauche")</f>
        <v>XMULTI2D</v>
      </c>
      <c r="I576" s="256" t="s">
        <v>299</v>
      </c>
      <c r="J576" s="243" t="s">
        <v>72</v>
      </c>
      <c r="K576" s="258">
        <v>21.4</v>
      </c>
      <c r="L576" s="241">
        <v>110</v>
      </c>
      <c r="M576" s="259"/>
      <c r="N576" s="260"/>
      <c r="O576" s="277"/>
      <c r="P576" s="278"/>
      <c r="Q576" s="279"/>
      <c r="R576" s="309" t="s">
        <v>105</v>
      </c>
      <c r="S576" s="310">
        <v>45384</v>
      </c>
      <c r="T576" s="313"/>
      <c r="U576" s="279"/>
      <c r="V576" s="227">
        <v>19</v>
      </c>
      <c r="W576" s="281"/>
      <c r="X576" s="282">
        <v>19</v>
      </c>
      <c r="Y576" s="293">
        <f t="shared" si="24"/>
        <v>19</v>
      </c>
      <c r="Z576" s="161" t="s">
        <v>73</v>
      </c>
      <c r="AA576" s="342">
        <f>IFERROR(BASE_DATOS[[#This Row],[NSK Original]]-BASE_DATOS[[#This Row],[NSK]]," ")</f>
        <v>2.3999999999999986</v>
      </c>
      <c r="AB576" s="343">
        <f>'NSK-TRACTO'!$A$2</f>
        <v>6</v>
      </c>
      <c r="AC576" s="343">
        <f>IF(BASE_DATOS[[#This Row],[NSK]]&gt;=BASE_DATOS[[#This Row],[NSK Reen]],BASE_DATOS[[#This Row],[NSK Reen]],BASE_DATOS[[#This Row],[NSK]])</f>
        <v>6</v>
      </c>
      <c r="AD576" s="344">
        <f>IFERROR(100%-(BASE_DATOS[[#This Row],[NSK Reen]]/BASE_DATOS[[#This Row],[NSK Original]]),"")</f>
        <v>0.71962616822429903</v>
      </c>
      <c r="AE576" s="344">
        <f>IFERROR(100%-BASE_DATOS[[#This Row],[NSK]]/BASE_DATOS[[#This Row],[NSK Original]],"")</f>
        <v>0.11214953271028028</v>
      </c>
      <c r="AF576" s="344">
        <f>IFERROR(BASE_DATOS[[#This Row],[% Max Des.]]-BASE_DATOS[[#This Row],[% Des]],"")</f>
        <v>0.60747663551401876</v>
      </c>
      <c r="AG576" s="287"/>
      <c r="AH576" s="273"/>
      <c r="AI576" s="363" t="str">
        <f>IF(OR(BASE_DATOS[[#This Row],[Hr.]]="",BASE_DATOS[[#This Row],[Hr. Actual]]=""),"",BASE_DATOS[[#This Row],[Hr. Actual]]-BASE_DATOS[[#This Row],[Hr.]]+BASE_DATOS[[#This Row],[Horas Acumuladas]])</f>
        <v/>
      </c>
      <c r="AJ576" s="364" t="str">
        <f>IFERROR(BASE_DATOS[[#This Row],[Precio US$]]/BASE_DATOS[[#This Row],[Horas Rodadas]],"")</f>
        <v/>
      </c>
      <c r="AK576" s="365" t="str">
        <f>IFERROR(BASE_DATOS[[#This Row],[Horas Rodadas]]/(BASE_DATOS[[#This Row],[NSK Original]]-BASE_DATOS[[#This Row],[NSK]]),"")</f>
        <v/>
      </c>
      <c r="AL57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76" s="366" t="str">
        <f>IFERROR(BASE_DATOS[[#This Row],[Precio US$]]/BASE_DATOS[[#This Row],[Horas Proy.]],"")</f>
        <v/>
      </c>
      <c r="AN576" s="176" t="str">
        <f>IF(OR(BASE_DATOS[[#This Row],[Km.]]="",BASE_DATOS[[#This Row],[Km. Actual]]=""),"",BASE_DATOS[[#This Row],[Km. Actual]]-BASE_DATOS[[#This Row],[Km.]]+BASE_DATOS[[#This Row],[Kilómetros Acumulados]])</f>
        <v/>
      </c>
      <c r="AO576" s="177" t="str">
        <f>IFERROR(BASE_DATOS[[#This Row],[Precio US$]]/BASE_DATOS[[#This Row],[Kilómetros Rodados]],"")</f>
        <v/>
      </c>
      <c r="AP576" s="176" t="str">
        <f>IFERROR(BASE_DATOS[[#This Row],[Kilómetros Rodados]]/(BASE_DATOS[[#This Row],[NSK Original]]-BASE_DATOS[[#This Row],[NSK]]),"")</f>
        <v/>
      </c>
      <c r="AQ57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76" s="177" t="str">
        <f>IFERROR(BASE_DATOS[[#This Row],[Precio US$]]/BASE_DATOS[[#This Row],[Kilómetros Proy.]],"")</f>
        <v/>
      </c>
      <c r="AS576" s="167" t="s">
        <v>62</v>
      </c>
      <c r="AT576" s="167"/>
      <c r="AU576" s="167"/>
      <c r="AV576" s="167"/>
      <c r="AW576" s="179"/>
      <c r="AX576" s="179"/>
      <c r="AY576" s="179" t="str">
        <f>CONCATENATE(BASE_DATOS[[#This Row],[Código_U]]&amp;BASE_DATOS[[#This Row],[Pos.]]&amp;BASE_DATOS[[#This Row],[Situación Actual]])</f>
        <v>TC-2068Rodando</v>
      </c>
    </row>
    <row r="577" spans="1:51" ht="12" x14ac:dyDescent="0.25">
      <c r="A577" s="227" t="s">
        <v>234</v>
      </c>
      <c r="B577" s="217" t="s">
        <v>235</v>
      </c>
      <c r="C577" s="228" t="s">
        <v>296</v>
      </c>
      <c r="D577" s="229" t="s">
        <v>61</v>
      </c>
      <c r="E577" s="248" t="s">
        <v>396</v>
      </c>
      <c r="F577" s="256" t="s">
        <v>273</v>
      </c>
      <c r="G577" s="256" t="s">
        <v>271</v>
      </c>
      <c r="H577" s="257" t="str">
        <f>IF(BASE_DATOS[[#This Row],[N-R]]="N",BASE_DATOS[[#This Row],[Diseño]],"Reencauche")</f>
        <v>XMULTI2D</v>
      </c>
      <c r="I577" s="256" t="s">
        <v>299</v>
      </c>
      <c r="J577" s="243" t="s">
        <v>72</v>
      </c>
      <c r="K577" s="258">
        <v>21.4</v>
      </c>
      <c r="L577" s="241">
        <v>110</v>
      </c>
      <c r="M577" s="259"/>
      <c r="N577" s="260"/>
      <c r="O577" s="277"/>
      <c r="P577" s="278"/>
      <c r="Q577" s="279"/>
      <c r="R577" s="309" t="s">
        <v>106</v>
      </c>
      <c r="S577" s="310">
        <v>45384</v>
      </c>
      <c r="T577" s="313"/>
      <c r="U577" s="279"/>
      <c r="V577" s="227">
        <v>19</v>
      </c>
      <c r="W577" s="281"/>
      <c r="X577" s="282">
        <v>19</v>
      </c>
      <c r="Y577" s="293">
        <f t="shared" si="24"/>
        <v>19</v>
      </c>
      <c r="Z577" s="161" t="s">
        <v>73</v>
      </c>
      <c r="AA577" s="342">
        <f>IFERROR(BASE_DATOS[[#This Row],[NSK Original]]-BASE_DATOS[[#This Row],[NSK]]," ")</f>
        <v>2.3999999999999986</v>
      </c>
      <c r="AB577" s="343">
        <f>'NSK-TRACTO'!$A$2</f>
        <v>6</v>
      </c>
      <c r="AC577" s="343">
        <f>IF(BASE_DATOS[[#This Row],[NSK]]&gt;=BASE_DATOS[[#This Row],[NSK Reen]],BASE_DATOS[[#This Row],[NSK Reen]],BASE_DATOS[[#This Row],[NSK]])</f>
        <v>6</v>
      </c>
      <c r="AD577" s="344">
        <f>IFERROR(100%-(BASE_DATOS[[#This Row],[NSK Reen]]/BASE_DATOS[[#This Row],[NSK Original]]),"")</f>
        <v>0.71962616822429903</v>
      </c>
      <c r="AE577" s="344">
        <f>IFERROR(100%-BASE_DATOS[[#This Row],[NSK]]/BASE_DATOS[[#This Row],[NSK Original]],"")</f>
        <v>0.11214953271028028</v>
      </c>
      <c r="AF577" s="344">
        <f>IFERROR(BASE_DATOS[[#This Row],[% Max Des.]]-BASE_DATOS[[#This Row],[% Des]],"")</f>
        <v>0.60747663551401876</v>
      </c>
      <c r="AG577" s="287"/>
      <c r="AH577" s="273"/>
      <c r="AI577" s="363" t="str">
        <f>IF(OR(BASE_DATOS[[#This Row],[Hr.]]="",BASE_DATOS[[#This Row],[Hr. Actual]]=""),"",BASE_DATOS[[#This Row],[Hr. Actual]]-BASE_DATOS[[#This Row],[Hr.]]+BASE_DATOS[[#This Row],[Horas Acumuladas]])</f>
        <v/>
      </c>
      <c r="AJ577" s="364" t="str">
        <f>IFERROR(BASE_DATOS[[#This Row],[Precio US$]]/BASE_DATOS[[#This Row],[Horas Rodadas]],"")</f>
        <v/>
      </c>
      <c r="AK577" s="365" t="str">
        <f>IFERROR(BASE_DATOS[[#This Row],[Horas Rodadas]]/(BASE_DATOS[[#This Row],[NSK Original]]-BASE_DATOS[[#This Row],[NSK]]),"")</f>
        <v/>
      </c>
      <c r="AL57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77" s="366" t="str">
        <f>IFERROR(BASE_DATOS[[#This Row],[Precio US$]]/BASE_DATOS[[#This Row],[Horas Proy.]],"")</f>
        <v/>
      </c>
      <c r="AN577" s="176" t="str">
        <f>IF(OR(BASE_DATOS[[#This Row],[Km.]]="",BASE_DATOS[[#This Row],[Km. Actual]]=""),"",BASE_DATOS[[#This Row],[Km. Actual]]-BASE_DATOS[[#This Row],[Km.]]+BASE_DATOS[[#This Row],[Kilómetros Acumulados]])</f>
        <v/>
      </c>
      <c r="AO577" s="177" t="str">
        <f>IFERROR(BASE_DATOS[[#This Row],[Precio US$]]/BASE_DATOS[[#This Row],[Kilómetros Rodados]],"")</f>
        <v/>
      </c>
      <c r="AP577" s="176" t="str">
        <f>IFERROR(BASE_DATOS[[#This Row],[Kilómetros Rodados]]/(BASE_DATOS[[#This Row],[NSK Original]]-BASE_DATOS[[#This Row],[NSK]]),"")</f>
        <v/>
      </c>
      <c r="AQ57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77" s="177" t="str">
        <f>IFERROR(BASE_DATOS[[#This Row],[Precio US$]]/BASE_DATOS[[#This Row],[Kilómetros Proy.]],"")</f>
        <v/>
      </c>
      <c r="AS577" s="167" t="s">
        <v>62</v>
      </c>
      <c r="AT577" s="167"/>
      <c r="AU577" s="167"/>
      <c r="AV577" s="167"/>
      <c r="AW577" s="179"/>
      <c r="AX577" s="179"/>
      <c r="AY577" s="179" t="str">
        <f>CONCATENATE(BASE_DATOS[[#This Row],[Código_U]]&amp;BASE_DATOS[[#This Row],[Pos.]]&amp;BASE_DATOS[[#This Row],[Situación Actual]])</f>
        <v>TC-2069Rodando</v>
      </c>
    </row>
    <row r="578" spans="1:51" ht="12" x14ac:dyDescent="0.25">
      <c r="A578" s="227" t="s">
        <v>234</v>
      </c>
      <c r="B578" s="217" t="s">
        <v>235</v>
      </c>
      <c r="C578" s="228" t="s">
        <v>296</v>
      </c>
      <c r="D578" s="229" t="s">
        <v>61</v>
      </c>
      <c r="E578" s="248" t="s">
        <v>397</v>
      </c>
      <c r="F578" s="256" t="s">
        <v>273</v>
      </c>
      <c r="G578" s="256" t="s">
        <v>271</v>
      </c>
      <c r="H578" s="257" t="str">
        <f>IF(BASE_DATOS[[#This Row],[N-R]]="N",BASE_DATOS[[#This Row],[Diseño]],"Reencauche")</f>
        <v>XMULTI2D</v>
      </c>
      <c r="I578" s="256" t="s">
        <v>299</v>
      </c>
      <c r="J578" s="243" t="s">
        <v>72</v>
      </c>
      <c r="K578" s="258">
        <v>21.4</v>
      </c>
      <c r="L578" s="241">
        <v>110</v>
      </c>
      <c r="M578" s="259"/>
      <c r="N578" s="260"/>
      <c r="O578" s="277"/>
      <c r="P578" s="278"/>
      <c r="Q578" s="279"/>
      <c r="R578" s="309" t="s">
        <v>107</v>
      </c>
      <c r="S578" s="310">
        <v>45384</v>
      </c>
      <c r="T578" s="313"/>
      <c r="U578" s="279"/>
      <c r="V578" s="227">
        <v>19</v>
      </c>
      <c r="W578" s="281"/>
      <c r="X578" s="282">
        <v>19</v>
      </c>
      <c r="Y578" s="293">
        <f t="shared" si="24"/>
        <v>19</v>
      </c>
      <c r="Z578" s="161" t="s">
        <v>73</v>
      </c>
      <c r="AA578" s="342">
        <f>IFERROR(BASE_DATOS[[#This Row],[NSK Original]]-BASE_DATOS[[#This Row],[NSK]]," ")</f>
        <v>2.3999999999999986</v>
      </c>
      <c r="AB578" s="343">
        <f>'NSK-TRACTO'!$A$2</f>
        <v>6</v>
      </c>
      <c r="AC578" s="343">
        <f>IF(BASE_DATOS[[#This Row],[NSK]]&gt;=BASE_DATOS[[#This Row],[NSK Reen]],BASE_DATOS[[#This Row],[NSK Reen]],BASE_DATOS[[#This Row],[NSK]])</f>
        <v>6</v>
      </c>
      <c r="AD578" s="344">
        <f>IFERROR(100%-(BASE_DATOS[[#This Row],[NSK Reen]]/BASE_DATOS[[#This Row],[NSK Original]]),"")</f>
        <v>0.71962616822429903</v>
      </c>
      <c r="AE578" s="344">
        <f>IFERROR(100%-BASE_DATOS[[#This Row],[NSK]]/BASE_DATOS[[#This Row],[NSK Original]],"")</f>
        <v>0.11214953271028028</v>
      </c>
      <c r="AF578" s="344">
        <f>IFERROR(BASE_DATOS[[#This Row],[% Max Des.]]-BASE_DATOS[[#This Row],[% Des]],"")</f>
        <v>0.60747663551401876</v>
      </c>
      <c r="AG578" s="287"/>
      <c r="AH578" s="273"/>
      <c r="AI578" s="363" t="str">
        <f>IF(OR(BASE_DATOS[[#This Row],[Hr.]]="",BASE_DATOS[[#This Row],[Hr. Actual]]=""),"",BASE_DATOS[[#This Row],[Hr. Actual]]-BASE_DATOS[[#This Row],[Hr.]]+BASE_DATOS[[#This Row],[Horas Acumuladas]])</f>
        <v/>
      </c>
      <c r="AJ578" s="364" t="str">
        <f>IFERROR(BASE_DATOS[[#This Row],[Precio US$]]/BASE_DATOS[[#This Row],[Horas Rodadas]],"")</f>
        <v/>
      </c>
      <c r="AK578" s="365" t="str">
        <f>IFERROR(BASE_DATOS[[#This Row],[Horas Rodadas]]/(BASE_DATOS[[#This Row],[NSK Original]]-BASE_DATOS[[#This Row],[NSK]]),"")</f>
        <v/>
      </c>
      <c r="AL57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78" s="366" t="str">
        <f>IFERROR(BASE_DATOS[[#This Row],[Precio US$]]/BASE_DATOS[[#This Row],[Horas Proy.]],"")</f>
        <v/>
      </c>
      <c r="AN578" s="176" t="str">
        <f>IF(OR(BASE_DATOS[[#This Row],[Km.]]="",BASE_DATOS[[#This Row],[Km. Actual]]=""),"",BASE_DATOS[[#This Row],[Km. Actual]]-BASE_DATOS[[#This Row],[Km.]]+BASE_DATOS[[#This Row],[Kilómetros Acumulados]])</f>
        <v/>
      </c>
      <c r="AO578" s="177" t="str">
        <f>IFERROR(BASE_DATOS[[#This Row],[Precio US$]]/BASE_DATOS[[#This Row],[Kilómetros Rodados]],"")</f>
        <v/>
      </c>
      <c r="AP578" s="176" t="str">
        <f>IFERROR(BASE_DATOS[[#This Row],[Kilómetros Rodados]]/(BASE_DATOS[[#This Row],[NSK Original]]-BASE_DATOS[[#This Row],[NSK]]),"")</f>
        <v/>
      </c>
      <c r="AQ57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78" s="177" t="str">
        <f>IFERROR(BASE_DATOS[[#This Row],[Precio US$]]/BASE_DATOS[[#This Row],[Kilómetros Proy.]],"")</f>
        <v/>
      </c>
      <c r="AS578" s="167" t="s">
        <v>62</v>
      </c>
      <c r="AT578" s="167"/>
      <c r="AU578" s="167"/>
      <c r="AV578" s="167"/>
      <c r="AW578" s="179"/>
      <c r="AX578" s="179"/>
      <c r="AY578" s="179" t="str">
        <f>CONCATENATE(BASE_DATOS[[#This Row],[Código_U]]&amp;BASE_DATOS[[#This Row],[Pos.]]&amp;BASE_DATOS[[#This Row],[Situación Actual]])</f>
        <v>TC-20610Rodando</v>
      </c>
    </row>
    <row r="579" spans="1:51" ht="12" x14ac:dyDescent="0.25">
      <c r="A579" s="222" t="s">
        <v>229</v>
      </c>
      <c r="B579" s="213" t="s">
        <v>236</v>
      </c>
      <c r="C579" s="225" t="s">
        <v>295</v>
      </c>
      <c r="D579" s="226" t="s">
        <v>87</v>
      </c>
      <c r="E579" s="249"/>
      <c r="F579" s="250" t="s">
        <v>97</v>
      </c>
      <c r="G579" s="250" t="s">
        <v>269</v>
      </c>
      <c r="H579" s="251" t="str">
        <f>IF(BASE_DATOS[[#This Row],[N-R]]="N",BASE_DATOS[[#This Row],[Diseño]],"Reencauche")</f>
        <v>AGC28</v>
      </c>
      <c r="I579" s="250" t="s">
        <v>270</v>
      </c>
      <c r="J579" s="235" t="s">
        <v>72</v>
      </c>
      <c r="K579" s="252">
        <v>16.5</v>
      </c>
      <c r="L579" s="250">
        <v>110</v>
      </c>
      <c r="M579" s="253"/>
      <c r="N579" s="254"/>
      <c r="O579" s="274"/>
      <c r="P579" s="275"/>
      <c r="Q579" s="276"/>
      <c r="R579" s="305" t="s">
        <v>98</v>
      </c>
      <c r="S579" s="306">
        <v>45386</v>
      </c>
      <c r="T579" s="314"/>
      <c r="U579" s="276"/>
      <c r="V579" s="224">
        <v>11</v>
      </c>
      <c r="W579" s="325">
        <v>11</v>
      </c>
      <c r="X579" s="326">
        <v>11</v>
      </c>
      <c r="Y579" s="292">
        <f t="shared" si="24"/>
        <v>11</v>
      </c>
      <c r="Z579" s="194" t="s">
        <v>85</v>
      </c>
      <c r="AA579" s="339">
        <f>IFERROR(BASE_DATOS[[#This Row],[NSK Original]]-BASE_DATOS[[#This Row],[NSK]]," ")</f>
        <v>5.5</v>
      </c>
      <c r="AB579" s="340">
        <f>'NSK-TRACTO'!$A$2</f>
        <v>6</v>
      </c>
      <c r="AC579" s="340">
        <f>IF(BASE_DATOS[[#This Row],[NSK]]&gt;=BASE_DATOS[[#This Row],[NSK Reen]],BASE_DATOS[[#This Row],[NSK Reen]],BASE_DATOS[[#This Row],[NSK]])</f>
        <v>6</v>
      </c>
      <c r="AD579" s="341">
        <f>IFERROR(100%-(BASE_DATOS[[#This Row],[NSK Reen]]/BASE_DATOS[[#This Row],[NSK Original]]),"")</f>
        <v>0.63636363636363635</v>
      </c>
      <c r="AE579" s="341">
        <f>IFERROR(100%-BASE_DATOS[[#This Row],[NSK]]/BASE_DATOS[[#This Row],[NSK Original]],"")</f>
        <v>0.33333333333333337</v>
      </c>
      <c r="AF579" s="341">
        <f>IFERROR(BASE_DATOS[[#This Row],[% Max Des.]]-BASE_DATOS[[#This Row],[% Des]],"")</f>
        <v>0.30303030303030298</v>
      </c>
      <c r="AG579" s="284"/>
      <c r="AH579" s="335"/>
      <c r="AI579" s="359" t="str">
        <f>IF(OR(BASE_DATOS[[#This Row],[Hr.]]="",BASE_DATOS[[#This Row],[Hr. Actual]]=""),"",BASE_DATOS[[#This Row],[Hr. Actual]]-BASE_DATOS[[#This Row],[Hr.]]+BASE_DATOS[[#This Row],[Horas Acumuladas]])</f>
        <v/>
      </c>
      <c r="AJ579" s="360" t="str">
        <f>IFERROR(BASE_DATOS[[#This Row],[Precio US$]]/BASE_DATOS[[#This Row],[Horas Rodadas]],"")</f>
        <v/>
      </c>
      <c r="AK579" s="361" t="str">
        <f>IFERROR(BASE_DATOS[[#This Row],[Horas Rodadas]]/(BASE_DATOS[[#This Row],[NSK Original]]-BASE_DATOS[[#This Row],[NSK]]),"")</f>
        <v/>
      </c>
      <c r="AL579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79" s="362" t="str">
        <f>IFERROR(BASE_DATOS[[#This Row],[Precio US$]]/BASE_DATOS[[#This Row],[Horas Proy.]],"")</f>
        <v/>
      </c>
      <c r="AN579" s="195" t="str">
        <f>IF(OR(BASE_DATOS[[#This Row],[Km.]]="",BASE_DATOS[[#This Row],[Km. Actual]]=""),"",BASE_DATOS[[#This Row],[Km. Actual]]-BASE_DATOS[[#This Row],[Km.]]+BASE_DATOS[[#This Row],[Kilómetros Acumulados]])</f>
        <v/>
      </c>
      <c r="AO579" s="196" t="str">
        <f>IFERROR(BASE_DATOS[[#This Row],[Precio US$]]/BASE_DATOS[[#This Row],[Kilómetros Rodados]],"")</f>
        <v/>
      </c>
      <c r="AP579" s="195" t="str">
        <f>IFERROR(BASE_DATOS[[#This Row],[Kilómetros Rodados]]/(BASE_DATOS[[#This Row],[NSK Original]]-BASE_DATOS[[#This Row],[NSK]]),"")</f>
        <v/>
      </c>
      <c r="AQ579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79" s="196" t="str">
        <f>IFERROR(BASE_DATOS[[#This Row],[Precio US$]]/BASE_DATOS[[#This Row],[Kilómetros Proy.]],"")</f>
        <v/>
      </c>
      <c r="AS579" s="191" t="s">
        <v>62</v>
      </c>
      <c r="AT579" s="191"/>
      <c r="AU579" s="191"/>
      <c r="AV579" s="191"/>
      <c r="AW579" s="198"/>
      <c r="AX579" s="198"/>
      <c r="AY579" s="198" t="str">
        <f>CONCATENATE(BASE_DATOS[[#This Row],[Código_U]]&amp;BASE_DATOS[[#This Row],[Pos.]]&amp;BASE_DATOS[[#This Row],[Situación Actual]])</f>
        <v>SR-2021Rodando</v>
      </c>
    </row>
    <row r="580" spans="1:51" ht="12" x14ac:dyDescent="0.25">
      <c r="A580" s="223" t="s">
        <v>229</v>
      </c>
      <c r="B580" s="217" t="s">
        <v>236</v>
      </c>
      <c r="C580" s="228" t="s">
        <v>295</v>
      </c>
      <c r="D580" s="229" t="s">
        <v>87</v>
      </c>
      <c r="E580" s="255"/>
      <c r="F580" s="256" t="s">
        <v>97</v>
      </c>
      <c r="G580" s="256" t="s">
        <v>269</v>
      </c>
      <c r="H580" s="257" t="str">
        <f>IF(BASE_DATOS[[#This Row],[N-R]]="N",BASE_DATOS[[#This Row],[Diseño]],"Reencauche")</f>
        <v>AGC28</v>
      </c>
      <c r="I580" s="256" t="s">
        <v>270</v>
      </c>
      <c r="J580" s="243" t="s">
        <v>72</v>
      </c>
      <c r="K580" s="258">
        <v>16.5</v>
      </c>
      <c r="L580" s="256">
        <v>110</v>
      </c>
      <c r="M580" s="259"/>
      <c r="N580" s="260"/>
      <c r="O580" s="277"/>
      <c r="P580" s="278"/>
      <c r="Q580" s="279"/>
      <c r="R580" s="309" t="s">
        <v>99</v>
      </c>
      <c r="S580" s="310">
        <v>45386</v>
      </c>
      <c r="T580" s="313"/>
      <c r="U580" s="279"/>
      <c r="V580" s="227">
        <v>13</v>
      </c>
      <c r="W580" s="281">
        <v>13</v>
      </c>
      <c r="X580" s="282">
        <v>13</v>
      </c>
      <c r="Y580" s="293">
        <f t="shared" si="24"/>
        <v>13</v>
      </c>
      <c r="Z580" s="175" t="s">
        <v>85</v>
      </c>
      <c r="AA580" s="342">
        <f>IFERROR(BASE_DATOS[[#This Row],[NSK Original]]-BASE_DATOS[[#This Row],[NSK]]," ")</f>
        <v>3.5</v>
      </c>
      <c r="AB580" s="343">
        <f>'NSK-TRACTO'!$A$2</f>
        <v>6</v>
      </c>
      <c r="AC580" s="343">
        <f>IF(BASE_DATOS[[#This Row],[NSK]]&gt;=BASE_DATOS[[#This Row],[NSK Reen]],BASE_DATOS[[#This Row],[NSK Reen]],BASE_DATOS[[#This Row],[NSK]])</f>
        <v>6</v>
      </c>
      <c r="AD580" s="344">
        <f>IFERROR(100%-(BASE_DATOS[[#This Row],[NSK Reen]]/BASE_DATOS[[#This Row],[NSK Original]]),"")</f>
        <v>0.63636363636363635</v>
      </c>
      <c r="AE580" s="344">
        <f>IFERROR(100%-BASE_DATOS[[#This Row],[NSK]]/BASE_DATOS[[#This Row],[NSK Original]],"")</f>
        <v>0.21212121212121215</v>
      </c>
      <c r="AF580" s="344">
        <f>IFERROR(BASE_DATOS[[#This Row],[% Max Des.]]-BASE_DATOS[[#This Row],[% Des]],"")</f>
        <v>0.4242424242424242</v>
      </c>
      <c r="AG580" s="287"/>
      <c r="AH580" s="273"/>
      <c r="AI580" s="363" t="str">
        <f>IF(OR(BASE_DATOS[[#This Row],[Hr.]]="",BASE_DATOS[[#This Row],[Hr. Actual]]=""),"",BASE_DATOS[[#This Row],[Hr. Actual]]-BASE_DATOS[[#This Row],[Hr.]]+BASE_DATOS[[#This Row],[Horas Acumuladas]])</f>
        <v/>
      </c>
      <c r="AJ580" s="364" t="str">
        <f>IFERROR(BASE_DATOS[[#This Row],[Precio US$]]/BASE_DATOS[[#This Row],[Horas Rodadas]],"")</f>
        <v/>
      </c>
      <c r="AK580" s="365" t="str">
        <f>IFERROR(BASE_DATOS[[#This Row],[Horas Rodadas]]/(BASE_DATOS[[#This Row],[NSK Original]]-BASE_DATOS[[#This Row],[NSK]]),"")</f>
        <v/>
      </c>
      <c r="AL58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80" s="366" t="str">
        <f>IFERROR(BASE_DATOS[[#This Row],[Precio US$]]/BASE_DATOS[[#This Row],[Horas Proy.]],"")</f>
        <v/>
      </c>
      <c r="AN580" s="176" t="str">
        <f>IF(OR(BASE_DATOS[[#This Row],[Km.]]="",BASE_DATOS[[#This Row],[Km. Actual]]=""),"",BASE_DATOS[[#This Row],[Km. Actual]]-BASE_DATOS[[#This Row],[Km.]]+BASE_DATOS[[#This Row],[Kilómetros Acumulados]])</f>
        <v/>
      </c>
      <c r="AO580" s="177" t="str">
        <f>IFERROR(BASE_DATOS[[#This Row],[Precio US$]]/BASE_DATOS[[#This Row],[Kilómetros Rodados]],"")</f>
        <v/>
      </c>
      <c r="AP580" s="176" t="str">
        <f>IFERROR(BASE_DATOS[[#This Row],[Kilómetros Rodados]]/(BASE_DATOS[[#This Row],[NSK Original]]-BASE_DATOS[[#This Row],[NSK]]),"")</f>
        <v/>
      </c>
      <c r="AQ58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80" s="177" t="str">
        <f>IFERROR(BASE_DATOS[[#This Row],[Precio US$]]/BASE_DATOS[[#This Row],[Kilómetros Proy.]],"")</f>
        <v/>
      </c>
      <c r="AS580" s="167" t="s">
        <v>62</v>
      </c>
      <c r="AT580" s="167"/>
      <c r="AU580" s="167"/>
      <c r="AV580" s="167"/>
      <c r="AW580" s="179"/>
      <c r="AX580" s="179"/>
      <c r="AY580" s="179" t="str">
        <f>CONCATENATE(BASE_DATOS[[#This Row],[Código_U]]&amp;BASE_DATOS[[#This Row],[Pos.]]&amp;BASE_DATOS[[#This Row],[Situación Actual]])</f>
        <v>SR-2022Rodando</v>
      </c>
    </row>
    <row r="581" spans="1:51" ht="12" x14ac:dyDescent="0.25">
      <c r="A581" s="223" t="s">
        <v>229</v>
      </c>
      <c r="B581" s="217" t="s">
        <v>236</v>
      </c>
      <c r="C581" s="228" t="s">
        <v>295</v>
      </c>
      <c r="D581" s="229" t="s">
        <v>87</v>
      </c>
      <c r="E581" s="255" t="s">
        <v>314</v>
      </c>
      <c r="F581" s="256" t="s">
        <v>97</v>
      </c>
      <c r="G581" s="256" t="s">
        <v>269</v>
      </c>
      <c r="H581" s="257" t="str">
        <f>IF(BASE_DATOS[[#This Row],[N-R]]="N",BASE_DATOS[[#This Row],[Diseño]],"Reencauche")</f>
        <v>AGC28</v>
      </c>
      <c r="I581" s="256" t="s">
        <v>270</v>
      </c>
      <c r="J581" s="243" t="s">
        <v>72</v>
      </c>
      <c r="K581" s="258">
        <v>16.5</v>
      </c>
      <c r="L581" s="256">
        <v>110</v>
      </c>
      <c r="M581" s="259"/>
      <c r="N581" s="260"/>
      <c r="O581" s="277"/>
      <c r="P581" s="278"/>
      <c r="Q581" s="279"/>
      <c r="R581" s="309" t="s">
        <v>100</v>
      </c>
      <c r="S581" s="310">
        <v>45386</v>
      </c>
      <c r="T581" s="313"/>
      <c r="U581" s="279"/>
      <c r="V581" s="227">
        <v>10</v>
      </c>
      <c r="W581" s="281">
        <v>10</v>
      </c>
      <c r="X581" s="282">
        <v>10</v>
      </c>
      <c r="Y581" s="293">
        <f t="shared" si="24"/>
        <v>10</v>
      </c>
      <c r="Z581" s="175" t="s">
        <v>85</v>
      </c>
      <c r="AA581" s="342">
        <f>IFERROR(BASE_DATOS[[#This Row],[NSK Original]]-BASE_DATOS[[#This Row],[NSK]]," ")</f>
        <v>6.5</v>
      </c>
      <c r="AB581" s="343">
        <f>'NSK-TRACTO'!$A$2</f>
        <v>6</v>
      </c>
      <c r="AC581" s="343">
        <f>IF(BASE_DATOS[[#This Row],[NSK]]&gt;=BASE_DATOS[[#This Row],[NSK Reen]],BASE_DATOS[[#This Row],[NSK Reen]],BASE_DATOS[[#This Row],[NSK]])</f>
        <v>6</v>
      </c>
      <c r="AD581" s="344">
        <f>IFERROR(100%-(BASE_DATOS[[#This Row],[NSK Reen]]/BASE_DATOS[[#This Row],[NSK Original]]),"")</f>
        <v>0.63636363636363635</v>
      </c>
      <c r="AE581" s="344">
        <f>IFERROR(100%-BASE_DATOS[[#This Row],[NSK]]/BASE_DATOS[[#This Row],[NSK Original]],"")</f>
        <v>0.39393939393939392</v>
      </c>
      <c r="AF581" s="344">
        <f>IFERROR(BASE_DATOS[[#This Row],[% Max Des.]]-BASE_DATOS[[#This Row],[% Des]],"")</f>
        <v>0.24242424242424243</v>
      </c>
      <c r="AG581" s="287"/>
      <c r="AH581" s="273"/>
      <c r="AI581" s="363" t="str">
        <f>IF(OR(BASE_DATOS[[#This Row],[Hr.]]="",BASE_DATOS[[#This Row],[Hr. Actual]]=""),"",BASE_DATOS[[#This Row],[Hr. Actual]]-BASE_DATOS[[#This Row],[Hr.]]+BASE_DATOS[[#This Row],[Horas Acumuladas]])</f>
        <v/>
      </c>
      <c r="AJ581" s="364" t="str">
        <f>IFERROR(BASE_DATOS[[#This Row],[Precio US$]]/BASE_DATOS[[#This Row],[Horas Rodadas]],"")</f>
        <v/>
      </c>
      <c r="AK581" s="365" t="str">
        <f>IFERROR(BASE_DATOS[[#This Row],[Horas Rodadas]]/(BASE_DATOS[[#This Row],[NSK Original]]-BASE_DATOS[[#This Row],[NSK]]),"")</f>
        <v/>
      </c>
      <c r="AL58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81" s="366" t="str">
        <f>IFERROR(BASE_DATOS[[#This Row],[Precio US$]]/BASE_DATOS[[#This Row],[Horas Proy.]],"")</f>
        <v/>
      </c>
      <c r="AN581" s="176" t="str">
        <f>IF(OR(BASE_DATOS[[#This Row],[Km.]]="",BASE_DATOS[[#This Row],[Km. Actual]]=""),"",BASE_DATOS[[#This Row],[Km. Actual]]-BASE_DATOS[[#This Row],[Km.]]+BASE_DATOS[[#This Row],[Kilómetros Acumulados]])</f>
        <v/>
      </c>
      <c r="AO581" s="177" t="str">
        <f>IFERROR(BASE_DATOS[[#This Row],[Precio US$]]/BASE_DATOS[[#This Row],[Kilómetros Rodados]],"")</f>
        <v/>
      </c>
      <c r="AP581" s="176" t="str">
        <f>IFERROR(BASE_DATOS[[#This Row],[Kilómetros Rodados]]/(BASE_DATOS[[#This Row],[NSK Original]]-BASE_DATOS[[#This Row],[NSK]]),"")</f>
        <v/>
      </c>
      <c r="AQ58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81" s="177" t="str">
        <f>IFERROR(BASE_DATOS[[#This Row],[Precio US$]]/BASE_DATOS[[#This Row],[Kilómetros Proy.]],"")</f>
        <v/>
      </c>
      <c r="AS581" s="167" t="s">
        <v>62</v>
      </c>
      <c r="AT581" s="167"/>
      <c r="AU581" s="167"/>
      <c r="AV581" s="167"/>
      <c r="AW581" s="179"/>
      <c r="AX581" s="179"/>
      <c r="AY581" s="179" t="str">
        <f>CONCATENATE(BASE_DATOS[[#This Row],[Código_U]]&amp;BASE_DATOS[[#This Row],[Pos.]]&amp;BASE_DATOS[[#This Row],[Situación Actual]])</f>
        <v>SR-2023Rodando</v>
      </c>
    </row>
    <row r="582" spans="1:51" ht="12" x14ac:dyDescent="0.25">
      <c r="A582" s="223" t="s">
        <v>229</v>
      </c>
      <c r="B582" s="217" t="s">
        <v>236</v>
      </c>
      <c r="C582" s="228" t="s">
        <v>295</v>
      </c>
      <c r="D582" s="229" t="s">
        <v>87</v>
      </c>
      <c r="E582" s="255" t="s">
        <v>315</v>
      </c>
      <c r="F582" s="256" t="s">
        <v>273</v>
      </c>
      <c r="G582" s="256" t="s">
        <v>274</v>
      </c>
      <c r="H582" s="257" t="str">
        <f>IF(BASE_DATOS[[#This Row],[N-R]]="N",BASE_DATOS[[#This Row],[Diseño]],"Reencauche")</f>
        <v>XZY3</v>
      </c>
      <c r="I582" s="256" t="s">
        <v>277</v>
      </c>
      <c r="J582" s="243" t="s">
        <v>72</v>
      </c>
      <c r="K582" s="258">
        <v>0</v>
      </c>
      <c r="L582" s="256">
        <v>110</v>
      </c>
      <c r="M582" s="259"/>
      <c r="N582" s="260"/>
      <c r="O582" s="277"/>
      <c r="P582" s="278"/>
      <c r="Q582" s="279"/>
      <c r="R582" s="309" t="s">
        <v>101</v>
      </c>
      <c r="S582" s="310">
        <v>45386</v>
      </c>
      <c r="T582" s="313"/>
      <c r="U582" s="279"/>
      <c r="V582" s="227">
        <v>14</v>
      </c>
      <c r="W582" s="281">
        <v>14</v>
      </c>
      <c r="X582" s="282">
        <v>14</v>
      </c>
      <c r="Y582" s="293">
        <f t="shared" si="24"/>
        <v>14</v>
      </c>
      <c r="Z582" s="161" t="s">
        <v>73</v>
      </c>
      <c r="AA582" s="342">
        <f>IFERROR(BASE_DATOS[[#This Row],[NSK Original]]-BASE_DATOS[[#This Row],[NSK]]," ")</f>
        <v>-14</v>
      </c>
      <c r="AB582" s="343">
        <f>'NSK-TRACTO'!$A$2</f>
        <v>6</v>
      </c>
      <c r="AC582" s="343">
        <f>IF(BASE_DATOS[[#This Row],[NSK]]&gt;=BASE_DATOS[[#This Row],[NSK Reen]],BASE_DATOS[[#This Row],[NSK Reen]],BASE_DATOS[[#This Row],[NSK]])</f>
        <v>6</v>
      </c>
      <c r="AD582" s="344" t="str">
        <f>IFERROR(100%-(BASE_DATOS[[#This Row],[NSK Reen]]/BASE_DATOS[[#This Row],[NSK Original]]),"")</f>
        <v/>
      </c>
      <c r="AE582" s="344" t="str">
        <f>IFERROR(100%-BASE_DATOS[[#This Row],[NSK]]/BASE_DATOS[[#This Row],[NSK Original]],"")</f>
        <v/>
      </c>
      <c r="AF582" s="344" t="str">
        <f>IFERROR(BASE_DATOS[[#This Row],[% Max Des.]]-BASE_DATOS[[#This Row],[% Des]],"")</f>
        <v/>
      </c>
      <c r="AG582" s="287"/>
      <c r="AH582" s="273"/>
      <c r="AI582" s="363" t="str">
        <f>IF(OR(BASE_DATOS[[#This Row],[Hr.]]="",BASE_DATOS[[#This Row],[Hr. Actual]]=""),"",BASE_DATOS[[#This Row],[Hr. Actual]]-BASE_DATOS[[#This Row],[Hr.]]+BASE_DATOS[[#This Row],[Horas Acumuladas]])</f>
        <v/>
      </c>
      <c r="AJ582" s="364" t="str">
        <f>IFERROR(BASE_DATOS[[#This Row],[Precio US$]]/BASE_DATOS[[#This Row],[Horas Rodadas]],"")</f>
        <v/>
      </c>
      <c r="AK582" s="365" t="str">
        <f>IFERROR(BASE_DATOS[[#This Row],[Horas Rodadas]]/(BASE_DATOS[[#This Row],[NSK Original]]-BASE_DATOS[[#This Row],[NSK]]),"")</f>
        <v/>
      </c>
      <c r="AL58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82" s="366" t="str">
        <f>IFERROR(BASE_DATOS[[#This Row],[Precio US$]]/BASE_DATOS[[#This Row],[Horas Proy.]],"")</f>
        <v/>
      </c>
      <c r="AN582" s="176" t="str">
        <f>IF(OR(BASE_DATOS[[#This Row],[Km.]]="",BASE_DATOS[[#This Row],[Km. Actual]]=""),"",BASE_DATOS[[#This Row],[Km. Actual]]-BASE_DATOS[[#This Row],[Km.]]+BASE_DATOS[[#This Row],[Kilómetros Acumulados]])</f>
        <v/>
      </c>
      <c r="AO582" s="177" t="str">
        <f>IFERROR(BASE_DATOS[[#This Row],[Precio US$]]/BASE_DATOS[[#This Row],[Kilómetros Rodados]],"")</f>
        <v/>
      </c>
      <c r="AP582" s="176" t="str">
        <f>IFERROR(BASE_DATOS[[#This Row],[Kilómetros Rodados]]/(BASE_DATOS[[#This Row],[NSK Original]]-BASE_DATOS[[#This Row],[NSK]]),"")</f>
        <v/>
      </c>
      <c r="AQ58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82" s="177" t="str">
        <f>IFERROR(BASE_DATOS[[#This Row],[Precio US$]]/BASE_DATOS[[#This Row],[Kilómetros Proy.]],"")</f>
        <v/>
      </c>
      <c r="AS582" s="167" t="s">
        <v>62</v>
      </c>
      <c r="AT582" s="167"/>
      <c r="AU582" s="167"/>
      <c r="AV582" s="167"/>
      <c r="AW582" s="179"/>
      <c r="AX582" s="179"/>
      <c r="AY582" s="179" t="str">
        <f>CONCATENATE(BASE_DATOS[[#This Row],[Código_U]]&amp;BASE_DATOS[[#This Row],[Pos.]]&amp;BASE_DATOS[[#This Row],[Situación Actual]])</f>
        <v>SR-2024Rodando</v>
      </c>
    </row>
    <row r="583" spans="1:51" ht="12" x14ac:dyDescent="0.25">
      <c r="A583" s="223" t="s">
        <v>229</v>
      </c>
      <c r="B583" s="217" t="s">
        <v>236</v>
      </c>
      <c r="C583" s="228" t="s">
        <v>295</v>
      </c>
      <c r="D583" s="229" t="s">
        <v>87</v>
      </c>
      <c r="E583" s="255" t="s">
        <v>316</v>
      </c>
      <c r="F583" s="256" t="s">
        <v>97</v>
      </c>
      <c r="G583" s="256" t="s">
        <v>269</v>
      </c>
      <c r="H583" s="257" t="str">
        <f>IF(BASE_DATOS[[#This Row],[N-R]]="N",BASE_DATOS[[#This Row],[Diseño]],"Reencauche")</f>
        <v>AGC28</v>
      </c>
      <c r="I583" s="256" t="s">
        <v>270</v>
      </c>
      <c r="J583" s="243" t="s">
        <v>72</v>
      </c>
      <c r="K583" s="258">
        <v>16.5</v>
      </c>
      <c r="L583" s="256">
        <v>110</v>
      </c>
      <c r="M583" s="259"/>
      <c r="N583" s="260"/>
      <c r="O583" s="277"/>
      <c r="P583" s="278"/>
      <c r="Q583" s="279"/>
      <c r="R583" s="309" t="s">
        <v>102</v>
      </c>
      <c r="S583" s="310">
        <v>45386</v>
      </c>
      <c r="T583" s="313"/>
      <c r="U583" s="279"/>
      <c r="V583" s="227">
        <v>12</v>
      </c>
      <c r="W583" s="281">
        <v>12</v>
      </c>
      <c r="X583" s="282">
        <v>12</v>
      </c>
      <c r="Y583" s="293">
        <f t="shared" si="24"/>
        <v>12</v>
      </c>
      <c r="Z583" s="175" t="s">
        <v>85</v>
      </c>
      <c r="AA583" s="342">
        <f>IFERROR(BASE_DATOS[[#This Row],[NSK Original]]-BASE_DATOS[[#This Row],[NSK]]," ")</f>
        <v>4.5</v>
      </c>
      <c r="AB583" s="343">
        <f>'NSK-TRACTO'!$A$2</f>
        <v>6</v>
      </c>
      <c r="AC583" s="343">
        <f>IF(BASE_DATOS[[#This Row],[NSK]]&gt;=BASE_DATOS[[#This Row],[NSK Reen]],BASE_DATOS[[#This Row],[NSK Reen]],BASE_DATOS[[#This Row],[NSK]])</f>
        <v>6</v>
      </c>
      <c r="AD583" s="344">
        <f>IFERROR(100%-(BASE_DATOS[[#This Row],[NSK Reen]]/BASE_DATOS[[#This Row],[NSK Original]]),"")</f>
        <v>0.63636363636363635</v>
      </c>
      <c r="AE583" s="344">
        <f>IFERROR(100%-BASE_DATOS[[#This Row],[NSK]]/BASE_DATOS[[#This Row],[NSK Original]],"")</f>
        <v>0.27272727272727271</v>
      </c>
      <c r="AF583" s="344">
        <f>IFERROR(BASE_DATOS[[#This Row],[% Max Des.]]-BASE_DATOS[[#This Row],[% Des]],"")</f>
        <v>0.36363636363636365</v>
      </c>
      <c r="AG583" s="287"/>
      <c r="AH583" s="273"/>
      <c r="AI583" s="363" t="str">
        <f>IF(OR(BASE_DATOS[[#This Row],[Hr.]]="",BASE_DATOS[[#This Row],[Hr. Actual]]=""),"",BASE_DATOS[[#This Row],[Hr. Actual]]-BASE_DATOS[[#This Row],[Hr.]]+BASE_DATOS[[#This Row],[Horas Acumuladas]])</f>
        <v/>
      </c>
      <c r="AJ583" s="364" t="str">
        <f>IFERROR(BASE_DATOS[[#This Row],[Precio US$]]/BASE_DATOS[[#This Row],[Horas Rodadas]],"")</f>
        <v/>
      </c>
      <c r="AK583" s="365" t="str">
        <f>IFERROR(BASE_DATOS[[#This Row],[Horas Rodadas]]/(BASE_DATOS[[#This Row],[NSK Original]]-BASE_DATOS[[#This Row],[NSK]]),"")</f>
        <v/>
      </c>
      <c r="AL58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83" s="366" t="str">
        <f>IFERROR(BASE_DATOS[[#This Row],[Precio US$]]/BASE_DATOS[[#This Row],[Horas Proy.]],"")</f>
        <v/>
      </c>
      <c r="AN583" s="176" t="str">
        <f>IF(OR(BASE_DATOS[[#This Row],[Km.]]="",BASE_DATOS[[#This Row],[Km. Actual]]=""),"",BASE_DATOS[[#This Row],[Km. Actual]]-BASE_DATOS[[#This Row],[Km.]]+BASE_DATOS[[#This Row],[Kilómetros Acumulados]])</f>
        <v/>
      </c>
      <c r="AO583" s="177" t="str">
        <f>IFERROR(BASE_DATOS[[#This Row],[Precio US$]]/BASE_DATOS[[#This Row],[Kilómetros Rodados]],"")</f>
        <v/>
      </c>
      <c r="AP583" s="176" t="str">
        <f>IFERROR(BASE_DATOS[[#This Row],[Kilómetros Rodados]]/(BASE_DATOS[[#This Row],[NSK Original]]-BASE_DATOS[[#This Row],[NSK]]),"")</f>
        <v/>
      </c>
      <c r="AQ58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83" s="177" t="str">
        <f>IFERROR(BASE_DATOS[[#This Row],[Precio US$]]/BASE_DATOS[[#This Row],[Kilómetros Proy.]],"")</f>
        <v/>
      </c>
      <c r="AS583" s="167" t="s">
        <v>62</v>
      </c>
      <c r="AT583" s="167"/>
      <c r="AU583" s="167"/>
      <c r="AV583" s="167"/>
      <c r="AW583" s="179"/>
      <c r="AX583" s="179"/>
      <c r="AY583" s="179" t="str">
        <f>CONCATENATE(BASE_DATOS[[#This Row],[Código_U]]&amp;BASE_DATOS[[#This Row],[Pos.]]&amp;BASE_DATOS[[#This Row],[Situación Actual]])</f>
        <v>SR-2025Rodando</v>
      </c>
    </row>
    <row r="584" spans="1:51" ht="12" x14ac:dyDescent="0.25">
      <c r="A584" s="223" t="s">
        <v>229</v>
      </c>
      <c r="B584" s="217" t="s">
        <v>236</v>
      </c>
      <c r="C584" s="228" t="s">
        <v>295</v>
      </c>
      <c r="D584" s="229" t="s">
        <v>87</v>
      </c>
      <c r="E584" s="255" t="s">
        <v>317</v>
      </c>
      <c r="F584" s="256" t="s">
        <v>97</v>
      </c>
      <c r="G584" s="256" t="s">
        <v>269</v>
      </c>
      <c r="H584" s="257" t="str">
        <f>IF(BASE_DATOS[[#This Row],[N-R]]="N",BASE_DATOS[[#This Row],[Diseño]],"Reencauche")</f>
        <v>AGC28</v>
      </c>
      <c r="I584" s="256" t="s">
        <v>270</v>
      </c>
      <c r="J584" s="243" t="s">
        <v>72</v>
      </c>
      <c r="K584" s="258">
        <v>16.5</v>
      </c>
      <c r="L584" s="256">
        <v>110</v>
      </c>
      <c r="M584" s="259"/>
      <c r="N584" s="260"/>
      <c r="O584" s="277"/>
      <c r="P584" s="278"/>
      <c r="Q584" s="279"/>
      <c r="R584" s="309" t="s">
        <v>103</v>
      </c>
      <c r="S584" s="310">
        <v>45386</v>
      </c>
      <c r="T584" s="313"/>
      <c r="U584" s="279"/>
      <c r="V584" s="227">
        <v>11</v>
      </c>
      <c r="W584" s="281">
        <v>11</v>
      </c>
      <c r="X584" s="282">
        <v>11</v>
      </c>
      <c r="Y584" s="293">
        <f t="shared" si="24"/>
        <v>11</v>
      </c>
      <c r="Z584" s="175" t="s">
        <v>85</v>
      </c>
      <c r="AA584" s="342">
        <f>IFERROR(BASE_DATOS[[#This Row],[NSK Original]]-BASE_DATOS[[#This Row],[NSK]]," ")</f>
        <v>5.5</v>
      </c>
      <c r="AB584" s="343">
        <f>'NSK-TRACTO'!$A$2</f>
        <v>6</v>
      </c>
      <c r="AC584" s="343">
        <f>IF(BASE_DATOS[[#This Row],[NSK]]&gt;=BASE_DATOS[[#This Row],[NSK Reen]],BASE_DATOS[[#This Row],[NSK Reen]],BASE_DATOS[[#This Row],[NSK]])</f>
        <v>6</v>
      </c>
      <c r="AD584" s="344">
        <f>IFERROR(100%-(BASE_DATOS[[#This Row],[NSK Reen]]/BASE_DATOS[[#This Row],[NSK Original]]),"")</f>
        <v>0.63636363636363635</v>
      </c>
      <c r="AE584" s="344">
        <f>IFERROR(100%-BASE_DATOS[[#This Row],[NSK]]/BASE_DATOS[[#This Row],[NSK Original]],"")</f>
        <v>0.33333333333333337</v>
      </c>
      <c r="AF584" s="344">
        <f>IFERROR(BASE_DATOS[[#This Row],[% Max Des.]]-BASE_DATOS[[#This Row],[% Des]],"")</f>
        <v>0.30303030303030298</v>
      </c>
      <c r="AG584" s="287"/>
      <c r="AH584" s="273"/>
      <c r="AI584" s="363" t="str">
        <f>IF(OR(BASE_DATOS[[#This Row],[Hr.]]="",BASE_DATOS[[#This Row],[Hr. Actual]]=""),"",BASE_DATOS[[#This Row],[Hr. Actual]]-BASE_DATOS[[#This Row],[Hr.]]+BASE_DATOS[[#This Row],[Horas Acumuladas]])</f>
        <v/>
      </c>
      <c r="AJ584" s="364" t="str">
        <f>IFERROR(BASE_DATOS[[#This Row],[Precio US$]]/BASE_DATOS[[#This Row],[Horas Rodadas]],"")</f>
        <v/>
      </c>
      <c r="AK584" s="365" t="str">
        <f>IFERROR(BASE_DATOS[[#This Row],[Horas Rodadas]]/(BASE_DATOS[[#This Row],[NSK Original]]-BASE_DATOS[[#This Row],[NSK]]),"")</f>
        <v/>
      </c>
      <c r="AL58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84" s="366" t="str">
        <f>IFERROR(BASE_DATOS[[#This Row],[Precio US$]]/BASE_DATOS[[#This Row],[Horas Proy.]],"")</f>
        <v/>
      </c>
      <c r="AN584" s="176" t="str">
        <f>IF(OR(BASE_DATOS[[#This Row],[Km.]]="",BASE_DATOS[[#This Row],[Km. Actual]]=""),"",BASE_DATOS[[#This Row],[Km. Actual]]-BASE_DATOS[[#This Row],[Km.]]+BASE_DATOS[[#This Row],[Kilómetros Acumulados]])</f>
        <v/>
      </c>
      <c r="AO584" s="177" t="str">
        <f>IFERROR(BASE_DATOS[[#This Row],[Precio US$]]/BASE_DATOS[[#This Row],[Kilómetros Rodados]],"")</f>
        <v/>
      </c>
      <c r="AP584" s="176" t="str">
        <f>IFERROR(BASE_DATOS[[#This Row],[Kilómetros Rodados]]/(BASE_DATOS[[#This Row],[NSK Original]]-BASE_DATOS[[#This Row],[NSK]]),"")</f>
        <v/>
      </c>
      <c r="AQ58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84" s="177" t="str">
        <f>IFERROR(BASE_DATOS[[#This Row],[Precio US$]]/BASE_DATOS[[#This Row],[Kilómetros Proy.]],"")</f>
        <v/>
      </c>
      <c r="AS584" s="167" t="s">
        <v>62</v>
      </c>
      <c r="AT584" s="167"/>
      <c r="AU584" s="167"/>
      <c r="AV584" s="167"/>
      <c r="AW584" s="179"/>
      <c r="AX584" s="179"/>
      <c r="AY584" s="179" t="str">
        <f>CONCATENATE(BASE_DATOS[[#This Row],[Código_U]]&amp;BASE_DATOS[[#This Row],[Pos.]]&amp;BASE_DATOS[[#This Row],[Situación Actual]])</f>
        <v>SR-2026Rodando</v>
      </c>
    </row>
    <row r="585" spans="1:51" ht="12" x14ac:dyDescent="0.25">
      <c r="A585" s="223" t="s">
        <v>229</v>
      </c>
      <c r="B585" s="217" t="s">
        <v>236</v>
      </c>
      <c r="C585" s="228" t="s">
        <v>295</v>
      </c>
      <c r="D585" s="229" t="s">
        <v>384</v>
      </c>
      <c r="E585" s="255"/>
      <c r="F585" s="256" t="s">
        <v>71</v>
      </c>
      <c r="G585" s="256" t="s">
        <v>269</v>
      </c>
      <c r="H585" s="257" t="str">
        <f>IF(BASE_DATOS[[#This Row],[N-R]]="N",BASE_DATOS[[#This Row],[Diseño]],"Reencauche")</f>
        <v>Reencauche</v>
      </c>
      <c r="I585" s="256" t="s">
        <v>275</v>
      </c>
      <c r="J585" s="243" t="s">
        <v>82</v>
      </c>
      <c r="K585" s="258">
        <v>19</v>
      </c>
      <c r="L585" s="256">
        <v>110</v>
      </c>
      <c r="M585" s="259"/>
      <c r="N585" s="260"/>
      <c r="O585" s="277"/>
      <c r="P585" s="278"/>
      <c r="Q585" s="279"/>
      <c r="R585" s="309" t="s">
        <v>509</v>
      </c>
      <c r="S585" s="310">
        <v>45386</v>
      </c>
      <c r="T585" s="313"/>
      <c r="U585" s="279"/>
      <c r="V585" s="227">
        <v>17</v>
      </c>
      <c r="W585" s="281">
        <v>17</v>
      </c>
      <c r="X585" s="282">
        <v>17</v>
      </c>
      <c r="Y585" s="293">
        <f t="shared" si="24"/>
        <v>17</v>
      </c>
      <c r="Z585" s="175" t="s">
        <v>85</v>
      </c>
      <c r="AA585" s="342">
        <f>IFERROR(BASE_DATOS[[#This Row],[NSK Original]]-BASE_DATOS[[#This Row],[NSK]]," ")</f>
        <v>2</v>
      </c>
      <c r="AB585" s="343">
        <f>'NSK-TRACTO'!$A$2</f>
        <v>6</v>
      </c>
      <c r="AC585" s="343">
        <f>IF(BASE_DATOS[[#This Row],[NSK]]&gt;=BASE_DATOS[[#This Row],[NSK Reen]],BASE_DATOS[[#This Row],[NSK Reen]],BASE_DATOS[[#This Row],[NSK]])</f>
        <v>6</v>
      </c>
      <c r="AD585" s="344">
        <f>IFERROR(100%-(BASE_DATOS[[#This Row],[NSK Reen]]/BASE_DATOS[[#This Row],[NSK Original]]),"")</f>
        <v>0.68421052631578949</v>
      </c>
      <c r="AE585" s="344">
        <f>IFERROR(100%-BASE_DATOS[[#This Row],[NSK]]/BASE_DATOS[[#This Row],[NSK Original]],"")</f>
        <v>0.10526315789473684</v>
      </c>
      <c r="AF585" s="344">
        <f>IFERROR(BASE_DATOS[[#This Row],[% Max Des.]]-BASE_DATOS[[#This Row],[% Des]],"")</f>
        <v>0.57894736842105265</v>
      </c>
      <c r="AG585" s="287"/>
      <c r="AH585" s="273"/>
      <c r="AI585" s="363" t="str">
        <f>IF(OR(BASE_DATOS[[#This Row],[Hr.]]="",BASE_DATOS[[#This Row],[Hr. Actual]]=""),"",BASE_DATOS[[#This Row],[Hr. Actual]]-BASE_DATOS[[#This Row],[Hr.]]+BASE_DATOS[[#This Row],[Horas Acumuladas]])</f>
        <v/>
      </c>
      <c r="AJ585" s="364" t="str">
        <f>IFERROR(BASE_DATOS[[#This Row],[Precio US$]]/BASE_DATOS[[#This Row],[Horas Rodadas]],"")</f>
        <v/>
      </c>
      <c r="AK585" s="365" t="str">
        <f>IFERROR(BASE_DATOS[[#This Row],[Horas Rodadas]]/(BASE_DATOS[[#This Row],[NSK Original]]-BASE_DATOS[[#This Row],[NSK]]),"")</f>
        <v/>
      </c>
      <c r="AL58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85" s="366" t="str">
        <f>IFERROR(BASE_DATOS[[#This Row],[Precio US$]]/BASE_DATOS[[#This Row],[Horas Proy.]],"")</f>
        <v/>
      </c>
      <c r="AN585" s="176" t="str">
        <f>IF(OR(BASE_DATOS[[#This Row],[Km.]]="",BASE_DATOS[[#This Row],[Km. Actual]]=""),"",BASE_DATOS[[#This Row],[Km. Actual]]-BASE_DATOS[[#This Row],[Km.]]+BASE_DATOS[[#This Row],[Kilómetros Acumulados]])</f>
        <v/>
      </c>
      <c r="AO585" s="177" t="str">
        <f>IFERROR(BASE_DATOS[[#This Row],[Precio US$]]/BASE_DATOS[[#This Row],[Kilómetros Rodados]],"")</f>
        <v/>
      </c>
      <c r="AP585" s="176" t="str">
        <f>IFERROR(BASE_DATOS[[#This Row],[Kilómetros Rodados]]/(BASE_DATOS[[#This Row],[NSK Original]]-BASE_DATOS[[#This Row],[NSK]]),"")</f>
        <v/>
      </c>
      <c r="AQ58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85" s="177" t="str">
        <f>IFERROR(BASE_DATOS[[#This Row],[Precio US$]]/BASE_DATOS[[#This Row],[Kilómetros Proy.]],"")</f>
        <v/>
      </c>
      <c r="AS585" s="167" t="s">
        <v>62</v>
      </c>
      <c r="AT585" s="167"/>
      <c r="AU585" s="167"/>
      <c r="AV585" s="167"/>
      <c r="AW585" s="179"/>
      <c r="AX585" s="179"/>
      <c r="AY585" s="179" t="str">
        <f>CONCATENATE(BASE_DATOS[[#This Row],[Código_U]]&amp;BASE_DATOS[[#This Row],[Pos.]]&amp;BASE_DATOS[[#This Row],[Situación Actual]])</f>
        <v>SR-202RERodando</v>
      </c>
    </row>
    <row r="586" spans="1:51" ht="12" x14ac:dyDescent="0.25">
      <c r="A586" s="223" t="s">
        <v>229</v>
      </c>
      <c r="B586" s="217" t="s">
        <v>236</v>
      </c>
      <c r="C586" s="228" t="s">
        <v>295</v>
      </c>
      <c r="D586" s="229" t="s">
        <v>108</v>
      </c>
      <c r="E586" s="255" t="s">
        <v>318</v>
      </c>
      <c r="F586" s="256" t="s">
        <v>273</v>
      </c>
      <c r="G586" s="256" t="s">
        <v>271</v>
      </c>
      <c r="H586" s="257" t="str">
        <f>IF(BASE_DATOS[[#This Row],[N-R]]="N",BASE_DATOS[[#This Row],[Diseño]],"Reencauche")</f>
        <v>XMULTI+Z</v>
      </c>
      <c r="I586" s="256" t="s">
        <v>297</v>
      </c>
      <c r="J586" s="243" t="s">
        <v>72</v>
      </c>
      <c r="K586" s="258">
        <v>16</v>
      </c>
      <c r="L586" s="256">
        <v>100</v>
      </c>
      <c r="M586" s="259"/>
      <c r="N586" s="260"/>
      <c r="O586" s="277"/>
      <c r="P586" s="278"/>
      <c r="Q586" s="279"/>
      <c r="R586" s="309" t="s">
        <v>108</v>
      </c>
      <c r="S586" s="310">
        <v>45386</v>
      </c>
      <c r="T586" s="313"/>
      <c r="U586" s="279"/>
      <c r="V586" s="227">
        <v>13</v>
      </c>
      <c r="W586" s="281">
        <v>13</v>
      </c>
      <c r="X586" s="282">
        <v>13</v>
      </c>
      <c r="Y586" s="293">
        <f t="shared" si="24"/>
        <v>13</v>
      </c>
      <c r="Z586" s="175" t="s">
        <v>85</v>
      </c>
      <c r="AA586" s="342">
        <f>IFERROR(BASE_DATOS[[#This Row],[NSK Original]]-BASE_DATOS[[#This Row],[NSK]]," ")</f>
        <v>3</v>
      </c>
      <c r="AB586" s="343">
        <f>'NSK-TRACTO'!$A$2</f>
        <v>6</v>
      </c>
      <c r="AC586" s="343">
        <f>IF(BASE_DATOS[[#This Row],[NSK]]&gt;=BASE_DATOS[[#This Row],[NSK Reen]],BASE_DATOS[[#This Row],[NSK Reen]],BASE_DATOS[[#This Row],[NSK]])</f>
        <v>6</v>
      </c>
      <c r="AD586" s="344">
        <f>IFERROR(100%-(BASE_DATOS[[#This Row],[NSK Reen]]/BASE_DATOS[[#This Row],[NSK Original]]),"")</f>
        <v>0.625</v>
      </c>
      <c r="AE586" s="344">
        <f>IFERROR(100%-BASE_DATOS[[#This Row],[NSK]]/BASE_DATOS[[#This Row],[NSK Original]],"")</f>
        <v>0.1875</v>
      </c>
      <c r="AF586" s="344">
        <f>IFERROR(BASE_DATOS[[#This Row],[% Max Des.]]-BASE_DATOS[[#This Row],[% Des]],"")</f>
        <v>0.4375</v>
      </c>
      <c r="AG586" s="287"/>
      <c r="AH586" s="273"/>
      <c r="AI586" s="363" t="str">
        <f>IF(OR(BASE_DATOS[[#This Row],[Hr.]]="",BASE_DATOS[[#This Row],[Hr. Actual]]=""),"",BASE_DATOS[[#This Row],[Hr. Actual]]-BASE_DATOS[[#This Row],[Hr.]]+BASE_DATOS[[#This Row],[Horas Acumuladas]])</f>
        <v/>
      </c>
      <c r="AJ586" s="364" t="str">
        <f>IFERROR(BASE_DATOS[[#This Row],[Precio US$]]/BASE_DATOS[[#This Row],[Horas Rodadas]],"")</f>
        <v/>
      </c>
      <c r="AK586" s="365" t="str">
        <f>IFERROR(BASE_DATOS[[#This Row],[Horas Rodadas]]/(BASE_DATOS[[#This Row],[NSK Original]]-BASE_DATOS[[#This Row],[NSK]]),"")</f>
        <v/>
      </c>
      <c r="AL58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86" s="366" t="str">
        <f>IFERROR(BASE_DATOS[[#This Row],[Precio US$]]/BASE_DATOS[[#This Row],[Horas Proy.]],"")</f>
        <v/>
      </c>
      <c r="AN586" s="176" t="str">
        <f>IF(OR(BASE_DATOS[[#This Row],[Km.]]="",BASE_DATOS[[#This Row],[Km. Actual]]=""),"",BASE_DATOS[[#This Row],[Km. Actual]]-BASE_DATOS[[#This Row],[Km.]]+BASE_DATOS[[#This Row],[Kilómetros Acumulados]])</f>
        <v/>
      </c>
      <c r="AO586" s="177" t="str">
        <f>IFERROR(BASE_DATOS[[#This Row],[Precio US$]]/BASE_DATOS[[#This Row],[Kilómetros Rodados]],"")</f>
        <v/>
      </c>
      <c r="AP586" s="176" t="str">
        <f>IFERROR(BASE_DATOS[[#This Row],[Kilómetros Rodados]]/(BASE_DATOS[[#This Row],[NSK Original]]-BASE_DATOS[[#This Row],[NSK]]),"")</f>
        <v/>
      </c>
      <c r="AQ58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86" s="177" t="str">
        <f>IFERROR(BASE_DATOS[[#This Row],[Precio US$]]/BASE_DATOS[[#This Row],[Kilómetros Proy.]],"")</f>
        <v/>
      </c>
      <c r="AS586" s="167" t="s">
        <v>62</v>
      </c>
      <c r="AT586" s="167"/>
      <c r="AU586" s="167"/>
      <c r="AV586" s="167"/>
      <c r="AW586" s="179"/>
      <c r="AX586" s="179"/>
      <c r="AY586" s="179" t="str">
        <f>CONCATENATE(BASE_DATOS[[#This Row],[Código_U]]&amp;BASE_DATOS[[#This Row],[Pos.]]&amp;BASE_DATOS[[#This Row],[Situación Actual]])</f>
        <v>SR-202RTRodando</v>
      </c>
    </row>
    <row r="587" spans="1:51" ht="12" x14ac:dyDescent="0.25">
      <c r="A587" s="224" t="s">
        <v>237</v>
      </c>
      <c r="B587" s="213" t="s">
        <v>238</v>
      </c>
      <c r="C587" s="225" t="s">
        <v>296</v>
      </c>
      <c r="D587" s="226" t="s">
        <v>86</v>
      </c>
      <c r="E587" s="249"/>
      <c r="F587" s="250" t="s">
        <v>273</v>
      </c>
      <c r="G587" s="250" t="s">
        <v>271</v>
      </c>
      <c r="H587" s="251" t="str">
        <f>IF(BASE_DATOS[[#This Row],[N-R]]="N",BASE_DATOS[[#This Row],[Diseño]],"Reencauche")</f>
        <v>XMULTI+Z</v>
      </c>
      <c r="I587" s="250" t="s">
        <v>297</v>
      </c>
      <c r="J587" s="235" t="s">
        <v>72</v>
      </c>
      <c r="K587" s="252">
        <v>16</v>
      </c>
      <c r="L587" s="233">
        <v>100</v>
      </c>
      <c r="M587" s="253"/>
      <c r="N587" s="254"/>
      <c r="O587" s="274"/>
      <c r="P587" s="275"/>
      <c r="Q587" s="276"/>
      <c r="R587" s="305" t="s">
        <v>98</v>
      </c>
      <c r="S587" s="306">
        <v>45386</v>
      </c>
      <c r="T587" s="314"/>
      <c r="U587" s="276"/>
      <c r="V587" s="224">
        <v>15</v>
      </c>
      <c r="W587" s="325">
        <v>15</v>
      </c>
      <c r="X587" s="326">
        <v>15</v>
      </c>
      <c r="Y587" s="292">
        <f t="shared" ref="Y587:Y596" si="25">IFERROR(MIN(V587:X587),"")</f>
        <v>15</v>
      </c>
      <c r="Z587" s="185" t="s">
        <v>73</v>
      </c>
      <c r="AA587" s="339">
        <f>IFERROR(BASE_DATOS[[#This Row],[NSK Original]]-BASE_DATOS[[#This Row],[NSK]]," ")</f>
        <v>1</v>
      </c>
      <c r="AB587" s="340">
        <f>'NSK-TRACTO'!$A$2</f>
        <v>6</v>
      </c>
      <c r="AC587" s="340">
        <f>IF(BASE_DATOS[[#This Row],[NSK]]&gt;=BASE_DATOS[[#This Row],[NSK Reen]],BASE_DATOS[[#This Row],[NSK Reen]],BASE_DATOS[[#This Row],[NSK]])</f>
        <v>6</v>
      </c>
      <c r="AD587" s="341">
        <f>IFERROR(100%-(BASE_DATOS[[#This Row],[NSK Reen]]/BASE_DATOS[[#This Row],[NSK Original]]),"")</f>
        <v>0.625</v>
      </c>
      <c r="AE587" s="341">
        <f>IFERROR(100%-BASE_DATOS[[#This Row],[NSK]]/BASE_DATOS[[#This Row],[NSK Original]],"")</f>
        <v>6.25E-2</v>
      </c>
      <c r="AF587" s="341">
        <f>IFERROR(BASE_DATOS[[#This Row],[% Max Des.]]-BASE_DATOS[[#This Row],[% Des]],"")</f>
        <v>0.5625</v>
      </c>
      <c r="AG587" s="284"/>
      <c r="AH587" s="335"/>
      <c r="AI587" s="359" t="str">
        <f>IF(OR(BASE_DATOS[[#This Row],[Hr.]]="",BASE_DATOS[[#This Row],[Hr. Actual]]=""),"",BASE_DATOS[[#This Row],[Hr. Actual]]-BASE_DATOS[[#This Row],[Hr.]]+BASE_DATOS[[#This Row],[Horas Acumuladas]])</f>
        <v/>
      </c>
      <c r="AJ587" s="360" t="str">
        <f>IFERROR(BASE_DATOS[[#This Row],[Precio US$]]/BASE_DATOS[[#This Row],[Horas Rodadas]],"")</f>
        <v/>
      </c>
      <c r="AK587" s="361" t="str">
        <f>IFERROR(BASE_DATOS[[#This Row],[Horas Rodadas]]/(BASE_DATOS[[#This Row],[NSK Original]]-BASE_DATOS[[#This Row],[NSK]]),"")</f>
        <v/>
      </c>
      <c r="AL587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87" s="362" t="str">
        <f>IFERROR(BASE_DATOS[[#This Row],[Precio US$]]/BASE_DATOS[[#This Row],[Horas Proy.]],"")</f>
        <v/>
      </c>
      <c r="AN587" s="195" t="str">
        <f>IF(OR(BASE_DATOS[[#This Row],[Km.]]="",BASE_DATOS[[#This Row],[Km. Actual]]=""),"",BASE_DATOS[[#This Row],[Km. Actual]]-BASE_DATOS[[#This Row],[Km.]]+BASE_DATOS[[#This Row],[Kilómetros Acumulados]])</f>
        <v/>
      </c>
      <c r="AO587" s="196" t="str">
        <f>IFERROR(BASE_DATOS[[#This Row],[Precio US$]]/BASE_DATOS[[#This Row],[Kilómetros Rodados]],"")</f>
        <v/>
      </c>
      <c r="AP587" s="195" t="str">
        <f>IFERROR(BASE_DATOS[[#This Row],[Kilómetros Rodados]]/(BASE_DATOS[[#This Row],[NSK Original]]-BASE_DATOS[[#This Row],[NSK]]),"")</f>
        <v/>
      </c>
      <c r="AQ587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87" s="196" t="str">
        <f>IFERROR(BASE_DATOS[[#This Row],[Precio US$]]/BASE_DATOS[[#This Row],[Kilómetros Proy.]],"")</f>
        <v/>
      </c>
      <c r="AS587" s="191" t="s">
        <v>62</v>
      </c>
      <c r="AT587" s="191"/>
      <c r="AU587" s="191"/>
      <c r="AV587" s="191"/>
      <c r="AW587" s="198"/>
      <c r="AX587" s="198"/>
      <c r="AY587" s="198" t="str">
        <f>CONCATENATE(BASE_DATOS[[#This Row],[Código_U]]&amp;BASE_DATOS[[#This Row],[Pos.]]&amp;BASE_DATOS[[#This Row],[Situación Actual]])</f>
        <v>TC-2161Rodando</v>
      </c>
    </row>
    <row r="588" spans="1:51" ht="12" x14ac:dyDescent="0.25">
      <c r="A588" s="227" t="s">
        <v>237</v>
      </c>
      <c r="B588" s="217" t="s">
        <v>238</v>
      </c>
      <c r="C588" s="228" t="s">
        <v>296</v>
      </c>
      <c r="D588" s="229" t="s">
        <v>86</v>
      </c>
      <c r="E588" s="255"/>
      <c r="F588" s="256" t="s">
        <v>273</v>
      </c>
      <c r="G588" s="256" t="s">
        <v>271</v>
      </c>
      <c r="H588" s="257" t="str">
        <f>IF(BASE_DATOS[[#This Row],[N-R]]="N",BASE_DATOS[[#This Row],[Diseño]],"Reencauche")</f>
        <v>XMULTI+Z</v>
      </c>
      <c r="I588" s="256" t="s">
        <v>297</v>
      </c>
      <c r="J588" s="243" t="s">
        <v>72</v>
      </c>
      <c r="K588" s="258">
        <v>16</v>
      </c>
      <c r="L588" s="241">
        <v>100</v>
      </c>
      <c r="M588" s="259"/>
      <c r="N588" s="260"/>
      <c r="O588" s="277"/>
      <c r="P588" s="278"/>
      <c r="Q588" s="279"/>
      <c r="R588" s="309" t="s">
        <v>99</v>
      </c>
      <c r="S588" s="310">
        <v>45386</v>
      </c>
      <c r="T588" s="313"/>
      <c r="U588" s="279"/>
      <c r="V588" s="227">
        <v>15</v>
      </c>
      <c r="W588" s="281">
        <v>15</v>
      </c>
      <c r="X588" s="282">
        <v>15</v>
      </c>
      <c r="Y588" s="293">
        <f t="shared" si="25"/>
        <v>15</v>
      </c>
      <c r="Z588" s="161" t="s">
        <v>73</v>
      </c>
      <c r="AA588" s="342">
        <f>IFERROR(BASE_DATOS[[#This Row],[NSK Original]]-BASE_DATOS[[#This Row],[NSK]]," ")</f>
        <v>1</v>
      </c>
      <c r="AB588" s="343">
        <f>'NSK-TRACTO'!$A$2</f>
        <v>6</v>
      </c>
      <c r="AC588" s="343">
        <f>IF(BASE_DATOS[[#This Row],[NSK]]&gt;=BASE_DATOS[[#This Row],[NSK Reen]],BASE_DATOS[[#This Row],[NSK Reen]],BASE_DATOS[[#This Row],[NSK]])</f>
        <v>6</v>
      </c>
      <c r="AD588" s="344">
        <f>IFERROR(100%-(BASE_DATOS[[#This Row],[NSK Reen]]/BASE_DATOS[[#This Row],[NSK Original]]),"")</f>
        <v>0.625</v>
      </c>
      <c r="AE588" s="344">
        <f>IFERROR(100%-BASE_DATOS[[#This Row],[NSK]]/BASE_DATOS[[#This Row],[NSK Original]],"")</f>
        <v>6.25E-2</v>
      </c>
      <c r="AF588" s="344">
        <f>IFERROR(BASE_DATOS[[#This Row],[% Max Des.]]-BASE_DATOS[[#This Row],[% Des]],"")</f>
        <v>0.5625</v>
      </c>
      <c r="AG588" s="287"/>
      <c r="AH588" s="273"/>
      <c r="AI588" s="363" t="str">
        <f>IF(OR(BASE_DATOS[[#This Row],[Hr.]]="",BASE_DATOS[[#This Row],[Hr. Actual]]=""),"",BASE_DATOS[[#This Row],[Hr. Actual]]-BASE_DATOS[[#This Row],[Hr.]]+BASE_DATOS[[#This Row],[Horas Acumuladas]])</f>
        <v/>
      </c>
      <c r="AJ588" s="364" t="str">
        <f>IFERROR(BASE_DATOS[[#This Row],[Precio US$]]/BASE_DATOS[[#This Row],[Horas Rodadas]],"")</f>
        <v/>
      </c>
      <c r="AK588" s="365" t="str">
        <f>IFERROR(BASE_DATOS[[#This Row],[Horas Rodadas]]/(BASE_DATOS[[#This Row],[NSK Original]]-BASE_DATOS[[#This Row],[NSK]]),"")</f>
        <v/>
      </c>
      <c r="AL58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88" s="366" t="str">
        <f>IFERROR(BASE_DATOS[[#This Row],[Precio US$]]/BASE_DATOS[[#This Row],[Horas Proy.]],"")</f>
        <v/>
      </c>
      <c r="AN588" s="176" t="str">
        <f>IF(OR(BASE_DATOS[[#This Row],[Km.]]="",BASE_DATOS[[#This Row],[Km. Actual]]=""),"",BASE_DATOS[[#This Row],[Km. Actual]]-BASE_DATOS[[#This Row],[Km.]]+BASE_DATOS[[#This Row],[Kilómetros Acumulados]])</f>
        <v/>
      </c>
      <c r="AO588" s="177" t="str">
        <f>IFERROR(BASE_DATOS[[#This Row],[Precio US$]]/BASE_DATOS[[#This Row],[Kilómetros Rodados]],"")</f>
        <v/>
      </c>
      <c r="AP588" s="176" t="str">
        <f>IFERROR(BASE_DATOS[[#This Row],[Kilómetros Rodados]]/(BASE_DATOS[[#This Row],[NSK Original]]-BASE_DATOS[[#This Row],[NSK]]),"")</f>
        <v/>
      </c>
      <c r="AQ58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88" s="177" t="str">
        <f>IFERROR(BASE_DATOS[[#This Row],[Precio US$]]/BASE_DATOS[[#This Row],[Kilómetros Proy.]],"")</f>
        <v/>
      </c>
      <c r="AS588" s="167" t="s">
        <v>62</v>
      </c>
      <c r="AT588" s="167"/>
      <c r="AU588" s="167"/>
      <c r="AV588" s="167"/>
      <c r="AW588" s="179"/>
      <c r="AX588" s="179"/>
      <c r="AY588" s="179" t="str">
        <f>CONCATENATE(BASE_DATOS[[#This Row],[Código_U]]&amp;BASE_DATOS[[#This Row],[Pos.]]&amp;BASE_DATOS[[#This Row],[Situación Actual]])</f>
        <v>TC-2162Rodando</v>
      </c>
    </row>
    <row r="589" spans="1:51" ht="12" x14ac:dyDescent="0.25">
      <c r="A589" s="227" t="s">
        <v>237</v>
      </c>
      <c r="B589" s="217" t="s">
        <v>238</v>
      </c>
      <c r="C589" s="228" t="s">
        <v>296</v>
      </c>
      <c r="D589" s="229" t="s">
        <v>61</v>
      </c>
      <c r="E589" s="255"/>
      <c r="F589" s="256" t="s">
        <v>278</v>
      </c>
      <c r="G589" s="256" t="s">
        <v>271</v>
      </c>
      <c r="H589" s="257" t="str">
        <f>IF(BASE_DATOS[[#This Row],[N-R]]="N",BASE_DATOS[[#This Row],[Diseño]],"Reencauche")</f>
        <v>Reencauche</v>
      </c>
      <c r="I589" s="256" t="s">
        <v>282</v>
      </c>
      <c r="J589" s="243" t="s">
        <v>82</v>
      </c>
      <c r="K589" s="258">
        <v>22</v>
      </c>
      <c r="L589" s="241">
        <v>110</v>
      </c>
      <c r="M589" s="259"/>
      <c r="N589" s="260"/>
      <c r="O589" s="277"/>
      <c r="P589" s="278"/>
      <c r="Q589" s="279"/>
      <c r="R589" s="309" t="s">
        <v>100</v>
      </c>
      <c r="S589" s="310">
        <v>45386</v>
      </c>
      <c r="T589" s="313"/>
      <c r="U589" s="279"/>
      <c r="V589" s="227">
        <v>9</v>
      </c>
      <c r="W589" s="281"/>
      <c r="X589" s="282">
        <v>10</v>
      </c>
      <c r="Y589" s="293">
        <f t="shared" si="25"/>
        <v>9</v>
      </c>
      <c r="Z589" s="175" t="s">
        <v>85</v>
      </c>
      <c r="AA589" s="342">
        <f>IFERROR(BASE_DATOS[[#This Row],[NSK Original]]-BASE_DATOS[[#This Row],[NSK]]," ")</f>
        <v>13</v>
      </c>
      <c r="AB589" s="343">
        <f>'NSK-TRACTO'!$A$2</f>
        <v>6</v>
      </c>
      <c r="AC589" s="343">
        <f>IF(BASE_DATOS[[#This Row],[NSK]]&gt;=BASE_DATOS[[#This Row],[NSK Reen]],BASE_DATOS[[#This Row],[NSK Reen]],BASE_DATOS[[#This Row],[NSK]])</f>
        <v>6</v>
      </c>
      <c r="AD589" s="344">
        <f>IFERROR(100%-(BASE_DATOS[[#This Row],[NSK Reen]]/BASE_DATOS[[#This Row],[NSK Original]]),"")</f>
        <v>0.72727272727272729</v>
      </c>
      <c r="AE589" s="344">
        <f>IFERROR(100%-BASE_DATOS[[#This Row],[NSK]]/BASE_DATOS[[#This Row],[NSK Original]],"")</f>
        <v>0.59090909090909083</v>
      </c>
      <c r="AF589" s="344">
        <f>IFERROR(BASE_DATOS[[#This Row],[% Max Des.]]-BASE_DATOS[[#This Row],[% Des]],"")</f>
        <v>0.13636363636363646</v>
      </c>
      <c r="AG589" s="287"/>
      <c r="AH589" s="273"/>
      <c r="AI589" s="363" t="str">
        <f>IF(OR(BASE_DATOS[[#This Row],[Hr.]]="",BASE_DATOS[[#This Row],[Hr. Actual]]=""),"",BASE_DATOS[[#This Row],[Hr. Actual]]-BASE_DATOS[[#This Row],[Hr.]]+BASE_DATOS[[#This Row],[Horas Acumuladas]])</f>
        <v/>
      </c>
      <c r="AJ589" s="364" t="str">
        <f>IFERROR(BASE_DATOS[[#This Row],[Precio US$]]/BASE_DATOS[[#This Row],[Horas Rodadas]],"")</f>
        <v/>
      </c>
      <c r="AK589" s="365" t="str">
        <f>IFERROR(BASE_DATOS[[#This Row],[Horas Rodadas]]/(BASE_DATOS[[#This Row],[NSK Original]]-BASE_DATOS[[#This Row],[NSK]]),"")</f>
        <v/>
      </c>
      <c r="AL58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89" s="366" t="str">
        <f>IFERROR(BASE_DATOS[[#This Row],[Precio US$]]/BASE_DATOS[[#This Row],[Horas Proy.]],"")</f>
        <v/>
      </c>
      <c r="AN589" s="176" t="str">
        <f>IF(OR(BASE_DATOS[[#This Row],[Km.]]="",BASE_DATOS[[#This Row],[Km. Actual]]=""),"",BASE_DATOS[[#This Row],[Km. Actual]]-BASE_DATOS[[#This Row],[Km.]]+BASE_DATOS[[#This Row],[Kilómetros Acumulados]])</f>
        <v/>
      </c>
      <c r="AO589" s="177" t="str">
        <f>IFERROR(BASE_DATOS[[#This Row],[Precio US$]]/BASE_DATOS[[#This Row],[Kilómetros Rodados]],"")</f>
        <v/>
      </c>
      <c r="AP589" s="176" t="str">
        <f>IFERROR(BASE_DATOS[[#This Row],[Kilómetros Rodados]]/(BASE_DATOS[[#This Row],[NSK Original]]-BASE_DATOS[[#This Row],[NSK]]),"")</f>
        <v/>
      </c>
      <c r="AQ58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89" s="177" t="str">
        <f>IFERROR(BASE_DATOS[[#This Row],[Precio US$]]/BASE_DATOS[[#This Row],[Kilómetros Proy.]],"")</f>
        <v/>
      </c>
      <c r="AS589" s="167" t="s">
        <v>62</v>
      </c>
      <c r="AT589" s="167"/>
      <c r="AU589" s="167"/>
      <c r="AV589" s="167"/>
      <c r="AW589" s="179"/>
      <c r="AX589" s="179"/>
      <c r="AY589" s="179" t="str">
        <f>CONCATENATE(BASE_DATOS[[#This Row],[Código_U]]&amp;BASE_DATOS[[#This Row],[Pos.]]&amp;BASE_DATOS[[#This Row],[Situación Actual]])</f>
        <v>TC-2163Rodando</v>
      </c>
    </row>
    <row r="590" spans="1:51" ht="12" x14ac:dyDescent="0.25">
      <c r="A590" s="227" t="s">
        <v>237</v>
      </c>
      <c r="B590" s="217" t="s">
        <v>238</v>
      </c>
      <c r="C590" s="228" t="s">
        <v>296</v>
      </c>
      <c r="D590" s="229" t="s">
        <v>61</v>
      </c>
      <c r="E590" s="255"/>
      <c r="F590" s="256" t="s">
        <v>278</v>
      </c>
      <c r="G590" s="256" t="s">
        <v>271</v>
      </c>
      <c r="H590" s="257" t="str">
        <f>IF(BASE_DATOS[[#This Row],[N-R]]="N",BASE_DATOS[[#This Row],[Diseño]],"Reencauche")</f>
        <v>Reencauche</v>
      </c>
      <c r="I590" s="256" t="s">
        <v>282</v>
      </c>
      <c r="J590" s="243" t="s">
        <v>82</v>
      </c>
      <c r="K590" s="258">
        <v>22</v>
      </c>
      <c r="L590" s="241">
        <v>110</v>
      </c>
      <c r="M590" s="259"/>
      <c r="N590" s="260"/>
      <c r="O590" s="277"/>
      <c r="P590" s="278"/>
      <c r="Q590" s="279"/>
      <c r="R590" s="309" t="s">
        <v>101</v>
      </c>
      <c r="S590" s="310">
        <v>45386</v>
      </c>
      <c r="T590" s="313"/>
      <c r="U590" s="279"/>
      <c r="V590" s="227">
        <v>9</v>
      </c>
      <c r="W590" s="281"/>
      <c r="X590" s="282">
        <v>9</v>
      </c>
      <c r="Y590" s="293">
        <f t="shared" si="25"/>
        <v>9</v>
      </c>
      <c r="Z590" s="175" t="s">
        <v>85</v>
      </c>
      <c r="AA590" s="342">
        <f>IFERROR(BASE_DATOS[[#This Row],[NSK Original]]-BASE_DATOS[[#This Row],[NSK]]," ")</f>
        <v>13</v>
      </c>
      <c r="AB590" s="343">
        <f>'NSK-TRACTO'!$A$2</f>
        <v>6</v>
      </c>
      <c r="AC590" s="343">
        <f>IF(BASE_DATOS[[#This Row],[NSK]]&gt;=BASE_DATOS[[#This Row],[NSK Reen]],BASE_DATOS[[#This Row],[NSK Reen]],BASE_DATOS[[#This Row],[NSK]])</f>
        <v>6</v>
      </c>
      <c r="AD590" s="344">
        <f>IFERROR(100%-(BASE_DATOS[[#This Row],[NSK Reen]]/BASE_DATOS[[#This Row],[NSK Original]]),"")</f>
        <v>0.72727272727272729</v>
      </c>
      <c r="AE590" s="344">
        <f>IFERROR(100%-BASE_DATOS[[#This Row],[NSK]]/BASE_DATOS[[#This Row],[NSK Original]],"")</f>
        <v>0.59090909090909083</v>
      </c>
      <c r="AF590" s="344">
        <f>IFERROR(BASE_DATOS[[#This Row],[% Max Des.]]-BASE_DATOS[[#This Row],[% Des]],"")</f>
        <v>0.13636363636363646</v>
      </c>
      <c r="AG590" s="287"/>
      <c r="AH590" s="273"/>
      <c r="AI590" s="363" t="str">
        <f>IF(OR(BASE_DATOS[[#This Row],[Hr.]]="",BASE_DATOS[[#This Row],[Hr. Actual]]=""),"",BASE_DATOS[[#This Row],[Hr. Actual]]-BASE_DATOS[[#This Row],[Hr.]]+BASE_DATOS[[#This Row],[Horas Acumuladas]])</f>
        <v/>
      </c>
      <c r="AJ590" s="364" t="str">
        <f>IFERROR(BASE_DATOS[[#This Row],[Precio US$]]/BASE_DATOS[[#This Row],[Horas Rodadas]],"")</f>
        <v/>
      </c>
      <c r="AK590" s="365" t="str">
        <f>IFERROR(BASE_DATOS[[#This Row],[Horas Rodadas]]/(BASE_DATOS[[#This Row],[NSK Original]]-BASE_DATOS[[#This Row],[NSK]]),"")</f>
        <v/>
      </c>
      <c r="AL59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90" s="366" t="str">
        <f>IFERROR(BASE_DATOS[[#This Row],[Precio US$]]/BASE_DATOS[[#This Row],[Horas Proy.]],"")</f>
        <v/>
      </c>
      <c r="AN590" s="176" t="str">
        <f>IF(OR(BASE_DATOS[[#This Row],[Km.]]="",BASE_DATOS[[#This Row],[Km. Actual]]=""),"",BASE_DATOS[[#This Row],[Km. Actual]]-BASE_DATOS[[#This Row],[Km.]]+BASE_DATOS[[#This Row],[Kilómetros Acumulados]])</f>
        <v/>
      </c>
      <c r="AO590" s="177" t="str">
        <f>IFERROR(BASE_DATOS[[#This Row],[Precio US$]]/BASE_DATOS[[#This Row],[Kilómetros Rodados]],"")</f>
        <v/>
      </c>
      <c r="AP590" s="176" t="str">
        <f>IFERROR(BASE_DATOS[[#This Row],[Kilómetros Rodados]]/(BASE_DATOS[[#This Row],[NSK Original]]-BASE_DATOS[[#This Row],[NSK]]),"")</f>
        <v/>
      </c>
      <c r="AQ59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90" s="177" t="str">
        <f>IFERROR(BASE_DATOS[[#This Row],[Precio US$]]/BASE_DATOS[[#This Row],[Kilómetros Proy.]],"")</f>
        <v/>
      </c>
      <c r="AS590" s="167" t="s">
        <v>62</v>
      </c>
      <c r="AT590" s="167"/>
      <c r="AU590" s="167"/>
      <c r="AV590" s="167"/>
      <c r="AW590" s="179"/>
      <c r="AX590" s="179"/>
      <c r="AY590" s="179" t="str">
        <f>CONCATENATE(BASE_DATOS[[#This Row],[Código_U]]&amp;BASE_DATOS[[#This Row],[Pos.]]&amp;BASE_DATOS[[#This Row],[Situación Actual]])</f>
        <v>TC-2164Rodando</v>
      </c>
    </row>
    <row r="591" spans="1:51" ht="12" x14ac:dyDescent="0.25">
      <c r="A591" s="227" t="s">
        <v>237</v>
      </c>
      <c r="B591" s="217" t="s">
        <v>238</v>
      </c>
      <c r="C591" s="228" t="s">
        <v>296</v>
      </c>
      <c r="D591" s="229" t="s">
        <v>61</v>
      </c>
      <c r="E591" s="255"/>
      <c r="F591" s="256" t="s">
        <v>278</v>
      </c>
      <c r="G591" s="256" t="s">
        <v>271</v>
      </c>
      <c r="H591" s="257" t="str">
        <f>IF(BASE_DATOS[[#This Row],[N-R]]="N",BASE_DATOS[[#This Row],[Diseño]],"Reencauche")</f>
        <v>Reencauche</v>
      </c>
      <c r="I591" s="256" t="s">
        <v>282</v>
      </c>
      <c r="J591" s="243" t="s">
        <v>82</v>
      </c>
      <c r="K591" s="258">
        <v>22</v>
      </c>
      <c r="L591" s="241">
        <v>110</v>
      </c>
      <c r="M591" s="259"/>
      <c r="N591" s="260"/>
      <c r="O591" s="277"/>
      <c r="P591" s="278"/>
      <c r="Q591" s="279"/>
      <c r="R591" s="309" t="s">
        <v>102</v>
      </c>
      <c r="S591" s="310">
        <v>45386</v>
      </c>
      <c r="T591" s="313"/>
      <c r="U591" s="279"/>
      <c r="V591" s="227">
        <v>10</v>
      </c>
      <c r="W591" s="281"/>
      <c r="X591" s="282">
        <v>9</v>
      </c>
      <c r="Y591" s="293">
        <f t="shared" si="25"/>
        <v>9</v>
      </c>
      <c r="Z591" s="175" t="s">
        <v>85</v>
      </c>
      <c r="AA591" s="342">
        <f>IFERROR(BASE_DATOS[[#This Row],[NSK Original]]-BASE_DATOS[[#This Row],[NSK]]," ")</f>
        <v>13</v>
      </c>
      <c r="AB591" s="343">
        <f>'NSK-TRACTO'!$A$2</f>
        <v>6</v>
      </c>
      <c r="AC591" s="343">
        <f>IF(BASE_DATOS[[#This Row],[NSK]]&gt;=BASE_DATOS[[#This Row],[NSK Reen]],BASE_DATOS[[#This Row],[NSK Reen]],BASE_DATOS[[#This Row],[NSK]])</f>
        <v>6</v>
      </c>
      <c r="AD591" s="344">
        <f>IFERROR(100%-(BASE_DATOS[[#This Row],[NSK Reen]]/BASE_DATOS[[#This Row],[NSK Original]]),"")</f>
        <v>0.72727272727272729</v>
      </c>
      <c r="AE591" s="344">
        <f>IFERROR(100%-BASE_DATOS[[#This Row],[NSK]]/BASE_DATOS[[#This Row],[NSK Original]],"")</f>
        <v>0.59090909090909083</v>
      </c>
      <c r="AF591" s="344">
        <f>IFERROR(BASE_DATOS[[#This Row],[% Max Des.]]-BASE_DATOS[[#This Row],[% Des]],"")</f>
        <v>0.13636363636363646</v>
      </c>
      <c r="AG591" s="287"/>
      <c r="AH591" s="273"/>
      <c r="AI591" s="363" t="str">
        <f>IF(OR(BASE_DATOS[[#This Row],[Hr.]]="",BASE_DATOS[[#This Row],[Hr. Actual]]=""),"",BASE_DATOS[[#This Row],[Hr. Actual]]-BASE_DATOS[[#This Row],[Hr.]]+BASE_DATOS[[#This Row],[Horas Acumuladas]])</f>
        <v/>
      </c>
      <c r="AJ591" s="364" t="str">
        <f>IFERROR(BASE_DATOS[[#This Row],[Precio US$]]/BASE_DATOS[[#This Row],[Horas Rodadas]],"")</f>
        <v/>
      </c>
      <c r="AK591" s="365" t="str">
        <f>IFERROR(BASE_DATOS[[#This Row],[Horas Rodadas]]/(BASE_DATOS[[#This Row],[NSK Original]]-BASE_DATOS[[#This Row],[NSK]]),"")</f>
        <v/>
      </c>
      <c r="AL59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91" s="366" t="str">
        <f>IFERROR(BASE_DATOS[[#This Row],[Precio US$]]/BASE_DATOS[[#This Row],[Horas Proy.]],"")</f>
        <v/>
      </c>
      <c r="AN591" s="176" t="str">
        <f>IF(OR(BASE_DATOS[[#This Row],[Km.]]="",BASE_DATOS[[#This Row],[Km. Actual]]=""),"",BASE_DATOS[[#This Row],[Km. Actual]]-BASE_DATOS[[#This Row],[Km.]]+BASE_DATOS[[#This Row],[Kilómetros Acumulados]])</f>
        <v/>
      </c>
      <c r="AO591" s="177" t="str">
        <f>IFERROR(BASE_DATOS[[#This Row],[Precio US$]]/BASE_DATOS[[#This Row],[Kilómetros Rodados]],"")</f>
        <v/>
      </c>
      <c r="AP591" s="176" t="str">
        <f>IFERROR(BASE_DATOS[[#This Row],[Kilómetros Rodados]]/(BASE_DATOS[[#This Row],[NSK Original]]-BASE_DATOS[[#This Row],[NSK]]),"")</f>
        <v/>
      </c>
      <c r="AQ59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91" s="177" t="str">
        <f>IFERROR(BASE_DATOS[[#This Row],[Precio US$]]/BASE_DATOS[[#This Row],[Kilómetros Proy.]],"")</f>
        <v/>
      </c>
      <c r="AS591" s="167" t="s">
        <v>62</v>
      </c>
      <c r="AT591" s="167"/>
      <c r="AU591" s="167"/>
      <c r="AV591" s="167"/>
      <c r="AW591" s="179"/>
      <c r="AX591" s="179"/>
      <c r="AY591" s="179" t="str">
        <f>CONCATENATE(BASE_DATOS[[#This Row],[Código_U]]&amp;BASE_DATOS[[#This Row],[Pos.]]&amp;BASE_DATOS[[#This Row],[Situación Actual]])</f>
        <v>TC-2165Rodando</v>
      </c>
    </row>
    <row r="592" spans="1:51" ht="12" x14ac:dyDescent="0.25">
      <c r="A592" s="227" t="s">
        <v>237</v>
      </c>
      <c r="B592" s="217" t="s">
        <v>238</v>
      </c>
      <c r="C592" s="228" t="s">
        <v>296</v>
      </c>
      <c r="D592" s="229" t="s">
        <v>61</v>
      </c>
      <c r="E592" s="255"/>
      <c r="F592" s="256" t="s">
        <v>278</v>
      </c>
      <c r="G592" s="256" t="s">
        <v>271</v>
      </c>
      <c r="H592" s="257" t="str">
        <f>IF(BASE_DATOS[[#This Row],[N-R]]="N",BASE_DATOS[[#This Row],[Diseño]],"Reencauche")</f>
        <v>Reencauche</v>
      </c>
      <c r="I592" s="256" t="s">
        <v>282</v>
      </c>
      <c r="J592" s="243" t="s">
        <v>82</v>
      </c>
      <c r="K592" s="258">
        <v>22</v>
      </c>
      <c r="L592" s="241">
        <v>110</v>
      </c>
      <c r="M592" s="259"/>
      <c r="N592" s="260"/>
      <c r="O592" s="277"/>
      <c r="P592" s="278"/>
      <c r="Q592" s="279"/>
      <c r="R592" s="309" t="s">
        <v>103</v>
      </c>
      <c r="S592" s="310">
        <v>45386</v>
      </c>
      <c r="T592" s="313"/>
      <c r="U592" s="279"/>
      <c r="V592" s="227">
        <v>9</v>
      </c>
      <c r="W592" s="281"/>
      <c r="X592" s="282">
        <v>10</v>
      </c>
      <c r="Y592" s="293">
        <f t="shared" si="25"/>
        <v>9</v>
      </c>
      <c r="Z592" s="175" t="s">
        <v>85</v>
      </c>
      <c r="AA592" s="342">
        <f>IFERROR(BASE_DATOS[[#This Row],[NSK Original]]-BASE_DATOS[[#This Row],[NSK]]," ")</f>
        <v>13</v>
      </c>
      <c r="AB592" s="343">
        <f>'NSK-TRACTO'!$A$2</f>
        <v>6</v>
      </c>
      <c r="AC592" s="343">
        <f>IF(BASE_DATOS[[#This Row],[NSK]]&gt;=BASE_DATOS[[#This Row],[NSK Reen]],BASE_DATOS[[#This Row],[NSK Reen]],BASE_DATOS[[#This Row],[NSK]])</f>
        <v>6</v>
      </c>
      <c r="AD592" s="344">
        <f>IFERROR(100%-(BASE_DATOS[[#This Row],[NSK Reen]]/BASE_DATOS[[#This Row],[NSK Original]]),"")</f>
        <v>0.72727272727272729</v>
      </c>
      <c r="AE592" s="344">
        <f>IFERROR(100%-BASE_DATOS[[#This Row],[NSK]]/BASE_DATOS[[#This Row],[NSK Original]],"")</f>
        <v>0.59090909090909083</v>
      </c>
      <c r="AF592" s="344">
        <f>IFERROR(BASE_DATOS[[#This Row],[% Max Des.]]-BASE_DATOS[[#This Row],[% Des]],"")</f>
        <v>0.13636363636363646</v>
      </c>
      <c r="AG592" s="287"/>
      <c r="AH592" s="273"/>
      <c r="AI592" s="363" t="str">
        <f>IF(OR(BASE_DATOS[[#This Row],[Hr.]]="",BASE_DATOS[[#This Row],[Hr. Actual]]=""),"",BASE_DATOS[[#This Row],[Hr. Actual]]-BASE_DATOS[[#This Row],[Hr.]]+BASE_DATOS[[#This Row],[Horas Acumuladas]])</f>
        <v/>
      </c>
      <c r="AJ592" s="364" t="str">
        <f>IFERROR(BASE_DATOS[[#This Row],[Precio US$]]/BASE_DATOS[[#This Row],[Horas Rodadas]],"")</f>
        <v/>
      </c>
      <c r="AK592" s="365" t="str">
        <f>IFERROR(BASE_DATOS[[#This Row],[Horas Rodadas]]/(BASE_DATOS[[#This Row],[NSK Original]]-BASE_DATOS[[#This Row],[NSK]]),"")</f>
        <v/>
      </c>
      <c r="AL59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92" s="366" t="str">
        <f>IFERROR(BASE_DATOS[[#This Row],[Precio US$]]/BASE_DATOS[[#This Row],[Horas Proy.]],"")</f>
        <v/>
      </c>
      <c r="AN592" s="176" t="str">
        <f>IF(OR(BASE_DATOS[[#This Row],[Km.]]="",BASE_DATOS[[#This Row],[Km. Actual]]=""),"",BASE_DATOS[[#This Row],[Km. Actual]]-BASE_DATOS[[#This Row],[Km.]]+BASE_DATOS[[#This Row],[Kilómetros Acumulados]])</f>
        <v/>
      </c>
      <c r="AO592" s="177" t="str">
        <f>IFERROR(BASE_DATOS[[#This Row],[Precio US$]]/BASE_DATOS[[#This Row],[Kilómetros Rodados]],"")</f>
        <v/>
      </c>
      <c r="AP592" s="176" t="str">
        <f>IFERROR(BASE_DATOS[[#This Row],[Kilómetros Rodados]]/(BASE_DATOS[[#This Row],[NSK Original]]-BASE_DATOS[[#This Row],[NSK]]),"")</f>
        <v/>
      </c>
      <c r="AQ59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92" s="177" t="str">
        <f>IFERROR(BASE_DATOS[[#This Row],[Precio US$]]/BASE_DATOS[[#This Row],[Kilómetros Proy.]],"")</f>
        <v/>
      </c>
      <c r="AS592" s="167" t="s">
        <v>62</v>
      </c>
      <c r="AT592" s="167"/>
      <c r="AU592" s="167"/>
      <c r="AV592" s="167"/>
      <c r="AW592" s="179"/>
      <c r="AX592" s="179"/>
      <c r="AY592" s="179" t="str">
        <f>CONCATENATE(BASE_DATOS[[#This Row],[Código_U]]&amp;BASE_DATOS[[#This Row],[Pos.]]&amp;BASE_DATOS[[#This Row],[Situación Actual]])</f>
        <v>TC-2166Rodando</v>
      </c>
    </row>
    <row r="593" spans="1:51" ht="12" x14ac:dyDescent="0.25">
      <c r="A593" s="227" t="s">
        <v>237</v>
      </c>
      <c r="B593" s="217" t="s">
        <v>238</v>
      </c>
      <c r="C593" s="228" t="s">
        <v>296</v>
      </c>
      <c r="D593" s="229" t="s">
        <v>61</v>
      </c>
      <c r="E593" s="248" t="s">
        <v>466</v>
      </c>
      <c r="F593" s="256" t="s">
        <v>71</v>
      </c>
      <c r="G593" s="256" t="s">
        <v>271</v>
      </c>
      <c r="H593" s="257" t="str">
        <f>IF(BASE_DATOS[[#This Row],[N-R]]="N",BASE_DATOS[[#This Row],[Diseño]],"Reencauche")</f>
        <v>KMAXD</v>
      </c>
      <c r="I593" s="256" t="s">
        <v>294</v>
      </c>
      <c r="J593" s="243" t="s">
        <v>72</v>
      </c>
      <c r="K593" s="258">
        <v>22.2</v>
      </c>
      <c r="L593" s="241">
        <v>110</v>
      </c>
      <c r="M593" s="259"/>
      <c r="N593" s="260"/>
      <c r="O593" s="277"/>
      <c r="P593" s="278"/>
      <c r="Q593" s="279"/>
      <c r="R593" s="309" t="s">
        <v>104</v>
      </c>
      <c r="S593" s="310">
        <v>45386</v>
      </c>
      <c r="T593" s="313"/>
      <c r="U593" s="279"/>
      <c r="V593" s="227">
        <v>17</v>
      </c>
      <c r="W593" s="281"/>
      <c r="X593" s="282">
        <v>17</v>
      </c>
      <c r="Y593" s="293">
        <f t="shared" si="25"/>
        <v>17</v>
      </c>
      <c r="Z593" s="175" t="s">
        <v>85</v>
      </c>
      <c r="AA593" s="342">
        <f>IFERROR(BASE_DATOS[[#This Row],[NSK Original]]-BASE_DATOS[[#This Row],[NSK]]," ")</f>
        <v>5.1999999999999993</v>
      </c>
      <c r="AB593" s="343">
        <f>'NSK-TRACTO'!$A$2</f>
        <v>6</v>
      </c>
      <c r="AC593" s="343">
        <f>IF(BASE_DATOS[[#This Row],[NSK]]&gt;=BASE_DATOS[[#This Row],[NSK Reen]],BASE_DATOS[[#This Row],[NSK Reen]],BASE_DATOS[[#This Row],[NSK]])</f>
        <v>6</v>
      </c>
      <c r="AD593" s="344">
        <f>IFERROR(100%-(BASE_DATOS[[#This Row],[NSK Reen]]/BASE_DATOS[[#This Row],[NSK Original]]),"")</f>
        <v>0.72972972972972971</v>
      </c>
      <c r="AE593" s="344">
        <f>IFERROR(100%-BASE_DATOS[[#This Row],[NSK]]/BASE_DATOS[[#This Row],[NSK Original]],"")</f>
        <v>0.23423423423423417</v>
      </c>
      <c r="AF593" s="344">
        <f>IFERROR(BASE_DATOS[[#This Row],[% Max Des.]]-BASE_DATOS[[#This Row],[% Des]],"")</f>
        <v>0.49549549549549554</v>
      </c>
      <c r="AG593" s="287"/>
      <c r="AH593" s="273"/>
      <c r="AI593" s="363" t="str">
        <f>IF(OR(BASE_DATOS[[#This Row],[Hr.]]="",BASE_DATOS[[#This Row],[Hr. Actual]]=""),"",BASE_DATOS[[#This Row],[Hr. Actual]]-BASE_DATOS[[#This Row],[Hr.]]+BASE_DATOS[[#This Row],[Horas Acumuladas]])</f>
        <v/>
      </c>
      <c r="AJ593" s="364" t="str">
        <f>IFERROR(BASE_DATOS[[#This Row],[Precio US$]]/BASE_DATOS[[#This Row],[Horas Rodadas]],"")</f>
        <v/>
      </c>
      <c r="AK593" s="365" t="str">
        <f>IFERROR(BASE_DATOS[[#This Row],[Horas Rodadas]]/(BASE_DATOS[[#This Row],[NSK Original]]-BASE_DATOS[[#This Row],[NSK]]),"")</f>
        <v/>
      </c>
      <c r="AL59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93" s="366" t="str">
        <f>IFERROR(BASE_DATOS[[#This Row],[Precio US$]]/BASE_DATOS[[#This Row],[Horas Proy.]],"")</f>
        <v/>
      </c>
      <c r="AN593" s="176" t="str">
        <f>IF(OR(BASE_DATOS[[#This Row],[Km.]]="",BASE_DATOS[[#This Row],[Km. Actual]]=""),"",BASE_DATOS[[#This Row],[Km. Actual]]-BASE_DATOS[[#This Row],[Km.]]+BASE_DATOS[[#This Row],[Kilómetros Acumulados]])</f>
        <v/>
      </c>
      <c r="AO593" s="177" t="str">
        <f>IFERROR(BASE_DATOS[[#This Row],[Precio US$]]/BASE_DATOS[[#This Row],[Kilómetros Rodados]],"")</f>
        <v/>
      </c>
      <c r="AP593" s="176" t="str">
        <f>IFERROR(BASE_DATOS[[#This Row],[Kilómetros Rodados]]/(BASE_DATOS[[#This Row],[NSK Original]]-BASE_DATOS[[#This Row],[NSK]]),"")</f>
        <v/>
      </c>
      <c r="AQ59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93" s="177" t="str">
        <f>IFERROR(BASE_DATOS[[#This Row],[Precio US$]]/BASE_DATOS[[#This Row],[Kilómetros Proy.]],"")</f>
        <v/>
      </c>
      <c r="AS593" s="167" t="s">
        <v>62</v>
      </c>
      <c r="AT593" s="167"/>
      <c r="AU593" s="167"/>
      <c r="AV593" s="167"/>
      <c r="AW593" s="179"/>
      <c r="AX593" s="179"/>
      <c r="AY593" s="179" t="str">
        <f>CONCATENATE(BASE_DATOS[[#This Row],[Código_U]]&amp;BASE_DATOS[[#This Row],[Pos.]]&amp;BASE_DATOS[[#This Row],[Situación Actual]])</f>
        <v>TC-2167Rodando</v>
      </c>
    </row>
    <row r="594" spans="1:51" ht="12" x14ac:dyDescent="0.25">
      <c r="A594" s="227" t="s">
        <v>237</v>
      </c>
      <c r="B594" s="217" t="s">
        <v>238</v>
      </c>
      <c r="C594" s="228" t="s">
        <v>296</v>
      </c>
      <c r="D594" s="229" t="s">
        <v>61</v>
      </c>
      <c r="E594" s="255"/>
      <c r="F594" s="256" t="s">
        <v>71</v>
      </c>
      <c r="G594" s="256" t="s">
        <v>271</v>
      </c>
      <c r="H594" s="257" t="str">
        <f>IF(BASE_DATOS[[#This Row],[N-R]]="N",BASE_DATOS[[#This Row],[Diseño]],"Reencauche")</f>
        <v>KMAXD</v>
      </c>
      <c r="I594" s="256" t="s">
        <v>294</v>
      </c>
      <c r="J594" s="243" t="s">
        <v>72</v>
      </c>
      <c r="K594" s="258">
        <v>22.2</v>
      </c>
      <c r="L594" s="241">
        <v>110</v>
      </c>
      <c r="M594" s="259"/>
      <c r="N594" s="260"/>
      <c r="O594" s="277"/>
      <c r="P594" s="278"/>
      <c r="Q594" s="279"/>
      <c r="R594" s="309" t="s">
        <v>105</v>
      </c>
      <c r="S594" s="310">
        <v>45386</v>
      </c>
      <c r="T594" s="313"/>
      <c r="U594" s="279"/>
      <c r="V594" s="227">
        <v>17</v>
      </c>
      <c r="W594" s="281"/>
      <c r="X594" s="282">
        <v>17</v>
      </c>
      <c r="Y594" s="293">
        <f t="shared" si="25"/>
        <v>17</v>
      </c>
      <c r="Z594" s="175" t="s">
        <v>85</v>
      </c>
      <c r="AA594" s="342">
        <f>IFERROR(BASE_DATOS[[#This Row],[NSK Original]]-BASE_DATOS[[#This Row],[NSK]]," ")</f>
        <v>5.1999999999999993</v>
      </c>
      <c r="AB594" s="343">
        <f>'NSK-TRACTO'!$A$2</f>
        <v>6</v>
      </c>
      <c r="AC594" s="343">
        <f>IF(BASE_DATOS[[#This Row],[NSK]]&gt;=BASE_DATOS[[#This Row],[NSK Reen]],BASE_DATOS[[#This Row],[NSK Reen]],BASE_DATOS[[#This Row],[NSK]])</f>
        <v>6</v>
      </c>
      <c r="AD594" s="344">
        <f>IFERROR(100%-(BASE_DATOS[[#This Row],[NSK Reen]]/BASE_DATOS[[#This Row],[NSK Original]]),"")</f>
        <v>0.72972972972972971</v>
      </c>
      <c r="AE594" s="344">
        <f>IFERROR(100%-BASE_DATOS[[#This Row],[NSK]]/BASE_DATOS[[#This Row],[NSK Original]],"")</f>
        <v>0.23423423423423417</v>
      </c>
      <c r="AF594" s="344">
        <f>IFERROR(BASE_DATOS[[#This Row],[% Max Des.]]-BASE_DATOS[[#This Row],[% Des]],"")</f>
        <v>0.49549549549549554</v>
      </c>
      <c r="AG594" s="287"/>
      <c r="AH594" s="273"/>
      <c r="AI594" s="363" t="str">
        <f>IF(OR(BASE_DATOS[[#This Row],[Hr.]]="",BASE_DATOS[[#This Row],[Hr. Actual]]=""),"",BASE_DATOS[[#This Row],[Hr. Actual]]-BASE_DATOS[[#This Row],[Hr.]]+BASE_DATOS[[#This Row],[Horas Acumuladas]])</f>
        <v/>
      </c>
      <c r="AJ594" s="364" t="str">
        <f>IFERROR(BASE_DATOS[[#This Row],[Precio US$]]/BASE_DATOS[[#This Row],[Horas Rodadas]],"")</f>
        <v/>
      </c>
      <c r="AK594" s="365" t="str">
        <f>IFERROR(BASE_DATOS[[#This Row],[Horas Rodadas]]/(BASE_DATOS[[#This Row],[NSK Original]]-BASE_DATOS[[#This Row],[NSK]]),"")</f>
        <v/>
      </c>
      <c r="AL59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94" s="366" t="str">
        <f>IFERROR(BASE_DATOS[[#This Row],[Precio US$]]/BASE_DATOS[[#This Row],[Horas Proy.]],"")</f>
        <v/>
      </c>
      <c r="AN594" s="176" t="str">
        <f>IF(OR(BASE_DATOS[[#This Row],[Km.]]="",BASE_DATOS[[#This Row],[Km. Actual]]=""),"",BASE_DATOS[[#This Row],[Km. Actual]]-BASE_DATOS[[#This Row],[Km.]]+BASE_DATOS[[#This Row],[Kilómetros Acumulados]])</f>
        <v/>
      </c>
      <c r="AO594" s="177" t="str">
        <f>IFERROR(BASE_DATOS[[#This Row],[Precio US$]]/BASE_DATOS[[#This Row],[Kilómetros Rodados]],"")</f>
        <v/>
      </c>
      <c r="AP594" s="176" t="str">
        <f>IFERROR(BASE_DATOS[[#This Row],[Kilómetros Rodados]]/(BASE_DATOS[[#This Row],[NSK Original]]-BASE_DATOS[[#This Row],[NSK]]),"")</f>
        <v/>
      </c>
      <c r="AQ59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94" s="177" t="str">
        <f>IFERROR(BASE_DATOS[[#This Row],[Precio US$]]/BASE_DATOS[[#This Row],[Kilómetros Proy.]],"")</f>
        <v/>
      </c>
      <c r="AS594" s="167" t="s">
        <v>62</v>
      </c>
      <c r="AT594" s="167"/>
      <c r="AU594" s="167"/>
      <c r="AV594" s="167"/>
      <c r="AW594" s="179"/>
      <c r="AX594" s="179"/>
      <c r="AY594" s="179" t="str">
        <f>CONCATENATE(BASE_DATOS[[#This Row],[Código_U]]&amp;BASE_DATOS[[#This Row],[Pos.]]&amp;BASE_DATOS[[#This Row],[Situación Actual]])</f>
        <v>TC-2168Rodando</v>
      </c>
    </row>
    <row r="595" spans="1:51" ht="12" x14ac:dyDescent="0.25">
      <c r="A595" s="227" t="s">
        <v>237</v>
      </c>
      <c r="B595" s="217" t="s">
        <v>238</v>
      </c>
      <c r="C595" s="228" t="s">
        <v>296</v>
      </c>
      <c r="D595" s="229" t="s">
        <v>61</v>
      </c>
      <c r="E595" s="255"/>
      <c r="F595" s="256" t="s">
        <v>71</v>
      </c>
      <c r="G595" s="256" t="s">
        <v>271</v>
      </c>
      <c r="H595" s="257" t="str">
        <f>IF(BASE_DATOS[[#This Row],[N-R]]="N",BASE_DATOS[[#This Row],[Diseño]],"Reencauche")</f>
        <v>KMAXD</v>
      </c>
      <c r="I595" s="256" t="s">
        <v>294</v>
      </c>
      <c r="J595" s="243" t="s">
        <v>72</v>
      </c>
      <c r="K595" s="258">
        <v>22.2</v>
      </c>
      <c r="L595" s="241">
        <v>110</v>
      </c>
      <c r="M595" s="259"/>
      <c r="N595" s="260"/>
      <c r="O595" s="277"/>
      <c r="P595" s="278"/>
      <c r="Q595" s="279"/>
      <c r="R595" s="309" t="s">
        <v>106</v>
      </c>
      <c r="S595" s="310">
        <v>45386</v>
      </c>
      <c r="T595" s="313"/>
      <c r="U595" s="279"/>
      <c r="V595" s="227">
        <v>16</v>
      </c>
      <c r="W595" s="281"/>
      <c r="X595" s="282">
        <v>17</v>
      </c>
      <c r="Y595" s="293">
        <f t="shared" si="25"/>
        <v>16</v>
      </c>
      <c r="Z595" s="175" t="s">
        <v>85</v>
      </c>
      <c r="AA595" s="342">
        <f>IFERROR(BASE_DATOS[[#This Row],[NSK Original]]-BASE_DATOS[[#This Row],[NSK]]," ")</f>
        <v>6.1999999999999993</v>
      </c>
      <c r="AB595" s="343">
        <f>'NSK-TRACTO'!$A$2</f>
        <v>6</v>
      </c>
      <c r="AC595" s="343">
        <f>IF(BASE_DATOS[[#This Row],[NSK]]&gt;=BASE_DATOS[[#This Row],[NSK Reen]],BASE_DATOS[[#This Row],[NSK Reen]],BASE_DATOS[[#This Row],[NSK]])</f>
        <v>6</v>
      </c>
      <c r="AD595" s="344">
        <f>IFERROR(100%-(BASE_DATOS[[#This Row],[NSK Reen]]/BASE_DATOS[[#This Row],[NSK Original]]),"")</f>
        <v>0.72972972972972971</v>
      </c>
      <c r="AE595" s="344">
        <f>IFERROR(100%-BASE_DATOS[[#This Row],[NSK]]/BASE_DATOS[[#This Row],[NSK Original]],"")</f>
        <v>0.2792792792792792</v>
      </c>
      <c r="AF595" s="344">
        <f>IFERROR(BASE_DATOS[[#This Row],[% Max Des.]]-BASE_DATOS[[#This Row],[% Des]],"")</f>
        <v>0.45045045045045051</v>
      </c>
      <c r="AG595" s="287"/>
      <c r="AH595" s="273"/>
      <c r="AI595" s="363" t="str">
        <f>IF(OR(BASE_DATOS[[#This Row],[Hr.]]="",BASE_DATOS[[#This Row],[Hr. Actual]]=""),"",BASE_DATOS[[#This Row],[Hr. Actual]]-BASE_DATOS[[#This Row],[Hr.]]+BASE_DATOS[[#This Row],[Horas Acumuladas]])</f>
        <v/>
      </c>
      <c r="AJ595" s="364" t="str">
        <f>IFERROR(BASE_DATOS[[#This Row],[Precio US$]]/BASE_DATOS[[#This Row],[Horas Rodadas]],"")</f>
        <v/>
      </c>
      <c r="AK595" s="365" t="str">
        <f>IFERROR(BASE_DATOS[[#This Row],[Horas Rodadas]]/(BASE_DATOS[[#This Row],[NSK Original]]-BASE_DATOS[[#This Row],[NSK]]),"")</f>
        <v/>
      </c>
      <c r="AL59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95" s="366" t="str">
        <f>IFERROR(BASE_DATOS[[#This Row],[Precio US$]]/BASE_DATOS[[#This Row],[Horas Proy.]],"")</f>
        <v/>
      </c>
      <c r="AN595" s="176" t="str">
        <f>IF(OR(BASE_DATOS[[#This Row],[Km.]]="",BASE_DATOS[[#This Row],[Km. Actual]]=""),"",BASE_DATOS[[#This Row],[Km. Actual]]-BASE_DATOS[[#This Row],[Km.]]+BASE_DATOS[[#This Row],[Kilómetros Acumulados]])</f>
        <v/>
      </c>
      <c r="AO595" s="177" t="str">
        <f>IFERROR(BASE_DATOS[[#This Row],[Precio US$]]/BASE_DATOS[[#This Row],[Kilómetros Rodados]],"")</f>
        <v/>
      </c>
      <c r="AP595" s="176" t="str">
        <f>IFERROR(BASE_DATOS[[#This Row],[Kilómetros Rodados]]/(BASE_DATOS[[#This Row],[NSK Original]]-BASE_DATOS[[#This Row],[NSK]]),"")</f>
        <v/>
      </c>
      <c r="AQ59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95" s="177" t="str">
        <f>IFERROR(BASE_DATOS[[#This Row],[Precio US$]]/BASE_DATOS[[#This Row],[Kilómetros Proy.]],"")</f>
        <v/>
      </c>
      <c r="AS595" s="167" t="s">
        <v>62</v>
      </c>
      <c r="AT595" s="167"/>
      <c r="AU595" s="167"/>
      <c r="AV595" s="167"/>
      <c r="AW595" s="179"/>
      <c r="AX595" s="179"/>
      <c r="AY595" s="179" t="str">
        <f>CONCATENATE(BASE_DATOS[[#This Row],[Código_U]]&amp;BASE_DATOS[[#This Row],[Pos.]]&amp;BASE_DATOS[[#This Row],[Situación Actual]])</f>
        <v>TC-2169Rodando</v>
      </c>
    </row>
    <row r="596" spans="1:51" ht="12" x14ac:dyDescent="0.25">
      <c r="A596" s="227" t="s">
        <v>237</v>
      </c>
      <c r="B596" s="217" t="s">
        <v>238</v>
      </c>
      <c r="C596" s="228" t="s">
        <v>296</v>
      </c>
      <c r="D596" s="229" t="s">
        <v>61</v>
      </c>
      <c r="E596" s="248" t="s">
        <v>465</v>
      </c>
      <c r="F596" s="256" t="s">
        <v>71</v>
      </c>
      <c r="G596" s="256" t="s">
        <v>271</v>
      </c>
      <c r="H596" s="257" t="str">
        <f>IF(BASE_DATOS[[#This Row],[N-R]]="N",BASE_DATOS[[#This Row],[Diseño]],"Reencauche")</f>
        <v>KMAXD</v>
      </c>
      <c r="I596" s="256" t="s">
        <v>294</v>
      </c>
      <c r="J596" s="243" t="s">
        <v>72</v>
      </c>
      <c r="K596" s="258">
        <v>22.2</v>
      </c>
      <c r="L596" s="241">
        <v>110</v>
      </c>
      <c r="M596" s="259"/>
      <c r="N596" s="260"/>
      <c r="O596" s="277"/>
      <c r="P596" s="278"/>
      <c r="Q596" s="279"/>
      <c r="R596" s="309" t="s">
        <v>107</v>
      </c>
      <c r="S596" s="310">
        <v>45386</v>
      </c>
      <c r="T596" s="313"/>
      <c r="U596" s="279"/>
      <c r="V596" s="227">
        <v>16</v>
      </c>
      <c r="W596" s="281"/>
      <c r="X596" s="282">
        <v>17</v>
      </c>
      <c r="Y596" s="293">
        <f t="shared" si="25"/>
        <v>16</v>
      </c>
      <c r="Z596" s="175" t="s">
        <v>85</v>
      </c>
      <c r="AA596" s="342">
        <f>IFERROR(BASE_DATOS[[#This Row],[NSK Original]]-BASE_DATOS[[#This Row],[NSK]]," ")</f>
        <v>6.1999999999999993</v>
      </c>
      <c r="AB596" s="343">
        <f>'NSK-TRACTO'!$A$2</f>
        <v>6</v>
      </c>
      <c r="AC596" s="343">
        <f>IF(BASE_DATOS[[#This Row],[NSK]]&gt;=BASE_DATOS[[#This Row],[NSK Reen]],BASE_DATOS[[#This Row],[NSK Reen]],BASE_DATOS[[#This Row],[NSK]])</f>
        <v>6</v>
      </c>
      <c r="AD596" s="344">
        <f>IFERROR(100%-(BASE_DATOS[[#This Row],[NSK Reen]]/BASE_DATOS[[#This Row],[NSK Original]]),"")</f>
        <v>0.72972972972972971</v>
      </c>
      <c r="AE596" s="344">
        <f>IFERROR(100%-BASE_DATOS[[#This Row],[NSK]]/BASE_DATOS[[#This Row],[NSK Original]],"")</f>
        <v>0.2792792792792792</v>
      </c>
      <c r="AF596" s="344">
        <f>IFERROR(BASE_DATOS[[#This Row],[% Max Des.]]-BASE_DATOS[[#This Row],[% Des]],"")</f>
        <v>0.45045045045045051</v>
      </c>
      <c r="AG596" s="287"/>
      <c r="AH596" s="273"/>
      <c r="AI596" s="363" t="str">
        <f>IF(OR(BASE_DATOS[[#This Row],[Hr.]]="",BASE_DATOS[[#This Row],[Hr. Actual]]=""),"",BASE_DATOS[[#This Row],[Hr. Actual]]-BASE_DATOS[[#This Row],[Hr.]]+BASE_DATOS[[#This Row],[Horas Acumuladas]])</f>
        <v/>
      </c>
      <c r="AJ596" s="364" t="str">
        <f>IFERROR(BASE_DATOS[[#This Row],[Precio US$]]/BASE_DATOS[[#This Row],[Horas Rodadas]],"")</f>
        <v/>
      </c>
      <c r="AK596" s="365" t="str">
        <f>IFERROR(BASE_DATOS[[#This Row],[Horas Rodadas]]/(BASE_DATOS[[#This Row],[NSK Original]]-BASE_DATOS[[#This Row],[NSK]]),"")</f>
        <v/>
      </c>
      <c r="AL59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96" s="366" t="str">
        <f>IFERROR(BASE_DATOS[[#This Row],[Precio US$]]/BASE_DATOS[[#This Row],[Horas Proy.]],"")</f>
        <v/>
      </c>
      <c r="AN596" s="176" t="str">
        <f>IF(OR(BASE_DATOS[[#This Row],[Km.]]="",BASE_DATOS[[#This Row],[Km. Actual]]=""),"",BASE_DATOS[[#This Row],[Km. Actual]]-BASE_DATOS[[#This Row],[Km.]]+BASE_DATOS[[#This Row],[Kilómetros Acumulados]])</f>
        <v/>
      </c>
      <c r="AO596" s="177" t="str">
        <f>IFERROR(BASE_DATOS[[#This Row],[Precio US$]]/BASE_DATOS[[#This Row],[Kilómetros Rodados]],"")</f>
        <v/>
      </c>
      <c r="AP596" s="176" t="str">
        <f>IFERROR(BASE_DATOS[[#This Row],[Kilómetros Rodados]]/(BASE_DATOS[[#This Row],[NSK Original]]-BASE_DATOS[[#This Row],[NSK]]),"")</f>
        <v/>
      </c>
      <c r="AQ59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96" s="177" t="str">
        <f>IFERROR(BASE_DATOS[[#This Row],[Precio US$]]/BASE_DATOS[[#This Row],[Kilómetros Proy.]],"")</f>
        <v/>
      </c>
      <c r="AS596" s="167" t="s">
        <v>62</v>
      </c>
      <c r="AT596" s="167"/>
      <c r="AU596" s="167"/>
      <c r="AV596" s="167"/>
      <c r="AW596" s="179"/>
      <c r="AX596" s="179"/>
      <c r="AY596" s="179" t="str">
        <f>CONCATENATE(BASE_DATOS[[#This Row],[Código_U]]&amp;BASE_DATOS[[#This Row],[Pos.]]&amp;BASE_DATOS[[#This Row],[Situación Actual]])</f>
        <v>TC-21610Rodando</v>
      </c>
    </row>
    <row r="597" spans="1:51" ht="12" x14ac:dyDescent="0.25">
      <c r="A597" s="222" t="s">
        <v>468</v>
      </c>
      <c r="B597" s="213" t="s">
        <v>467</v>
      </c>
      <c r="C597" s="225" t="s">
        <v>296</v>
      </c>
      <c r="D597" s="226" t="s">
        <v>86</v>
      </c>
      <c r="E597" s="249"/>
      <c r="F597" s="250" t="s">
        <v>469</v>
      </c>
      <c r="G597" s="250" t="s">
        <v>271</v>
      </c>
      <c r="H597" s="251" t="str">
        <f>IF(BASE_DATOS[[#This Row],[N-R]]="N",BASE_DATOS[[#This Row],[Diseño]],"Reencauche")</f>
        <v>S205</v>
      </c>
      <c r="I597" s="250" t="s">
        <v>470</v>
      </c>
      <c r="J597" s="235" t="s">
        <v>72</v>
      </c>
      <c r="K597" s="252">
        <v>0</v>
      </c>
      <c r="L597" s="233">
        <v>100</v>
      </c>
      <c r="M597" s="253"/>
      <c r="N597" s="254"/>
      <c r="O597" s="274"/>
      <c r="P597" s="275"/>
      <c r="Q597" s="276"/>
      <c r="R597" s="305" t="s">
        <v>98</v>
      </c>
      <c r="S597" s="306">
        <v>45386</v>
      </c>
      <c r="T597" s="314"/>
      <c r="U597" s="276"/>
      <c r="V597" s="224">
        <v>4</v>
      </c>
      <c r="W597" s="325">
        <v>7</v>
      </c>
      <c r="X597" s="326">
        <v>7</v>
      </c>
      <c r="Y597" s="292">
        <f t="shared" ref="Y597:Y632" si="26">IFERROR(MIN(V597:X597),"")</f>
        <v>4</v>
      </c>
      <c r="Z597" s="185" t="s">
        <v>85</v>
      </c>
      <c r="AA597" s="339">
        <f>IFERROR(BASE_DATOS[[#This Row],[NSK Original]]-BASE_DATOS[[#This Row],[NSK]]," ")</f>
        <v>-4</v>
      </c>
      <c r="AB597" s="340">
        <f>'NSK-TRACTO'!$A$2</f>
        <v>6</v>
      </c>
      <c r="AC597" s="340">
        <f>IF(BASE_DATOS[[#This Row],[NSK]]&gt;=BASE_DATOS[[#This Row],[NSK Reen]],BASE_DATOS[[#This Row],[NSK Reen]],BASE_DATOS[[#This Row],[NSK]])</f>
        <v>4</v>
      </c>
      <c r="AD597" s="341" t="str">
        <f>IFERROR(100%-(BASE_DATOS[[#This Row],[NSK Reen]]/BASE_DATOS[[#This Row],[NSK Original]]),"")</f>
        <v/>
      </c>
      <c r="AE597" s="341" t="str">
        <f>IFERROR(100%-BASE_DATOS[[#This Row],[NSK]]/BASE_DATOS[[#This Row],[NSK Original]],"")</f>
        <v/>
      </c>
      <c r="AF597" s="341" t="str">
        <f>IFERROR(BASE_DATOS[[#This Row],[% Max Des.]]-BASE_DATOS[[#This Row],[% Des]],"")</f>
        <v/>
      </c>
      <c r="AG597" s="284"/>
      <c r="AH597" s="335"/>
      <c r="AI597" s="359" t="str">
        <f>IF(OR(BASE_DATOS[[#This Row],[Hr.]]="",BASE_DATOS[[#This Row],[Hr. Actual]]=""),"",BASE_DATOS[[#This Row],[Hr. Actual]]-BASE_DATOS[[#This Row],[Hr.]]+BASE_DATOS[[#This Row],[Horas Acumuladas]])</f>
        <v/>
      </c>
      <c r="AJ597" s="360" t="str">
        <f>IFERROR(BASE_DATOS[[#This Row],[Precio US$]]/BASE_DATOS[[#This Row],[Horas Rodadas]],"")</f>
        <v/>
      </c>
      <c r="AK597" s="361" t="str">
        <f>IFERROR(BASE_DATOS[[#This Row],[Horas Rodadas]]/(BASE_DATOS[[#This Row],[NSK Original]]-BASE_DATOS[[#This Row],[NSK]]),"")</f>
        <v/>
      </c>
      <c r="AL597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97" s="362" t="str">
        <f>IFERROR(BASE_DATOS[[#This Row],[Precio US$]]/BASE_DATOS[[#This Row],[Horas Proy.]],"")</f>
        <v/>
      </c>
      <c r="AN597" s="195" t="str">
        <f>IF(OR(BASE_DATOS[[#This Row],[Km.]]="",BASE_DATOS[[#This Row],[Km. Actual]]=""),"",BASE_DATOS[[#This Row],[Km. Actual]]-BASE_DATOS[[#This Row],[Km.]]+BASE_DATOS[[#This Row],[Kilómetros Acumulados]])</f>
        <v/>
      </c>
      <c r="AO597" s="196" t="str">
        <f>IFERROR(BASE_DATOS[[#This Row],[Precio US$]]/BASE_DATOS[[#This Row],[Kilómetros Rodados]],"")</f>
        <v/>
      </c>
      <c r="AP597" s="195" t="str">
        <f>IFERROR(BASE_DATOS[[#This Row],[Kilómetros Rodados]]/(BASE_DATOS[[#This Row],[NSK Original]]-BASE_DATOS[[#This Row],[NSK]]),"")</f>
        <v/>
      </c>
      <c r="AQ597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97" s="196" t="str">
        <f>IFERROR(BASE_DATOS[[#This Row],[Precio US$]]/BASE_DATOS[[#This Row],[Kilómetros Proy.]],"")</f>
        <v/>
      </c>
      <c r="AS597" s="191" t="s">
        <v>62</v>
      </c>
      <c r="AT597" s="191"/>
      <c r="AU597" s="191"/>
      <c r="AV597" s="191"/>
      <c r="AW597" s="198"/>
      <c r="AX597" s="198"/>
      <c r="AY597" s="198" t="str">
        <f>CONCATENATE(BASE_DATOS[[#This Row],[Código_U]]&amp;BASE_DATOS[[#This Row],[Pos.]]&amp;BASE_DATOS[[#This Row],[Situación Actual]])</f>
        <v>TC-2141Rodando</v>
      </c>
    </row>
    <row r="598" spans="1:51" ht="12" x14ac:dyDescent="0.25">
      <c r="A598" s="223" t="s">
        <v>468</v>
      </c>
      <c r="B598" s="217" t="s">
        <v>467</v>
      </c>
      <c r="C598" s="228" t="s">
        <v>296</v>
      </c>
      <c r="D598" s="229" t="s">
        <v>86</v>
      </c>
      <c r="E598" s="255"/>
      <c r="F598" s="256" t="s">
        <v>469</v>
      </c>
      <c r="G598" s="256" t="s">
        <v>271</v>
      </c>
      <c r="H598" s="257" t="str">
        <f>IF(BASE_DATOS[[#This Row],[N-R]]="N",BASE_DATOS[[#This Row],[Diseño]],"Reencauche")</f>
        <v>S205</v>
      </c>
      <c r="I598" s="256" t="s">
        <v>470</v>
      </c>
      <c r="J598" s="243" t="s">
        <v>72</v>
      </c>
      <c r="K598" s="258">
        <v>0</v>
      </c>
      <c r="L598" s="241">
        <v>100</v>
      </c>
      <c r="M598" s="259"/>
      <c r="N598" s="260"/>
      <c r="O598" s="277"/>
      <c r="P598" s="278"/>
      <c r="Q598" s="279"/>
      <c r="R598" s="309" t="s">
        <v>99</v>
      </c>
      <c r="S598" s="310">
        <v>45386</v>
      </c>
      <c r="T598" s="313"/>
      <c r="U598" s="279"/>
      <c r="V598" s="227">
        <v>8</v>
      </c>
      <c r="W598" s="281">
        <v>10</v>
      </c>
      <c r="X598" s="282">
        <v>9</v>
      </c>
      <c r="Y598" s="293">
        <f t="shared" si="26"/>
        <v>8</v>
      </c>
      <c r="Z598" s="161" t="s">
        <v>85</v>
      </c>
      <c r="AA598" s="342">
        <f>IFERROR(BASE_DATOS[[#This Row],[NSK Original]]-BASE_DATOS[[#This Row],[NSK]]," ")</f>
        <v>-8</v>
      </c>
      <c r="AB598" s="343">
        <f>'NSK-TRACTO'!$A$2</f>
        <v>6</v>
      </c>
      <c r="AC598" s="343">
        <f>IF(BASE_DATOS[[#This Row],[NSK]]&gt;=BASE_DATOS[[#This Row],[NSK Reen]],BASE_DATOS[[#This Row],[NSK Reen]],BASE_DATOS[[#This Row],[NSK]])</f>
        <v>6</v>
      </c>
      <c r="AD598" s="344" t="str">
        <f>IFERROR(100%-(BASE_DATOS[[#This Row],[NSK Reen]]/BASE_DATOS[[#This Row],[NSK Original]]),"")</f>
        <v/>
      </c>
      <c r="AE598" s="344" t="str">
        <f>IFERROR(100%-BASE_DATOS[[#This Row],[NSK]]/BASE_DATOS[[#This Row],[NSK Original]],"")</f>
        <v/>
      </c>
      <c r="AF598" s="344" t="str">
        <f>IFERROR(BASE_DATOS[[#This Row],[% Max Des.]]-BASE_DATOS[[#This Row],[% Des]],"")</f>
        <v/>
      </c>
      <c r="AG598" s="287"/>
      <c r="AH598" s="273"/>
      <c r="AI598" s="363" t="str">
        <f>IF(OR(BASE_DATOS[[#This Row],[Hr.]]="",BASE_DATOS[[#This Row],[Hr. Actual]]=""),"",BASE_DATOS[[#This Row],[Hr. Actual]]-BASE_DATOS[[#This Row],[Hr.]]+BASE_DATOS[[#This Row],[Horas Acumuladas]])</f>
        <v/>
      </c>
      <c r="AJ598" s="364" t="str">
        <f>IFERROR(BASE_DATOS[[#This Row],[Precio US$]]/BASE_DATOS[[#This Row],[Horas Rodadas]],"")</f>
        <v/>
      </c>
      <c r="AK598" s="365" t="str">
        <f>IFERROR(BASE_DATOS[[#This Row],[Horas Rodadas]]/(BASE_DATOS[[#This Row],[NSK Original]]-BASE_DATOS[[#This Row],[NSK]]),"")</f>
        <v/>
      </c>
      <c r="AL59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98" s="366" t="str">
        <f>IFERROR(BASE_DATOS[[#This Row],[Precio US$]]/BASE_DATOS[[#This Row],[Horas Proy.]],"")</f>
        <v/>
      </c>
      <c r="AN598" s="176" t="str">
        <f>IF(OR(BASE_DATOS[[#This Row],[Km.]]="",BASE_DATOS[[#This Row],[Km. Actual]]=""),"",BASE_DATOS[[#This Row],[Km. Actual]]-BASE_DATOS[[#This Row],[Km.]]+BASE_DATOS[[#This Row],[Kilómetros Acumulados]])</f>
        <v/>
      </c>
      <c r="AO598" s="177" t="str">
        <f>IFERROR(BASE_DATOS[[#This Row],[Precio US$]]/BASE_DATOS[[#This Row],[Kilómetros Rodados]],"")</f>
        <v/>
      </c>
      <c r="AP598" s="176" t="str">
        <f>IFERROR(BASE_DATOS[[#This Row],[Kilómetros Rodados]]/(BASE_DATOS[[#This Row],[NSK Original]]-BASE_DATOS[[#This Row],[NSK]]),"")</f>
        <v/>
      </c>
      <c r="AQ59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98" s="177" t="str">
        <f>IFERROR(BASE_DATOS[[#This Row],[Precio US$]]/BASE_DATOS[[#This Row],[Kilómetros Proy.]],"")</f>
        <v/>
      </c>
      <c r="AS598" s="167" t="s">
        <v>62</v>
      </c>
      <c r="AT598" s="167"/>
      <c r="AU598" s="167"/>
      <c r="AV598" s="167"/>
      <c r="AW598" s="179"/>
      <c r="AX598" s="179"/>
      <c r="AY598" s="179" t="str">
        <f>CONCATENATE(BASE_DATOS[[#This Row],[Código_U]]&amp;BASE_DATOS[[#This Row],[Pos.]]&amp;BASE_DATOS[[#This Row],[Situación Actual]])</f>
        <v>TC-2142Rodando</v>
      </c>
    </row>
    <row r="599" spans="1:51" ht="12" x14ac:dyDescent="0.25">
      <c r="A599" s="223" t="s">
        <v>468</v>
      </c>
      <c r="B599" s="217" t="s">
        <v>467</v>
      </c>
      <c r="C599" s="228" t="s">
        <v>296</v>
      </c>
      <c r="D599" s="229" t="s">
        <v>61</v>
      </c>
      <c r="E599" s="255"/>
      <c r="F599" s="256" t="s">
        <v>291</v>
      </c>
      <c r="G599" s="256" t="s">
        <v>271</v>
      </c>
      <c r="H599" s="257" t="str">
        <f>IF(BASE_DATOS[[#This Row],[N-R]]="N",BASE_DATOS[[#This Row],[Diseño]],"Reencauche")</f>
        <v>BDR81</v>
      </c>
      <c r="I599" s="256" t="s">
        <v>292</v>
      </c>
      <c r="J599" s="243" t="s">
        <v>72</v>
      </c>
      <c r="K599" s="258">
        <v>0</v>
      </c>
      <c r="L599" s="241">
        <v>110</v>
      </c>
      <c r="M599" s="259"/>
      <c r="N599" s="260"/>
      <c r="O599" s="277"/>
      <c r="P599" s="278"/>
      <c r="Q599" s="279"/>
      <c r="R599" s="309" t="s">
        <v>100</v>
      </c>
      <c r="S599" s="310">
        <v>45386</v>
      </c>
      <c r="T599" s="313"/>
      <c r="U599" s="279"/>
      <c r="V599" s="227">
        <v>11</v>
      </c>
      <c r="W599" s="281">
        <v>11</v>
      </c>
      <c r="X599" s="282">
        <v>11</v>
      </c>
      <c r="Y599" s="293">
        <f t="shared" si="26"/>
        <v>11</v>
      </c>
      <c r="Z599" s="175" t="s">
        <v>85</v>
      </c>
      <c r="AA599" s="342">
        <f>IFERROR(BASE_DATOS[[#This Row],[NSK Original]]-BASE_DATOS[[#This Row],[NSK]]," ")</f>
        <v>-11</v>
      </c>
      <c r="AB599" s="343">
        <f>'NSK-TRACTO'!$A$2</f>
        <v>6</v>
      </c>
      <c r="AC599" s="343">
        <f>IF(BASE_DATOS[[#This Row],[NSK]]&gt;=BASE_DATOS[[#This Row],[NSK Reen]],BASE_DATOS[[#This Row],[NSK Reen]],BASE_DATOS[[#This Row],[NSK]])</f>
        <v>6</v>
      </c>
      <c r="AD599" s="344" t="str">
        <f>IFERROR(100%-(BASE_DATOS[[#This Row],[NSK Reen]]/BASE_DATOS[[#This Row],[NSK Original]]),"")</f>
        <v/>
      </c>
      <c r="AE599" s="344" t="str">
        <f>IFERROR(100%-BASE_DATOS[[#This Row],[NSK]]/BASE_DATOS[[#This Row],[NSK Original]],"")</f>
        <v/>
      </c>
      <c r="AF599" s="344" t="str">
        <f>IFERROR(BASE_DATOS[[#This Row],[% Max Des.]]-BASE_DATOS[[#This Row],[% Des]],"")</f>
        <v/>
      </c>
      <c r="AG599" s="287"/>
      <c r="AH599" s="273"/>
      <c r="AI599" s="363" t="str">
        <f>IF(OR(BASE_DATOS[[#This Row],[Hr.]]="",BASE_DATOS[[#This Row],[Hr. Actual]]=""),"",BASE_DATOS[[#This Row],[Hr. Actual]]-BASE_DATOS[[#This Row],[Hr.]]+BASE_DATOS[[#This Row],[Horas Acumuladas]])</f>
        <v/>
      </c>
      <c r="AJ599" s="364" t="str">
        <f>IFERROR(BASE_DATOS[[#This Row],[Precio US$]]/BASE_DATOS[[#This Row],[Horas Rodadas]],"")</f>
        <v/>
      </c>
      <c r="AK599" s="365" t="str">
        <f>IFERROR(BASE_DATOS[[#This Row],[Horas Rodadas]]/(BASE_DATOS[[#This Row],[NSK Original]]-BASE_DATOS[[#This Row],[NSK]]),"")</f>
        <v/>
      </c>
      <c r="AL59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599" s="366" t="str">
        <f>IFERROR(BASE_DATOS[[#This Row],[Precio US$]]/BASE_DATOS[[#This Row],[Horas Proy.]],"")</f>
        <v/>
      </c>
      <c r="AN599" s="176" t="str">
        <f>IF(OR(BASE_DATOS[[#This Row],[Km.]]="",BASE_DATOS[[#This Row],[Km. Actual]]=""),"",BASE_DATOS[[#This Row],[Km. Actual]]-BASE_DATOS[[#This Row],[Km.]]+BASE_DATOS[[#This Row],[Kilómetros Acumulados]])</f>
        <v/>
      </c>
      <c r="AO599" s="177" t="str">
        <f>IFERROR(BASE_DATOS[[#This Row],[Precio US$]]/BASE_DATOS[[#This Row],[Kilómetros Rodados]],"")</f>
        <v/>
      </c>
      <c r="AP599" s="176" t="str">
        <f>IFERROR(BASE_DATOS[[#This Row],[Kilómetros Rodados]]/(BASE_DATOS[[#This Row],[NSK Original]]-BASE_DATOS[[#This Row],[NSK]]),"")</f>
        <v/>
      </c>
      <c r="AQ59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599" s="177" t="str">
        <f>IFERROR(BASE_DATOS[[#This Row],[Precio US$]]/BASE_DATOS[[#This Row],[Kilómetros Proy.]],"")</f>
        <v/>
      </c>
      <c r="AS599" s="167" t="s">
        <v>62</v>
      </c>
      <c r="AT599" s="167"/>
      <c r="AU599" s="167"/>
      <c r="AV599" s="167"/>
      <c r="AW599" s="179"/>
      <c r="AX599" s="179"/>
      <c r="AY599" s="179" t="str">
        <f>CONCATENATE(BASE_DATOS[[#This Row],[Código_U]]&amp;BASE_DATOS[[#This Row],[Pos.]]&amp;BASE_DATOS[[#This Row],[Situación Actual]])</f>
        <v>TC-2143Rodando</v>
      </c>
    </row>
    <row r="600" spans="1:51" ht="12" x14ac:dyDescent="0.25">
      <c r="A600" s="223" t="s">
        <v>468</v>
      </c>
      <c r="B600" s="217" t="s">
        <v>467</v>
      </c>
      <c r="C600" s="228" t="s">
        <v>296</v>
      </c>
      <c r="D600" s="229" t="s">
        <v>61</v>
      </c>
      <c r="E600" s="255"/>
      <c r="F600" s="256" t="s">
        <v>291</v>
      </c>
      <c r="G600" s="256" t="s">
        <v>271</v>
      </c>
      <c r="H600" s="257" t="str">
        <f>IF(BASE_DATOS[[#This Row],[N-R]]="N",BASE_DATOS[[#This Row],[Diseño]],"Reencauche")</f>
        <v>BDR81</v>
      </c>
      <c r="I600" s="256" t="s">
        <v>292</v>
      </c>
      <c r="J600" s="243" t="s">
        <v>72</v>
      </c>
      <c r="K600" s="258">
        <v>0</v>
      </c>
      <c r="L600" s="241">
        <v>110</v>
      </c>
      <c r="M600" s="259"/>
      <c r="N600" s="260"/>
      <c r="O600" s="277"/>
      <c r="P600" s="278"/>
      <c r="Q600" s="279"/>
      <c r="R600" s="309" t="s">
        <v>101</v>
      </c>
      <c r="S600" s="310">
        <v>45386</v>
      </c>
      <c r="T600" s="313"/>
      <c r="U600" s="279"/>
      <c r="V600" s="227">
        <v>11</v>
      </c>
      <c r="W600" s="281">
        <v>11</v>
      </c>
      <c r="X600" s="282">
        <v>11</v>
      </c>
      <c r="Y600" s="293">
        <f t="shared" si="26"/>
        <v>11</v>
      </c>
      <c r="Z600" s="175" t="s">
        <v>85</v>
      </c>
      <c r="AA600" s="342">
        <f>IFERROR(BASE_DATOS[[#This Row],[NSK Original]]-BASE_DATOS[[#This Row],[NSK]]," ")</f>
        <v>-11</v>
      </c>
      <c r="AB600" s="343">
        <f>'NSK-TRACTO'!$A$2</f>
        <v>6</v>
      </c>
      <c r="AC600" s="343">
        <f>IF(BASE_DATOS[[#This Row],[NSK]]&gt;=BASE_DATOS[[#This Row],[NSK Reen]],BASE_DATOS[[#This Row],[NSK Reen]],BASE_DATOS[[#This Row],[NSK]])</f>
        <v>6</v>
      </c>
      <c r="AD600" s="344" t="str">
        <f>IFERROR(100%-(BASE_DATOS[[#This Row],[NSK Reen]]/BASE_DATOS[[#This Row],[NSK Original]]),"")</f>
        <v/>
      </c>
      <c r="AE600" s="344" t="str">
        <f>IFERROR(100%-BASE_DATOS[[#This Row],[NSK]]/BASE_DATOS[[#This Row],[NSK Original]],"")</f>
        <v/>
      </c>
      <c r="AF600" s="344" t="str">
        <f>IFERROR(BASE_DATOS[[#This Row],[% Max Des.]]-BASE_DATOS[[#This Row],[% Des]],"")</f>
        <v/>
      </c>
      <c r="AG600" s="287"/>
      <c r="AH600" s="273"/>
      <c r="AI600" s="363" t="str">
        <f>IF(OR(BASE_DATOS[[#This Row],[Hr.]]="",BASE_DATOS[[#This Row],[Hr. Actual]]=""),"",BASE_DATOS[[#This Row],[Hr. Actual]]-BASE_DATOS[[#This Row],[Hr.]]+BASE_DATOS[[#This Row],[Horas Acumuladas]])</f>
        <v/>
      </c>
      <c r="AJ600" s="364" t="str">
        <f>IFERROR(BASE_DATOS[[#This Row],[Precio US$]]/BASE_DATOS[[#This Row],[Horas Rodadas]],"")</f>
        <v/>
      </c>
      <c r="AK600" s="365" t="str">
        <f>IFERROR(BASE_DATOS[[#This Row],[Horas Rodadas]]/(BASE_DATOS[[#This Row],[NSK Original]]-BASE_DATOS[[#This Row],[NSK]]),"")</f>
        <v/>
      </c>
      <c r="AL60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00" s="366" t="str">
        <f>IFERROR(BASE_DATOS[[#This Row],[Precio US$]]/BASE_DATOS[[#This Row],[Horas Proy.]],"")</f>
        <v/>
      </c>
      <c r="AN600" s="176" t="str">
        <f>IF(OR(BASE_DATOS[[#This Row],[Km.]]="",BASE_DATOS[[#This Row],[Km. Actual]]=""),"",BASE_DATOS[[#This Row],[Km. Actual]]-BASE_DATOS[[#This Row],[Km.]]+BASE_DATOS[[#This Row],[Kilómetros Acumulados]])</f>
        <v/>
      </c>
      <c r="AO600" s="177" t="str">
        <f>IFERROR(BASE_DATOS[[#This Row],[Precio US$]]/BASE_DATOS[[#This Row],[Kilómetros Rodados]],"")</f>
        <v/>
      </c>
      <c r="AP600" s="176" t="str">
        <f>IFERROR(BASE_DATOS[[#This Row],[Kilómetros Rodados]]/(BASE_DATOS[[#This Row],[NSK Original]]-BASE_DATOS[[#This Row],[NSK]]),"")</f>
        <v/>
      </c>
      <c r="AQ60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00" s="177" t="str">
        <f>IFERROR(BASE_DATOS[[#This Row],[Precio US$]]/BASE_DATOS[[#This Row],[Kilómetros Proy.]],"")</f>
        <v/>
      </c>
      <c r="AS600" s="167" t="s">
        <v>62</v>
      </c>
      <c r="AT600" s="167"/>
      <c r="AU600" s="167"/>
      <c r="AV600" s="167"/>
      <c r="AW600" s="179"/>
      <c r="AX600" s="179"/>
      <c r="AY600" s="179" t="str">
        <f>CONCATENATE(BASE_DATOS[[#This Row],[Código_U]]&amp;BASE_DATOS[[#This Row],[Pos.]]&amp;BASE_DATOS[[#This Row],[Situación Actual]])</f>
        <v>TC-2144Rodando</v>
      </c>
    </row>
    <row r="601" spans="1:51" ht="12" x14ac:dyDescent="0.25">
      <c r="A601" s="223" t="s">
        <v>468</v>
      </c>
      <c r="B601" s="217" t="s">
        <v>467</v>
      </c>
      <c r="C601" s="228" t="s">
        <v>296</v>
      </c>
      <c r="D601" s="229" t="s">
        <v>61</v>
      </c>
      <c r="E601" s="255"/>
      <c r="F601" s="256" t="s">
        <v>291</v>
      </c>
      <c r="G601" s="256" t="s">
        <v>271</v>
      </c>
      <c r="H601" s="257" t="str">
        <f>IF(BASE_DATOS[[#This Row],[N-R]]="N",BASE_DATOS[[#This Row],[Diseño]],"Reencauche")</f>
        <v>BDR81</v>
      </c>
      <c r="I601" s="256" t="s">
        <v>292</v>
      </c>
      <c r="J601" s="243" t="s">
        <v>72</v>
      </c>
      <c r="K601" s="258">
        <v>0</v>
      </c>
      <c r="L601" s="241">
        <v>110</v>
      </c>
      <c r="M601" s="259"/>
      <c r="N601" s="260"/>
      <c r="O601" s="277"/>
      <c r="P601" s="278"/>
      <c r="Q601" s="279"/>
      <c r="R601" s="309" t="s">
        <v>102</v>
      </c>
      <c r="S601" s="310">
        <v>45386</v>
      </c>
      <c r="T601" s="313"/>
      <c r="U601" s="279"/>
      <c r="V601" s="227">
        <v>9</v>
      </c>
      <c r="W601" s="281">
        <v>9</v>
      </c>
      <c r="X601" s="282">
        <v>9</v>
      </c>
      <c r="Y601" s="293">
        <f t="shared" si="26"/>
        <v>9</v>
      </c>
      <c r="Z601" s="175" t="s">
        <v>85</v>
      </c>
      <c r="AA601" s="342">
        <f>IFERROR(BASE_DATOS[[#This Row],[NSK Original]]-BASE_DATOS[[#This Row],[NSK]]," ")</f>
        <v>-9</v>
      </c>
      <c r="AB601" s="343">
        <f>'NSK-TRACTO'!$A$2</f>
        <v>6</v>
      </c>
      <c r="AC601" s="343">
        <f>IF(BASE_DATOS[[#This Row],[NSK]]&gt;=BASE_DATOS[[#This Row],[NSK Reen]],BASE_DATOS[[#This Row],[NSK Reen]],BASE_DATOS[[#This Row],[NSK]])</f>
        <v>6</v>
      </c>
      <c r="AD601" s="344" t="str">
        <f>IFERROR(100%-(BASE_DATOS[[#This Row],[NSK Reen]]/BASE_DATOS[[#This Row],[NSK Original]]),"")</f>
        <v/>
      </c>
      <c r="AE601" s="344" t="str">
        <f>IFERROR(100%-BASE_DATOS[[#This Row],[NSK]]/BASE_DATOS[[#This Row],[NSK Original]],"")</f>
        <v/>
      </c>
      <c r="AF601" s="344" t="str">
        <f>IFERROR(BASE_DATOS[[#This Row],[% Max Des.]]-BASE_DATOS[[#This Row],[% Des]],"")</f>
        <v/>
      </c>
      <c r="AG601" s="287"/>
      <c r="AH601" s="273"/>
      <c r="AI601" s="363" t="str">
        <f>IF(OR(BASE_DATOS[[#This Row],[Hr.]]="",BASE_DATOS[[#This Row],[Hr. Actual]]=""),"",BASE_DATOS[[#This Row],[Hr. Actual]]-BASE_DATOS[[#This Row],[Hr.]]+BASE_DATOS[[#This Row],[Horas Acumuladas]])</f>
        <v/>
      </c>
      <c r="AJ601" s="364" t="str">
        <f>IFERROR(BASE_DATOS[[#This Row],[Precio US$]]/BASE_DATOS[[#This Row],[Horas Rodadas]],"")</f>
        <v/>
      </c>
      <c r="AK601" s="365" t="str">
        <f>IFERROR(BASE_DATOS[[#This Row],[Horas Rodadas]]/(BASE_DATOS[[#This Row],[NSK Original]]-BASE_DATOS[[#This Row],[NSK]]),"")</f>
        <v/>
      </c>
      <c r="AL60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01" s="366" t="str">
        <f>IFERROR(BASE_DATOS[[#This Row],[Precio US$]]/BASE_DATOS[[#This Row],[Horas Proy.]],"")</f>
        <v/>
      </c>
      <c r="AN601" s="176" t="str">
        <f>IF(OR(BASE_DATOS[[#This Row],[Km.]]="",BASE_DATOS[[#This Row],[Km. Actual]]=""),"",BASE_DATOS[[#This Row],[Km. Actual]]-BASE_DATOS[[#This Row],[Km.]]+BASE_DATOS[[#This Row],[Kilómetros Acumulados]])</f>
        <v/>
      </c>
      <c r="AO601" s="177" t="str">
        <f>IFERROR(BASE_DATOS[[#This Row],[Precio US$]]/BASE_DATOS[[#This Row],[Kilómetros Rodados]],"")</f>
        <v/>
      </c>
      <c r="AP601" s="176" t="str">
        <f>IFERROR(BASE_DATOS[[#This Row],[Kilómetros Rodados]]/(BASE_DATOS[[#This Row],[NSK Original]]-BASE_DATOS[[#This Row],[NSK]]),"")</f>
        <v/>
      </c>
      <c r="AQ60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01" s="177" t="str">
        <f>IFERROR(BASE_DATOS[[#This Row],[Precio US$]]/BASE_DATOS[[#This Row],[Kilómetros Proy.]],"")</f>
        <v/>
      </c>
      <c r="AS601" s="167" t="s">
        <v>62</v>
      </c>
      <c r="AT601" s="167"/>
      <c r="AU601" s="167"/>
      <c r="AV601" s="167"/>
      <c r="AW601" s="179"/>
      <c r="AX601" s="179"/>
      <c r="AY601" s="179" t="str">
        <f>CONCATENATE(BASE_DATOS[[#This Row],[Código_U]]&amp;BASE_DATOS[[#This Row],[Pos.]]&amp;BASE_DATOS[[#This Row],[Situación Actual]])</f>
        <v>TC-2145Rodando</v>
      </c>
    </row>
    <row r="602" spans="1:51" ht="12" x14ac:dyDescent="0.25">
      <c r="A602" s="223" t="s">
        <v>468</v>
      </c>
      <c r="B602" s="217" t="s">
        <v>467</v>
      </c>
      <c r="C602" s="228" t="s">
        <v>296</v>
      </c>
      <c r="D602" s="229" t="s">
        <v>61</v>
      </c>
      <c r="E602" s="255"/>
      <c r="F602" s="256" t="s">
        <v>291</v>
      </c>
      <c r="G602" s="256" t="s">
        <v>271</v>
      </c>
      <c r="H602" s="257" t="str">
        <f>IF(BASE_DATOS[[#This Row],[N-R]]="N",BASE_DATOS[[#This Row],[Diseño]],"Reencauche")</f>
        <v>BDR81</v>
      </c>
      <c r="I602" s="256" t="s">
        <v>292</v>
      </c>
      <c r="J602" s="243" t="s">
        <v>72</v>
      </c>
      <c r="K602" s="258">
        <v>0</v>
      </c>
      <c r="L602" s="241">
        <v>110</v>
      </c>
      <c r="M602" s="259"/>
      <c r="N602" s="260"/>
      <c r="O602" s="277"/>
      <c r="P602" s="278"/>
      <c r="Q602" s="279"/>
      <c r="R602" s="309" t="s">
        <v>103</v>
      </c>
      <c r="S602" s="310">
        <v>45386</v>
      </c>
      <c r="T602" s="313"/>
      <c r="U602" s="279"/>
      <c r="V602" s="227">
        <v>9</v>
      </c>
      <c r="W602" s="281">
        <v>9</v>
      </c>
      <c r="X602" s="282">
        <v>9</v>
      </c>
      <c r="Y602" s="293">
        <f t="shared" si="26"/>
        <v>9</v>
      </c>
      <c r="Z602" s="175" t="s">
        <v>85</v>
      </c>
      <c r="AA602" s="342">
        <f>IFERROR(BASE_DATOS[[#This Row],[NSK Original]]-BASE_DATOS[[#This Row],[NSK]]," ")</f>
        <v>-9</v>
      </c>
      <c r="AB602" s="343">
        <f>'NSK-TRACTO'!$A$2</f>
        <v>6</v>
      </c>
      <c r="AC602" s="343">
        <f>IF(BASE_DATOS[[#This Row],[NSK]]&gt;=BASE_DATOS[[#This Row],[NSK Reen]],BASE_DATOS[[#This Row],[NSK Reen]],BASE_DATOS[[#This Row],[NSK]])</f>
        <v>6</v>
      </c>
      <c r="AD602" s="344" t="str">
        <f>IFERROR(100%-(BASE_DATOS[[#This Row],[NSK Reen]]/BASE_DATOS[[#This Row],[NSK Original]]),"")</f>
        <v/>
      </c>
      <c r="AE602" s="344" t="str">
        <f>IFERROR(100%-BASE_DATOS[[#This Row],[NSK]]/BASE_DATOS[[#This Row],[NSK Original]],"")</f>
        <v/>
      </c>
      <c r="AF602" s="344" t="str">
        <f>IFERROR(BASE_DATOS[[#This Row],[% Max Des.]]-BASE_DATOS[[#This Row],[% Des]],"")</f>
        <v/>
      </c>
      <c r="AG602" s="287"/>
      <c r="AH602" s="273"/>
      <c r="AI602" s="363" t="str">
        <f>IF(OR(BASE_DATOS[[#This Row],[Hr.]]="",BASE_DATOS[[#This Row],[Hr. Actual]]=""),"",BASE_DATOS[[#This Row],[Hr. Actual]]-BASE_DATOS[[#This Row],[Hr.]]+BASE_DATOS[[#This Row],[Horas Acumuladas]])</f>
        <v/>
      </c>
      <c r="AJ602" s="364" t="str">
        <f>IFERROR(BASE_DATOS[[#This Row],[Precio US$]]/BASE_DATOS[[#This Row],[Horas Rodadas]],"")</f>
        <v/>
      </c>
      <c r="AK602" s="365" t="str">
        <f>IFERROR(BASE_DATOS[[#This Row],[Horas Rodadas]]/(BASE_DATOS[[#This Row],[NSK Original]]-BASE_DATOS[[#This Row],[NSK]]),"")</f>
        <v/>
      </c>
      <c r="AL60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02" s="366" t="str">
        <f>IFERROR(BASE_DATOS[[#This Row],[Precio US$]]/BASE_DATOS[[#This Row],[Horas Proy.]],"")</f>
        <v/>
      </c>
      <c r="AN602" s="176" t="str">
        <f>IF(OR(BASE_DATOS[[#This Row],[Km.]]="",BASE_DATOS[[#This Row],[Km. Actual]]=""),"",BASE_DATOS[[#This Row],[Km. Actual]]-BASE_DATOS[[#This Row],[Km.]]+BASE_DATOS[[#This Row],[Kilómetros Acumulados]])</f>
        <v/>
      </c>
      <c r="AO602" s="177" t="str">
        <f>IFERROR(BASE_DATOS[[#This Row],[Precio US$]]/BASE_DATOS[[#This Row],[Kilómetros Rodados]],"")</f>
        <v/>
      </c>
      <c r="AP602" s="176" t="str">
        <f>IFERROR(BASE_DATOS[[#This Row],[Kilómetros Rodados]]/(BASE_DATOS[[#This Row],[NSK Original]]-BASE_DATOS[[#This Row],[NSK]]),"")</f>
        <v/>
      </c>
      <c r="AQ60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02" s="177" t="str">
        <f>IFERROR(BASE_DATOS[[#This Row],[Precio US$]]/BASE_DATOS[[#This Row],[Kilómetros Proy.]],"")</f>
        <v/>
      </c>
      <c r="AS602" s="167" t="s">
        <v>62</v>
      </c>
      <c r="AT602" s="167"/>
      <c r="AU602" s="167"/>
      <c r="AV602" s="167"/>
      <c r="AW602" s="179"/>
      <c r="AX602" s="179"/>
      <c r="AY602" s="179" t="str">
        <f>CONCATENATE(BASE_DATOS[[#This Row],[Código_U]]&amp;BASE_DATOS[[#This Row],[Pos.]]&amp;BASE_DATOS[[#This Row],[Situación Actual]])</f>
        <v>TC-2146Rodando</v>
      </c>
    </row>
    <row r="603" spans="1:51" ht="12" x14ac:dyDescent="0.25">
      <c r="A603" s="223" t="s">
        <v>468</v>
      </c>
      <c r="B603" s="217" t="s">
        <v>467</v>
      </c>
      <c r="C603" s="228" t="s">
        <v>296</v>
      </c>
      <c r="D603" s="229" t="s">
        <v>61</v>
      </c>
      <c r="E603" s="248"/>
      <c r="F603" s="256" t="s">
        <v>291</v>
      </c>
      <c r="G603" s="256" t="s">
        <v>271</v>
      </c>
      <c r="H603" s="257" t="str">
        <f>IF(BASE_DATOS[[#This Row],[N-R]]="N",BASE_DATOS[[#This Row],[Diseño]],"Reencauche")</f>
        <v>BDR81</v>
      </c>
      <c r="I603" s="256" t="s">
        <v>292</v>
      </c>
      <c r="J603" s="243" t="s">
        <v>72</v>
      </c>
      <c r="K603" s="258">
        <v>0</v>
      </c>
      <c r="L603" s="241">
        <v>110</v>
      </c>
      <c r="M603" s="259"/>
      <c r="N603" s="260"/>
      <c r="O603" s="277"/>
      <c r="P603" s="278"/>
      <c r="Q603" s="279"/>
      <c r="R603" s="309" t="s">
        <v>104</v>
      </c>
      <c r="S603" s="310">
        <v>45386</v>
      </c>
      <c r="T603" s="313"/>
      <c r="U603" s="279"/>
      <c r="V603" s="227">
        <v>13</v>
      </c>
      <c r="W603" s="281">
        <v>13</v>
      </c>
      <c r="X603" s="282">
        <v>13</v>
      </c>
      <c r="Y603" s="293">
        <f t="shared" si="26"/>
        <v>13</v>
      </c>
      <c r="Z603" s="175" t="s">
        <v>85</v>
      </c>
      <c r="AA603" s="342">
        <f>IFERROR(BASE_DATOS[[#This Row],[NSK Original]]-BASE_DATOS[[#This Row],[NSK]]," ")</f>
        <v>-13</v>
      </c>
      <c r="AB603" s="343">
        <f>'NSK-TRACTO'!$A$2</f>
        <v>6</v>
      </c>
      <c r="AC603" s="343">
        <f>IF(BASE_DATOS[[#This Row],[NSK]]&gt;=BASE_DATOS[[#This Row],[NSK Reen]],BASE_DATOS[[#This Row],[NSK Reen]],BASE_DATOS[[#This Row],[NSK]])</f>
        <v>6</v>
      </c>
      <c r="AD603" s="344" t="str">
        <f>IFERROR(100%-(BASE_DATOS[[#This Row],[NSK Reen]]/BASE_DATOS[[#This Row],[NSK Original]]),"")</f>
        <v/>
      </c>
      <c r="AE603" s="344" t="str">
        <f>IFERROR(100%-BASE_DATOS[[#This Row],[NSK]]/BASE_DATOS[[#This Row],[NSK Original]],"")</f>
        <v/>
      </c>
      <c r="AF603" s="344" t="str">
        <f>IFERROR(BASE_DATOS[[#This Row],[% Max Des.]]-BASE_DATOS[[#This Row],[% Des]],"")</f>
        <v/>
      </c>
      <c r="AG603" s="287"/>
      <c r="AH603" s="273"/>
      <c r="AI603" s="363" t="str">
        <f>IF(OR(BASE_DATOS[[#This Row],[Hr.]]="",BASE_DATOS[[#This Row],[Hr. Actual]]=""),"",BASE_DATOS[[#This Row],[Hr. Actual]]-BASE_DATOS[[#This Row],[Hr.]]+BASE_DATOS[[#This Row],[Horas Acumuladas]])</f>
        <v/>
      </c>
      <c r="AJ603" s="364" t="str">
        <f>IFERROR(BASE_DATOS[[#This Row],[Precio US$]]/BASE_DATOS[[#This Row],[Horas Rodadas]],"")</f>
        <v/>
      </c>
      <c r="AK603" s="365" t="str">
        <f>IFERROR(BASE_DATOS[[#This Row],[Horas Rodadas]]/(BASE_DATOS[[#This Row],[NSK Original]]-BASE_DATOS[[#This Row],[NSK]]),"")</f>
        <v/>
      </c>
      <c r="AL60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03" s="366" t="str">
        <f>IFERROR(BASE_DATOS[[#This Row],[Precio US$]]/BASE_DATOS[[#This Row],[Horas Proy.]],"")</f>
        <v/>
      </c>
      <c r="AN603" s="176" t="str">
        <f>IF(OR(BASE_DATOS[[#This Row],[Km.]]="",BASE_DATOS[[#This Row],[Km. Actual]]=""),"",BASE_DATOS[[#This Row],[Km. Actual]]-BASE_DATOS[[#This Row],[Km.]]+BASE_DATOS[[#This Row],[Kilómetros Acumulados]])</f>
        <v/>
      </c>
      <c r="AO603" s="177" t="str">
        <f>IFERROR(BASE_DATOS[[#This Row],[Precio US$]]/BASE_DATOS[[#This Row],[Kilómetros Rodados]],"")</f>
        <v/>
      </c>
      <c r="AP603" s="176" t="str">
        <f>IFERROR(BASE_DATOS[[#This Row],[Kilómetros Rodados]]/(BASE_DATOS[[#This Row],[NSK Original]]-BASE_DATOS[[#This Row],[NSK]]),"")</f>
        <v/>
      </c>
      <c r="AQ60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03" s="177" t="str">
        <f>IFERROR(BASE_DATOS[[#This Row],[Precio US$]]/BASE_DATOS[[#This Row],[Kilómetros Proy.]],"")</f>
        <v/>
      </c>
      <c r="AS603" s="167" t="s">
        <v>62</v>
      </c>
      <c r="AT603" s="167"/>
      <c r="AU603" s="167"/>
      <c r="AV603" s="167"/>
      <c r="AW603" s="179"/>
      <c r="AX603" s="179"/>
      <c r="AY603" s="179" t="str">
        <f>CONCATENATE(BASE_DATOS[[#This Row],[Código_U]]&amp;BASE_DATOS[[#This Row],[Pos.]]&amp;BASE_DATOS[[#This Row],[Situación Actual]])</f>
        <v>TC-2147Rodando</v>
      </c>
    </row>
    <row r="604" spans="1:51" ht="12" x14ac:dyDescent="0.25">
      <c r="A604" s="223" t="s">
        <v>468</v>
      </c>
      <c r="B604" s="217" t="s">
        <v>467</v>
      </c>
      <c r="C604" s="228" t="s">
        <v>296</v>
      </c>
      <c r="D604" s="229" t="s">
        <v>61</v>
      </c>
      <c r="E604" s="255"/>
      <c r="F604" s="256" t="s">
        <v>291</v>
      </c>
      <c r="G604" s="256" t="s">
        <v>271</v>
      </c>
      <c r="H604" s="257" t="str">
        <f>IF(BASE_DATOS[[#This Row],[N-R]]="N",BASE_DATOS[[#This Row],[Diseño]],"Reencauche")</f>
        <v>BDR81</v>
      </c>
      <c r="I604" s="256" t="s">
        <v>292</v>
      </c>
      <c r="J604" s="243" t="s">
        <v>72</v>
      </c>
      <c r="K604" s="258">
        <v>0</v>
      </c>
      <c r="L604" s="241">
        <v>110</v>
      </c>
      <c r="M604" s="259"/>
      <c r="N604" s="260"/>
      <c r="O604" s="277"/>
      <c r="P604" s="278"/>
      <c r="Q604" s="279"/>
      <c r="R604" s="309" t="s">
        <v>105</v>
      </c>
      <c r="S604" s="310">
        <v>45386</v>
      </c>
      <c r="T604" s="313"/>
      <c r="U604" s="279"/>
      <c r="V604" s="227">
        <v>13</v>
      </c>
      <c r="W604" s="281">
        <v>13</v>
      </c>
      <c r="X604" s="282">
        <v>13</v>
      </c>
      <c r="Y604" s="293">
        <f t="shared" si="26"/>
        <v>13</v>
      </c>
      <c r="Z604" s="175" t="s">
        <v>85</v>
      </c>
      <c r="AA604" s="342">
        <f>IFERROR(BASE_DATOS[[#This Row],[NSK Original]]-BASE_DATOS[[#This Row],[NSK]]," ")</f>
        <v>-13</v>
      </c>
      <c r="AB604" s="343">
        <f>'NSK-TRACTO'!$A$2</f>
        <v>6</v>
      </c>
      <c r="AC604" s="343">
        <f>IF(BASE_DATOS[[#This Row],[NSK]]&gt;=BASE_DATOS[[#This Row],[NSK Reen]],BASE_DATOS[[#This Row],[NSK Reen]],BASE_DATOS[[#This Row],[NSK]])</f>
        <v>6</v>
      </c>
      <c r="AD604" s="344" t="str">
        <f>IFERROR(100%-(BASE_DATOS[[#This Row],[NSK Reen]]/BASE_DATOS[[#This Row],[NSK Original]]),"")</f>
        <v/>
      </c>
      <c r="AE604" s="344" t="str">
        <f>IFERROR(100%-BASE_DATOS[[#This Row],[NSK]]/BASE_DATOS[[#This Row],[NSK Original]],"")</f>
        <v/>
      </c>
      <c r="AF604" s="344" t="str">
        <f>IFERROR(BASE_DATOS[[#This Row],[% Max Des.]]-BASE_DATOS[[#This Row],[% Des]],"")</f>
        <v/>
      </c>
      <c r="AG604" s="287"/>
      <c r="AH604" s="273"/>
      <c r="AI604" s="363" t="str">
        <f>IF(OR(BASE_DATOS[[#This Row],[Hr.]]="",BASE_DATOS[[#This Row],[Hr. Actual]]=""),"",BASE_DATOS[[#This Row],[Hr. Actual]]-BASE_DATOS[[#This Row],[Hr.]]+BASE_DATOS[[#This Row],[Horas Acumuladas]])</f>
        <v/>
      </c>
      <c r="AJ604" s="364" t="str">
        <f>IFERROR(BASE_DATOS[[#This Row],[Precio US$]]/BASE_DATOS[[#This Row],[Horas Rodadas]],"")</f>
        <v/>
      </c>
      <c r="AK604" s="365" t="str">
        <f>IFERROR(BASE_DATOS[[#This Row],[Horas Rodadas]]/(BASE_DATOS[[#This Row],[NSK Original]]-BASE_DATOS[[#This Row],[NSK]]),"")</f>
        <v/>
      </c>
      <c r="AL60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04" s="366" t="str">
        <f>IFERROR(BASE_DATOS[[#This Row],[Precio US$]]/BASE_DATOS[[#This Row],[Horas Proy.]],"")</f>
        <v/>
      </c>
      <c r="AN604" s="176" t="str">
        <f>IF(OR(BASE_DATOS[[#This Row],[Km.]]="",BASE_DATOS[[#This Row],[Km. Actual]]=""),"",BASE_DATOS[[#This Row],[Km. Actual]]-BASE_DATOS[[#This Row],[Km.]]+BASE_DATOS[[#This Row],[Kilómetros Acumulados]])</f>
        <v/>
      </c>
      <c r="AO604" s="177" t="str">
        <f>IFERROR(BASE_DATOS[[#This Row],[Precio US$]]/BASE_DATOS[[#This Row],[Kilómetros Rodados]],"")</f>
        <v/>
      </c>
      <c r="AP604" s="176" t="str">
        <f>IFERROR(BASE_DATOS[[#This Row],[Kilómetros Rodados]]/(BASE_DATOS[[#This Row],[NSK Original]]-BASE_DATOS[[#This Row],[NSK]]),"")</f>
        <v/>
      </c>
      <c r="AQ60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04" s="177" t="str">
        <f>IFERROR(BASE_DATOS[[#This Row],[Precio US$]]/BASE_DATOS[[#This Row],[Kilómetros Proy.]],"")</f>
        <v/>
      </c>
      <c r="AS604" s="167" t="s">
        <v>62</v>
      </c>
      <c r="AT604" s="167"/>
      <c r="AU604" s="167"/>
      <c r="AV604" s="167"/>
      <c r="AW604" s="179"/>
      <c r="AX604" s="179"/>
      <c r="AY604" s="179" t="str">
        <f>CONCATENATE(BASE_DATOS[[#This Row],[Código_U]]&amp;BASE_DATOS[[#This Row],[Pos.]]&amp;BASE_DATOS[[#This Row],[Situación Actual]])</f>
        <v>TC-2148Rodando</v>
      </c>
    </row>
    <row r="605" spans="1:51" ht="12" x14ac:dyDescent="0.25">
      <c r="A605" s="223" t="s">
        <v>468</v>
      </c>
      <c r="B605" s="217" t="s">
        <v>467</v>
      </c>
      <c r="C605" s="228" t="s">
        <v>296</v>
      </c>
      <c r="D605" s="229" t="s">
        <v>61</v>
      </c>
      <c r="E605" s="255"/>
      <c r="F605" s="256" t="s">
        <v>291</v>
      </c>
      <c r="G605" s="256" t="s">
        <v>271</v>
      </c>
      <c r="H605" s="257" t="str">
        <f>IF(BASE_DATOS[[#This Row],[N-R]]="N",BASE_DATOS[[#This Row],[Diseño]],"Reencauche")</f>
        <v>BDR81</v>
      </c>
      <c r="I605" s="256" t="s">
        <v>292</v>
      </c>
      <c r="J605" s="243" t="s">
        <v>72</v>
      </c>
      <c r="K605" s="258">
        <v>0</v>
      </c>
      <c r="L605" s="241">
        <v>110</v>
      </c>
      <c r="M605" s="259"/>
      <c r="N605" s="260"/>
      <c r="O605" s="277"/>
      <c r="P605" s="278"/>
      <c r="Q605" s="279"/>
      <c r="R605" s="309" t="s">
        <v>106</v>
      </c>
      <c r="S605" s="310">
        <v>45386</v>
      </c>
      <c r="T605" s="313"/>
      <c r="U605" s="279"/>
      <c r="V605" s="227">
        <v>10</v>
      </c>
      <c r="W605" s="281">
        <v>10</v>
      </c>
      <c r="X605" s="282">
        <v>10</v>
      </c>
      <c r="Y605" s="293">
        <f t="shared" si="26"/>
        <v>10</v>
      </c>
      <c r="Z605" s="175" t="s">
        <v>85</v>
      </c>
      <c r="AA605" s="342">
        <f>IFERROR(BASE_DATOS[[#This Row],[NSK Original]]-BASE_DATOS[[#This Row],[NSK]]," ")</f>
        <v>-10</v>
      </c>
      <c r="AB605" s="343">
        <f>'NSK-TRACTO'!$A$2</f>
        <v>6</v>
      </c>
      <c r="AC605" s="343">
        <f>IF(BASE_DATOS[[#This Row],[NSK]]&gt;=BASE_DATOS[[#This Row],[NSK Reen]],BASE_DATOS[[#This Row],[NSK Reen]],BASE_DATOS[[#This Row],[NSK]])</f>
        <v>6</v>
      </c>
      <c r="AD605" s="344" t="str">
        <f>IFERROR(100%-(BASE_DATOS[[#This Row],[NSK Reen]]/BASE_DATOS[[#This Row],[NSK Original]]),"")</f>
        <v/>
      </c>
      <c r="AE605" s="344" t="str">
        <f>IFERROR(100%-BASE_DATOS[[#This Row],[NSK]]/BASE_DATOS[[#This Row],[NSK Original]],"")</f>
        <v/>
      </c>
      <c r="AF605" s="344" t="str">
        <f>IFERROR(BASE_DATOS[[#This Row],[% Max Des.]]-BASE_DATOS[[#This Row],[% Des]],"")</f>
        <v/>
      </c>
      <c r="AG605" s="287"/>
      <c r="AH605" s="273"/>
      <c r="AI605" s="363" t="str">
        <f>IF(OR(BASE_DATOS[[#This Row],[Hr.]]="",BASE_DATOS[[#This Row],[Hr. Actual]]=""),"",BASE_DATOS[[#This Row],[Hr. Actual]]-BASE_DATOS[[#This Row],[Hr.]]+BASE_DATOS[[#This Row],[Horas Acumuladas]])</f>
        <v/>
      </c>
      <c r="AJ605" s="364" t="str">
        <f>IFERROR(BASE_DATOS[[#This Row],[Precio US$]]/BASE_DATOS[[#This Row],[Horas Rodadas]],"")</f>
        <v/>
      </c>
      <c r="AK605" s="365" t="str">
        <f>IFERROR(BASE_DATOS[[#This Row],[Horas Rodadas]]/(BASE_DATOS[[#This Row],[NSK Original]]-BASE_DATOS[[#This Row],[NSK]]),"")</f>
        <v/>
      </c>
      <c r="AL60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05" s="366" t="str">
        <f>IFERROR(BASE_DATOS[[#This Row],[Precio US$]]/BASE_DATOS[[#This Row],[Horas Proy.]],"")</f>
        <v/>
      </c>
      <c r="AN605" s="176" t="str">
        <f>IF(OR(BASE_DATOS[[#This Row],[Km.]]="",BASE_DATOS[[#This Row],[Km. Actual]]=""),"",BASE_DATOS[[#This Row],[Km. Actual]]-BASE_DATOS[[#This Row],[Km.]]+BASE_DATOS[[#This Row],[Kilómetros Acumulados]])</f>
        <v/>
      </c>
      <c r="AO605" s="177" t="str">
        <f>IFERROR(BASE_DATOS[[#This Row],[Precio US$]]/BASE_DATOS[[#This Row],[Kilómetros Rodados]],"")</f>
        <v/>
      </c>
      <c r="AP605" s="176" t="str">
        <f>IFERROR(BASE_DATOS[[#This Row],[Kilómetros Rodados]]/(BASE_DATOS[[#This Row],[NSK Original]]-BASE_DATOS[[#This Row],[NSK]]),"")</f>
        <v/>
      </c>
      <c r="AQ60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05" s="177" t="str">
        <f>IFERROR(BASE_DATOS[[#This Row],[Precio US$]]/BASE_DATOS[[#This Row],[Kilómetros Proy.]],"")</f>
        <v/>
      </c>
      <c r="AS605" s="167" t="s">
        <v>62</v>
      </c>
      <c r="AT605" s="167"/>
      <c r="AU605" s="167"/>
      <c r="AV605" s="167"/>
      <c r="AW605" s="179"/>
      <c r="AX605" s="179"/>
      <c r="AY605" s="179" t="str">
        <f>CONCATENATE(BASE_DATOS[[#This Row],[Código_U]]&amp;BASE_DATOS[[#This Row],[Pos.]]&amp;BASE_DATOS[[#This Row],[Situación Actual]])</f>
        <v>TC-2149Rodando</v>
      </c>
    </row>
    <row r="606" spans="1:51" ht="12" x14ac:dyDescent="0.25">
      <c r="A606" s="223" t="s">
        <v>468</v>
      </c>
      <c r="B606" s="217" t="s">
        <v>467</v>
      </c>
      <c r="C606" s="228" t="s">
        <v>296</v>
      </c>
      <c r="D606" s="229" t="s">
        <v>61</v>
      </c>
      <c r="E606" s="248"/>
      <c r="F606" s="256" t="s">
        <v>291</v>
      </c>
      <c r="G606" s="256" t="s">
        <v>271</v>
      </c>
      <c r="H606" s="257" t="str">
        <f>IF(BASE_DATOS[[#This Row],[N-R]]="N",BASE_DATOS[[#This Row],[Diseño]],"Reencauche")</f>
        <v>BDR81</v>
      </c>
      <c r="I606" s="256" t="s">
        <v>292</v>
      </c>
      <c r="J606" s="243" t="s">
        <v>72</v>
      </c>
      <c r="K606" s="258">
        <v>0</v>
      </c>
      <c r="L606" s="241">
        <v>110</v>
      </c>
      <c r="M606" s="259"/>
      <c r="N606" s="260"/>
      <c r="O606" s="277"/>
      <c r="P606" s="278"/>
      <c r="Q606" s="279"/>
      <c r="R606" s="309" t="s">
        <v>107</v>
      </c>
      <c r="S606" s="310">
        <v>45386</v>
      </c>
      <c r="T606" s="313"/>
      <c r="U606" s="279"/>
      <c r="V606" s="227">
        <v>9</v>
      </c>
      <c r="W606" s="281">
        <v>9</v>
      </c>
      <c r="X606" s="282">
        <v>9</v>
      </c>
      <c r="Y606" s="293">
        <f t="shared" si="26"/>
        <v>9</v>
      </c>
      <c r="Z606" s="175" t="s">
        <v>85</v>
      </c>
      <c r="AA606" s="342">
        <f>IFERROR(BASE_DATOS[[#This Row],[NSK Original]]-BASE_DATOS[[#This Row],[NSK]]," ")</f>
        <v>-9</v>
      </c>
      <c r="AB606" s="343">
        <f>'NSK-TRACTO'!$A$2</f>
        <v>6</v>
      </c>
      <c r="AC606" s="343">
        <f>IF(BASE_DATOS[[#This Row],[NSK]]&gt;=BASE_DATOS[[#This Row],[NSK Reen]],BASE_DATOS[[#This Row],[NSK Reen]],BASE_DATOS[[#This Row],[NSK]])</f>
        <v>6</v>
      </c>
      <c r="AD606" s="344" t="str">
        <f>IFERROR(100%-(BASE_DATOS[[#This Row],[NSK Reen]]/BASE_DATOS[[#This Row],[NSK Original]]),"")</f>
        <v/>
      </c>
      <c r="AE606" s="344" t="str">
        <f>IFERROR(100%-BASE_DATOS[[#This Row],[NSK]]/BASE_DATOS[[#This Row],[NSK Original]],"")</f>
        <v/>
      </c>
      <c r="AF606" s="344" t="str">
        <f>IFERROR(BASE_DATOS[[#This Row],[% Max Des.]]-BASE_DATOS[[#This Row],[% Des]],"")</f>
        <v/>
      </c>
      <c r="AG606" s="287"/>
      <c r="AH606" s="273"/>
      <c r="AI606" s="363" t="str">
        <f>IF(OR(BASE_DATOS[[#This Row],[Hr.]]="",BASE_DATOS[[#This Row],[Hr. Actual]]=""),"",BASE_DATOS[[#This Row],[Hr. Actual]]-BASE_DATOS[[#This Row],[Hr.]]+BASE_DATOS[[#This Row],[Horas Acumuladas]])</f>
        <v/>
      </c>
      <c r="AJ606" s="364" t="str">
        <f>IFERROR(BASE_DATOS[[#This Row],[Precio US$]]/BASE_DATOS[[#This Row],[Horas Rodadas]],"")</f>
        <v/>
      </c>
      <c r="AK606" s="365" t="str">
        <f>IFERROR(BASE_DATOS[[#This Row],[Horas Rodadas]]/(BASE_DATOS[[#This Row],[NSK Original]]-BASE_DATOS[[#This Row],[NSK]]),"")</f>
        <v/>
      </c>
      <c r="AL60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06" s="366" t="str">
        <f>IFERROR(BASE_DATOS[[#This Row],[Precio US$]]/BASE_DATOS[[#This Row],[Horas Proy.]],"")</f>
        <v/>
      </c>
      <c r="AN606" s="176" t="str">
        <f>IF(OR(BASE_DATOS[[#This Row],[Km.]]="",BASE_DATOS[[#This Row],[Km. Actual]]=""),"",BASE_DATOS[[#This Row],[Km. Actual]]-BASE_DATOS[[#This Row],[Km.]]+BASE_DATOS[[#This Row],[Kilómetros Acumulados]])</f>
        <v/>
      </c>
      <c r="AO606" s="177" t="str">
        <f>IFERROR(BASE_DATOS[[#This Row],[Precio US$]]/BASE_DATOS[[#This Row],[Kilómetros Rodados]],"")</f>
        <v/>
      </c>
      <c r="AP606" s="176" t="str">
        <f>IFERROR(BASE_DATOS[[#This Row],[Kilómetros Rodados]]/(BASE_DATOS[[#This Row],[NSK Original]]-BASE_DATOS[[#This Row],[NSK]]),"")</f>
        <v/>
      </c>
      <c r="AQ60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06" s="177" t="str">
        <f>IFERROR(BASE_DATOS[[#This Row],[Precio US$]]/BASE_DATOS[[#This Row],[Kilómetros Proy.]],"")</f>
        <v/>
      </c>
      <c r="AS606" s="167" t="s">
        <v>62</v>
      </c>
      <c r="AT606" s="167"/>
      <c r="AU606" s="167"/>
      <c r="AV606" s="167"/>
      <c r="AW606" s="179"/>
      <c r="AX606" s="179"/>
      <c r="AY606" s="179" t="str">
        <f>CONCATENATE(BASE_DATOS[[#This Row],[Código_U]]&amp;BASE_DATOS[[#This Row],[Pos.]]&amp;BASE_DATOS[[#This Row],[Situación Actual]])</f>
        <v>TC-21410Rodando</v>
      </c>
    </row>
    <row r="607" spans="1:51" ht="12" x14ac:dyDescent="0.25">
      <c r="A607" s="222" t="s">
        <v>473</v>
      </c>
      <c r="B607" s="213" t="s">
        <v>472</v>
      </c>
      <c r="C607" s="225" t="s">
        <v>295</v>
      </c>
      <c r="D607" s="226" t="s">
        <v>87</v>
      </c>
      <c r="E607" s="249"/>
      <c r="F607" s="250" t="s">
        <v>97</v>
      </c>
      <c r="G607" s="250" t="s">
        <v>269</v>
      </c>
      <c r="H607" s="251" t="str">
        <f>IF(BASE_DATOS[[#This Row],[N-R]]="N",BASE_DATOS[[#This Row],[Diseño]],"Reencauche")</f>
        <v>AGC28</v>
      </c>
      <c r="I607" s="250" t="s">
        <v>270</v>
      </c>
      <c r="J607" s="235" t="s">
        <v>72</v>
      </c>
      <c r="K607" s="252">
        <v>16.5</v>
      </c>
      <c r="L607" s="250">
        <v>110</v>
      </c>
      <c r="M607" s="253"/>
      <c r="N607" s="254"/>
      <c r="O607" s="274"/>
      <c r="P607" s="275"/>
      <c r="Q607" s="276"/>
      <c r="R607" s="305" t="s">
        <v>98</v>
      </c>
      <c r="S607" s="306">
        <v>45386</v>
      </c>
      <c r="T607" s="314"/>
      <c r="U607" s="276"/>
      <c r="V607" s="224">
        <v>13</v>
      </c>
      <c r="W607" s="325">
        <v>13</v>
      </c>
      <c r="X607" s="326">
        <v>14</v>
      </c>
      <c r="Y607" s="292">
        <f t="shared" ref="Y607:Y614" si="27">IFERROR(MIN(V607:X607),"")</f>
        <v>13</v>
      </c>
      <c r="Z607" s="194" t="s">
        <v>85</v>
      </c>
      <c r="AA607" s="339">
        <f>IFERROR(BASE_DATOS[[#This Row],[NSK Original]]-BASE_DATOS[[#This Row],[NSK]]," ")</f>
        <v>3.5</v>
      </c>
      <c r="AB607" s="340">
        <f>'NSK-TRACTO'!$A$2</f>
        <v>6</v>
      </c>
      <c r="AC607" s="340">
        <f>IF(BASE_DATOS[[#This Row],[NSK]]&gt;=BASE_DATOS[[#This Row],[NSK Reen]],BASE_DATOS[[#This Row],[NSK Reen]],BASE_DATOS[[#This Row],[NSK]])</f>
        <v>6</v>
      </c>
      <c r="AD607" s="341">
        <f>IFERROR(100%-(BASE_DATOS[[#This Row],[NSK Reen]]/BASE_DATOS[[#This Row],[NSK Original]]),"")</f>
        <v>0.63636363636363635</v>
      </c>
      <c r="AE607" s="341">
        <f>IFERROR(100%-BASE_DATOS[[#This Row],[NSK]]/BASE_DATOS[[#This Row],[NSK Original]],"")</f>
        <v>0.21212121212121215</v>
      </c>
      <c r="AF607" s="341">
        <f>IFERROR(BASE_DATOS[[#This Row],[% Max Des.]]-BASE_DATOS[[#This Row],[% Des]],"")</f>
        <v>0.4242424242424242</v>
      </c>
      <c r="AG607" s="284"/>
      <c r="AH607" s="335"/>
      <c r="AI607" s="359" t="str">
        <f>IF(OR(BASE_DATOS[[#This Row],[Hr.]]="",BASE_DATOS[[#This Row],[Hr. Actual]]=""),"",BASE_DATOS[[#This Row],[Hr. Actual]]-BASE_DATOS[[#This Row],[Hr.]]+BASE_DATOS[[#This Row],[Horas Acumuladas]])</f>
        <v/>
      </c>
      <c r="AJ607" s="360" t="str">
        <f>IFERROR(BASE_DATOS[[#This Row],[Precio US$]]/BASE_DATOS[[#This Row],[Horas Rodadas]],"")</f>
        <v/>
      </c>
      <c r="AK607" s="361" t="str">
        <f>IFERROR(BASE_DATOS[[#This Row],[Horas Rodadas]]/(BASE_DATOS[[#This Row],[NSK Original]]-BASE_DATOS[[#This Row],[NSK]]),"")</f>
        <v/>
      </c>
      <c r="AL607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07" s="362" t="str">
        <f>IFERROR(BASE_DATOS[[#This Row],[Precio US$]]/BASE_DATOS[[#This Row],[Horas Proy.]],"")</f>
        <v/>
      </c>
      <c r="AN607" s="195" t="str">
        <f>IF(OR(BASE_DATOS[[#This Row],[Km.]]="",BASE_DATOS[[#This Row],[Km. Actual]]=""),"",BASE_DATOS[[#This Row],[Km. Actual]]-BASE_DATOS[[#This Row],[Km.]]+BASE_DATOS[[#This Row],[Kilómetros Acumulados]])</f>
        <v/>
      </c>
      <c r="AO607" s="196" t="str">
        <f>IFERROR(BASE_DATOS[[#This Row],[Precio US$]]/BASE_DATOS[[#This Row],[Kilómetros Rodados]],"")</f>
        <v/>
      </c>
      <c r="AP607" s="195" t="str">
        <f>IFERROR(BASE_DATOS[[#This Row],[Kilómetros Rodados]]/(BASE_DATOS[[#This Row],[NSK Original]]-BASE_DATOS[[#This Row],[NSK]]),"")</f>
        <v/>
      </c>
      <c r="AQ607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07" s="196" t="str">
        <f>IFERROR(BASE_DATOS[[#This Row],[Precio US$]]/BASE_DATOS[[#This Row],[Kilómetros Proy.]],"")</f>
        <v/>
      </c>
      <c r="AS607" s="191" t="s">
        <v>62</v>
      </c>
      <c r="AT607" s="191"/>
      <c r="AU607" s="191"/>
      <c r="AV607" s="191"/>
      <c r="AW607" s="198"/>
      <c r="AX607" s="198"/>
      <c r="AY607" s="198" t="str">
        <f>CONCATENATE(BASE_DATOS[[#This Row],[Código_U]]&amp;BASE_DATOS[[#This Row],[Pos.]]&amp;BASE_DATOS[[#This Row],[Situación Actual]])</f>
        <v>SR-2141Rodando</v>
      </c>
    </row>
    <row r="608" spans="1:51" ht="12" x14ac:dyDescent="0.25">
      <c r="A608" s="223" t="s">
        <v>473</v>
      </c>
      <c r="B608" s="217" t="s">
        <v>472</v>
      </c>
      <c r="C608" s="228" t="s">
        <v>295</v>
      </c>
      <c r="D608" s="229" t="s">
        <v>87</v>
      </c>
      <c r="E608" s="255"/>
      <c r="F608" s="256" t="s">
        <v>289</v>
      </c>
      <c r="G608" s="256" t="s">
        <v>274</v>
      </c>
      <c r="H608" s="257" t="str">
        <f>IF(BASE_DATOS[[#This Row],[N-R]]="N",BASE_DATOS[[#This Row],[Diseño]],"Reencauche")</f>
        <v>Reencauche</v>
      </c>
      <c r="I608" s="256" t="s">
        <v>275</v>
      </c>
      <c r="J608" s="243" t="s">
        <v>276</v>
      </c>
      <c r="K608" s="258">
        <v>19</v>
      </c>
      <c r="L608" s="256">
        <v>110</v>
      </c>
      <c r="M608" s="259"/>
      <c r="N608" s="260"/>
      <c r="O608" s="277"/>
      <c r="P608" s="278"/>
      <c r="Q608" s="279"/>
      <c r="R608" s="309" t="s">
        <v>99</v>
      </c>
      <c r="S608" s="310">
        <v>45386</v>
      </c>
      <c r="T608" s="313"/>
      <c r="U608" s="279"/>
      <c r="V608" s="227">
        <v>18</v>
      </c>
      <c r="W608" s="281">
        <v>18</v>
      </c>
      <c r="X608" s="282">
        <v>18</v>
      </c>
      <c r="Y608" s="293">
        <f t="shared" si="27"/>
        <v>18</v>
      </c>
      <c r="Z608" s="175" t="s">
        <v>85</v>
      </c>
      <c r="AA608" s="342">
        <f>IFERROR(BASE_DATOS[[#This Row],[NSK Original]]-BASE_DATOS[[#This Row],[NSK]]," ")</f>
        <v>1</v>
      </c>
      <c r="AB608" s="343">
        <f>'NSK-TRACTO'!$A$2</f>
        <v>6</v>
      </c>
      <c r="AC608" s="343">
        <f>IF(BASE_DATOS[[#This Row],[NSK]]&gt;=BASE_DATOS[[#This Row],[NSK Reen]],BASE_DATOS[[#This Row],[NSK Reen]],BASE_DATOS[[#This Row],[NSK]])</f>
        <v>6</v>
      </c>
      <c r="AD608" s="344">
        <f>IFERROR(100%-(BASE_DATOS[[#This Row],[NSK Reen]]/BASE_DATOS[[#This Row],[NSK Original]]),"")</f>
        <v>0.68421052631578949</v>
      </c>
      <c r="AE608" s="344">
        <f>IFERROR(100%-BASE_DATOS[[#This Row],[NSK]]/BASE_DATOS[[#This Row],[NSK Original]],"")</f>
        <v>5.2631578947368474E-2</v>
      </c>
      <c r="AF608" s="344">
        <f>IFERROR(BASE_DATOS[[#This Row],[% Max Des.]]-BASE_DATOS[[#This Row],[% Des]],"")</f>
        <v>0.63157894736842102</v>
      </c>
      <c r="AG608" s="287"/>
      <c r="AH608" s="273"/>
      <c r="AI608" s="363" t="str">
        <f>IF(OR(BASE_DATOS[[#This Row],[Hr.]]="",BASE_DATOS[[#This Row],[Hr. Actual]]=""),"",BASE_DATOS[[#This Row],[Hr. Actual]]-BASE_DATOS[[#This Row],[Hr.]]+BASE_DATOS[[#This Row],[Horas Acumuladas]])</f>
        <v/>
      </c>
      <c r="AJ608" s="364" t="str">
        <f>IFERROR(BASE_DATOS[[#This Row],[Precio US$]]/BASE_DATOS[[#This Row],[Horas Rodadas]],"")</f>
        <v/>
      </c>
      <c r="AK608" s="365" t="str">
        <f>IFERROR(BASE_DATOS[[#This Row],[Horas Rodadas]]/(BASE_DATOS[[#This Row],[NSK Original]]-BASE_DATOS[[#This Row],[NSK]]),"")</f>
        <v/>
      </c>
      <c r="AL60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08" s="366" t="str">
        <f>IFERROR(BASE_DATOS[[#This Row],[Precio US$]]/BASE_DATOS[[#This Row],[Horas Proy.]],"")</f>
        <v/>
      </c>
      <c r="AN608" s="176" t="str">
        <f>IF(OR(BASE_DATOS[[#This Row],[Km.]]="",BASE_DATOS[[#This Row],[Km. Actual]]=""),"",BASE_DATOS[[#This Row],[Km. Actual]]-BASE_DATOS[[#This Row],[Km.]]+BASE_DATOS[[#This Row],[Kilómetros Acumulados]])</f>
        <v/>
      </c>
      <c r="AO608" s="177" t="str">
        <f>IFERROR(BASE_DATOS[[#This Row],[Precio US$]]/BASE_DATOS[[#This Row],[Kilómetros Rodados]],"")</f>
        <v/>
      </c>
      <c r="AP608" s="176" t="str">
        <f>IFERROR(BASE_DATOS[[#This Row],[Kilómetros Rodados]]/(BASE_DATOS[[#This Row],[NSK Original]]-BASE_DATOS[[#This Row],[NSK]]),"")</f>
        <v/>
      </c>
      <c r="AQ60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08" s="177" t="str">
        <f>IFERROR(BASE_DATOS[[#This Row],[Precio US$]]/BASE_DATOS[[#This Row],[Kilómetros Proy.]],"")</f>
        <v/>
      </c>
      <c r="AS608" s="167" t="s">
        <v>62</v>
      </c>
      <c r="AT608" s="167"/>
      <c r="AU608" s="167"/>
      <c r="AV608" s="167"/>
      <c r="AW608" s="179"/>
      <c r="AX608" s="179"/>
      <c r="AY608" s="179" t="str">
        <f>CONCATENATE(BASE_DATOS[[#This Row],[Código_U]]&amp;BASE_DATOS[[#This Row],[Pos.]]&amp;BASE_DATOS[[#This Row],[Situación Actual]])</f>
        <v>SR-2142Rodando</v>
      </c>
    </row>
    <row r="609" spans="1:51" ht="12" x14ac:dyDescent="0.25">
      <c r="A609" s="223" t="s">
        <v>473</v>
      </c>
      <c r="B609" s="217" t="s">
        <v>472</v>
      </c>
      <c r="C609" s="228" t="s">
        <v>295</v>
      </c>
      <c r="D609" s="229" t="s">
        <v>87</v>
      </c>
      <c r="E609" s="255"/>
      <c r="F609" s="256" t="s">
        <v>289</v>
      </c>
      <c r="G609" s="256" t="s">
        <v>274</v>
      </c>
      <c r="H609" s="257" t="str">
        <f>IF(BASE_DATOS[[#This Row],[N-R]]="N",BASE_DATOS[[#This Row],[Diseño]],"Reencauche")</f>
        <v>JA626</v>
      </c>
      <c r="I609" s="256" t="s">
        <v>290</v>
      </c>
      <c r="J609" s="243" t="s">
        <v>72</v>
      </c>
      <c r="K609" s="258">
        <v>0</v>
      </c>
      <c r="L609" s="256">
        <v>110</v>
      </c>
      <c r="M609" s="259"/>
      <c r="N609" s="260"/>
      <c r="O609" s="277"/>
      <c r="P609" s="278"/>
      <c r="Q609" s="279"/>
      <c r="R609" s="309" t="s">
        <v>100</v>
      </c>
      <c r="S609" s="310">
        <v>45386</v>
      </c>
      <c r="T609" s="313"/>
      <c r="U609" s="279"/>
      <c r="V609" s="227">
        <v>10</v>
      </c>
      <c r="W609" s="281">
        <v>9</v>
      </c>
      <c r="X609" s="282">
        <v>9</v>
      </c>
      <c r="Y609" s="293">
        <f t="shared" si="27"/>
        <v>9</v>
      </c>
      <c r="Z609" s="175" t="s">
        <v>85</v>
      </c>
      <c r="AA609" s="342">
        <f>IFERROR(BASE_DATOS[[#This Row],[NSK Original]]-BASE_DATOS[[#This Row],[NSK]]," ")</f>
        <v>-9</v>
      </c>
      <c r="AB609" s="343">
        <f>'NSK-TRACTO'!$A$2</f>
        <v>6</v>
      </c>
      <c r="AC609" s="343">
        <f>IF(BASE_DATOS[[#This Row],[NSK]]&gt;=BASE_DATOS[[#This Row],[NSK Reen]],BASE_DATOS[[#This Row],[NSK Reen]],BASE_DATOS[[#This Row],[NSK]])</f>
        <v>6</v>
      </c>
      <c r="AD609" s="344" t="str">
        <f>IFERROR(100%-(BASE_DATOS[[#This Row],[NSK Reen]]/BASE_DATOS[[#This Row],[NSK Original]]),"")</f>
        <v/>
      </c>
      <c r="AE609" s="344" t="str">
        <f>IFERROR(100%-BASE_DATOS[[#This Row],[NSK]]/BASE_DATOS[[#This Row],[NSK Original]],"")</f>
        <v/>
      </c>
      <c r="AF609" s="344" t="str">
        <f>IFERROR(BASE_DATOS[[#This Row],[% Max Des.]]-BASE_DATOS[[#This Row],[% Des]],"")</f>
        <v/>
      </c>
      <c r="AG609" s="287"/>
      <c r="AH609" s="273"/>
      <c r="AI609" s="363" t="str">
        <f>IF(OR(BASE_DATOS[[#This Row],[Hr.]]="",BASE_DATOS[[#This Row],[Hr. Actual]]=""),"",BASE_DATOS[[#This Row],[Hr. Actual]]-BASE_DATOS[[#This Row],[Hr.]]+BASE_DATOS[[#This Row],[Horas Acumuladas]])</f>
        <v/>
      </c>
      <c r="AJ609" s="364" t="str">
        <f>IFERROR(BASE_DATOS[[#This Row],[Precio US$]]/BASE_DATOS[[#This Row],[Horas Rodadas]],"")</f>
        <v/>
      </c>
      <c r="AK609" s="365" t="str">
        <f>IFERROR(BASE_DATOS[[#This Row],[Horas Rodadas]]/(BASE_DATOS[[#This Row],[NSK Original]]-BASE_DATOS[[#This Row],[NSK]]),"")</f>
        <v/>
      </c>
      <c r="AL60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09" s="366" t="str">
        <f>IFERROR(BASE_DATOS[[#This Row],[Precio US$]]/BASE_DATOS[[#This Row],[Horas Proy.]],"")</f>
        <v/>
      </c>
      <c r="AN609" s="176" t="str">
        <f>IF(OR(BASE_DATOS[[#This Row],[Km.]]="",BASE_DATOS[[#This Row],[Km. Actual]]=""),"",BASE_DATOS[[#This Row],[Km. Actual]]-BASE_DATOS[[#This Row],[Km.]]+BASE_DATOS[[#This Row],[Kilómetros Acumulados]])</f>
        <v/>
      </c>
      <c r="AO609" s="177" t="str">
        <f>IFERROR(BASE_DATOS[[#This Row],[Precio US$]]/BASE_DATOS[[#This Row],[Kilómetros Rodados]],"")</f>
        <v/>
      </c>
      <c r="AP609" s="176" t="str">
        <f>IFERROR(BASE_DATOS[[#This Row],[Kilómetros Rodados]]/(BASE_DATOS[[#This Row],[NSK Original]]-BASE_DATOS[[#This Row],[NSK]]),"")</f>
        <v/>
      </c>
      <c r="AQ60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09" s="177" t="str">
        <f>IFERROR(BASE_DATOS[[#This Row],[Precio US$]]/BASE_DATOS[[#This Row],[Kilómetros Proy.]],"")</f>
        <v/>
      </c>
      <c r="AS609" s="167" t="s">
        <v>62</v>
      </c>
      <c r="AT609" s="167"/>
      <c r="AU609" s="167"/>
      <c r="AV609" s="167"/>
      <c r="AW609" s="179"/>
      <c r="AX609" s="179"/>
      <c r="AY609" s="179" t="str">
        <f>CONCATENATE(BASE_DATOS[[#This Row],[Código_U]]&amp;BASE_DATOS[[#This Row],[Pos.]]&amp;BASE_DATOS[[#This Row],[Situación Actual]])</f>
        <v>SR-2143Rodando</v>
      </c>
    </row>
    <row r="610" spans="1:51" ht="12" x14ac:dyDescent="0.25">
      <c r="A610" s="223" t="s">
        <v>473</v>
      </c>
      <c r="B610" s="217" t="s">
        <v>472</v>
      </c>
      <c r="C610" s="228" t="s">
        <v>295</v>
      </c>
      <c r="D610" s="229" t="s">
        <v>87</v>
      </c>
      <c r="E610" s="255"/>
      <c r="F610" s="256" t="s">
        <v>289</v>
      </c>
      <c r="G610" s="256" t="s">
        <v>274</v>
      </c>
      <c r="H610" s="257" t="str">
        <f>IF(BASE_DATOS[[#This Row],[N-R]]="N",BASE_DATOS[[#This Row],[Diseño]],"Reencauche")</f>
        <v>JA626</v>
      </c>
      <c r="I610" s="256" t="s">
        <v>290</v>
      </c>
      <c r="J610" s="243" t="s">
        <v>72</v>
      </c>
      <c r="K610" s="258">
        <v>0</v>
      </c>
      <c r="L610" s="256">
        <v>110</v>
      </c>
      <c r="M610" s="259"/>
      <c r="N610" s="260"/>
      <c r="O610" s="277"/>
      <c r="P610" s="278"/>
      <c r="Q610" s="279"/>
      <c r="R610" s="309" t="s">
        <v>101</v>
      </c>
      <c r="S610" s="310">
        <v>45386</v>
      </c>
      <c r="T610" s="313"/>
      <c r="U610" s="279"/>
      <c r="V610" s="227">
        <v>11</v>
      </c>
      <c r="W610" s="281">
        <v>11</v>
      </c>
      <c r="X610" s="282">
        <v>11</v>
      </c>
      <c r="Y610" s="293">
        <f t="shared" si="27"/>
        <v>11</v>
      </c>
      <c r="Z610" s="175" t="s">
        <v>85</v>
      </c>
      <c r="AA610" s="342">
        <f>IFERROR(BASE_DATOS[[#This Row],[NSK Original]]-BASE_DATOS[[#This Row],[NSK]]," ")</f>
        <v>-11</v>
      </c>
      <c r="AB610" s="343">
        <f>'NSK-TRACTO'!$A$2</f>
        <v>6</v>
      </c>
      <c r="AC610" s="343">
        <f>IF(BASE_DATOS[[#This Row],[NSK]]&gt;=BASE_DATOS[[#This Row],[NSK Reen]],BASE_DATOS[[#This Row],[NSK Reen]],BASE_DATOS[[#This Row],[NSK]])</f>
        <v>6</v>
      </c>
      <c r="AD610" s="344" t="str">
        <f>IFERROR(100%-(BASE_DATOS[[#This Row],[NSK Reen]]/BASE_DATOS[[#This Row],[NSK Original]]),"")</f>
        <v/>
      </c>
      <c r="AE610" s="344" t="str">
        <f>IFERROR(100%-BASE_DATOS[[#This Row],[NSK]]/BASE_DATOS[[#This Row],[NSK Original]],"")</f>
        <v/>
      </c>
      <c r="AF610" s="344" t="str">
        <f>IFERROR(BASE_DATOS[[#This Row],[% Max Des.]]-BASE_DATOS[[#This Row],[% Des]],"")</f>
        <v/>
      </c>
      <c r="AG610" s="287"/>
      <c r="AH610" s="273"/>
      <c r="AI610" s="363" t="str">
        <f>IF(OR(BASE_DATOS[[#This Row],[Hr.]]="",BASE_DATOS[[#This Row],[Hr. Actual]]=""),"",BASE_DATOS[[#This Row],[Hr. Actual]]-BASE_DATOS[[#This Row],[Hr.]]+BASE_DATOS[[#This Row],[Horas Acumuladas]])</f>
        <v/>
      </c>
      <c r="AJ610" s="364" t="str">
        <f>IFERROR(BASE_DATOS[[#This Row],[Precio US$]]/BASE_DATOS[[#This Row],[Horas Rodadas]],"")</f>
        <v/>
      </c>
      <c r="AK610" s="365" t="str">
        <f>IFERROR(BASE_DATOS[[#This Row],[Horas Rodadas]]/(BASE_DATOS[[#This Row],[NSK Original]]-BASE_DATOS[[#This Row],[NSK]]),"")</f>
        <v/>
      </c>
      <c r="AL61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10" s="366" t="str">
        <f>IFERROR(BASE_DATOS[[#This Row],[Precio US$]]/BASE_DATOS[[#This Row],[Horas Proy.]],"")</f>
        <v/>
      </c>
      <c r="AN610" s="176" t="str">
        <f>IF(OR(BASE_DATOS[[#This Row],[Km.]]="",BASE_DATOS[[#This Row],[Km. Actual]]=""),"",BASE_DATOS[[#This Row],[Km. Actual]]-BASE_DATOS[[#This Row],[Km.]]+BASE_DATOS[[#This Row],[Kilómetros Acumulados]])</f>
        <v/>
      </c>
      <c r="AO610" s="177" t="str">
        <f>IFERROR(BASE_DATOS[[#This Row],[Precio US$]]/BASE_DATOS[[#This Row],[Kilómetros Rodados]],"")</f>
        <v/>
      </c>
      <c r="AP610" s="176" t="str">
        <f>IFERROR(BASE_DATOS[[#This Row],[Kilómetros Rodados]]/(BASE_DATOS[[#This Row],[NSK Original]]-BASE_DATOS[[#This Row],[NSK]]),"")</f>
        <v/>
      </c>
      <c r="AQ61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10" s="177" t="str">
        <f>IFERROR(BASE_DATOS[[#This Row],[Precio US$]]/BASE_DATOS[[#This Row],[Kilómetros Proy.]],"")</f>
        <v/>
      </c>
      <c r="AS610" s="167" t="s">
        <v>62</v>
      </c>
      <c r="AT610" s="167"/>
      <c r="AU610" s="167"/>
      <c r="AV610" s="167"/>
      <c r="AW610" s="179"/>
      <c r="AX610" s="179"/>
      <c r="AY610" s="179" t="str">
        <f>CONCATENATE(BASE_DATOS[[#This Row],[Código_U]]&amp;BASE_DATOS[[#This Row],[Pos.]]&amp;BASE_DATOS[[#This Row],[Situación Actual]])</f>
        <v>SR-2144Rodando</v>
      </c>
    </row>
    <row r="611" spans="1:51" ht="12" x14ac:dyDescent="0.25">
      <c r="A611" s="223" t="s">
        <v>473</v>
      </c>
      <c r="B611" s="217" t="s">
        <v>472</v>
      </c>
      <c r="C611" s="228" t="s">
        <v>295</v>
      </c>
      <c r="D611" s="229" t="s">
        <v>87</v>
      </c>
      <c r="E611" s="255"/>
      <c r="F611" s="256" t="s">
        <v>291</v>
      </c>
      <c r="G611" s="256" t="s">
        <v>274</v>
      </c>
      <c r="H611" s="257" t="str">
        <f>IF(BASE_DATOS[[#This Row],[N-R]]="N",BASE_DATOS[[#This Row],[Diseño]],"Reencauche")</f>
        <v>BTM26</v>
      </c>
      <c r="I611" s="256" t="s">
        <v>471</v>
      </c>
      <c r="J611" s="243" t="s">
        <v>72</v>
      </c>
      <c r="K611" s="258">
        <v>0</v>
      </c>
      <c r="L611" s="256">
        <v>110</v>
      </c>
      <c r="M611" s="259"/>
      <c r="N611" s="260"/>
      <c r="O611" s="277"/>
      <c r="P611" s="278"/>
      <c r="Q611" s="279"/>
      <c r="R611" s="309" t="s">
        <v>102</v>
      </c>
      <c r="S611" s="310">
        <v>45386</v>
      </c>
      <c r="T611" s="313"/>
      <c r="U611" s="279"/>
      <c r="V611" s="227">
        <v>14</v>
      </c>
      <c r="W611" s="281">
        <v>14</v>
      </c>
      <c r="X611" s="282">
        <v>13</v>
      </c>
      <c r="Y611" s="293">
        <f t="shared" si="27"/>
        <v>13</v>
      </c>
      <c r="Z611" s="175" t="s">
        <v>85</v>
      </c>
      <c r="AA611" s="342">
        <f>IFERROR(BASE_DATOS[[#This Row],[NSK Original]]-BASE_DATOS[[#This Row],[NSK]]," ")</f>
        <v>-13</v>
      </c>
      <c r="AB611" s="343">
        <f>'NSK-TRACTO'!$A$2</f>
        <v>6</v>
      </c>
      <c r="AC611" s="343">
        <f>IF(BASE_DATOS[[#This Row],[NSK]]&gt;=BASE_DATOS[[#This Row],[NSK Reen]],BASE_DATOS[[#This Row],[NSK Reen]],BASE_DATOS[[#This Row],[NSK]])</f>
        <v>6</v>
      </c>
      <c r="AD611" s="344" t="str">
        <f>IFERROR(100%-(BASE_DATOS[[#This Row],[NSK Reen]]/BASE_DATOS[[#This Row],[NSK Original]]),"")</f>
        <v/>
      </c>
      <c r="AE611" s="344" t="str">
        <f>IFERROR(100%-BASE_DATOS[[#This Row],[NSK]]/BASE_DATOS[[#This Row],[NSK Original]],"")</f>
        <v/>
      </c>
      <c r="AF611" s="344" t="str">
        <f>IFERROR(BASE_DATOS[[#This Row],[% Max Des.]]-BASE_DATOS[[#This Row],[% Des]],"")</f>
        <v/>
      </c>
      <c r="AG611" s="287"/>
      <c r="AH611" s="273"/>
      <c r="AI611" s="363" t="str">
        <f>IF(OR(BASE_DATOS[[#This Row],[Hr.]]="",BASE_DATOS[[#This Row],[Hr. Actual]]=""),"",BASE_DATOS[[#This Row],[Hr. Actual]]-BASE_DATOS[[#This Row],[Hr.]]+BASE_DATOS[[#This Row],[Horas Acumuladas]])</f>
        <v/>
      </c>
      <c r="AJ611" s="364" t="str">
        <f>IFERROR(BASE_DATOS[[#This Row],[Precio US$]]/BASE_DATOS[[#This Row],[Horas Rodadas]],"")</f>
        <v/>
      </c>
      <c r="AK611" s="365" t="str">
        <f>IFERROR(BASE_DATOS[[#This Row],[Horas Rodadas]]/(BASE_DATOS[[#This Row],[NSK Original]]-BASE_DATOS[[#This Row],[NSK]]),"")</f>
        <v/>
      </c>
      <c r="AL61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11" s="366" t="str">
        <f>IFERROR(BASE_DATOS[[#This Row],[Precio US$]]/BASE_DATOS[[#This Row],[Horas Proy.]],"")</f>
        <v/>
      </c>
      <c r="AN611" s="176" t="str">
        <f>IF(OR(BASE_DATOS[[#This Row],[Km.]]="",BASE_DATOS[[#This Row],[Km. Actual]]=""),"",BASE_DATOS[[#This Row],[Km. Actual]]-BASE_DATOS[[#This Row],[Km.]]+BASE_DATOS[[#This Row],[Kilómetros Acumulados]])</f>
        <v/>
      </c>
      <c r="AO611" s="177" t="str">
        <f>IFERROR(BASE_DATOS[[#This Row],[Precio US$]]/BASE_DATOS[[#This Row],[Kilómetros Rodados]],"")</f>
        <v/>
      </c>
      <c r="AP611" s="176" t="str">
        <f>IFERROR(BASE_DATOS[[#This Row],[Kilómetros Rodados]]/(BASE_DATOS[[#This Row],[NSK Original]]-BASE_DATOS[[#This Row],[NSK]]),"")</f>
        <v/>
      </c>
      <c r="AQ61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11" s="177" t="str">
        <f>IFERROR(BASE_DATOS[[#This Row],[Precio US$]]/BASE_DATOS[[#This Row],[Kilómetros Proy.]],"")</f>
        <v/>
      </c>
      <c r="AS611" s="167" t="s">
        <v>62</v>
      </c>
      <c r="AT611" s="167"/>
      <c r="AU611" s="167"/>
      <c r="AV611" s="167"/>
      <c r="AW611" s="179"/>
      <c r="AX611" s="179"/>
      <c r="AY611" s="179" t="str">
        <f>CONCATENATE(BASE_DATOS[[#This Row],[Código_U]]&amp;BASE_DATOS[[#This Row],[Pos.]]&amp;BASE_DATOS[[#This Row],[Situación Actual]])</f>
        <v>SR-2145Rodando</v>
      </c>
    </row>
    <row r="612" spans="1:51" ht="12" x14ac:dyDescent="0.25">
      <c r="A612" s="223" t="s">
        <v>473</v>
      </c>
      <c r="B612" s="217" t="s">
        <v>472</v>
      </c>
      <c r="C612" s="228" t="s">
        <v>295</v>
      </c>
      <c r="D612" s="229" t="s">
        <v>87</v>
      </c>
      <c r="E612" s="255"/>
      <c r="F612" s="256" t="s">
        <v>291</v>
      </c>
      <c r="G612" s="256" t="s">
        <v>274</v>
      </c>
      <c r="H612" s="257" t="str">
        <f>IF(BASE_DATOS[[#This Row],[N-R]]="N",BASE_DATOS[[#This Row],[Diseño]],"Reencauche")</f>
        <v>BTM26</v>
      </c>
      <c r="I612" s="256" t="s">
        <v>471</v>
      </c>
      <c r="J612" s="243" t="s">
        <v>72</v>
      </c>
      <c r="K612" s="258">
        <v>0</v>
      </c>
      <c r="L612" s="256">
        <v>110</v>
      </c>
      <c r="M612" s="259"/>
      <c r="N612" s="260"/>
      <c r="O612" s="277"/>
      <c r="P612" s="278"/>
      <c r="Q612" s="279"/>
      <c r="R612" s="309" t="s">
        <v>103</v>
      </c>
      <c r="S612" s="310">
        <v>45386</v>
      </c>
      <c r="T612" s="313"/>
      <c r="U612" s="279"/>
      <c r="V612" s="227">
        <v>12</v>
      </c>
      <c r="W612" s="281">
        <v>14</v>
      </c>
      <c r="X612" s="282">
        <v>13</v>
      </c>
      <c r="Y612" s="293">
        <f t="shared" si="27"/>
        <v>12</v>
      </c>
      <c r="Z612" s="175" t="s">
        <v>85</v>
      </c>
      <c r="AA612" s="342">
        <f>IFERROR(BASE_DATOS[[#This Row],[NSK Original]]-BASE_DATOS[[#This Row],[NSK]]," ")</f>
        <v>-12</v>
      </c>
      <c r="AB612" s="343">
        <f>'NSK-TRACTO'!$A$2</f>
        <v>6</v>
      </c>
      <c r="AC612" s="343">
        <f>IF(BASE_DATOS[[#This Row],[NSK]]&gt;=BASE_DATOS[[#This Row],[NSK Reen]],BASE_DATOS[[#This Row],[NSK Reen]],BASE_DATOS[[#This Row],[NSK]])</f>
        <v>6</v>
      </c>
      <c r="AD612" s="344" t="str">
        <f>IFERROR(100%-(BASE_DATOS[[#This Row],[NSK Reen]]/BASE_DATOS[[#This Row],[NSK Original]]),"")</f>
        <v/>
      </c>
      <c r="AE612" s="344" t="str">
        <f>IFERROR(100%-BASE_DATOS[[#This Row],[NSK]]/BASE_DATOS[[#This Row],[NSK Original]],"")</f>
        <v/>
      </c>
      <c r="AF612" s="344" t="str">
        <f>IFERROR(BASE_DATOS[[#This Row],[% Max Des.]]-BASE_DATOS[[#This Row],[% Des]],"")</f>
        <v/>
      </c>
      <c r="AG612" s="287"/>
      <c r="AH612" s="273"/>
      <c r="AI612" s="363" t="str">
        <f>IF(OR(BASE_DATOS[[#This Row],[Hr.]]="",BASE_DATOS[[#This Row],[Hr. Actual]]=""),"",BASE_DATOS[[#This Row],[Hr. Actual]]-BASE_DATOS[[#This Row],[Hr.]]+BASE_DATOS[[#This Row],[Horas Acumuladas]])</f>
        <v/>
      </c>
      <c r="AJ612" s="364" t="str">
        <f>IFERROR(BASE_DATOS[[#This Row],[Precio US$]]/BASE_DATOS[[#This Row],[Horas Rodadas]],"")</f>
        <v/>
      </c>
      <c r="AK612" s="365" t="str">
        <f>IFERROR(BASE_DATOS[[#This Row],[Horas Rodadas]]/(BASE_DATOS[[#This Row],[NSK Original]]-BASE_DATOS[[#This Row],[NSK]]),"")</f>
        <v/>
      </c>
      <c r="AL61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12" s="366" t="str">
        <f>IFERROR(BASE_DATOS[[#This Row],[Precio US$]]/BASE_DATOS[[#This Row],[Horas Proy.]],"")</f>
        <v/>
      </c>
      <c r="AN612" s="176" t="str">
        <f>IF(OR(BASE_DATOS[[#This Row],[Km.]]="",BASE_DATOS[[#This Row],[Km. Actual]]=""),"",BASE_DATOS[[#This Row],[Km. Actual]]-BASE_DATOS[[#This Row],[Km.]]+BASE_DATOS[[#This Row],[Kilómetros Acumulados]])</f>
        <v/>
      </c>
      <c r="AO612" s="177" t="str">
        <f>IFERROR(BASE_DATOS[[#This Row],[Precio US$]]/BASE_DATOS[[#This Row],[Kilómetros Rodados]],"")</f>
        <v/>
      </c>
      <c r="AP612" s="176" t="str">
        <f>IFERROR(BASE_DATOS[[#This Row],[Kilómetros Rodados]]/(BASE_DATOS[[#This Row],[NSK Original]]-BASE_DATOS[[#This Row],[NSK]]),"")</f>
        <v/>
      </c>
      <c r="AQ61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12" s="177" t="str">
        <f>IFERROR(BASE_DATOS[[#This Row],[Precio US$]]/BASE_DATOS[[#This Row],[Kilómetros Proy.]],"")</f>
        <v/>
      </c>
      <c r="AS612" s="167" t="s">
        <v>62</v>
      </c>
      <c r="AT612" s="167"/>
      <c r="AU612" s="167"/>
      <c r="AV612" s="167"/>
      <c r="AW612" s="179"/>
      <c r="AX612" s="179"/>
      <c r="AY612" s="179" t="str">
        <f>CONCATENATE(BASE_DATOS[[#This Row],[Código_U]]&amp;BASE_DATOS[[#This Row],[Pos.]]&amp;BASE_DATOS[[#This Row],[Situación Actual]])</f>
        <v>SR-2146Rodando</v>
      </c>
    </row>
    <row r="613" spans="1:51" ht="12" x14ac:dyDescent="0.25">
      <c r="A613" s="223" t="s">
        <v>473</v>
      </c>
      <c r="B613" s="217" t="s">
        <v>472</v>
      </c>
      <c r="C613" s="228" t="s">
        <v>295</v>
      </c>
      <c r="D613" s="229" t="s">
        <v>384</v>
      </c>
      <c r="E613" s="255"/>
      <c r="F613" s="256" t="s">
        <v>71</v>
      </c>
      <c r="G613" s="256" t="s">
        <v>274</v>
      </c>
      <c r="H613" s="257" t="str">
        <f>IF(BASE_DATOS[[#This Row],[N-R]]="N",BASE_DATOS[[#This Row],[Diseño]],"Reencauche")</f>
        <v>G296 MSA</v>
      </c>
      <c r="I613" s="256" t="s">
        <v>293</v>
      </c>
      <c r="J613" s="243" t="s">
        <v>72</v>
      </c>
      <c r="K613" s="258">
        <v>18.3</v>
      </c>
      <c r="L613" s="256">
        <v>110</v>
      </c>
      <c r="M613" s="259"/>
      <c r="N613" s="260"/>
      <c r="O613" s="277"/>
      <c r="P613" s="278"/>
      <c r="Q613" s="279"/>
      <c r="R613" s="309" t="s">
        <v>509</v>
      </c>
      <c r="S613" s="310">
        <v>45386</v>
      </c>
      <c r="T613" s="313"/>
      <c r="U613" s="279"/>
      <c r="V613" s="227">
        <v>9</v>
      </c>
      <c r="W613" s="281">
        <v>9</v>
      </c>
      <c r="X613" s="282">
        <v>8</v>
      </c>
      <c r="Y613" s="293">
        <f t="shared" si="27"/>
        <v>8</v>
      </c>
      <c r="Z613" s="175" t="s">
        <v>85</v>
      </c>
      <c r="AA613" s="342">
        <f>IFERROR(BASE_DATOS[[#This Row],[NSK Original]]-BASE_DATOS[[#This Row],[NSK]]," ")</f>
        <v>10.3</v>
      </c>
      <c r="AB613" s="343">
        <f>'NSK-TRACTO'!$A$2</f>
        <v>6</v>
      </c>
      <c r="AC613" s="343">
        <f>IF(BASE_DATOS[[#This Row],[NSK]]&gt;=BASE_DATOS[[#This Row],[NSK Reen]],BASE_DATOS[[#This Row],[NSK Reen]],BASE_DATOS[[#This Row],[NSK]])</f>
        <v>6</v>
      </c>
      <c r="AD613" s="344">
        <f>IFERROR(100%-(BASE_DATOS[[#This Row],[NSK Reen]]/BASE_DATOS[[#This Row],[NSK Original]]),"")</f>
        <v>0.67213114754098369</v>
      </c>
      <c r="AE613" s="344">
        <f>IFERROR(100%-BASE_DATOS[[#This Row],[NSK]]/BASE_DATOS[[#This Row],[NSK Original]],"")</f>
        <v>0.56284153005464477</v>
      </c>
      <c r="AF613" s="344">
        <f>IFERROR(BASE_DATOS[[#This Row],[% Max Des.]]-BASE_DATOS[[#This Row],[% Des]],"")</f>
        <v>0.10928961748633892</v>
      </c>
      <c r="AG613" s="287"/>
      <c r="AH613" s="273"/>
      <c r="AI613" s="363" t="str">
        <f>IF(OR(BASE_DATOS[[#This Row],[Hr.]]="",BASE_DATOS[[#This Row],[Hr. Actual]]=""),"",BASE_DATOS[[#This Row],[Hr. Actual]]-BASE_DATOS[[#This Row],[Hr.]]+BASE_DATOS[[#This Row],[Horas Acumuladas]])</f>
        <v/>
      </c>
      <c r="AJ613" s="364" t="str">
        <f>IFERROR(BASE_DATOS[[#This Row],[Precio US$]]/BASE_DATOS[[#This Row],[Horas Rodadas]],"")</f>
        <v/>
      </c>
      <c r="AK613" s="365" t="str">
        <f>IFERROR(BASE_DATOS[[#This Row],[Horas Rodadas]]/(BASE_DATOS[[#This Row],[NSK Original]]-BASE_DATOS[[#This Row],[NSK]]),"")</f>
        <v/>
      </c>
      <c r="AL61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13" s="366" t="str">
        <f>IFERROR(BASE_DATOS[[#This Row],[Precio US$]]/BASE_DATOS[[#This Row],[Horas Proy.]],"")</f>
        <v/>
      </c>
      <c r="AN613" s="176" t="str">
        <f>IF(OR(BASE_DATOS[[#This Row],[Km.]]="",BASE_DATOS[[#This Row],[Km. Actual]]=""),"",BASE_DATOS[[#This Row],[Km. Actual]]-BASE_DATOS[[#This Row],[Km.]]+BASE_DATOS[[#This Row],[Kilómetros Acumulados]])</f>
        <v/>
      </c>
      <c r="AO613" s="177" t="str">
        <f>IFERROR(BASE_DATOS[[#This Row],[Precio US$]]/BASE_DATOS[[#This Row],[Kilómetros Rodados]],"")</f>
        <v/>
      </c>
      <c r="AP613" s="176" t="str">
        <f>IFERROR(BASE_DATOS[[#This Row],[Kilómetros Rodados]]/(BASE_DATOS[[#This Row],[NSK Original]]-BASE_DATOS[[#This Row],[NSK]]),"")</f>
        <v/>
      </c>
      <c r="AQ61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13" s="177" t="str">
        <f>IFERROR(BASE_DATOS[[#This Row],[Precio US$]]/BASE_DATOS[[#This Row],[Kilómetros Proy.]],"")</f>
        <v/>
      </c>
      <c r="AS613" s="167" t="s">
        <v>62</v>
      </c>
      <c r="AT613" s="167" t="s">
        <v>515</v>
      </c>
      <c r="AU613" s="167"/>
      <c r="AV613" s="167"/>
      <c r="AW613" s="169" t="s">
        <v>436</v>
      </c>
      <c r="AX613" s="179"/>
      <c r="AY613" s="179" t="str">
        <f>CONCATENATE(BASE_DATOS[[#This Row],[Código_U]]&amp;BASE_DATOS[[#This Row],[Pos.]]&amp;BASE_DATOS[[#This Row],[Situación Actual]])</f>
        <v>SR-214RERodando</v>
      </c>
    </row>
    <row r="614" spans="1:51" ht="12" x14ac:dyDescent="0.25">
      <c r="A614" s="223" t="s">
        <v>473</v>
      </c>
      <c r="B614" s="217" t="s">
        <v>472</v>
      </c>
      <c r="C614" s="228" t="s">
        <v>295</v>
      </c>
      <c r="D614" s="229" t="s">
        <v>108</v>
      </c>
      <c r="E614" s="255"/>
      <c r="F614" s="256" t="s">
        <v>71</v>
      </c>
      <c r="G614" s="256" t="s">
        <v>271</v>
      </c>
      <c r="H614" s="257" t="str">
        <f>IF(BASE_DATOS[[#This Row],[N-R]]="N",BASE_DATOS[[#This Row],[Diseño]],"Reencauche")</f>
        <v>KMAX EXTREME</v>
      </c>
      <c r="I614" s="256" t="s">
        <v>272</v>
      </c>
      <c r="J614" s="243" t="s">
        <v>72</v>
      </c>
      <c r="K614" s="258">
        <v>17.5</v>
      </c>
      <c r="L614" s="256">
        <v>100</v>
      </c>
      <c r="M614" s="259"/>
      <c r="N614" s="260"/>
      <c r="O614" s="277"/>
      <c r="P614" s="278"/>
      <c r="Q614" s="279"/>
      <c r="R614" s="309" t="s">
        <v>108</v>
      </c>
      <c r="S614" s="310">
        <v>45386</v>
      </c>
      <c r="T614" s="313"/>
      <c r="U614" s="279"/>
      <c r="V614" s="227">
        <v>6</v>
      </c>
      <c r="W614" s="281">
        <v>8</v>
      </c>
      <c r="X614" s="282">
        <v>7</v>
      </c>
      <c r="Y614" s="293">
        <f t="shared" si="27"/>
        <v>6</v>
      </c>
      <c r="Z614" s="175" t="s">
        <v>85</v>
      </c>
      <c r="AA614" s="342">
        <f>IFERROR(BASE_DATOS[[#This Row],[NSK Original]]-BASE_DATOS[[#This Row],[NSK]]," ")</f>
        <v>11.5</v>
      </c>
      <c r="AB614" s="343">
        <f>'NSK-TRACTO'!$A$2</f>
        <v>6</v>
      </c>
      <c r="AC614" s="343">
        <f>IF(BASE_DATOS[[#This Row],[NSK]]&gt;=BASE_DATOS[[#This Row],[NSK Reen]],BASE_DATOS[[#This Row],[NSK Reen]],BASE_DATOS[[#This Row],[NSK]])</f>
        <v>6</v>
      </c>
      <c r="AD614" s="344">
        <f>IFERROR(100%-(BASE_DATOS[[#This Row],[NSK Reen]]/BASE_DATOS[[#This Row],[NSK Original]]),"")</f>
        <v>0.65714285714285714</v>
      </c>
      <c r="AE614" s="344">
        <f>IFERROR(100%-BASE_DATOS[[#This Row],[NSK]]/BASE_DATOS[[#This Row],[NSK Original]],"")</f>
        <v>0.65714285714285714</v>
      </c>
      <c r="AF614" s="344">
        <f>IFERROR(BASE_DATOS[[#This Row],[% Max Des.]]-BASE_DATOS[[#This Row],[% Des]],"")</f>
        <v>0</v>
      </c>
      <c r="AG614" s="287"/>
      <c r="AH614" s="273"/>
      <c r="AI614" s="363" t="str">
        <f>IF(OR(BASE_DATOS[[#This Row],[Hr.]]="",BASE_DATOS[[#This Row],[Hr. Actual]]=""),"",BASE_DATOS[[#This Row],[Hr. Actual]]-BASE_DATOS[[#This Row],[Hr.]]+BASE_DATOS[[#This Row],[Horas Acumuladas]])</f>
        <v/>
      </c>
      <c r="AJ614" s="364" t="str">
        <f>IFERROR(BASE_DATOS[[#This Row],[Precio US$]]/BASE_DATOS[[#This Row],[Horas Rodadas]],"")</f>
        <v/>
      </c>
      <c r="AK614" s="365" t="str">
        <f>IFERROR(BASE_DATOS[[#This Row],[Horas Rodadas]]/(BASE_DATOS[[#This Row],[NSK Original]]-BASE_DATOS[[#This Row],[NSK]]),"")</f>
        <v/>
      </c>
      <c r="AL61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14" s="366" t="str">
        <f>IFERROR(BASE_DATOS[[#This Row],[Precio US$]]/BASE_DATOS[[#This Row],[Horas Proy.]],"")</f>
        <v/>
      </c>
      <c r="AN614" s="176" t="str">
        <f>IF(OR(BASE_DATOS[[#This Row],[Km.]]="",BASE_DATOS[[#This Row],[Km. Actual]]=""),"",BASE_DATOS[[#This Row],[Km. Actual]]-BASE_DATOS[[#This Row],[Km.]]+BASE_DATOS[[#This Row],[Kilómetros Acumulados]])</f>
        <v/>
      </c>
      <c r="AO614" s="177" t="str">
        <f>IFERROR(BASE_DATOS[[#This Row],[Precio US$]]/BASE_DATOS[[#This Row],[Kilómetros Rodados]],"")</f>
        <v/>
      </c>
      <c r="AP614" s="176" t="str">
        <f>IFERROR(BASE_DATOS[[#This Row],[Kilómetros Rodados]]/(BASE_DATOS[[#This Row],[NSK Original]]-BASE_DATOS[[#This Row],[NSK]]),"")</f>
        <v/>
      </c>
      <c r="AQ61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14" s="177" t="str">
        <f>IFERROR(BASE_DATOS[[#This Row],[Precio US$]]/BASE_DATOS[[#This Row],[Kilómetros Proy.]],"")</f>
        <v/>
      </c>
      <c r="AS614" s="167" t="s">
        <v>62</v>
      </c>
      <c r="AT614" s="167"/>
      <c r="AU614" s="167" t="s">
        <v>515</v>
      </c>
      <c r="AV614" s="167"/>
      <c r="AW614" s="179"/>
      <c r="AX614" s="169" t="s">
        <v>371</v>
      </c>
      <c r="AY614" s="169" t="str">
        <f>CONCATENATE(BASE_DATOS[[#This Row],[Código_U]]&amp;BASE_DATOS[[#This Row],[Pos.]]&amp;BASE_DATOS[[#This Row],[Situación Actual]])</f>
        <v>SR-214RTRodando</v>
      </c>
    </row>
    <row r="615" spans="1:51" ht="12" x14ac:dyDescent="0.25">
      <c r="A615" s="222" t="s">
        <v>242</v>
      </c>
      <c r="B615" s="213" t="s">
        <v>239</v>
      </c>
      <c r="C615" s="225" t="s">
        <v>295</v>
      </c>
      <c r="D615" s="226" t="s">
        <v>87</v>
      </c>
      <c r="E615" s="249"/>
      <c r="F615" s="250" t="s">
        <v>97</v>
      </c>
      <c r="G615" s="250" t="s">
        <v>269</v>
      </c>
      <c r="H615" s="251" t="str">
        <f>IF(BASE_DATOS[[#This Row],[N-R]]="N",BASE_DATOS[[#This Row],[Diseño]],"Reencauche")</f>
        <v>AGC28</v>
      </c>
      <c r="I615" s="250" t="s">
        <v>270</v>
      </c>
      <c r="J615" s="235" t="s">
        <v>72</v>
      </c>
      <c r="K615" s="252">
        <v>16.5</v>
      </c>
      <c r="L615" s="250">
        <v>110</v>
      </c>
      <c r="M615" s="253"/>
      <c r="N615" s="254"/>
      <c r="O615" s="274"/>
      <c r="P615" s="275"/>
      <c r="Q615" s="276"/>
      <c r="R615" s="305" t="s">
        <v>98</v>
      </c>
      <c r="S615" s="306">
        <v>45385</v>
      </c>
      <c r="T615" s="314"/>
      <c r="U615" s="276"/>
      <c r="V615" s="224">
        <v>12</v>
      </c>
      <c r="W615" s="325">
        <v>11</v>
      </c>
      <c r="X615" s="326">
        <v>11</v>
      </c>
      <c r="Y615" s="292">
        <f t="shared" si="26"/>
        <v>11</v>
      </c>
      <c r="Z615" s="194" t="s">
        <v>85</v>
      </c>
      <c r="AA615" s="339">
        <f>IFERROR(BASE_DATOS[[#This Row],[NSK Original]]-BASE_DATOS[[#This Row],[NSK]]," ")</f>
        <v>5.5</v>
      </c>
      <c r="AB615" s="340">
        <f>'NSK-TRACTO'!$A$2</f>
        <v>6</v>
      </c>
      <c r="AC615" s="340">
        <f>IF(BASE_DATOS[[#This Row],[NSK]]&gt;=BASE_DATOS[[#This Row],[NSK Reen]],BASE_DATOS[[#This Row],[NSK Reen]],BASE_DATOS[[#This Row],[NSK]])</f>
        <v>6</v>
      </c>
      <c r="AD615" s="341">
        <f>IFERROR(100%-(BASE_DATOS[[#This Row],[NSK Reen]]/BASE_DATOS[[#This Row],[NSK Original]]),"")</f>
        <v>0.63636363636363635</v>
      </c>
      <c r="AE615" s="341">
        <f>IFERROR(100%-BASE_DATOS[[#This Row],[NSK]]/BASE_DATOS[[#This Row],[NSK Original]],"")</f>
        <v>0.33333333333333337</v>
      </c>
      <c r="AF615" s="341">
        <f>IFERROR(BASE_DATOS[[#This Row],[% Max Des.]]-BASE_DATOS[[#This Row],[% Des]],"")</f>
        <v>0.30303030303030298</v>
      </c>
      <c r="AG615" s="284"/>
      <c r="AH615" s="335"/>
      <c r="AI615" s="359" t="str">
        <f>IF(OR(BASE_DATOS[[#This Row],[Hr.]]="",BASE_DATOS[[#This Row],[Hr. Actual]]=""),"",BASE_DATOS[[#This Row],[Hr. Actual]]-BASE_DATOS[[#This Row],[Hr.]]+BASE_DATOS[[#This Row],[Horas Acumuladas]])</f>
        <v/>
      </c>
      <c r="AJ615" s="360" t="str">
        <f>IFERROR(BASE_DATOS[[#This Row],[Precio US$]]/BASE_DATOS[[#This Row],[Horas Rodadas]],"")</f>
        <v/>
      </c>
      <c r="AK615" s="361" t="str">
        <f>IFERROR(BASE_DATOS[[#This Row],[Horas Rodadas]]/(BASE_DATOS[[#This Row],[NSK Original]]-BASE_DATOS[[#This Row],[NSK]]),"")</f>
        <v/>
      </c>
      <c r="AL615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15" s="362" t="str">
        <f>IFERROR(BASE_DATOS[[#This Row],[Precio US$]]/BASE_DATOS[[#This Row],[Horas Proy.]],"")</f>
        <v/>
      </c>
      <c r="AN615" s="195" t="str">
        <f>IF(OR(BASE_DATOS[[#This Row],[Km.]]="",BASE_DATOS[[#This Row],[Km. Actual]]=""),"",BASE_DATOS[[#This Row],[Km. Actual]]-BASE_DATOS[[#This Row],[Km.]]+BASE_DATOS[[#This Row],[Kilómetros Acumulados]])</f>
        <v/>
      </c>
      <c r="AO615" s="196" t="str">
        <f>IFERROR(BASE_DATOS[[#This Row],[Precio US$]]/BASE_DATOS[[#This Row],[Kilómetros Rodados]],"")</f>
        <v/>
      </c>
      <c r="AP615" s="195" t="str">
        <f>IFERROR(BASE_DATOS[[#This Row],[Kilómetros Rodados]]/(BASE_DATOS[[#This Row],[NSK Original]]-BASE_DATOS[[#This Row],[NSK]]),"")</f>
        <v/>
      </c>
      <c r="AQ615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15" s="196" t="str">
        <f>IFERROR(BASE_DATOS[[#This Row],[Precio US$]]/BASE_DATOS[[#This Row],[Kilómetros Proy.]],"")</f>
        <v/>
      </c>
      <c r="AS615" s="191" t="s">
        <v>62</v>
      </c>
      <c r="AT615" s="191"/>
      <c r="AU615" s="191"/>
      <c r="AV615" s="191"/>
      <c r="AW615" s="198"/>
      <c r="AX615" s="198"/>
      <c r="AY615" s="198" t="str">
        <f>CONCATENATE(BASE_DATOS[[#This Row],[Código_U]]&amp;BASE_DATOS[[#This Row],[Pos.]]&amp;BASE_DATOS[[#This Row],[Situación Actual]])</f>
        <v>SR-2221Rodando</v>
      </c>
    </row>
    <row r="616" spans="1:51" ht="12" x14ac:dyDescent="0.25">
      <c r="A616" s="223" t="s">
        <v>242</v>
      </c>
      <c r="B616" s="217" t="s">
        <v>239</v>
      </c>
      <c r="C616" s="228" t="s">
        <v>295</v>
      </c>
      <c r="D616" s="229" t="s">
        <v>87</v>
      </c>
      <c r="E616" s="255"/>
      <c r="F616" s="256" t="s">
        <v>97</v>
      </c>
      <c r="G616" s="256" t="s">
        <v>269</v>
      </c>
      <c r="H616" s="257" t="str">
        <f>IF(BASE_DATOS[[#This Row],[N-R]]="N",BASE_DATOS[[#This Row],[Diseño]],"Reencauche")</f>
        <v>AGC28</v>
      </c>
      <c r="I616" s="256" t="s">
        <v>270</v>
      </c>
      <c r="J616" s="243" t="s">
        <v>72</v>
      </c>
      <c r="K616" s="258">
        <v>16.5</v>
      </c>
      <c r="L616" s="256">
        <v>110</v>
      </c>
      <c r="M616" s="259"/>
      <c r="N616" s="260"/>
      <c r="O616" s="277"/>
      <c r="P616" s="278"/>
      <c r="Q616" s="279"/>
      <c r="R616" s="309" t="s">
        <v>99</v>
      </c>
      <c r="S616" s="310">
        <v>45385</v>
      </c>
      <c r="T616" s="313"/>
      <c r="U616" s="279"/>
      <c r="V616" s="227">
        <v>8</v>
      </c>
      <c r="W616" s="281">
        <v>8</v>
      </c>
      <c r="X616" s="282">
        <v>8</v>
      </c>
      <c r="Y616" s="293">
        <f t="shared" si="26"/>
        <v>8</v>
      </c>
      <c r="Z616" s="175" t="s">
        <v>85</v>
      </c>
      <c r="AA616" s="342">
        <f>IFERROR(BASE_DATOS[[#This Row],[NSK Original]]-BASE_DATOS[[#This Row],[NSK]]," ")</f>
        <v>8.5</v>
      </c>
      <c r="AB616" s="343">
        <f>'NSK-TRACTO'!$A$2</f>
        <v>6</v>
      </c>
      <c r="AC616" s="343">
        <f>IF(BASE_DATOS[[#This Row],[NSK]]&gt;=BASE_DATOS[[#This Row],[NSK Reen]],BASE_DATOS[[#This Row],[NSK Reen]],BASE_DATOS[[#This Row],[NSK]])</f>
        <v>6</v>
      </c>
      <c r="AD616" s="344">
        <f>IFERROR(100%-(BASE_DATOS[[#This Row],[NSK Reen]]/BASE_DATOS[[#This Row],[NSK Original]]),"")</f>
        <v>0.63636363636363635</v>
      </c>
      <c r="AE616" s="344">
        <f>IFERROR(100%-BASE_DATOS[[#This Row],[NSK]]/BASE_DATOS[[#This Row],[NSK Original]],"")</f>
        <v>0.51515151515151514</v>
      </c>
      <c r="AF616" s="344">
        <f>IFERROR(BASE_DATOS[[#This Row],[% Max Des.]]-BASE_DATOS[[#This Row],[% Des]],"")</f>
        <v>0.12121212121212122</v>
      </c>
      <c r="AG616" s="287"/>
      <c r="AH616" s="273"/>
      <c r="AI616" s="363" t="str">
        <f>IF(OR(BASE_DATOS[[#This Row],[Hr.]]="",BASE_DATOS[[#This Row],[Hr. Actual]]=""),"",BASE_DATOS[[#This Row],[Hr. Actual]]-BASE_DATOS[[#This Row],[Hr.]]+BASE_DATOS[[#This Row],[Horas Acumuladas]])</f>
        <v/>
      </c>
      <c r="AJ616" s="364" t="str">
        <f>IFERROR(BASE_DATOS[[#This Row],[Precio US$]]/BASE_DATOS[[#This Row],[Horas Rodadas]],"")</f>
        <v/>
      </c>
      <c r="AK616" s="365" t="str">
        <f>IFERROR(BASE_DATOS[[#This Row],[Horas Rodadas]]/(BASE_DATOS[[#This Row],[NSK Original]]-BASE_DATOS[[#This Row],[NSK]]),"")</f>
        <v/>
      </c>
      <c r="AL61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16" s="366" t="str">
        <f>IFERROR(BASE_DATOS[[#This Row],[Precio US$]]/BASE_DATOS[[#This Row],[Horas Proy.]],"")</f>
        <v/>
      </c>
      <c r="AN616" s="176" t="str">
        <f>IF(OR(BASE_DATOS[[#This Row],[Km.]]="",BASE_DATOS[[#This Row],[Km. Actual]]=""),"",BASE_DATOS[[#This Row],[Km. Actual]]-BASE_DATOS[[#This Row],[Km.]]+BASE_DATOS[[#This Row],[Kilómetros Acumulados]])</f>
        <v/>
      </c>
      <c r="AO616" s="177" t="str">
        <f>IFERROR(BASE_DATOS[[#This Row],[Precio US$]]/BASE_DATOS[[#This Row],[Kilómetros Rodados]],"")</f>
        <v/>
      </c>
      <c r="AP616" s="176" t="str">
        <f>IFERROR(BASE_DATOS[[#This Row],[Kilómetros Rodados]]/(BASE_DATOS[[#This Row],[NSK Original]]-BASE_DATOS[[#This Row],[NSK]]),"")</f>
        <v/>
      </c>
      <c r="AQ61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16" s="177" t="str">
        <f>IFERROR(BASE_DATOS[[#This Row],[Precio US$]]/BASE_DATOS[[#This Row],[Kilómetros Proy.]],"")</f>
        <v/>
      </c>
      <c r="AS616" s="167" t="s">
        <v>62</v>
      </c>
      <c r="AT616" s="167"/>
      <c r="AU616" s="167"/>
      <c r="AV616" s="167"/>
      <c r="AW616" s="179"/>
      <c r="AX616" s="179"/>
      <c r="AY616" s="179" t="str">
        <f>CONCATENATE(BASE_DATOS[[#This Row],[Código_U]]&amp;BASE_DATOS[[#This Row],[Pos.]]&amp;BASE_DATOS[[#This Row],[Situación Actual]])</f>
        <v>SR-2222Rodando</v>
      </c>
    </row>
    <row r="617" spans="1:51" ht="12" x14ac:dyDescent="0.25">
      <c r="A617" s="223" t="s">
        <v>242</v>
      </c>
      <c r="B617" s="217" t="s">
        <v>239</v>
      </c>
      <c r="C617" s="228" t="s">
        <v>295</v>
      </c>
      <c r="D617" s="229" t="s">
        <v>87</v>
      </c>
      <c r="E617" s="255"/>
      <c r="F617" s="256" t="s">
        <v>97</v>
      </c>
      <c r="G617" s="256" t="s">
        <v>269</v>
      </c>
      <c r="H617" s="257" t="str">
        <f>IF(BASE_DATOS[[#This Row],[N-R]]="N",BASE_DATOS[[#This Row],[Diseño]],"Reencauche")</f>
        <v>AGC28</v>
      </c>
      <c r="I617" s="256" t="s">
        <v>270</v>
      </c>
      <c r="J617" s="243" t="s">
        <v>72</v>
      </c>
      <c r="K617" s="258">
        <v>16.5</v>
      </c>
      <c r="L617" s="256">
        <v>110</v>
      </c>
      <c r="M617" s="259"/>
      <c r="N617" s="260"/>
      <c r="O617" s="277"/>
      <c r="P617" s="278"/>
      <c r="Q617" s="279"/>
      <c r="R617" s="309" t="s">
        <v>100</v>
      </c>
      <c r="S617" s="310">
        <v>45385</v>
      </c>
      <c r="T617" s="313"/>
      <c r="U617" s="279"/>
      <c r="V617" s="227">
        <v>16</v>
      </c>
      <c r="W617" s="281">
        <v>15</v>
      </c>
      <c r="X617" s="282">
        <v>15</v>
      </c>
      <c r="Y617" s="293">
        <f t="shared" si="26"/>
        <v>15</v>
      </c>
      <c r="Z617" s="175" t="s">
        <v>85</v>
      </c>
      <c r="AA617" s="342">
        <f>IFERROR(BASE_DATOS[[#This Row],[NSK Original]]-BASE_DATOS[[#This Row],[NSK]]," ")</f>
        <v>1.5</v>
      </c>
      <c r="AB617" s="343">
        <f>'NSK-TRACTO'!$A$2</f>
        <v>6</v>
      </c>
      <c r="AC617" s="343">
        <f>IF(BASE_DATOS[[#This Row],[NSK]]&gt;=BASE_DATOS[[#This Row],[NSK Reen]],BASE_DATOS[[#This Row],[NSK Reen]],BASE_DATOS[[#This Row],[NSK]])</f>
        <v>6</v>
      </c>
      <c r="AD617" s="344">
        <f>IFERROR(100%-(BASE_DATOS[[#This Row],[NSK Reen]]/BASE_DATOS[[#This Row],[NSK Original]]),"")</f>
        <v>0.63636363636363635</v>
      </c>
      <c r="AE617" s="344">
        <f>IFERROR(100%-BASE_DATOS[[#This Row],[NSK]]/BASE_DATOS[[#This Row],[NSK Original]],"")</f>
        <v>9.0909090909090939E-2</v>
      </c>
      <c r="AF617" s="344">
        <f>IFERROR(BASE_DATOS[[#This Row],[% Max Des.]]-BASE_DATOS[[#This Row],[% Des]],"")</f>
        <v>0.54545454545454541</v>
      </c>
      <c r="AG617" s="287"/>
      <c r="AH617" s="273"/>
      <c r="AI617" s="363" t="str">
        <f>IF(OR(BASE_DATOS[[#This Row],[Hr.]]="",BASE_DATOS[[#This Row],[Hr. Actual]]=""),"",BASE_DATOS[[#This Row],[Hr. Actual]]-BASE_DATOS[[#This Row],[Hr.]]+BASE_DATOS[[#This Row],[Horas Acumuladas]])</f>
        <v/>
      </c>
      <c r="AJ617" s="364" t="str">
        <f>IFERROR(BASE_DATOS[[#This Row],[Precio US$]]/BASE_DATOS[[#This Row],[Horas Rodadas]],"")</f>
        <v/>
      </c>
      <c r="AK617" s="365" t="str">
        <f>IFERROR(BASE_DATOS[[#This Row],[Horas Rodadas]]/(BASE_DATOS[[#This Row],[NSK Original]]-BASE_DATOS[[#This Row],[NSK]]),"")</f>
        <v/>
      </c>
      <c r="AL61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17" s="366" t="str">
        <f>IFERROR(BASE_DATOS[[#This Row],[Precio US$]]/BASE_DATOS[[#This Row],[Horas Proy.]],"")</f>
        <v/>
      </c>
      <c r="AN617" s="176" t="str">
        <f>IF(OR(BASE_DATOS[[#This Row],[Km.]]="",BASE_DATOS[[#This Row],[Km. Actual]]=""),"",BASE_DATOS[[#This Row],[Km. Actual]]-BASE_DATOS[[#This Row],[Km.]]+BASE_DATOS[[#This Row],[Kilómetros Acumulados]])</f>
        <v/>
      </c>
      <c r="AO617" s="177" t="str">
        <f>IFERROR(BASE_DATOS[[#This Row],[Precio US$]]/BASE_DATOS[[#This Row],[Kilómetros Rodados]],"")</f>
        <v/>
      </c>
      <c r="AP617" s="176" t="str">
        <f>IFERROR(BASE_DATOS[[#This Row],[Kilómetros Rodados]]/(BASE_DATOS[[#This Row],[NSK Original]]-BASE_DATOS[[#This Row],[NSK]]),"")</f>
        <v/>
      </c>
      <c r="AQ61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17" s="177" t="str">
        <f>IFERROR(BASE_DATOS[[#This Row],[Precio US$]]/BASE_DATOS[[#This Row],[Kilómetros Proy.]],"")</f>
        <v/>
      </c>
      <c r="AS617" s="167" t="s">
        <v>62</v>
      </c>
      <c r="AT617" s="167"/>
      <c r="AU617" s="167"/>
      <c r="AV617" s="167"/>
      <c r="AW617" s="179"/>
      <c r="AX617" s="179"/>
      <c r="AY617" s="179" t="str">
        <f>CONCATENATE(BASE_DATOS[[#This Row],[Código_U]]&amp;BASE_DATOS[[#This Row],[Pos.]]&amp;BASE_DATOS[[#This Row],[Situación Actual]])</f>
        <v>SR-2223Rodando</v>
      </c>
    </row>
    <row r="618" spans="1:51" ht="12" x14ac:dyDescent="0.25">
      <c r="A618" s="223" t="s">
        <v>242</v>
      </c>
      <c r="B618" s="217" t="s">
        <v>239</v>
      </c>
      <c r="C618" s="228" t="s">
        <v>295</v>
      </c>
      <c r="D618" s="229" t="s">
        <v>87</v>
      </c>
      <c r="E618" s="255"/>
      <c r="F618" s="256" t="s">
        <v>97</v>
      </c>
      <c r="G618" s="256" t="s">
        <v>269</v>
      </c>
      <c r="H618" s="257" t="str">
        <f>IF(BASE_DATOS[[#This Row],[N-R]]="N",BASE_DATOS[[#This Row],[Diseño]],"Reencauche")</f>
        <v>AGC28</v>
      </c>
      <c r="I618" s="256" t="s">
        <v>270</v>
      </c>
      <c r="J618" s="243" t="s">
        <v>72</v>
      </c>
      <c r="K618" s="258">
        <v>16.5</v>
      </c>
      <c r="L618" s="256">
        <v>110</v>
      </c>
      <c r="M618" s="259"/>
      <c r="N618" s="260"/>
      <c r="O618" s="277"/>
      <c r="P618" s="278"/>
      <c r="Q618" s="279"/>
      <c r="R618" s="309" t="s">
        <v>101</v>
      </c>
      <c r="S618" s="310">
        <v>45385</v>
      </c>
      <c r="T618" s="313"/>
      <c r="U618" s="279"/>
      <c r="V618" s="227">
        <v>15</v>
      </c>
      <c r="W618" s="281">
        <v>15</v>
      </c>
      <c r="X618" s="282">
        <v>15</v>
      </c>
      <c r="Y618" s="293">
        <f t="shared" si="26"/>
        <v>15</v>
      </c>
      <c r="Z618" s="175" t="s">
        <v>85</v>
      </c>
      <c r="AA618" s="342">
        <f>IFERROR(BASE_DATOS[[#This Row],[NSK Original]]-BASE_DATOS[[#This Row],[NSK]]," ")</f>
        <v>1.5</v>
      </c>
      <c r="AB618" s="343">
        <f>'NSK-TRACTO'!$A$2</f>
        <v>6</v>
      </c>
      <c r="AC618" s="343">
        <f>IF(BASE_DATOS[[#This Row],[NSK]]&gt;=BASE_DATOS[[#This Row],[NSK Reen]],BASE_DATOS[[#This Row],[NSK Reen]],BASE_DATOS[[#This Row],[NSK]])</f>
        <v>6</v>
      </c>
      <c r="AD618" s="344">
        <f>IFERROR(100%-(BASE_DATOS[[#This Row],[NSK Reen]]/BASE_DATOS[[#This Row],[NSK Original]]),"")</f>
        <v>0.63636363636363635</v>
      </c>
      <c r="AE618" s="344">
        <f>IFERROR(100%-BASE_DATOS[[#This Row],[NSK]]/BASE_DATOS[[#This Row],[NSK Original]],"")</f>
        <v>9.0909090909090939E-2</v>
      </c>
      <c r="AF618" s="344">
        <f>IFERROR(BASE_DATOS[[#This Row],[% Max Des.]]-BASE_DATOS[[#This Row],[% Des]],"")</f>
        <v>0.54545454545454541</v>
      </c>
      <c r="AG618" s="287"/>
      <c r="AH618" s="273"/>
      <c r="AI618" s="363" t="str">
        <f>IF(OR(BASE_DATOS[[#This Row],[Hr.]]="",BASE_DATOS[[#This Row],[Hr. Actual]]=""),"",BASE_DATOS[[#This Row],[Hr. Actual]]-BASE_DATOS[[#This Row],[Hr.]]+BASE_DATOS[[#This Row],[Horas Acumuladas]])</f>
        <v/>
      </c>
      <c r="AJ618" s="364" t="str">
        <f>IFERROR(BASE_DATOS[[#This Row],[Precio US$]]/BASE_DATOS[[#This Row],[Horas Rodadas]],"")</f>
        <v/>
      </c>
      <c r="AK618" s="365" t="str">
        <f>IFERROR(BASE_DATOS[[#This Row],[Horas Rodadas]]/(BASE_DATOS[[#This Row],[NSK Original]]-BASE_DATOS[[#This Row],[NSK]]),"")</f>
        <v/>
      </c>
      <c r="AL61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18" s="366" t="str">
        <f>IFERROR(BASE_DATOS[[#This Row],[Precio US$]]/BASE_DATOS[[#This Row],[Horas Proy.]],"")</f>
        <v/>
      </c>
      <c r="AN618" s="176" t="str">
        <f>IF(OR(BASE_DATOS[[#This Row],[Km.]]="",BASE_DATOS[[#This Row],[Km. Actual]]=""),"",BASE_DATOS[[#This Row],[Km. Actual]]-BASE_DATOS[[#This Row],[Km.]]+BASE_DATOS[[#This Row],[Kilómetros Acumulados]])</f>
        <v/>
      </c>
      <c r="AO618" s="177" t="str">
        <f>IFERROR(BASE_DATOS[[#This Row],[Precio US$]]/BASE_DATOS[[#This Row],[Kilómetros Rodados]],"")</f>
        <v/>
      </c>
      <c r="AP618" s="176" t="str">
        <f>IFERROR(BASE_DATOS[[#This Row],[Kilómetros Rodados]]/(BASE_DATOS[[#This Row],[NSK Original]]-BASE_DATOS[[#This Row],[NSK]]),"")</f>
        <v/>
      </c>
      <c r="AQ61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18" s="177" t="str">
        <f>IFERROR(BASE_DATOS[[#This Row],[Precio US$]]/BASE_DATOS[[#This Row],[Kilómetros Proy.]],"")</f>
        <v/>
      </c>
      <c r="AS618" s="167" t="s">
        <v>62</v>
      </c>
      <c r="AT618" s="167"/>
      <c r="AU618" s="167"/>
      <c r="AV618" s="167"/>
      <c r="AW618" s="179"/>
      <c r="AX618" s="179"/>
      <c r="AY618" s="179" t="str">
        <f>CONCATENATE(BASE_DATOS[[#This Row],[Código_U]]&amp;BASE_DATOS[[#This Row],[Pos.]]&amp;BASE_DATOS[[#This Row],[Situación Actual]])</f>
        <v>SR-2224Rodando</v>
      </c>
    </row>
    <row r="619" spans="1:51" ht="12" x14ac:dyDescent="0.25">
      <c r="A619" s="223" t="s">
        <v>242</v>
      </c>
      <c r="B619" s="217" t="s">
        <v>239</v>
      </c>
      <c r="C619" s="228" t="s">
        <v>295</v>
      </c>
      <c r="D619" s="229" t="s">
        <v>87</v>
      </c>
      <c r="E619" s="255"/>
      <c r="F619" s="256" t="s">
        <v>97</v>
      </c>
      <c r="G619" s="256" t="s">
        <v>269</v>
      </c>
      <c r="H619" s="257" t="str">
        <f>IF(BASE_DATOS[[#This Row],[N-R]]="N",BASE_DATOS[[#This Row],[Diseño]],"Reencauche")</f>
        <v>AGC28</v>
      </c>
      <c r="I619" s="256" t="s">
        <v>270</v>
      </c>
      <c r="J619" s="243" t="s">
        <v>72</v>
      </c>
      <c r="K619" s="258">
        <v>16.5</v>
      </c>
      <c r="L619" s="256">
        <v>110</v>
      </c>
      <c r="M619" s="259"/>
      <c r="N619" s="260"/>
      <c r="O619" s="277"/>
      <c r="P619" s="278"/>
      <c r="Q619" s="279"/>
      <c r="R619" s="309" t="s">
        <v>102</v>
      </c>
      <c r="S619" s="310">
        <v>45385</v>
      </c>
      <c r="T619" s="313"/>
      <c r="U619" s="279"/>
      <c r="V619" s="227">
        <v>14</v>
      </c>
      <c r="W619" s="281">
        <v>13</v>
      </c>
      <c r="X619" s="282">
        <v>13</v>
      </c>
      <c r="Y619" s="293">
        <f t="shared" si="26"/>
        <v>13</v>
      </c>
      <c r="Z619" s="175" t="s">
        <v>85</v>
      </c>
      <c r="AA619" s="342">
        <f>IFERROR(BASE_DATOS[[#This Row],[NSK Original]]-BASE_DATOS[[#This Row],[NSK]]," ")</f>
        <v>3.5</v>
      </c>
      <c r="AB619" s="343">
        <f>'NSK-TRACTO'!$A$2</f>
        <v>6</v>
      </c>
      <c r="AC619" s="343">
        <f>IF(BASE_DATOS[[#This Row],[NSK]]&gt;=BASE_DATOS[[#This Row],[NSK Reen]],BASE_DATOS[[#This Row],[NSK Reen]],BASE_DATOS[[#This Row],[NSK]])</f>
        <v>6</v>
      </c>
      <c r="AD619" s="344">
        <f>IFERROR(100%-(BASE_DATOS[[#This Row],[NSK Reen]]/BASE_DATOS[[#This Row],[NSK Original]]),"")</f>
        <v>0.63636363636363635</v>
      </c>
      <c r="AE619" s="344">
        <f>IFERROR(100%-BASE_DATOS[[#This Row],[NSK]]/BASE_DATOS[[#This Row],[NSK Original]],"")</f>
        <v>0.21212121212121215</v>
      </c>
      <c r="AF619" s="344">
        <f>IFERROR(BASE_DATOS[[#This Row],[% Max Des.]]-BASE_DATOS[[#This Row],[% Des]],"")</f>
        <v>0.4242424242424242</v>
      </c>
      <c r="AG619" s="287"/>
      <c r="AH619" s="273"/>
      <c r="AI619" s="363" t="str">
        <f>IF(OR(BASE_DATOS[[#This Row],[Hr.]]="",BASE_DATOS[[#This Row],[Hr. Actual]]=""),"",BASE_DATOS[[#This Row],[Hr. Actual]]-BASE_DATOS[[#This Row],[Hr.]]+BASE_DATOS[[#This Row],[Horas Acumuladas]])</f>
        <v/>
      </c>
      <c r="AJ619" s="364" t="str">
        <f>IFERROR(BASE_DATOS[[#This Row],[Precio US$]]/BASE_DATOS[[#This Row],[Horas Rodadas]],"")</f>
        <v/>
      </c>
      <c r="AK619" s="365" t="str">
        <f>IFERROR(BASE_DATOS[[#This Row],[Horas Rodadas]]/(BASE_DATOS[[#This Row],[NSK Original]]-BASE_DATOS[[#This Row],[NSK]]),"")</f>
        <v/>
      </c>
      <c r="AL61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19" s="366" t="str">
        <f>IFERROR(BASE_DATOS[[#This Row],[Precio US$]]/BASE_DATOS[[#This Row],[Horas Proy.]],"")</f>
        <v/>
      </c>
      <c r="AN619" s="176" t="str">
        <f>IF(OR(BASE_DATOS[[#This Row],[Km.]]="",BASE_DATOS[[#This Row],[Km. Actual]]=""),"",BASE_DATOS[[#This Row],[Km. Actual]]-BASE_DATOS[[#This Row],[Km.]]+BASE_DATOS[[#This Row],[Kilómetros Acumulados]])</f>
        <v/>
      </c>
      <c r="AO619" s="177" t="str">
        <f>IFERROR(BASE_DATOS[[#This Row],[Precio US$]]/BASE_DATOS[[#This Row],[Kilómetros Rodados]],"")</f>
        <v/>
      </c>
      <c r="AP619" s="176" t="str">
        <f>IFERROR(BASE_DATOS[[#This Row],[Kilómetros Rodados]]/(BASE_DATOS[[#This Row],[NSK Original]]-BASE_DATOS[[#This Row],[NSK]]),"")</f>
        <v/>
      </c>
      <c r="AQ61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19" s="177" t="str">
        <f>IFERROR(BASE_DATOS[[#This Row],[Precio US$]]/BASE_DATOS[[#This Row],[Kilómetros Proy.]],"")</f>
        <v/>
      </c>
      <c r="AS619" s="167" t="s">
        <v>62</v>
      </c>
      <c r="AT619" s="167"/>
      <c r="AU619" s="167"/>
      <c r="AV619" s="167"/>
      <c r="AW619" s="179"/>
      <c r="AX619" s="179"/>
      <c r="AY619" s="179" t="str">
        <f>CONCATENATE(BASE_DATOS[[#This Row],[Código_U]]&amp;BASE_DATOS[[#This Row],[Pos.]]&amp;BASE_DATOS[[#This Row],[Situación Actual]])</f>
        <v>SR-2225Rodando</v>
      </c>
    </row>
    <row r="620" spans="1:51" ht="12" x14ac:dyDescent="0.25">
      <c r="A620" s="223" t="s">
        <v>242</v>
      </c>
      <c r="B620" s="217" t="s">
        <v>239</v>
      </c>
      <c r="C620" s="228" t="s">
        <v>295</v>
      </c>
      <c r="D620" s="229" t="s">
        <v>87</v>
      </c>
      <c r="E620" s="255"/>
      <c r="F620" s="256" t="s">
        <v>97</v>
      </c>
      <c r="G620" s="256" t="s">
        <v>269</v>
      </c>
      <c r="H620" s="257" t="str">
        <f>IF(BASE_DATOS[[#This Row],[N-R]]="N",BASE_DATOS[[#This Row],[Diseño]],"Reencauche")</f>
        <v>AGC28</v>
      </c>
      <c r="I620" s="256" t="s">
        <v>270</v>
      </c>
      <c r="J620" s="243" t="s">
        <v>72</v>
      </c>
      <c r="K620" s="258">
        <v>16.5</v>
      </c>
      <c r="L620" s="256">
        <v>110</v>
      </c>
      <c r="M620" s="259"/>
      <c r="N620" s="260"/>
      <c r="O620" s="277"/>
      <c r="P620" s="278"/>
      <c r="Q620" s="279"/>
      <c r="R620" s="309" t="s">
        <v>103</v>
      </c>
      <c r="S620" s="310">
        <v>45385</v>
      </c>
      <c r="T620" s="313"/>
      <c r="U620" s="279"/>
      <c r="V620" s="227">
        <v>14</v>
      </c>
      <c r="W620" s="281">
        <v>14</v>
      </c>
      <c r="X620" s="282">
        <v>14</v>
      </c>
      <c r="Y620" s="293">
        <f t="shared" si="26"/>
        <v>14</v>
      </c>
      <c r="Z620" s="175" t="s">
        <v>85</v>
      </c>
      <c r="AA620" s="342">
        <f>IFERROR(BASE_DATOS[[#This Row],[NSK Original]]-BASE_DATOS[[#This Row],[NSK]]," ")</f>
        <v>2.5</v>
      </c>
      <c r="AB620" s="343">
        <f>'NSK-TRACTO'!$A$2</f>
        <v>6</v>
      </c>
      <c r="AC620" s="343">
        <f>IF(BASE_DATOS[[#This Row],[NSK]]&gt;=BASE_DATOS[[#This Row],[NSK Reen]],BASE_DATOS[[#This Row],[NSK Reen]],BASE_DATOS[[#This Row],[NSK]])</f>
        <v>6</v>
      </c>
      <c r="AD620" s="344">
        <f>IFERROR(100%-(BASE_DATOS[[#This Row],[NSK Reen]]/BASE_DATOS[[#This Row],[NSK Original]]),"")</f>
        <v>0.63636363636363635</v>
      </c>
      <c r="AE620" s="344">
        <f>IFERROR(100%-BASE_DATOS[[#This Row],[NSK]]/BASE_DATOS[[#This Row],[NSK Original]],"")</f>
        <v>0.15151515151515149</v>
      </c>
      <c r="AF620" s="344">
        <f>IFERROR(BASE_DATOS[[#This Row],[% Max Des.]]-BASE_DATOS[[#This Row],[% Des]],"")</f>
        <v>0.48484848484848486</v>
      </c>
      <c r="AG620" s="287"/>
      <c r="AH620" s="273"/>
      <c r="AI620" s="363" t="str">
        <f>IF(OR(BASE_DATOS[[#This Row],[Hr.]]="",BASE_DATOS[[#This Row],[Hr. Actual]]=""),"",BASE_DATOS[[#This Row],[Hr. Actual]]-BASE_DATOS[[#This Row],[Hr.]]+BASE_DATOS[[#This Row],[Horas Acumuladas]])</f>
        <v/>
      </c>
      <c r="AJ620" s="364" t="str">
        <f>IFERROR(BASE_DATOS[[#This Row],[Precio US$]]/BASE_DATOS[[#This Row],[Horas Rodadas]],"")</f>
        <v/>
      </c>
      <c r="AK620" s="365" t="str">
        <f>IFERROR(BASE_DATOS[[#This Row],[Horas Rodadas]]/(BASE_DATOS[[#This Row],[NSK Original]]-BASE_DATOS[[#This Row],[NSK]]),"")</f>
        <v/>
      </c>
      <c r="AL62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20" s="366" t="str">
        <f>IFERROR(BASE_DATOS[[#This Row],[Precio US$]]/BASE_DATOS[[#This Row],[Horas Proy.]],"")</f>
        <v/>
      </c>
      <c r="AN620" s="176" t="str">
        <f>IF(OR(BASE_DATOS[[#This Row],[Km.]]="",BASE_DATOS[[#This Row],[Km. Actual]]=""),"",BASE_DATOS[[#This Row],[Km. Actual]]-BASE_DATOS[[#This Row],[Km.]]+BASE_DATOS[[#This Row],[Kilómetros Acumulados]])</f>
        <v/>
      </c>
      <c r="AO620" s="177" t="str">
        <f>IFERROR(BASE_DATOS[[#This Row],[Precio US$]]/BASE_DATOS[[#This Row],[Kilómetros Rodados]],"")</f>
        <v/>
      </c>
      <c r="AP620" s="176" t="str">
        <f>IFERROR(BASE_DATOS[[#This Row],[Kilómetros Rodados]]/(BASE_DATOS[[#This Row],[NSK Original]]-BASE_DATOS[[#This Row],[NSK]]),"")</f>
        <v/>
      </c>
      <c r="AQ62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20" s="177" t="str">
        <f>IFERROR(BASE_DATOS[[#This Row],[Precio US$]]/BASE_DATOS[[#This Row],[Kilómetros Proy.]],"")</f>
        <v/>
      </c>
      <c r="AS620" s="167" t="s">
        <v>62</v>
      </c>
      <c r="AT620" s="167"/>
      <c r="AU620" s="167"/>
      <c r="AV620" s="167"/>
      <c r="AW620" s="179"/>
      <c r="AX620" s="179"/>
      <c r="AY620" s="179" t="str">
        <f>CONCATENATE(BASE_DATOS[[#This Row],[Código_U]]&amp;BASE_DATOS[[#This Row],[Pos.]]&amp;BASE_DATOS[[#This Row],[Situación Actual]])</f>
        <v>SR-2226Rodando</v>
      </c>
    </row>
    <row r="621" spans="1:51" ht="12" x14ac:dyDescent="0.25">
      <c r="A621" s="223" t="s">
        <v>242</v>
      </c>
      <c r="B621" s="217" t="s">
        <v>239</v>
      </c>
      <c r="C621" s="228" t="s">
        <v>295</v>
      </c>
      <c r="D621" s="229" t="s">
        <v>384</v>
      </c>
      <c r="E621" s="255"/>
      <c r="F621" s="256" t="s">
        <v>97</v>
      </c>
      <c r="G621" s="256" t="s">
        <v>269</v>
      </c>
      <c r="H621" s="257" t="str">
        <f>IF(BASE_DATOS[[#This Row],[N-R]]="N",BASE_DATOS[[#This Row],[Diseño]],"Reencauche")</f>
        <v>AGC28</v>
      </c>
      <c r="I621" s="256" t="s">
        <v>270</v>
      </c>
      <c r="J621" s="243" t="s">
        <v>72</v>
      </c>
      <c r="K621" s="258">
        <v>16.5</v>
      </c>
      <c r="L621" s="256">
        <v>110</v>
      </c>
      <c r="M621" s="259"/>
      <c r="N621" s="260"/>
      <c r="O621" s="277"/>
      <c r="P621" s="278"/>
      <c r="Q621" s="279"/>
      <c r="R621" s="304" t="s">
        <v>509</v>
      </c>
      <c r="S621" s="310">
        <v>45385</v>
      </c>
      <c r="T621" s="313"/>
      <c r="U621" s="279"/>
      <c r="V621" s="227">
        <v>16</v>
      </c>
      <c r="W621" s="281">
        <v>16</v>
      </c>
      <c r="X621" s="282">
        <v>16</v>
      </c>
      <c r="Y621" s="293">
        <f t="shared" si="26"/>
        <v>16</v>
      </c>
      <c r="Z621" s="175" t="s">
        <v>85</v>
      </c>
      <c r="AA621" s="342">
        <f>IFERROR(BASE_DATOS[[#This Row],[NSK Original]]-BASE_DATOS[[#This Row],[NSK]]," ")</f>
        <v>0.5</v>
      </c>
      <c r="AB621" s="343">
        <f>'NSK-TRACTO'!$A$2</f>
        <v>6</v>
      </c>
      <c r="AC621" s="343">
        <f>IF(BASE_DATOS[[#This Row],[NSK]]&gt;=BASE_DATOS[[#This Row],[NSK Reen]],BASE_DATOS[[#This Row],[NSK Reen]],BASE_DATOS[[#This Row],[NSK]])</f>
        <v>6</v>
      </c>
      <c r="AD621" s="344">
        <f>IFERROR(100%-(BASE_DATOS[[#This Row],[NSK Reen]]/BASE_DATOS[[#This Row],[NSK Original]]),"")</f>
        <v>0.63636363636363635</v>
      </c>
      <c r="AE621" s="344">
        <f>IFERROR(100%-BASE_DATOS[[#This Row],[NSK]]/BASE_DATOS[[#This Row],[NSK Original]],"")</f>
        <v>3.0303030303030276E-2</v>
      </c>
      <c r="AF621" s="344">
        <f>IFERROR(BASE_DATOS[[#This Row],[% Max Des.]]-BASE_DATOS[[#This Row],[% Des]],"")</f>
        <v>0.60606060606060608</v>
      </c>
      <c r="AG621" s="287"/>
      <c r="AH621" s="273"/>
      <c r="AI621" s="363" t="str">
        <f>IF(OR(BASE_DATOS[[#This Row],[Hr.]]="",BASE_DATOS[[#This Row],[Hr. Actual]]=""),"",BASE_DATOS[[#This Row],[Hr. Actual]]-BASE_DATOS[[#This Row],[Hr.]]+BASE_DATOS[[#This Row],[Horas Acumuladas]])</f>
        <v/>
      </c>
      <c r="AJ621" s="364" t="str">
        <f>IFERROR(BASE_DATOS[[#This Row],[Precio US$]]/BASE_DATOS[[#This Row],[Horas Rodadas]],"")</f>
        <v/>
      </c>
      <c r="AK621" s="365" t="str">
        <f>IFERROR(BASE_DATOS[[#This Row],[Horas Rodadas]]/(BASE_DATOS[[#This Row],[NSK Original]]-BASE_DATOS[[#This Row],[NSK]]),"")</f>
        <v/>
      </c>
      <c r="AL62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21" s="366" t="str">
        <f>IFERROR(BASE_DATOS[[#This Row],[Precio US$]]/BASE_DATOS[[#This Row],[Horas Proy.]],"")</f>
        <v/>
      </c>
      <c r="AN621" s="176" t="str">
        <f>IF(OR(BASE_DATOS[[#This Row],[Km.]]="",BASE_DATOS[[#This Row],[Km. Actual]]=""),"",BASE_DATOS[[#This Row],[Km. Actual]]-BASE_DATOS[[#This Row],[Km.]]+BASE_DATOS[[#This Row],[Kilómetros Acumulados]])</f>
        <v/>
      </c>
      <c r="AO621" s="177" t="str">
        <f>IFERROR(BASE_DATOS[[#This Row],[Precio US$]]/BASE_DATOS[[#This Row],[Kilómetros Rodados]],"")</f>
        <v/>
      </c>
      <c r="AP621" s="176" t="str">
        <f>IFERROR(BASE_DATOS[[#This Row],[Kilómetros Rodados]]/(BASE_DATOS[[#This Row],[NSK Original]]-BASE_DATOS[[#This Row],[NSK]]),"")</f>
        <v/>
      </c>
      <c r="AQ62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21" s="177" t="str">
        <f>IFERROR(BASE_DATOS[[#This Row],[Precio US$]]/BASE_DATOS[[#This Row],[Kilómetros Proy.]],"")</f>
        <v/>
      </c>
      <c r="AS621" s="167" t="s">
        <v>62</v>
      </c>
      <c r="AT621" s="167"/>
      <c r="AU621" s="167"/>
      <c r="AV621" s="167"/>
      <c r="AW621" s="179"/>
      <c r="AX621" s="179"/>
      <c r="AY621" s="179" t="str">
        <f>CONCATENATE(BASE_DATOS[[#This Row],[Código_U]]&amp;BASE_DATOS[[#This Row],[Pos.]]&amp;BASE_DATOS[[#This Row],[Situación Actual]])</f>
        <v>SR-222RERodando</v>
      </c>
    </row>
    <row r="622" spans="1:51" ht="12" x14ac:dyDescent="0.25">
      <c r="A622" s="223" t="s">
        <v>242</v>
      </c>
      <c r="B622" s="217" t="s">
        <v>239</v>
      </c>
      <c r="C622" s="228" t="s">
        <v>295</v>
      </c>
      <c r="D622" s="229" t="s">
        <v>108</v>
      </c>
      <c r="E622" s="255"/>
      <c r="F622" s="256" t="s">
        <v>273</v>
      </c>
      <c r="G622" s="256" t="s">
        <v>271</v>
      </c>
      <c r="H622" s="257" t="str">
        <f>IF(BASE_DATOS[[#This Row],[N-R]]="N",BASE_DATOS[[#This Row],[Diseño]],"Reencauche")</f>
        <v>XMULTI2D</v>
      </c>
      <c r="I622" s="256" t="s">
        <v>299</v>
      </c>
      <c r="J622" s="243" t="s">
        <v>72</v>
      </c>
      <c r="K622" s="258">
        <v>21.4</v>
      </c>
      <c r="L622" s="256">
        <v>110</v>
      </c>
      <c r="M622" s="259"/>
      <c r="N622" s="260"/>
      <c r="O622" s="277"/>
      <c r="P622" s="278"/>
      <c r="Q622" s="279"/>
      <c r="R622" s="304" t="s">
        <v>108</v>
      </c>
      <c r="S622" s="310">
        <v>45385</v>
      </c>
      <c r="T622" s="313"/>
      <c r="U622" s="279"/>
      <c r="V622" s="227">
        <v>17</v>
      </c>
      <c r="W622" s="281"/>
      <c r="X622" s="282">
        <v>17</v>
      </c>
      <c r="Y622" s="293">
        <f t="shared" si="26"/>
        <v>17</v>
      </c>
      <c r="Z622" s="175" t="s">
        <v>85</v>
      </c>
      <c r="AA622" s="342">
        <f>IFERROR(BASE_DATOS[[#This Row],[NSK Original]]-BASE_DATOS[[#This Row],[NSK]]," ")</f>
        <v>4.3999999999999986</v>
      </c>
      <c r="AB622" s="343">
        <f>'NSK-TRACTO'!$A$2</f>
        <v>6</v>
      </c>
      <c r="AC622" s="343">
        <f>IF(BASE_DATOS[[#This Row],[NSK]]&gt;=BASE_DATOS[[#This Row],[NSK Reen]],BASE_DATOS[[#This Row],[NSK Reen]],BASE_DATOS[[#This Row],[NSK]])</f>
        <v>6</v>
      </c>
      <c r="AD622" s="344">
        <f>IFERROR(100%-(BASE_DATOS[[#This Row],[NSK Reen]]/BASE_DATOS[[#This Row],[NSK Original]]),"")</f>
        <v>0.71962616822429903</v>
      </c>
      <c r="AE622" s="344">
        <f>IFERROR(100%-BASE_DATOS[[#This Row],[NSK]]/BASE_DATOS[[#This Row],[NSK Original]],"")</f>
        <v>0.20560747663551393</v>
      </c>
      <c r="AF622" s="344">
        <f>IFERROR(BASE_DATOS[[#This Row],[% Max Des.]]-BASE_DATOS[[#This Row],[% Des]],"")</f>
        <v>0.5140186915887851</v>
      </c>
      <c r="AG622" s="287"/>
      <c r="AH622" s="273"/>
      <c r="AI622" s="363" t="str">
        <f>IF(OR(BASE_DATOS[[#This Row],[Hr.]]="",BASE_DATOS[[#This Row],[Hr. Actual]]=""),"",BASE_DATOS[[#This Row],[Hr. Actual]]-BASE_DATOS[[#This Row],[Hr.]]+BASE_DATOS[[#This Row],[Horas Acumuladas]])</f>
        <v/>
      </c>
      <c r="AJ622" s="364" t="str">
        <f>IFERROR(BASE_DATOS[[#This Row],[Precio US$]]/BASE_DATOS[[#This Row],[Horas Rodadas]],"")</f>
        <v/>
      </c>
      <c r="AK622" s="365" t="str">
        <f>IFERROR(BASE_DATOS[[#This Row],[Horas Rodadas]]/(BASE_DATOS[[#This Row],[NSK Original]]-BASE_DATOS[[#This Row],[NSK]]),"")</f>
        <v/>
      </c>
      <c r="AL62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22" s="366" t="str">
        <f>IFERROR(BASE_DATOS[[#This Row],[Precio US$]]/BASE_DATOS[[#This Row],[Horas Proy.]],"")</f>
        <v/>
      </c>
      <c r="AN622" s="176" t="str">
        <f>IF(OR(BASE_DATOS[[#This Row],[Km.]]="",BASE_DATOS[[#This Row],[Km. Actual]]=""),"",BASE_DATOS[[#This Row],[Km. Actual]]-BASE_DATOS[[#This Row],[Km.]]+BASE_DATOS[[#This Row],[Kilómetros Acumulados]])</f>
        <v/>
      </c>
      <c r="AO622" s="177" t="str">
        <f>IFERROR(BASE_DATOS[[#This Row],[Precio US$]]/BASE_DATOS[[#This Row],[Kilómetros Rodados]],"")</f>
        <v/>
      </c>
      <c r="AP622" s="176" t="str">
        <f>IFERROR(BASE_DATOS[[#This Row],[Kilómetros Rodados]]/(BASE_DATOS[[#This Row],[NSK Original]]-BASE_DATOS[[#This Row],[NSK]]),"")</f>
        <v/>
      </c>
      <c r="AQ62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22" s="177" t="str">
        <f>IFERROR(BASE_DATOS[[#This Row],[Precio US$]]/BASE_DATOS[[#This Row],[Kilómetros Proy.]],"")</f>
        <v/>
      </c>
      <c r="AS622" s="167" t="s">
        <v>62</v>
      </c>
      <c r="AT622" s="167"/>
      <c r="AU622" s="167"/>
      <c r="AV622" s="167"/>
      <c r="AW622" s="179"/>
      <c r="AX622" s="179"/>
      <c r="AY622" s="179" t="str">
        <f>CONCATENATE(BASE_DATOS[[#This Row],[Código_U]]&amp;BASE_DATOS[[#This Row],[Pos.]]&amp;BASE_DATOS[[#This Row],[Situación Actual]])</f>
        <v>SR-222RTRodando</v>
      </c>
    </row>
    <row r="623" spans="1:51" ht="12" x14ac:dyDescent="0.25">
      <c r="A623" s="224" t="s">
        <v>240</v>
      </c>
      <c r="B623" s="213" t="s">
        <v>241</v>
      </c>
      <c r="C623" s="225" t="s">
        <v>296</v>
      </c>
      <c r="D623" s="226" t="s">
        <v>86</v>
      </c>
      <c r="E623" s="249"/>
      <c r="F623" s="250" t="s">
        <v>71</v>
      </c>
      <c r="G623" s="250" t="s">
        <v>271</v>
      </c>
      <c r="H623" s="251" t="str">
        <f>IF(BASE_DATOS[[#This Row],[N-R]]="N",BASE_DATOS[[#This Row],[Diseño]],"Reencauche")</f>
        <v>KMAX S</v>
      </c>
      <c r="I623" s="250" t="s">
        <v>287</v>
      </c>
      <c r="J623" s="235" t="s">
        <v>72</v>
      </c>
      <c r="K623" s="252">
        <v>15.8</v>
      </c>
      <c r="L623" s="250">
        <v>100</v>
      </c>
      <c r="M623" s="253"/>
      <c r="N623" s="254"/>
      <c r="O623" s="274"/>
      <c r="P623" s="275"/>
      <c r="Q623" s="276"/>
      <c r="R623" s="305" t="s">
        <v>98</v>
      </c>
      <c r="S623" s="306">
        <v>45385</v>
      </c>
      <c r="T623" s="307"/>
      <c r="U623" s="308"/>
      <c r="V623" s="224">
        <v>13</v>
      </c>
      <c r="W623" s="325">
        <v>14</v>
      </c>
      <c r="X623" s="326">
        <v>13</v>
      </c>
      <c r="Y623" s="292">
        <f t="shared" si="26"/>
        <v>13</v>
      </c>
      <c r="Z623" s="185" t="s">
        <v>385</v>
      </c>
      <c r="AA623" s="339">
        <f>IFERROR(BASE_DATOS[[#This Row],[NSK Original]]-BASE_DATOS[[#This Row],[NSK]]," ")</f>
        <v>2.8000000000000007</v>
      </c>
      <c r="AB623" s="340">
        <f>'NSK-TRACTO'!$A$2</f>
        <v>6</v>
      </c>
      <c r="AC623" s="340">
        <f>IF(BASE_DATOS[[#This Row],[NSK]]&gt;=BASE_DATOS[[#This Row],[NSK Reen]],BASE_DATOS[[#This Row],[NSK Reen]],BASE_DATOS[[#This Row],[NSK]])</f>
        <v>6</v>
      </c>
      <c r="AD623" s="341">
        <f>IFERROR(100%-(BASE_DATOS[[#This Row],[NSK Reen]]/BASE_DATOS[[#This Row],[NSK Original]]),"")</f>
        <v>0.620253164556962</v>
      </c>
      <c r="AE623" s="341">
        <f>IFERROR(100%-BASE_DATOS[[#This Row],[NSK]]/BASE_DATOS[[#This Row],[NSK Original]],"")</f>
        <v>0.17721518987341778</v>
      </c>
      <c r="AF623" s="341">
        <f>IFERROR(BASE_DATOS[[#This Row],[% Max Des.]]-BASE_DATOS[[#This Row],[% Des]],"")</f>
        <v>0.44303797468354422</v>
      </c>
      <c r="AG623" s="284"/>
      <c r="AH623" s="335"/>
      <c r="AI623" s="359" t="str">
        <f>IF(OR(BASE_DATOS[[#This Row],[Hr.]]="",BASE_DATOS[[#This Row],[Hr. Actual]]=""),"",BASE_DATOS[[#This Row],[Hr. Actual]]-BASE_DATOS[[#This Row],[Hr.]]+BASE_DATOS[[#This Row],[Horas Acumuladas]])</f>
        <v/>
      </c>
      <c r="AJ623" s="360" t="str">
        <f>IFERROR(BASE_DATOS[[#This Row],[Precio US$]]/BASE_DATOS[[#This Row],[Horas Rodadas]],"")</f>
        <v/>
      </c>
      <c r="AK623" s="361" t="str">
        <f>IFERROR(BASE_DATOS[[#This Row],[Horas Rodadas]]/(BASE_DATOS[[#This Row],[NSK Original]]-BASE_DATOS[[#This Row],[NSK]]),"")</f>
        <v/>
      </c>
      <c r="AL623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23" s="362" t="str">
        <f>IFERROR(BASE_DATOS[[#This Row],[Precio US$]]/BASE_DATOS[[#This Row],[Horas Proy.]],"")</f>
        <v/>
      </c>
      <c r="AN623" s="195" t="str">
        <f>IF(OR(BASE_DATOS[[#This Row],[Km.]]="",BASE_DATOS[[#This Row],[Km. Actual]]=""),"",BASE_DATOS[[#This Row],[Km. Actual]]-BASE_DATOS[[#This Row],[Km.]]+BASE_DATOS[[#This Row],[Kilómetros Acumulados]])</f>
        <v/>
      </c>
      <c r="AO623" s="196" t="str">
        <f>IFERROR(BASE_DATOS[[#This Row],[Precio US$]]/BASE_DATOS[[#This Row],[Kilómetros Rodados]],"")</f>
        <v/>
      </c>
      <c r="AP623" s="195" t="str">
        <f>IFERROR(BASE_DATOS[[#This Row],[Kilómetros Rodados]]/(BASE_DATOS[[#This Row],[NSK Original]]-BASE_DATOS[[#This Row],[NSK]]),"")</f>
        <v/>
      </c>
      <c r="AQ623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23" s="196" t="str">
        <f>IFERROR(BASE_DATOS[[#This Row],[Precio US$]]/BASE_DATOS[[#This Row],[Kilómetros Proy.]],"")</f>
        <v/>
      </c>
      <c r="AS623" s="191" t="s">
        <v>62</v>
      </c>
      <c r="AT623" s="191"/>
      <c r="AU623" s="191"/>
      <c r="AV623" s="191"/>
      <c r="AW623" s="198"/>
      <c r="AX623" s="198"/>
      <c r="AY623" s="198" t="str">
        <f>CONCATENATE(BASE_DATOS[[#This Row],[Código_U]]&amp;BASE_DATOS[[#This Row],[Pos.]]&amp;BASE_DATOS[[#This Row],[Situación Actual]])</f>
        <v>TC-2221Rodando</v>
      </c>
    </row>
    <row r="624" spans="1:51" ht="12" x14ac:dyDescent="0.25">
      <c r="A624" s="227" t="s">
        <v>240</v>
      </c>
      <c r="B624" s="217" t="s">
        <v>241</v>
      </c>
      <c r="C624" s="228" t="s">
        <v>296</v>
      </c>
      <c r="D624" s="229" t="s">
        <v>86</v>
      </c>
      <c r="E624" s="255"/>
      <c r="F624" s="256" t="s">
        <v>71</v>
      </c>
      <c r="G624" s="256" t="s">
        <v>271</v>
      </c>
      <c r="H624" s="257" t="str">
        <f>IF(BASE_DATOS[[#This Row],[N-R]]="N",BASE_DATOS[[#This Row],[Diseño]],"Reencauche")</f>
        <v>KMAX S</v>
      </c>
      <c r="I624" s="256" t="s">
        <v>287</v>
      </c>
      <c r="J624" s="243" t="s">
        <v>72</v>
      </c>
      <c r="K624" s="258">
        <v>15.8</v>
      </c>
      <c r="L624" s="256">
        <v>100</v>
      </c>
      <c r="M624" s="259"/>
      <c r="N624" s="260"/>
      <c r="O624" s="277"/>
      <c r="P624" s="278"/>
      <c r="Q624" s="279"/>
      <c r="R624" s="309" t="s">
        <v>99</v>
      </c>
      <c r="S624" s="310">
        <v>45385</v>
      </c>
      <c r="T624" s="311"/>
      <c r="U624" s="312"/>
      <c r="V624" s="227">
        <v>12</v>
      </c>
      <c r="W624" s="281">
        <v>13</v>
      </c>
      <c r="X624" s="282">
        <v>12</v>
      </c>
      <c r="Y624" s="293">
        <f t="shared" si="26"/>
        <v>12</v>
      </c>
      <c r="Z624" s="161" t="s">
        <v>385</v>
      </c>
      <c r="AA624" s="342">
        <f>IFERROR(BASE_DATOS[[#This Row],[NSK Original]]-BASE_DATOS[[#This Row],[NSK]]," ")</f>
        <v>3.8000000000000007</v>
      </c>
      <c r="AB624" s="343">
        <f>'NSK-TRACTO'!$A$2</f>
        <v>6</v>
      </c>
      <c r="AC624" s="343">
        <f>IF(BASE_DATOS[[#This Row],[NSK]]&gt;=BASE_DATOS[[#This Row],[NSK Reen]],BASE_DATOS[[#This Row],[NSK Reen]],BASE_DATOS[[#This Row],[NSK]])</f>
        <v>6</v>
      </c>
      <c r="AD624" s="344">
        <f>IFERROR(100%-(BASE_DATOS[[#This Row],[NSK Reen]]/BASE_DATOS[[#This Row],[NSK Original]]),"")</f>
        <v>0.620253164556962</v>
      </c>
      <c r="AE624" s="344">
        <f>IFERROR(100%-BASE_DATOS[[#This Row],[NSK]]/BASE_DATOS[[#This Row],[NSK Original]],"")</f>
        <v>0.24050632911392411</v>
      </c>
      <c r="AF624" s="344">
        <f>IFERROR(BASE_DATOS[[#This Row],[% Max Des.]]-BASE_DATOS[[#This Row],[% Des]],"")</f>
        <v>0.37974683544303789</v>
      </c>
      <c r="AG624" s="287"/>
      <c r="AH624" s="273"/>
      <c r="AI624" s="363" t="str">
        <f>IF(OR(BASE_DATOS[[#This Row],[Hr.]]="",BASE_DATOS[[#This Row],[Hr. Actual]]=""),"",BASE_DATOS[[#This Row],[Hr. Actual]]-BASE_DATOS[[#This Row],[Hr.]]+BASE_DATOS[[#This Row],[Horas Acumuladas]])</f>
        <v/>
      </c>
      <c r="AJ624" s="364" t="str">
        <f>IFERROR(BASE_DATOS[[#This Row],[Precio US$]]/BASE_DATOS[[#This Row],[Horas Rodadas]],"")</f>
        <v/>
      </c>
      <c r="AK624" s="365" t="str">
        <f>IFERROR(BASE_DATOS[[#This Row],[Horas Rodadas]]/(BASE_DATOS[[#This Row],[NSK Original]]-BASE_DATOS[[#This Row],[NSK]]),"")</f>
        <v/>
      </c>
      <c r="AL62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24" s="366" t="str">
        <f>IFERROR(BASE_DATOS[[#This Row],[Precio US$]]/BASE_DATOS[[#This Row],[Horas Proy.]],"")</f>
        <v/>
      </c>
      <c r="AN624" s="176" t="str">
        <f>IF(OR(BASE_DATOS[[#This Row],[Km.]]="",BASE_DATOS[[#This Row],[Km. Actual]]=""),"",BASE_DATOS[[#This Row],[Km. Actual]]-BASE_DATOS[[#This Row],[Km.]]+BASE_DATOS[[#This Row],[Kilómetros Acumulados]])</f>
        <v/>
      </c>
      <c r="AO624" s="177" t="str">
        <f>IFERROR(BASE_DATOS[[#This Row],[Precio US$]]/BASE_DATOS[[#This Row],[Kilómetros Rodados]],"")</f>
        <v/>
      </c>
      <c r="AP624" s="176" t="str">
        <f>IFERROR(BASE_DATOS[[#This Row],[Kilómetros Rodados]]/(BASE_DATOS[[#This Row],[NSK Original]]-BASE_DATOS[[#This Row],[NSK]]),"")</f>
        <v/>
      </c>
      <c r="AQ62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24" s="177" t="str">
        <f>IFERROR(BASE_DATOS[[#This Row],[Precio US$]]/BASE_DATOS[[#This Row],[Kilómetros Proy.]],"")</f>
        <v/>
      </c>
      <c r="AS624" s="167" t="s">
        <v>62</v>
      </c>
      <c r="AT624" s="167"/>
      <c r="AU624" s="167"/>
      <c r="AV624" s="167"/>
      <c r="AW624" s="179"/>
      <c r="AX624" s="179"/>
      <c r="AY624" s="179" t="str">
        <f>CONCATENATE(BASE_DATOS[[#This Row],[Código_U]]&amp;BASE_DATOS[[#This Row],[Pos.]]&amp;BASE_DATOS[[#This Row],[Situación Actual]])</f>
        <v>TC-2222Rodando</v>
      </c>
    </row>
    <row r="625" spans="1:51" ht="12" x14ac:dyDescent="0.25">
      <c r="A625" s="227" t="s">
        <v>240</v>
      </c>
      <c r="B625" s="217" t="s">
        <v>241</v>
      </c>
      <c r="C625" s="228" t="s">
        <v>296</v>
      </c>
      <c r="D625" s="229" t="s">
        <v>61</v>
      </c>
      <c r="E625" s="255"/>
      <c r="F625" s="256" t="s">
        <v>273</v>
      </c>
      <c r="G625" s="256" t="s">
        <v>271</v>
      </c>
      <c r="H625" s="257" t="str">
        <f>IF(BASE_DATOS[[#This Row],[N-R]]="N",BASE_DATOS[[#This Row],[Diseño]],"Reencauche")</f>
        <v>XMULTI2D</v>
      </c>
      <c r="I625" s="256" t="s">
        <v>299</v>
      </c>
      <c r="J625" s="243" t="s">
        <v>72</v>
      </c>
      <c r="K625" s="258">
        <v>21.4</v>
      </c>
      <c r="L625" s="256">
        <v>110</v>
      </c>
      <c r="M625" s="259"/>
      <c r="N625" s="260"/>
      <c r="O625" s="277"/>
      <c r="P625" s="278"/>
      <c r="Q625" s="279"/>
      <c r="R625" s="309" t="s">
        <v>100</v>
      </c>
      <c r="S625" s="310">
        <v>45385</v>
      </c>
      <c r="T625" s="311"/>
      <c r="U625" s="312"/>
      <c r="V625" s="227">
        <v>8</v>
      </c>
      <c r="W625" s="281"/>
      <c r="X625" s="282">
        <v>9</v>
      </c>
      <c r="Y625" s="293">
        <f t="shared" si="26"/>
        <v>8</v>
      </c>
      <c r="Z625" s="161" t="s">
        <v>73</v>
      </c>
      <c r="AA625" s="342">
        <f>IFERROR(BASE_DATOS[[#This Row],[NSK Original]]-BASE_DATOS[[#This Row],[NSK]]," ")</f>
        <v>13.399999999999999</v>
      </c>
      <c r="AB625" s="343">
        <f>'NSK-TRACTO'!$A$2</f>
        <v>6</v>
      </c>
      <c r="AC625" s="343">
        <f>IF(BASE_DATOS[[#This Row],[NSK]]&gt;=BASE_DATOS[[#This Row],[NSK Reen]],BASE_DATOS[[#This Row],[NSK Reen]],BASE_DATOS[[#This Row],[NSK]])</f>
        <v>6</v>
      </c>
      <c r="AD625" s="344">
        <f>IFERROR(100%-(BASE_DATOS[[#This Row],[NSK Reen]]/BASE_DATOS[[#This Row],[NSK Original]]),"")</f>
        <v>0.71962616822429903</v>
      </c>
      <c r="AE625" s="344">
        <f>IFERROR(100%-BASE_DATOS[[#This Row],[NSK]]/BASE_DATOS[[#This Row],[NSK Original]],"")</f>
        <v>0.62616822429906538</v>
      </c>
      <c r="AF625" s="344">
        <f>IFERROR(BASE_DATOS[[#This Row],[% Max Des.]]-BASE_DATOS[[#This Row],[% Des]],"")</f>
        <v>9.3457943925233655E-2</v>
      </c>
      <c r="AG625" s="287"/>
      <c r="AH625" s="273"/>
      <c r="AI625" s="363" t="str">
        <f>IF(OR(BASE_DATOS[[#This Row],[Hr.]]="",BASE_DATOS[[#This Row],[Hr. Actual]]=""),"",BASE_DATOS[[#This Row],[Hr. Actual]]-BASE_DATOS[[#This Row],[Hr.]]+BASE_DATOS[[#This Row],[Horas Acumuladas]])</f>
        <v/>
      </c>
      <c r="AJ625" s="364" t="str">
        <f>IFERROR(BASE_DATOS[[#This Row],[Precio US$]]/BASE_DATOS[[#This Row],[Horas Rodadas]],"")</f>
        <v/>
      </c>
      <c r="AK625" s="365" t="str">
        <f>IFERROR(BASE_DATOS[[#This Row],[Horas Rodadas]]/(BASE_DATOS[[#This Row],[NSK Original]]-BASE_DATOS[[#This Row],[NSK]]),"")</f>
        <v/>
      </c>
      <c r="AL62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25" s="366" t="str">
        <f>IFERROR(BASE_DATOS[[#This Row],[Precio US$]]/BASE_DATOS[[#This Row],[Horas Proy.]],"")</f>
        <v/>
      </c>
      <c r="AN625" s="176" t="str">
        <f>IF(OR(BASE_DATOS[[#This Row],[Km.]]="",BASE_DATOS[[#This Row],[Km. Actual]]=""),"",BASE_DATOS[[#This Row],[Km. Actual]]-BASE_DATOS[[#This Row],[Km.]]+BASE_DATOS[[#This Row],[Kilómetros Acumulados]])</f>
        <v/>
      </c>
      <c r="AO625" s="177" t="str">
        <f>IFERROR(BASE_DATOS[[#This Row],[Precio US$]]/BASE_DATOS[[#This Row],[Kilómetros Rodados]],"")</f>
        <v/>
      </c>
      <c r="AP625" s="176" t="str">
        <f>IFERROR(BASE_DATOS[[#This Row],[Kilómetros Rodados]]/(BASE_DATOS[[#This Row],[NSK Original]]-BASE_DATOS[[#This Row],[NSK]]),"")</f>
        <v/>
      </c>
      <c r="AQ62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25" s="177" t="str">
        <f>IFERROR(BASE_DATOS[[#This Row],[Precio US$]]/BASE_DATOS[[#This Row],[Kilómetros Proy.]],"")</f>
        <v/>
      </c>
      <c r="AS625" s="167" t="s">
        <v>62</v>
      </c>
      <c r="AT625" s="167"/>
      <c r="AU625" s="167"/>
      <c r="AV625" s="167"/>
      <c r="AW625" s="179"/>
      <c r="AX625" s="179"/>
      <c r="AY625" s="179" t="str">
        <f>CONCATENATE(BASE_DATOS[[#This Row],[Código_U]]&amp;BASE_DATOS[[#This Row],[Pos.]]&amp;BASE_DATOS[[#This Row],[Situación Actual]])</f>
        <v>TC-2223Rodando</v>
      </c>
    </row>
    <row r="626" spans="1:51" ht="12" x14ac:dyDescent="0.25">
      <c r="A626" s="227" t="s">
        <v>240</v>
      </c>
      <c r="B626" s="217" t="s">
        <v>241</v>
      </c>
      <c r="C626" s="228" t="s">
        <v>296</v>
      </c>
      <c r="D626" s="229" t="s">
        <v>61</v>
      </c>
      <c r="E626" s="255"/>
      <c r="F626" s="256" t="s">
        <v>273</v>
      </c>
      <c r="G626" s="256" t="s">
        <v>271</v>
      </c>
      <c r="H626" s="257" t="str">
        <f>IF(BASE_DATOS[[#This Row],[N-R]]="N",BASE_DATOS[[#This Row],[Diseño]],"Reencauche")</f>
        <v>XMULTI2D</v>
      </c>
      <c r="I626" s="256" t="s">
        <v>299</v>
      </c>
      <c r="J626" s="243" t="s">
        <v>72</v>
      </c>
      <c r="K626" s="258">
        <v>21.4</v>
      </c>
      <c r="L626" s="256">
        <v>110</v>
      </c>
      <c r="M626" s="259"/>
      <c r="N626" s="260"/>
      <c r="O626" s="277"/>
      <c r="P626" s="278"/>
      <c r="Q626" s="279"/>
      <c r="R626" s="309" t="s">
        <v>101</v>
      </c>
      <c r="S626" s="310">
        <v>45385</v>
      </c>
      <c r="T626" s="311"/>
      <c r="U626" s="312"/>
      <c r="V626" s="227">
        <v>6</v>
      </c>
      <c r="W626" s="281"/>
      <c r="X626" s="282">
        <v>6</v>
      </c>
      <c r="Y626" s="293">
        <f t="shared" si="26"/>
        <v>6</v>
      </c>
      <c r="Z626" s="161" t="s">
        <v>73</v>
      </c>
      <c r="AA626" s="342">
        <f>IFERROR(BASE_DATOS[[#This Row],[NSK Original]]-BASE_DATOS[[#This Row],[NSK]]," ")</f>
        <v>15.399999999999999</v>
      </c>
      <c r="AB626" s="343">
        <f>'NSK-TRACTO'!$A$2</f>
        <v>6</v>
      </c>
      <c r="AC626" s="343">
        <f>IF(BASE_DATOS[[#This Row],[NSK]]&gt;=BASE_DATOS[[#This Row],[NSK Reen]],BASE_DATOS[[#This Row],[NSK Reen]],BASE_DATOS[[#This Row],[NSK]])</f>
        <v>6</v>
      </c>
      <c r="AD626" s="344">
        <f>IFERROR(100%-(BASE_DATOS[[#This Row],[NSK Reen]]/BASE_DATOS[[#This Row],[NSK Original]]),"")</f>
        <v>0.71962616822429903</v>
      </c>
      <c r="AE626" s="344">
        <f>IFERROR(100%-BASE_DATOS[[#This Row],[NSK]]/BASE_DATOS[[#This Row],[NSK Original]],"")</f>
        <v>0.71962616822429903</v>
      </c>
      <c r="AF626" s="344">
        <f>IFERROR(BASE_DATOS[[#This Row],[% Max Des.]]-BASE_DATOS[[#This Row],[% Des]],"")</f>
        <v>0</v>
      </c>
      <c r="AG626" s="287"/>
      <c r="AH626" s="273"/>
      <c r="AI626" s="363" t="str">
        <f>IF(OR(BASE_DATOS[[#This Row],[Hr.]]="",BASE_DATOS[[#This Row],[Hr. Actual]]=""),"",BASE_DATOS[[#This Row],[Hr. Actual]]-BASE_DATOS[[#This Row],[Hr.]]+BASE_DATOS[[#This Row],[Horas Acumuladas]])</f>
        <v/>
      </c>
      <c r="AJ626" s="364" t="str">
        <f>IFERROR(BASE_DATOS[[#This Row],[Precio US$]]/BASE_DATOS[[#This Row],[Horas Rodadas]],"")</f>
        <v/>
      </c>
      <c r="AK626" s="365" t="str">
        <f>IFERROR(BASE_DATOS[[#This Row],[Horas Rodadas]]/(BASE_DATOS[[#This Row],[NSK Original]]-BASE_DATOS[[#This Row],[NSK]]),"")</f>
        <v/>
      </c>
      <c r="AL62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26" s="366" t="str">
        <f>IFERROR(BASE_DATOS[[#This Row],[Precio US$]]/BASE_DATOS[[#This Row],[Horas Proy.]],"")</f>
        <v/>
      </c>
      <c r="AN626" s="176" t="str">
        <f>IF(OR(BASE_DATOS[[#This Row],[Km.]]="",BASE_DATOS[[#This Row],[Km. Actual]]=""),"",BASE_DATOS[[#This Row],[Km. Actual]]-BASE_DATOS[[#This Row],[Km.]]+BASE_DATOS[[#This Row],[Kilómetros Acumulados]])</f>
        <v/>
      </c>
      <c r="AO626" s="177" t="str">
        <f>IFERROR(BASE_DATOS[[#This Row],[Precio US$]]/BASE_DATOS[[#This Row],[Kilómetros Rodados]],"")</f>
        <v/>
      </c>
      <c r="AP626" s="176" t="str">
        <f>IFERROR(BASE_DATOS[[#This Row],[Kilómetros Rodados]]/(BASE_DATOS[[#This Row],[NSK Original]]-BASE_DATOS[[#This Row],[NSK]]),"")</f>
        <v/>
      </c>
      <c r="AQ62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26" s="177" t="str">
        <f>IFERROR(BASE_DATOS[[#This Row],[Precio US$]]/BASE_DATOS[[#This Row],[Kilómetros Proy.]],"")</f>
        <v/>
      </c>
      <c r="AS626" s="167" t="s">
        <v>62</v>
      </c>
      <c r="AT626" s="167"/>
      <c r="AU626" s="167"/>
      <c r="AV626" s="167"/>
      <c r="AW626" s="179"/>
      <c r="AX626" s="179"/>
      <c r="AY626" s="179" t="str">
        <f>CONCATENATE(BASE_DATOS[[#This Row],[Código_U]]&amp;BASE_DATOS[[#This Row],[Pos.]]&amp;BASE_DATOS[[#This Row],[Situación Actual]])</f>
        <v>TC-2224Rodando</v>
      </c>
    </row>
    <row r="627" spans="1:51" ht="12" x14ac:dyDescent="0.25">
      <c r="A627" s="227" t="s">
        <v>240</v>
      </c>
      <c r="B627" s="217" t="s">
        <v>241</v>
      </c>
      <c r="C627" s="228" t="s">
        <v>296</v>
      </c>
      <c r="D627" s="229" t="s">
        <v>61</v>
      </c>
      <c r="E627" s="255"/>
      <c r="F627" s="256" t="s">
        <v>273</v>
      </c>
      <c r="G627" s="256" t="s">
        <v>271</v>
      </c>
      <c r="H627" s="257" t="str">
        <f>IF(BASE_DATOS[[#This Row],[N-R]]="N",BASE_DATOS[[#This Row],[Diseño]],"Reencauche")</f>
        <v>XMULTI2D</v>
      </c>
      <c r="I627" s="256" t="s">
        <v>299</v>
      </c>
      <c r="J627" s="243" t="s">
        <v>72</v>
      </c>
      <c r="K627" s="258">
        <v>21.4</v>
      </c>
      <c r="L627" s="256">
        <v>110</v>
      </c>
      <c r="M627" s="259"/>
      <c r="N627" s="260"/>
      <c r="O627" s="277"/>
      <c r="P627" s="278"/>
      <c r="Q627" s="279"/>
      <c r="R627" s="309" t="s">
        <v>102</v>
      </c>
      <c r="S627" s="310">
        <v>45385</v>
      </c>
      <c r="T627" s="311"/>
      <c r="U627" s="312"/>
      <c r="V627" s="227">
        <v>6</v>
      </c>
      <c r="W627" s="281"/>
      <c r="X627" s="282">
        <v>8</v>
      </c>
      <c r="Y627" s="293">
        <f t="shared" si="26"/>
        <v>6</v>
      </c>
      <c r="Z627" s="161" t="s">
        <v>73</v>
      </c>
      <c r="AA627" s="342">
        <f>IFERROR(BASE_DATOS[[#This Row],[NSK Original]]-BASE_DATOS[[#This Row],[NSK]]," ")</f>
        <v>15.399999999999999</v>
      </c>
      <c r="AB627" s="343">
        <f>'NSK-TRACTO'!$A$2</f>
        <v>6</v>
      </c>
      <c r="AC627" s="343">
        <f>IF(BASE_DATOS[[#This Row],[NSK]]&gt;=BASE_DATOS[[#This Row],[NSK Reen]],BASE_DATOS[[#This Row],[NSK Reen]],BASE_DATOS[[#This Row],[NSK]])</f>
        <v>6</v>
      </c>
      <c r="AD627" s="344">
        <f>IFERROR(100%-(BASE_DATOS[[#This Row],[NSK Reen]]/BASE_DATOS[[#This Row],[NSK Original]]),"")</f>
        <v>0.71962616822429903</v>
      </c>
      <c r="AE627" s="344">
        <f>IFERROR(100%-BASE_DATOS[[#This Row],[NSK]]/BASE_DATOS[[#This Row],[NSK Original]],"")</f>
        <v>0.71962616822429903</v>
      </c>
      <c r="AF627" s="344">
        <f>IFERROR(BASE_DATOS[[#This Row],[% Max Des.]]-BASE_DATOS[[#This Row],[% Des]],"")</f>
        <v>0</v>
      </c>
      <c r="AG627" s="287"/>
      <c r="AH627" s="273"/>
      <c r="AI627" s="363" t="str">
        <f>IF(OR(BASE_DATOS[[#This Row],[Hr.]]="",BASE_DATOS[[#This Row],[Hr. Actual]]=""),"",BASE_DATOS[[#This Row],[Hr. Actual]]-BASE_DATOS[[#This Row],[Hr.]]+BASE_DATOS[[#This Row],[Horas Acumuladas]])</f>
        <v/>
      </c>
      <c r="AJ627" s="364" t="str">
        <f>IFERROR(BASE_DATOS[[#This Row],[Precio US$]]/BASE_DATOS[[#This Row],[Horas Rodadas]],"")</f>
        <v/>
      </c>
      <c r="AK627" s="365" t="str">
        <f>IFERROR(BASE_DATOS[[#This Row],[Horas Rodadas]]/(BASE_DATOS[[#This Row],[NSK Original]]-BASE_DATOS[[#This Row],[NSK]]),"")</f>
        <v/>
      </c>
      <c r="AL62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27" s="366" t="str">
        <f>IFERROR(BASE_DATOS[[#This Row],[Precio US$]]/BASE_DATOS[[#This Row],[Horas Proy.]],"")</f>
        <v/>
      </c>
      <c r="AN627" s="176" t="str">
        <f>IF(OR(BASE_DATOS[[#This Row],[Km.]]="",BASE_DATOS[[#This Row],[Km. Actual]]=""),"",BASE_DATOS[[#This Row],[Km. Actual]]-BASE_DATOS[[#This Row],[Km.]]+BASE_DATOS[[#This Row],[Kilómetros Acumulados]])</f>
        <v/>
      </c>
      <c r="AO627" s="177" t="str">
        <f>IFERROR(BASE_DATOS[[#This Row],[Precio US$]]/BASE_DATOS[[#This Row],[Kilómetros Rodados]],"")</f>
        <v/>
      </c>
      <c r="AP627" s="176" t="str">
        <f>IFERROR(BASE_DATOS[[#This Row],[Kilómetros Rodados]]/(BASE_DATOS[[#This Row],[NSK Original]]-BASE_DATOS[[#This Row],[NSK]]),"")</f>
        <v/>
      </c>
      <c r="AQ62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27" s="177" t="str">
        <f>IFERROR(BASE_DATOS[[#This Row],[Precio US$]]/BASE_DATOS[[#This Row],[Kilómetros Proy.]],"")</f>
        <v/>
      </c>
      <c r="AS627" s="167" t="s">
        <v>62</v>
      </c>
      <c r="AT627" s="167"/>
      <c r="AU627" s="167"/>
      <c r="AV627" s="167"/>
      <c r="AW627" s="179"/>
      <c r="AX627" s="179"/>
      <c r="AY627" s="179" t="str">
        <f>CONCATENATE(BASE_DATOS[[#This Row],[Código_U]]&amp;BASE_DATOS[[#This Row],[Pos.]]&amp;BASE_DATOS[[#This Row],[Situación Actual]])</f>
        <v>TC-2225Rodando</v>
      </c>
    </row>
    <row r="628" spans="1:51" ht="12" x14ac:dyDescent="0.25">
      <c r="A628" s="227" t="s">
        <v>240</v>
      </c>
      <c r="B628" s="217" t="s">
        <v>241</v>
      </c>
      <c r="C628" s="228" t="s">
        <v>296</v>
      </c>
      <c r="D628" s="229" t="s">
        <v>61</v>
      </c>
      <c r="E628" s="255"/>
      <c r="F628" s="256" t="s">
        <v>273</v>
      </c>
      <c r="G628" s="256" t="s">
        <v>271</v>
      </c>
      <c r="H628" s="257" t="str">
        <f>IF(BASE_DATOS[[#This Row],[N-R]]="N",BASE_DATOS[[#This Row],[Diseño]],"Reencauche")</f>
        <v>XMULTI2D</v>
      </c>
      <c r="I628" s="256" t="s">
        <v>299</v>
      </c>
      <c r="J628" s="243" t="s">
        <v>72</v>
      </c>
      <c r="K628" s="258">
        <v>21.4</v>
      </c>
      <c r="L628" s="256">
        <v>110</v>
      </c>
      <c r="M628" s="259"/>
      <c r="N628" s="260"/>
      <c r="O628" s="277"/>
      <c r="P628" s="278"/>
      <c r="Q628" s="279"/>
      <c r="R628" s="309" t="s">
        <v>103</v>
      </c>
      <c r="S628" s="310">
        <v>45385</v>
      </c>
      <c r="T628" s="311"/>
      <c r="U628" s="312"/>
      <c r="V628" s="227">
        <v>8</v>
      </c>
      <c r="W628" s="281"/>
      <c r="X628" s="282">
        <v>9</v>
      </c>
      <c r="Y628" s="293">
        <f t="shared" si="26"/>
        <v>8</v>
      </c>
      <c r="Z628" s="161" t="s">
        <v>73</v>
      </c>
      <c r="AA628" s="342">
        <f>IFERROR(BASE_DATOS[[#This Row],[NSK Original]]-BASE_DATOS[[#This Row],[NSK]]," ")</f>
        <v>13.399999999999999</v>
      </c>
      <c r="AB628" s="343">
        <f>'NSK-TRACTO'!$A$2</f>
        <v>6</v>
      </c>
      <c r="AC628" s="343">
        <f>IF(BASE_DATOS[[#This Row],[NSK]]&gt;=BASE_DATOS[[#This Row],[NSK Reen]],BASE_DATOS[[#This Row],[NSK Reen]],BASE_DATOS[[#This Row],[NSK]])</f>
        <v>6</v>
      </c>
      <c r="AD628" s="344">
        <f>IFERROR(100%-(BASE_DATOS[[#This Row],[NSK Reen]]/BASE_DATOS[[#This Row],[NSK Original]]),"")</f>
        <v>0.71962616822429903</v>
      </c>
      <c r="AE628" s="344">
        <f>IFERROR(100%-BASE_DATOS[[#This Row],[NSK]]/BASE_DATOS[[#This Row],[NSK Original]],"")</f>
        <v>0.62616822429906538</v>
      </c>
      <c r="AF628" s="344">
        <f>IFERROR(BASE_DATOS[[#This Row],[% Max Des.]]-BASE_DATOS[[#This Row],[% Des]],"")</f>
        <v>9.3457943925233655E-2</v>
      </c>
      <c r="AG628" s="287"/>
      <c r="AH628" s="273"/>
      <c r="AI628" s="363" t="str">
        <f>IF(OR(BASE_DATOS[[#This Row],[Hr.]]="",BASE_DATOS[[#This Row],[Hr. Actual]]=""),"",BASE_DATOS[[#This Row],[Hr. Actual]]-BASE_DATOS[[#This Row],[Hr.]]+BASE_DATOS[[#This Row],[Horas Acumuladas]])</f>
        <v/>
      </c>
      <c r="AJ628" s="364" t="str">
        <f>IFERROR(BASE_DATOS[[#This Row],[Precio US$]]/BASE_DATOS[[#This Row],[Horas Rodadas]],"")</f>
        <v/>
      </c>
      <c r="AK628" s="365" t="str">
        <f>IFERROR(BASE_DATOS[[#This Row],[Horas Rodadas]]/(BASE_DATOS[[#This Row],[NSK Original]]-BASE_DATOS[[#This Row],[NSK]]),"")</f>
        <v/>
      </c>
      <c r="AL62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28" s="366" t="str">
        <f>IFERROR(BASE_DATOS[[#This Row],[Precio US$]]/BASE_DATOS[[#This Row],[Horas Proy.]],"")</f>
        <v/>
      </c>
      <c r="AN628" s="176" t="str">
        <f>IF(OR(BASE_DATOS[[#This Row],[Km.]]="",BASE_DATOS[[#This Row],[Km. Actual]]=""),"",BASE_DATOS[[#This Row],[Km. Actual]]-BASE_DATOS[[#This Row],[Km.]]+BASE_DATOS[[#This Row],[Kilómetros Acumulados]])</f>
        <v/>
      </c>
      <c r="AO628" s="177" t="str">
        <f>IFERROR(BASE_DATOS[[#This Row],[Precio US$]]/BASE_DATOS[[#This Row],[Kilómetros Rodados]],"")</f>
        <v/>
      </c>
      <c r="AP628" s="176" t="str">
        <f>IFERROR(BASE_DATOS[[#This Row],[Kilómetros Rodados]]/(BASE_DATOS[[#This Row],[NSK Original]]-BASE_DATOS[[#This Row],[NSK]]),"")</f>
        <v/>
      </c>
      <c r="AQ62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28" s="177" t="str">
        <f>IFERROR(BASE_DATOS[[#This Row],[Precio US$]]/BASE_DATOS[[#This Row],[Kilómetros Proy.]],"")</f>
        <v/>
      </c>
      <c r="AS628" s="167" t="s">
        <v>62</v>
      </c>
      <c r="AT628" s="167"/>
      <c r="AU628" s="167"/>
      <c r="AV628" s="167"/>
      <c r="AW628" s="179"/>
      <c r="AX628" s="179"/>
      <c r="AY628" s="179" t="str">
        <f>CONCATENATE(BASE_DATOS[[#This Row],[Código_U]]&amp;BASE_DATOS[[#This Row],[Pos.]]&amp;BASE_DATOS[[#This Row],[Situación Actual]])</f>
        <v>TC-2226Rodando</v>
      </c>
    </row>
    <row r="629" spans="1:51" ht="12" x14ac:dyDescent="0.25">
      <c r="A629" s="227" t="s">
        <v>240</v>
      </c>
      <c r="B629" s="217" t="s">
        <v>241</v>
      </c>
      <c r="C629" s="228" t="s">
        <v>296</v>
      </c>
      <c r="D629" s="229" t="s">
        <v>61</v>
      </c>
      <c r="E629" s="255"/>
      <c r="F629" s="256" t="s">
        <v>273</v>
      </c>
      <c r="G629" s="256" t="s">
        <v>271</v>
      </c>
      <c r="H629" s="257" t="str">
        <f>IF(BASE_DATOS[[#This Row],[N-R]]="N",BASE_DATOS[[#This Row],[Diseño]],"Reencauche")</f>
        <v>XMULTI2D</v>
      </c>
      <c r="I629" s="256" t="s">
        <v>299</v>
      </c>
      <c r="J629" s="243" t="s">
        <v>72</v>
      </c>
      <c r="K629" s="258">
        <v>21.4</v>
      </c>
      <c r="L629" s="256">
        <v>110</v>
      </c>
      <c r="M629" s="259"/>
      <c r="N629" s="260"/>
      <c r="O629" s="277"/>
      <c r="P629" s="278"/>
      <c r="Q629" s="279"/>
      <c r="R629" s="309" t="s">
        <v>104</v>
      </c>
      <c r="S629" s="310">
        <v>45385</v>
      </c>
      <c r="T629" s="311"/>
      <c r="U629" s="312"/>
      <c r="V629" s="227">
        <v>9</v>
      </c>
      <c r="W629" s="281"/>
      <c r="X629" s="282">
        <v>9</v>
      </c>
      <c r="Y629" s="293">
        <f t="shared" si="26"/>
        <v>9</v>
      </c>
      <c r="Z629" s="161" t="s">
        <v>73</v>
      </c>
      <c r="AA629" s="342">
        <f>IFERROR(BASE_DATOS[[#This Row],[NSK Original]]-BASE_DATOS[[#This Row],[NSK]]," ")</f>
        <v>12.399999999999999</v>
      </c>
      <c r="AB629" s="343">
        <f>'NSK-TRACTO'!$A$2</f>
        <v>6</v>
      </c>
      <c r="AC629" s="343">
        <f>IF(BASE_DATOS[[#This Row],[NSK]]&gt;=BASE_DATOS[[#This Row],[NSK Reen]],BASE_DATOS[[#This Row],[NSK Reen]],BASE_DATOS[[#This Row],[NSK]])</f>
        <v>6</v>
      </c>
      <c r="AD629" s="344">
        <f>IFERROR(100%-(BASE_DATOS[[#This Row],[NSK Reen]]/BASE_DATOS[[#This Row],[NSK Original]]),"")</f>
        <v>0.71962616822429903</v>
      </c>
      <c r="AE629" s="344">
        <f>IFERROR(100%-BASE_DATOS[[#This Row],[NSK]]/BASE_DATOS[[#This Row],[NSK Original]],"")</f>
        <v>0.57943925233644855</v>
      </c>
      <c r="AF629" s="344">
        <f>IFERROR(BASE_DATOS[[#This Row],[% Max Des.]]-BASE_DATOS[[#This Row],[% Des]],"")</f>
        <v>0.14018691588785048</v>
      </c>
      <c r="AG629" s="287"/>
      <c r="AH629" s="273"/>
      <c r="AI629" s="363" t="str">
        <f>IF(OR(BASE_DATOS[[#This Row],[Hr.]]="",BASE_DATOS[[#This Row],[Hr. Actual]]=""),"",BASE_DATOS[[#This Row],[Hr. Actual]]-BASE_DATOS[[#This Row],[Hr.]]+BASE_DATOS[[#This Row],[Horas Acumuladas]])</f>
        <v/>
      </c>
      <c r="AJ629" s="364" t="str">
        <f>IFERROR(BASE_DATOS[[#This Row],[Precio US$]]/BASE_DATOS[[#This Row],[Horas Rodadas]],"")</f>
        <v/>
      </c>
      <c r="AK629" s="365" t="str">
        <f>IFERROR(BASE_DATOS[[#This Row],[Horas Rodadas]]/(BASE_DATOS[[#This Row],[NSK Original]]-BASE_DATOS[[#This Row],[NSK]]),"")</f>
        <v/>
      </c>
      <c r="AL62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29" s="366" t="str">
        <f>IFERROR(BASE_DATOS[[#This Row],[Precio US$]]/BASE_DATOS[[#This Row],[Horas Proy.]],"")</f>
        <v/>
      </c>
      <c r="AN629" s="176" t="str">
        <f>IF(OR(BASE_DATOS[[#This Row],[Km.]]="",BASE_DATOS[[#This Row],[Km. Actual]]=""),"",BASE_DATOS[[#This Row],[Km. Actual]]-BASE_DATOS[[#This Row],[Km.]]+BASE_DATOS[[#This Row],[Kilómetros Acumulados]])</f>
        <v/>
      </c>
      <c r="AO629" s="177" t="str">
        <f>IFERROR(BASE_DATOS[[#This Row],[Precio US$]]/BASE_DATOS[[#This Row],[Kilómetros Rodados]],"")</f>
        <v/>
      </c>
      <c r="AP629" s="176" t="str">
        <f>IFERROR(BASE_DATOS[[#This Row],[Kilómetros Rodados]]/(BASE_DATOS[[#This Row],[NSK Original]]-BASE_DATOS[[#This Row],[NSK]]),"")</f>
        <v/>
      </c>
      <c r="AQ62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29" s="177" t="str">
        <f>IFERROR(BASE_DATOS[[#This Row],[Precio US$]]/BASE_DATOS[[#This Row],[Kilómetros Proy.]],"")</f>
        <v/>
      </c>
      <c r="AS629" s="167" t="s">
        <v>62</v>
      </c>
      <c r="AT629" s="167"/>
      <c r="AU629" s="167"/>
      <c r="AV629" s="167"/>
      <c r="AW629" s="179"/>
      <c r="AX629" s="179"/>
      <c r="AY629" s="179" t="str">
        <f>CONCATENATE(BASE_DATOS[[#This Row],[Código_U]]&amp;BASE_DATOS[[#This Row],[Pos.]]&amp;BASE_DATOS[[#This Row],[Situación Actual]])</f>
        <v>TC-2227Rodando</v>
      </c>
    </row>
    <row r="630" spans="1:51" ht="12" x14ac:dyDescent="0.25">
      <c r="A630" s="227" t="s">
        <v>240</v>
      </c>
      <c r="B630" s="217" t="s">
        <v>241</v>
      </c>
      <c r="C630" s="228" t="s">
        <v>296</v>
      </c>
      <c r="D630" s="229" t="s">
        <v>61</v>
      </c>
      <c r="E630" s="255"/>
      <c r="F630" s="256" t="s">
        <v>273</v>
      </c>
      <c r="G630" s="256" t="s">
        <v>271</v>
      </c>
      <c r="H630" s="257" t="str">
        <f>IF(BASE_DATOS[[#This Row],[N-R]]="N",BASE_DATOS[[#This Row],[Diseño]],"Reencauche")</f>
        <v>XMULTI2D</v>
      </c>
      <c r="I630" s="256" t="s">
        <v>299</v>
      </c>
      <c r="J630" s="243" t="s">
        <v>72</v>
      </c>
      <c r="K630" s="258">
        <v>21.4</v>
      </c>
      <c r="L630" s="256">
        <v>110</v>
      </c>
      <c r="M630" s="259"/>
      <c r="N630" s="260"/>
      <c r="O630" s="277"/>
      <c r="P630" s="278"/>
      <c r="Q630" s="279"/>
      <c r="R630" s="309" t="s">
        <v>105</v>
      </c>
      <c r="S630" s="310">
        <v>45385</v>
      </c>
      <c r="T630" s="311"/>
      <c r="U630" s="312"/>
      <c r="V630" s="227">
        <v>9</v>
      </c>
      <c r="W630" s="281"/>
      <c r="X630" s="282">
        <v>9</v>
      </c>
      <c r="Y630" s="293">
        <f t="shared" si="26"/>
        <v>9</v>
      </c>
      <c r="Z630" s="161" t="s">
        <v>73</v>
      </c>
      <c r="AA630" s="342">
        <f>IFERROR(BASE_DATOS[[#This Row],[NSK Original]]-BASE_DATOS[[#This Row],[NSK]]," ")</f>
        <v>12.399999999999999</v>
      </c>
      <c r="AB630" s="343">
        <f>'NSK-TRACTO'!$A$2</f>
        <v>6</v>
      </c>
      <c r="AC630" s="343">
        <f>IF(BASE_DATOS[[#This Row],[NSK]]&gt;=BASE_DATOS[[#This Row],[NSK Reen]],BASE_DATOS[[#This Row],[NSK Reen]],BASE_DATOS[[#This Row],[NSK]])</f>
        <v>6</v>
      </c>
      <c r="AD630" s="344">
        <f>IFERROR(100%-(BASE_DATOS[[#This Row],[NSK Reen]]/BASE_DATOS[[#This Row],[NSK Original]]),"")</f>
        <v>0.71962616822429903</v>
      </c>
      <c r="AE630" s="344">
        <f>IFERROR(100%-BASE_DATOS[[#This Row],[NSK]]/BASE_DATOS[[#This Row],[NSK Original]],"")</f>
        <v>0.57943925233644855</v>
      </c>
      <c r="AF630" s="344">
        <f>IFERROR(BASE_DATOS[[#This Row],[% Max Des.]]-BASE_DATOS[[#This Row],[% Des]],"")</f>
        <v>0.14018691588785048</v>
      </c>
      <c r="AG630" s="287"/>
      <c r="AH630" s="273"/>
      <c r="AI630" s="363" t="str">
        <f>IF(OR(BASE_DATOS[[#This Row],[Hr.]]="",BASE_DATOS[[#This Row],[Hr. Actual]]=""),"",BASE_DATOS[[#This Row],[Hr. Actual]]-BASE_DATOS[[#This Row],[Hr.]]+BASE_DATOS[[#This Row],[Horas Acumuladas]])</f>
        <v/>
      </c>
      <c r="AJ630" s="364" t="str">
        <f>IFERROR(BASE_DATOS[[#This Row],[Precio US$]]/BASE_DATOS[[#This Row],[Horas Rodadas]],"")</f>
        <v/>
      </c>
      <c r="AK630" s="365" t="str">
        <f>IFERROR(BASE_DATOS[[#This Row],[Horas Rodadas]]/(BASE_DATOS[[#This Row],[NSK Original]]-BASE_DATOS[[#This Row],[NSK]]),"")</f>
        <v/>
      </c>
      <c r="AL63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30" s="366" t="str">
        <f>IFERROR(BASE_DATOS[[#This Row],[Precio US$]]/BASE_DATOS[[#This Row],[Horas Proy.]],"")</f>
        <v/>
      </c>
      <c r="AN630" s="176" t="str">
        <f>IF(OR(BASE_DATOS[[#This Row],[Km.]]="",BASE_DATOS[[#This Row],[Km. Actual]]=""),"",BASE_DATOS[[#This Row],[Km. Actual]]-BASE_DATOS[[#This Row],[Km.]]+BASE_DATOS[[#This Row],[Kilómetros Acumulados]])</f>
        <v/>
      </c>
      <c r="AO630" s="177" t="str">
        <f>IFERROR(BASE_DATOS[[#This Row],[Precio US$]]/BASE_DATOS[[#This Row],[Kilómetros Rodados]],"")</f>
        <v/>
      </c>
      <c r="AP630" s="176" t="str">
        <f>IFERROR(BASE_DATOS[[#This Row],[Kilómetros Rodados]]/(BASE_DATOS[[#This Row],[NSK Original]]-BASE_DATOS[[#This Row],[NSK]]),"")</f>
        <v/>
      </c>
      <c r="AQ63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30" s="177" t="str">
        <f>IFERROR(BASE_DATOS[[#This Row],[Precio US$]]/BASE_DATOS[[#This Row],[Kilómetros Proy.]],"")</f>
        <v/>
      </c>
      <c r="AS630" s="167" t="s">
        <v>62</v>
      </c>
      <c r="AT630" s="167"/>
      <c r="AU630" s="167"/>
      <c r="AV630" s="167"/>
      <c r="AW630" s="179"/>
      <c r="AX630" s="179"/>
      <c r="AY630" s="179" t="str">
        <f>CONCATENATE(BASE_DATOS[[#This Row],[Código_U]]&amp;BASE_DATOS[[#This Row],[Pos.]]&amp;BASE_DATOS[[#This Row],[Situación Actual]])</f>
        <v>TC-2228Rodando</v>
      </c>
    </row>
    <row r="631" spans="1:51" ht="12" x14ac:dyDescent="0.25">
      <c r="A631" s="227" t="s">
        <v>240</v>
      </c>
      <c r="B631" s="217" t="s">
        <v>241</v>
      </c>
      <c r="C631" s="228" t="s">
        <v>296</v>
      </c>
      <c r="D631" s="229" t="s">
        <v>61</v>
      </c>
      <c r="E631" s="255"/>
      <c r="F631" s="256" t="s">
        <v>273</v>
      </c>
      <c r="G631" s="256" t="s">
        <v>271</v>
      </c>
      <c r="H631" s="257" t="str">
        <f>IF(BASE_DATOS[[#This Row],[N-R]]="N",BASE_DATOS[[#This Row],[Diseño]],"Reencauche")</f>
        <v>XMULTI2D</v>
      </c>
      <c r="I631" s="256" t="s">
        <v>299</v>
      </c>
      <c r="J631" s="243" t="s">
        <v>72</v>
      </c>
      <c r="K631" s="258">
        <v>21.4</v>
      </c>
      <c r="L631" s="256">
        <v>110</v>
      </c>
      <c r="M631" s="259"/>
      <c r="N631" s="260"/>
      <c r="O631" s="277"/>
      <c r="P631" s="278"/>
      <c r="Q631" s="279"/>
      <c r="R631" s="309" t="s">
        <v>106</v>
      </c>
      <c r="S631" s="310">
        <v>45385</v>
      </c>
      <c r="T631" s="311"/>
      <c r="U631" s="312"/>
      <c r="V631" s="227">
        <v>9</v>
      </c>
      <c r="W631" s="281"/>
      <c r="X631" s="282">
        <v>11</v>
      </c>
      <c r="Y631" s="293">
        <f t="shared" si="26"/>
        <v>9</v>
      </c>
      <c r="Z631" s="161" t="s">
        <v>73</v>
      </c>
      <c r="AA631" s="342">
        <f>IFERROR(BASE_DATOS[[#This Row],[NSK Original]]-BASE_DATOS[[#This Row],[NSK]]," ")</f>
        <v>12.399999999999999</v>
      </c>
      <c r="AB631" s="343">
        <f>'NSK-TRACTO'!$A$2</f>
        <v>6</v>
      </c>
      <c r="AC631" s="343">
        <f>IF(BASE_DATOS[[#This Row],[NSK]]&gt;=BASE_DATOS[[#This Row],[NSK Reen]],BASE_DATOS[[#This Row],[NSK Reen]],BASE_DATOS[[#This Row],[NSK]])</f>
        <v>6</v>
      </c>
      <c r="AD631" s="344">
        <f>IFERROR(100%-(BASE_DATOS[[#This Row],[NSK Reen]]/BASE_DATOS[[#This Row],[NSK Original]]),"")</f>
        <v>0.71962616822429903</v>
      </c>
      <c r="AE631" s="344">
        <f>IFERROR(100%-BASE_DATOS[[#This Row],[NSK]]/BASE_DATOS[[#This Row],[NSK Original]],"")</f>
        <v>0.57943925233644855</v>
      </c>
      <c r="AF631" s="344">
        <f>IFERROR(BASE_DATOS[[#This Row],[% Max Des.]]-BASE_DATOS[[#This Row],[% Des]],"")</f>
        <v>0.14018691588785048</v>
      </c>
      <c r="AG631" s="287"/>
      <c r="AH631" s="273"/>
      <c r="AI631" s="363" t="str">
        <f>IF(OR(BASE_DATOS[[#This Row],[Hr.]]="",BASE_DATOS[[#This Row],[Hr. Actual]]=""),"",BASE_DATOS[[#This Row],[Hr. Actual]]-BASE_DATOS[[#This Row],[Hr.]]+BASE_DATOS[[#This Row],[Horas Acumuladas]])</f>
        <v/>
      </c>
      <c r="AJ631" s="364" t="str">
        <f>IFERROR(BASE_DATOS[[#This Row],[Precio US$]]/BASE_DATOS[[#This Row],[Horas Rodadas]],"")</f>
        <v/>
      </c>
      <c r="AK631" s="365" t="str">
        <f>IFERROR(BASE_DATOS[[#This Row],[Horas Rodadas]]/(BASE_DATOS[[#This Row],[NSK Original]]-BASE_DATOS[[#This Row],[NSK]]),"")</f>
        <v/>
      </c>
      <c r="AL63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31" s="366" t="str">
        <f>IFERROR(BASE_DATOS[[#This Row],[Precio US$]]/BASE_DATOS[[#This Row],[Horas Proy.]],"")</f>
        <v/>
      </c>
      <c r="AN631" s="176" t="str">
        <f>IF(OR(BASE_DATOS[[#This Row],[Km.]]="",BASE_DATOS[[#This Row],[Km. Actual]]=""),"",BASE_DATOS[[#This Row],[Km. Actual]]-BASE_DATOS[[#This Row],[Km.]]+BASE_DATOS[[#This Row],[Kilómetros Acumulados]])</f>
        <v/>
      </c>
      <c r="AO631" s="177" t="str">
        <f>IFERROR(BASE_DATOS[[#This Row],[Precio US$]]/BASE_DATOS[[#This Row],[Kilómetros Rodados]],"")</f>
        <v/>
      </c>
      <c r="AP631" s="176" t="str">
        <f>IFERROR(BASE_DATOS[[#This Row],[Kilómetros Rodados]]/(BASE_DATOS[[#This Row],[NSK Original]]-BASE_DATOS[[#This Row],[NSK]]),"")</f>
        <v/>
      </c>
      <c r="AQ63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31" s="177" t="str">
        <f>IFERROR(BASE_DATOS[[#This Row],[Precio US$]]/BASE_DATOS[[#This Row],[Kilómetros Proy.]],"")</f>
        <v/>
      </c>
      <c r="AS631" s="167" t="s">
        <v>62</v>
      </c>
      <c r="AT631" s="167"/>
      <c r="AU631" s="167"/>
      <c r="AV631" s="167"/>
      <c r="AW631" s="179"/>
      <c r="AX631" s="179"/>
      <c r="AY631" s="179" t="str">
        <f>CONCATENATE(BASE_DATOS[[#This Row],[Código_U]]&amp;BASE_DATOS[[#This Row],[Pos.]]&amp;BASE_DATOS[[#This Row],[Situación Actual]])</f>
        <v>TC-2229Rodando</v>
      </c>
    </row>
    <row r="632" spans="1:51" ht="12" x14ac:dyDescent="0.25">
      <c r="A632" s="227" t="s">
        <v>240</v>
      </c>
      <c r="B632" s="217" t="s">
        <v>241</v>
      </c>
      <c r="C632" s="228" t="s">
        <v>296</v>
      </c>
      <c r="D632" s="229" t="s">
        <v>61</v>
      </c>
      <c r="E632" s="255"/>
      <c r="F632" s="256" t="s">
        <v>273</v>
      </c>
      <c r="G632" s="256" t="s">
        <v>271</v>
      </c>
      <c r="H632" s="257" t="str">
        <f>IF(BASE_DATOS[[#This Row],[N-R]]="N",BASE_DATOS[[#This Row],[Diseño]],"Reencauche")</f>
        <v>XMULTI2D</v>
      </c>
      <c r="I632" s="256" t="s">
        <v>299</v>
      </c>
      <c r="J632" s="243" t="s">
        <v>72</v>
      </c>
      <c r="K632" s="258">
        <v>21.4</v>
      </c>
      <c r="L632" s="256">
        <v>110</v>
      </c>
      <c r="M632" s="259"/>
      <c r="N632" s="260"/>
      <c r="O632" s="277"/>
      <c r="P632" s="278"/>
      <c r="Q632" s="279"/>
      <c r="R632" s="309" t="s">
        <v>107</v>
      </c>
      <c r="S632" s="310">
        <v>45385</v>
      </c>
      <c r="T632" s="311"/>
      <c r="U632" s="312"/>
      <c r="V632" s="227">
        <v>9</v>
      </c>
      <c r="W632" s="281"/>
      <c r="X632" s="282">
        <v>9</v>
      </c>
      <c r="Y632" s="293">
        <f t="shared" si="26"/>
        <v>9</v>
      </c>
      <c r="Z632" s="175" t="s">
        <v>85</v>
      </c>
      <c r="AA632" s="342">
        <f>IFERROR(BASE_DATOS[[#This Row],[NSK Original]]-BASE_DATOS[[#This Row],[NSK]]," ")</f>
        <v>12.399999999999999</v>
      </c>
      <c r="AB632" s="343">
        <f>'NSK-TRACTO'!$A$2</f>
        <v>6</v>
      </c>
      <c r="AC632" s="343">
        <f>IF(BASE_DATOS[[#This Row],[NSK]]&gt;=BASE_DATOS[[#This Row],[NSK Reen]],BASE_DATOS[[#This Row],[NSK Reen]],BASE_DATOS[[#This Row],[NSK]])</f>
        <v>6</v>
      </c>
      <c r="AD632" s="344">
        <f>IFERROR(100%-(BASE_DATOS[[#This Row],[NSK Reen]]/BASE_DATOS[[#This Row],[NSK Original]]),"")</f>
        <v>0.71962616822429903</v>
      </c>
      <c r="AE632" s="344">
        <f>IFERROR(100%-BASE_DATOS[[#This Row],[NSK]]/BASE_DATOS[[#This Row],[NSK Original]],"")</f>
        <v>0.57943925233644855</v>
      </c>
      <c r="AF632" s="344">
        <f>IFERROR(BASE_DATOS[[#This Row],[% Max Des.]]-BASE_DATOS[[#This Row],[% Des]],"")</f>
        <v>0.14018691588785048</v>
      </c>
      <c r="AG632" s="287"/>
      <c r="AH632" s="273"/>
      <c r="AI632" s="363" t="str">
        <f>IF(OR(BASE_DATOS[[#This Row],[Hr.]]="",BASE_DATOS[[#This Row],[Hr. Actual]]=""),"",BASE_DATOS[[#This Row],[Hr. Actual]]-BASE_DATOS[[#This Row],[Hr.]]+BASE_DATOS[[#This Row],[Horas Acumuladas]])</f>
        <v/>
      </c>
      <c r="AJ632" s="364" t="str">
        <f>IFERROR(BASE_DATOS[[#This Row],[Precio US$]]/BASE_DATOS[[#This Row],[Horas Rodadas]],"")</f>
        <v/>
      </c>
      <c r="AK632" s="365" t="str">
        <f>IFERROR(BASE_DATOS[[#This Row],[Horas Rodadas]]/(BASE_DATOS[[#This Row],[NSK Original]]-BASE_DATOS[[#This Row],[NSK]]),"")</f>
        <v/>
      </c>
      <c r="AL63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32" s="366" t="str">
        <f>IFERROR(BASE_DATOS[[#This Row],[Precio US$]]/BASE_DATOS[[#This Row],[Horas Proy.]],"")</f>
        <v/>
      </c>
      <c r="AN632" s="176" t="str">
        <f>IF(OR(BASE_DATOS[[#This Row],[Km.]]="",BASE_DATOS[[#This Row],[Km. Actual]]=""),"",BASE_DATOS[[#This Row],[Km. Actual]]-BASE_DATOS[[#This Row],[Km.]]+BASE_DATOS[[#This Row],[Kilómetros Acumulados]])</f>
        <v/>
      </c>
      <c r="AO632" s="177" t="str">
        <f>IFERROR(BASE_DATOS[[#This Row],[Precio US$]]/BASE_DATOS[[#This Row],[Kilómetros Rodados]],"")</f>
        <v/>
      </c>
      <c r="AP632" s="176" t="str">
        <f>IFERROR(BASE_DATOS[[#This Row],[Kilómetros Rodados]]/(BASE_DATOS[[#This Row],[NSK Original]]-BASE_DATOS[[#This Row],[NSK]]),"")</f>
        <v/>
      </c>
      <c r="AQ63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32" s="177" t="str">
        <f>IFERROR(BASE_DATOS[[#This Row],[Precio US$]]/BASE_DATOS[[#This Row],[Kilómetros Proy.]],"")</f>
        <v/>
      </c>
      <c r="AS632" s="167" t="s">
        <v>62</v>
      </c>
      <c r="AT632" s="167"/>
      <c r="AU632" s="167"/>
      <c r="AV632" s="167"/>
      <c r="AW632" s="179"/>
      <c r="AX632" s="179"/>
      <c r="AY632" s="179" t="str">
        <f>CONCATENATE(BASE_DATOS[[#This Row],[Código_U]]&amp;BASE_DATOS[[#This Row],[Pos.]]&amp;BASE_DATOS[[#This Row],[Situación Actual]])</f>
        <v>TC-22210Rodando</v>
      </c>
    </row>
    <row r="633" spans="1:51" ht="12" x14ac:dyDescent="0.25">
      <c r="A633" s="224" t="s">
        <v>243</v>
      </c>
      <c r="B633" s="213" t="s">
        <v>244</v>
      </c>
      <c r="C633" s="225" t="s">
        <v>295</v>
      </c>
      <c r="D633" s="226" t="s">
        <v>87</v>
      </c>
      <c r="E633" s="249"/>
      <c r="F633" s="250" t="s">
        <v>97</v>
      </c>
      <c r="G633" s="250" t="s">
        <v>269</v>
      </c>
      <c r="H633" s="251" t="str">
        <f>IF(BASE_DATOS[[#This Row],[N-R]]="N",BASE_DATOS[[#This Row],[Diseño]],"Reencauche")</f>
        <v>AGC28</v>
      </c>
      <c r="I633" s="250" t="s">
        <v>270</v>
      </c>
      <c r="J633" s="235" t="s">
        <v>72</v>
      </c>
      <c r="K633" s="252">
        <v>16.5</v>
      </c>
      <c r="L633" s="250">
        <v>110</v>
      </c>
      <c r="M633" s="253"/>
      <c r="N633" s="254"/>
      <c r="O633" s="274"/>
      <c r="P633" s="275"/>
      <c r="Q633" s="276"/>
      <c r="R633" s="305" t="s">
        <v>98</v>
      </c>
      <c r="S633" s="306">
        <v>45385</v>
      </c>
      <c r="T633" s="314"/>
      <c r="U633" s="276"/>
      <c r="V633" s="224">
        <v>11</v>
      </c>
      <c r="W633" s="325">
        <v>11</v>
      </c>
      <c r="X633" s="326">
        <v>11</v>
      </c>
      <c r="Y633" s="292">
        <f t="shared" ref="Y633:Y660" si="28">IFERROR(MIN(V633:X633),"")</f>
        <v>11</v>
      </c>
      <c r="Z633" s="194" t="s">
        <v>85</v>
      </c>
      <c r="AA633" s="339">
        <f>IFERROR(BASE_DATOS[[#This Row],[NSK Original]]-BASE_DATOS[[#This Row],[NSK]]," ")</f>
        <v>5.5</v>
      </c>
      <c r="AB633" s="340">
        <f>'NSK-TRACTO'!$A$2</f>
        <v>6</v>
      </c>
      <c r="AC633" s="340">
        <f>IF(BASE_DATOS[[#This Row],[NSK]]&gt;=BASE_DATOS[[#This Row],[NSK Reen]],BASE_DATOS[[#This Row],[NSK Reen]],BASE_DATOS[[#This Row],[NSK]])</f>
        <v>6</v>
      </c>
      <c r="AD633" s="341">
        <f>IFERROR(100%-(BASE_DATOS[[#This Row],[NSK Reen]]/BASE_DATOS[[#This Row],[NSK Original]]),"")</f>
        <v>0.63636363636363635</v>
      </c>
      <c r="AE633" s="341">
        <f>IFERROR(100%-BASE_DATOS[[#This Row],[NSK]]/BASE_DATOS[[#This Row],[NSK Original]],"")</f>
        <v>0.33333333333333337</v>
      </c>
      <c r="AF633" s="341">
        <f>IFERROR(BASE_DATOS[[#This Row],[% Max Des.]]-BASE_DATOS[[#This Row],[% Des]],"")</f>
        <v>0.30303030303030298</v>
      </c>
      <c r="AG633" s="284"/>
      <c r="AH633" s="335"/>
      <c r="AI633" s="359" t="str">
        <f>IF(OR(BASE_DATOS[[#This Row],[Hr.]]="",BASE_DATOS[[#This Row],[Hr. Actual]]=""),"",BASE_DATOS[[#This Row],[Hr. Actual]]-BASE_DATOS[[#This Row],[Hr.]]+BASE_DATOS[[#This Row],[Horas Acumuladas]])</f>
        <v/>
      </c>
      <c r="AJ633" s="360" t="str">
        <f>IFERROR(BASE_DATOS[[#This Row],[Precio US$]]/BASE_DATOS[[#This Row],[Horas Rodadas]],"")</f>
        <v/>
      </c>
      <c r="AK633" s="361" t="str">
        <f>IFERROR(BASE_DATOS[[#This Row],[Horas Rodadas]]/(BASE_DATOS[[#This Row],[NSK Original]]-BASE_DATOS[[#This Row],[NSK]]),"")</f>
        <v/>
      </c>
      <c r="AL633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33" s="362" t="str">
        <f>IFERROR(BASE_DATOS[[#This Row],[Precio US$]]/BASE_DATOS[[#This Row],[Horas Proy.]],"")</f>
        <v/>
      </c>
      <c r="AN633" s="195" t="str">
        <f>IF(OR(BASE_DATOS[[#This Row],[Km.]]="",BASE_DATOS[[#This Row],[Km. Actual]]=""),"",BASE_DATOS[[#This Row],[Km. Actual]]-BASE_DATOS[[#This Row],[Km.]]+BASE_DATOS[[#This Row],[Kilómetros Acumulados]])</f>
        <v/>
      </c>
      <c r="AO633" s="196" t="str">
        <f>IFERROR(BASE_DATOS[[#This Row],[Precio US$]]/BASE_DATOS[[#This Row],[Kilómetros Rodados]],"")</f>
        <v/>
      </c>
      <c r="AP633" s="195" t="str">
        <f>IFERROR(BASE_DATOS[[#This Row],[Kilómetros Rodados]]/(BASE_DATOS[[#This Row],[NSK Original]]-BASE_DATOS[[#This Row],[NSK]]),"")</f>
        <v/>
      </c>
      <c r="AQ633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33" s="196" t="str">
        <f>IFERROR(BASE_DATOS[[#This Row],[Precio US$]]/BASE_DATOS[[#This Row],[Kilómetros Proy.]],"")</f>
        <v/>
      </c>
      <c r="AS633" s="191" t="s">
        <v>62</v>
      </c>
      <c r="AT633" s="191"/>
      <c r="AU633" s="191"/>
      <c r="AV633" s="191"/>
      <c r="AW633" s="198"/>
      <c r="AX633" s="198"/>
      <c r="AY633" s="198" t="str">
        <f>CONCATENATE(BASE_DATOS[[#This Row],[Código_U]]&amp;BASE_DATOS[[#This Row],[Pos.]]&amp;BASE_DATOS[[#This Row],[Situación Actual]])</f>
        <v>SR-2241Rodando</v>
      </c>
    </row>
    <row r="634" spans="1:51" ht="12" x14ac:dyDescent="0.25">
      <c r="A634" s="227" t="s">
        <v>243</v>
      </c>
      <c r="B634" s="217" t="s">
        <v>244</v>
      </c>
      <c r="C634" s="228" t="s">
        <v>295</v>
      </c>
      <c r="D634" s="229" t="s">
        <v>87</v>
      </c>
      <c r="E634" s="255"/>
      <c r="F634" s="256" t="s">
        <v>97</v>
      </c>
      <c r="G634" s="256" t="s">
        <v>269</v>
      </c>
      <c r="H634" s="257" t="str">
        <f>IF(BASE_DATOS[[#This Row],[N-R]]="N",BASE_DATOS[[#This Row],[Diseño]],"Reencauche")</f>
        <v>AGC28</v>
      </c>
      <c r="I634" s="256" t="s">
        <v>270</v>
      </c>
      <c r="J634" s="243" t="s">
        <v>72</v>
      </c>
      <c r="K634" s="258">
        <v>16.5</v>
      </c>
      <c r="L634" s="256">
        <v>110</v>
      </c>
      <c r="M634" s="259"/>
      <c r="N634" s="260"/>
      <c r="O634" s="277"/>
      <c r="P634" s="278"/>
      <c r="Q634" s="279"/>
      <c r="R634" s="309" t="s">
        <v>99</v>
      </c>
      <c r="S634" s="310">
        <v>45385</v>
      </c>
      <c r="T634" s="313"/>
      <c r="U634" s="279"/>
      <c r="V634" s="227">
        <v>12</v>
      </c>
      <c r="W634" s="281">
        <v>11</v>
      </c>
      <c r="X634" s="282">
        <v>12</v>
      </c>
      <c r="Y634" s="293">
        <f t="shared" si="28"/>
        <v>11</v>
      </c>
      <c r="Z634" s="175" t="s">
        <v>85</v>
      </c>
      <c r="AA634" s="342">
        <f>IFERROR(BASE_DATOS[[#This Row],[NSK Original]]-BASE_DATOS[[#This Row],[NSK]]," ")</f>
        <v>5.5</v>
      </c>
      <c r="AB634" s="343">
        <f>'NSK-TRACTO'!$A$2</f>
        <v>6</v>
      </c>
      <c r="AC634" s="343">
        <f>IF(BASE_DATOS[[#This Row],[NSK]]&gt;=BASE_DATOS[[#This Row],[NSK Reen]],BASE_DATOS[[#This Row],[NSK Reen]],BASE_DATOS[[#This Row],[NSK]])</f>
        <v>6</v>
      </c>
      <c r="AD634" s="344">
        <f>IFERROR(100%-(BASE_DATOS[[#This Row],[NSK Reen]]/BASE_DATOS[[#This Row],[NSK Original]]),"")</f>
        <v>0.63636363636363635</v>
      </c>
      <c r="AE634" s="344">
        <f>IFERROR(100%-BASE_DATOS[[#This Row],[NSK]]/BASE_DATOS[[#This Row],[NSK Original]],"")</f>
        <v>0.33333333333333337</v>
      </c>
      <c r="AF634" s="344">
        <f>IFERROR(BASE_DATOS[[#This Row],[% Max Des.]]-BASE_DATOS[[#This Row],[% Des]],"")</f>
        <v>0.30303030303030298</v>
      </c>
      <c r="AG634" s="287"/>
      <c r="AH634" s="273"/>
      <c r="AI634" s="363" t="str">
        <f>IF(OR(BASE_DATOS[[#This Row],[Hr.]]="",BASE_DATOS[[#This Row],[Hr. Actual]]=""),"",BASE_DATOS[[#This Row],[Hr. Actual]]-BASE_DATOS[[#This Row],[Hr.]]+BASE_DATOS[[#This Row],[Horas Acumuladas]])</f>
        <v/>
      </c>
      <c r="AJ634" s="364" t="str">
        <f>IFERROR(BASE_DATOS[[#This Row],[Precio US$]]/BASE_DATOS[[#This Row],[Horas Rodadas]],"")</f>
        <v/>
      </c>
      <c r="AK634" s="365" t="str">
        <f>IFERROR(BASE_DATOS[[#This Row],[Horas Rodadas]]/(BASE_DATOS[[#This Row],[NSK Original]]-BASE_DATOS[[#This Row],[NSK]]),"")</f>
        <v/>
      </c>
      <c r="AL63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34" s="366" t="str">
        <f>IFERROR(BASE_DATOS[[#This Row],[Precio US$]]/BASE_DATOS[[#This Row],[Horas Proy.]],"")</f>
        <v/>
      </c>
      <c r="AN634" s="176" t="str">
        <f>IF(OR(BASE_DATOS[[#This Row],[Km.]]="",BASE_DATOS[[#This Row],[Km. Actual]]=""),"",BASE_DATOS[[#This Row],[Km. Actual]]-BASE_DATOS[[#This Row],[Km.]]+BASE_DATOS[[#This Row],[Kilómetros Acumulados]])</f>
        <v/>
      </c>
      <c r="AO634" s="177" t="str">
        <f>IFERROR(BASE_DATOS[[#This Row],[Precio US$]]/BASE_DATOS[[#This Row],[Kilómetros Rodados]],"")</f>
        <v/>
      </c>
      <c r="AP634" s="176" t="str">
        <f>IFERROR(BASE_DATOS[[#This Row],[Kilómetros Rodados]]/(BASE_DATOS[[#This Row],[NSK Original]]-BASE_DATOS[[#This Row],[NSK]]),"")</f>
        <v/>
      </c>
      <c r="AQ63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34" s="177" t="str">
        <f>IFERROR(BASE_DATOS[[#This Row],[Precio US$]]/BASE_DATOS[[#This Row],[Kilómetros Proy.]],"")</f>
        <v/>
      </c>
      <c r="AS634" s="167" t="s">
        <v>62</v>
      </c>
      <c r="AT634" s="167"/>
      <c r="AU634" s="167"/>
      <c r="AV634" s="167"/>
      <c r="AW634" s="179"/>
      <c r="AX634" s="179"/>
      <c r="AY634" s="179" t="str">
        <f>CONCATENATE(BASE_DATOS[[#This Row],[Código_U]]&amp;BASE_DATOS[[#This Row],[Pos.]]&amp;BASE_DATOS[[#This Row],[Situación Actual]])</f>
        <v>SR-2242Rodando</v>
      </c>
    </row>
    <row r="635" spans="1:51" ht="12" x14ac:dyDescent="0.25">
      <c r="A635" s="227" t="s">
        <v>243</v>
      </c>
      <c r="B635" s="217" t="s">
        <v>244</v>
      </c>
      <c r="C635" s="228" t="s">
        <v>295</v>
      </c>
      <c r="D635" s="229" t="s">
        <v>87</v>
      </c>
      <c r="E635" s="255" t="s">
        <v>375</v>
      </c>
      <c r="F635" s="256" t="s">
        <v>97</v>
      </c>
      <c r="G635" s="256" t="s">
        <v>269</v>
      </c>
      <c r="H635" s="257" t="str">
        <f>IF(BASE_DATOS[[#This Row],[N-R]]="N",BASE_DATOS[[#This Row],[Diseño]],"Reencauche")</f>
        <v>AGC28</v>
      </c>
      <c r="I635" s="256" t="s">
        <v>270</v>
      </c>
      <c r="J635" s="243" t="s">
        <v>72</v>
      </c>
      <c r="K635" s="258">
        <v>16.5</v>
      </c>
      <c r="L635" s="256">
        <v>110</v>
      </c>
      <c r="M635" s="259"/>
      <c r="N635" s="260"/>
      <c r="O635" s="277"/>
      <c r="P635" s="278"/>
      <c r="Q635" s="279"/>
      <c r="R635" s="309" t="s">
        <v>100</v>
      </c>
      <c r="S635" s="310">
        <v>45385</v>
      </c>
      <c r="T635" s="313"/>
      <c r="U635" s="279"/>
      <c r="V635" s="227">
        <v>14</v>
      </c>
      <c r="W635" s="281">
        <v>14</v>
      </c>
      <c r="X635" s="282">
        <v>14</v>
      </c>
      <c r="Y635" s="293">
        <f t="shared" si="28"/>
        <v>14</v>
      </c>
      <c r="Z635" s="175" t="s">
        <v>85</v>
      </c>
      <c r="AA635" s="342">
        <f>IFERROR(BASE_DATOS[[#This Row],[NSK Original]]-BASE_DATOS[[#This Row],[NSK]]," ")</f>
        <v>2.5</v>
      </c>
      <c r="AB635" s="343">
        <f>'NSK-TRACTO'!$A$2</f>
        <v>6</v>
      </c>
      <c r="AC635" s="343">
        <f>IF(BASE_DATOS[[#This Row],[NSK]]&gt;=BASE_DATOS[[#This Row],[NSK Reen]],BASE_DATOS[[#This Row],[NSK Reen]],BASE_DATOS[[#This Row],[NSK]])</f>
        <v>6</v>
      </c>
      <c r="AD635" s="344">
        <f>IFERROR(100%-(BASE_DATOS[[#This Row],[NSK Reen]]/BASE_DATOS[[#This Row],[NSK Original]]),"")</f>
        <v>0.63636363636363635</v>
      </c>
      <c r="AE635" s="344">
        <f>IFERROR(100%-BASE_DATOS[[#This Row],[NSK]]/BASE_DATOS[[#This Row],[NSK Original]],"")</f>
        <v>0.15151515151515149</v>
      </c>
      <c r="AF635" s="344">
        <f>IFERROR(BASE_DATOS[[#This Row],[% Max Des.]]-BASE_DATOS[[#This Row],[% Des]],"")</f>
        <v>0.48484848484848486</v>
      </c>
      <c r="AG635" s="287"/>
      <c r="AH635" s="273"/>
      <c r="AI635" s="363" t="str">
        <f>IF(OR(BASE_DATOS[[#This Row],[Hr.]]="",BASE_DATOS[[#This Row],[Hr. Actual]]=""),"",BASE_DATOS[[#This Row],[Hr. Actual]]-BASE_DATOS[[#This Row],[Hr.]]+BASE_DATOS[[#This Row],[Horas Acumuladas]])</f>
        <v/>
      </c>
      <c r="AJ635" s="364" t="str">
        <f>IFERROR(BASE_DATOS[[#This Row],[Precio US$]]/BASE_DATOS[[#This Row],[Horas Rodadas]],"")</f>
        <v/>
      </c>
      <c r="AK635" s="365" t="str">
        <f>IFERROR(BASE_DATOS[[#This Row],[Horas Rodadas]]/(BASE_DATOS[[#This Row],[NSK Original]]-BASE_DATOS[[#This Row],[NSK]]),"")</f>
        <v/>
      </c>
      <c r="AL63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35" s="366" t="str">
        <f>IFERROR(BASE_DATOS[[#This Row],[Precio US$]]/BASE_DATOS[[#This Row],[Horas Proy.]],"")</f>
        <v/>
      </c>
      <c r="AN635" s="176" t="str">
        <f>IF(OR(BASE_DATOS[[#This Row],[Km.]]="",BASE_DATOS[[#This Row],[Km. Actual]]=""),"",BASE_DATOS[[#This Row],[Km. Actual]]-BASE_DATOS[[#This Row],[Km.]]+BASE_DATOS[[#This Row],[Kilómetros Acumulados]])</f>
        <v/>
      </c>
      <c r="AO635" s="177" t="str">
        <f>IFERROR(BASE_DATOS[[#This Row],[Precio US$]]/BASE_DATOS[[#This Row],[Kilómetros Rodados]],"")</f>
        <v/>
      </c>
      <c r="AP635" s="176" t="str">
        <f>IFERROR(BASE_DATOS[[#This Row],[Kilómetros Rodados]]/(BASE_DATOS[[#This Row],[NSK Original]]-BASE_DATOS[[#This Row],[NSK]]),"")</f>
        <v/>
      </c>
      <c r="AQ63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35" s="177" t="str">
        <f>IFERROR(BASE_DATOS[[#This Row],[Precio US$]]/BASE_DATOS[[#This Row],[Kilómetros Proy.]],"")</f>
        <v/>
      </c>
      <c r="AS635" s="167" t="s">
        <v>62</v>
      </c>
      <c r="AT635" s="167"/>
      <c r="AU635" s="167"/>
      <c r="AV635" s="167"/>
      <c r="AW635" s="179"/>
      <c r="AX635" s="179"/>
      <c r="AY635" s="179" t="str">
        <f>CONCATENATE(BASE_DATOS[[#This Row],[Código_U]]&amp;BASE_DATOS[[#This Row],[Pos.]]&amp;BASE_DATOS[[#This Row],[Situación Actual]])</f>
        <v>SR-2243Rodando</v>
      </c>
    </row>
    <row r="636" spans="1:51" ht="12" x14ac:dyDescent="0.25">
      <c r="A636" s="227" t="s">
        <v>243</v>
      </c>
      <c r="B636" s="217" t="s">
        <v>244</v>
      </c>
      <c r="C636" s="228" t="s">
        <v>295</v>
      </c>
      <c r="D636" s="229" t="s">
        <v>87</v>
      </c>
      <c r="E636" s="255"/>
      <c r="F636" s="256" t="s">
        <v>97</v>
      </c>
      <c r="G636" s="256" t="s">
        <v>269</v>
      </c>
      <c r="H636" s="257" t="str">
        <f>IF(BASE_DATOS[[#This Row],[N-R]]="N",BASE_DATOS[[#This Row],[Diseño]],"Reencauche")</f>
        <v>AGC28</v>
      </c>
      <c r="I636" s="256" t="s">
        <v>270</v>
      </c>
      <c r="J636" s="243" t="s">
        <v>72</v>
      </c>
      <c r="K636" s="258">
        <v>16.5</v>
      </c>
      <c r="L636" s="256">
        <v>110</v>
      </c>
      <c r="M636" s="259"/>
      <c r="N636" s="260"/>
      <c r="O636" s="277"/>
      <c r="P636" s="278"/>
      <c r="Q636" s="279"/>
      <c r="R636" s="309" t="s">
        <v>101</v>
      </c>
      <c r="S636" s="310">
        <v>45385</v>
      </c>
      <c r="T636" s="313"/>
      <c r="U636" s="279"/>
      <c r="V636" s="227">
        <v>15</v>
      </c>
      <c r="W636" s="281">
        <v>15</v>
      </c>
      <c r="X636" s="282">
        <v>15</v>
      </c>
      <c r="Y636" s="293">
        <f t="shared" si="28"/>
        <v>15</v>
      </c>
      <c r="Z636" s="175" t="s">
        <v>85</v>
      </c>
      <c r="AA636" s="342">
        <f>IFERROR(BASE_DATOS[[#This Row],[NSK Original]]-BASE_DATOS[[#This Row],[NSK]]," ")</f>
        <v>1.5</v>
      </c>
      <c r="AB636" s="343">
        <f>'NSK-TRACTO'!$A$2</f>
        <v>6</v>
      </c>
      <c r="AC636" s="343">
        <f>IF(BASE_DATOS[[#This Row],[NSK]]&gt;=BASE_DATOS[[#This Row],[NSK Reen]],BASE_DATOS[[#This Row],[NSK Reen]],BASE_DATOS[[#This Row],[NSK]])</f>
        <v>6</v>
      </c>
      <c r="AD636" s="344">
        <f>IFERROR(100%-(BASE_DATOS[[#This Row],[NSK Reen]]/BASE_DATOS[[#This Row],[NSK Original]]),"")</f>
        <v>0.63636363636363635</v>
      </c>
      <c r="AE636" s="344">
        <f>IFERROR(100%-BASE_DATOS[[#This Row],[NSK]]/BASE_DATOS[[#This Row],[NSK Original]],"")</f>
        <v>9.0909090909090939E-2</v>
      </c>
      <c r="AF636" s="344">
        <f>IFERROR(BASE_DATOS[[#This Row],[% Max Des.]]-BASE_DATOS[[#This Row],[% Des]],"")</f>
        <v>0.54545454545454541</v>
      </c>
      <c r="AG636" s="287"/>
      <c r="AH636" s="273"/>
      <c r="AI636" s="363" t="str">
        <f>IF(OR(BASE_DATOS[[#This Row],[Hr.]]="",BASE_DATOS[[#This Row],[Hr. Actual]]=""),"",BASE_DATOS[[#This Row],[Hr. Actual]]-BASE_DATOS[[#This Row],[Hr.]]+BASE_DATOS[[#This Row],[Horas Acumuladas]])</f>
        <v/>
      </c>
      <c r="AJ636" s="364" t="str">
        <f>IFERROR(BASE_DATOS[[#This Row],[Precio US$]]/BASE_DATOS[[#This Row],[Horas Rodadas]],"")</f>
        <v/>
      </c>
      <c r="AK636" s="365" t="str">
        <f>IFERROR(BASE_DATOS[[#This Row],[Horas Rodadas]]/(BASE_DATOS[[#This Row],[NSK Original]]-BASE_DATOS[[#This Row],[NSK]]),"")</f>
        <v/>
      </c>
      <c r="AL63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36" s="366" t="str">
        <f>IFERROR(BASE_DATOS[[#This Row],[Precio US$]]/BASE_DATOS[[#This Row],[Horas Proy.]],"")</f>
        <v/>
      </c>
      <c r="AN636" s="176" t="str">
        <f>IF(OR(BASE_DATOS[[#This Row],[Km.]]="",BASE_DATOS[[#This Row],[Km. Actual]]=""),"",BASE_DATOS[[#This Row],[Km. Actual]]-BASE_DATOS[[#This Row],[Km.]]+BASE_DATOS[[#This Row],[Kilómetros Acumulados]])</f>
        <v/>
      </c>
      <c r="AO636" s="177" t="str">
        <f>IFERROR(BASE_DATOS[[#This Row],[Precio US$]]/BASE_DATOS[[#This Row],[Kilómetros Rodados]],"")</f>
        <v/>
      </c>
      <c r="AP636" s="176" t="str">
        <f>IFERROR(BASE_DATOS[[#This Row],[Kilómetros Rodados]]/(BASE_DATOS[[#This Row],[NSK Original]]-BASE_DATOS[[#This Row],[NSK]]),"")</f>
        <v/>
      </c>
      <c r="AQ63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36" s="177" t="str">
        <f>IFERROR(BASE_DATOS[[#This Row],[Precio US$]]/BASE_DATOS[[#This Row],[Kilómetros Proy.]],"")</f>
        <v/>
      </c>
      <c r="AS636" s="167" t="s">
        <v>62</v>
      </c>
      <c r="AT636" s="167"/>
      <c r="AU636" s="167"/>
      <c r="AV636" s="167"/>
      <c r="AW636" s="179"/>
      <c r="AX636" s="179"/>
      <c r="AY636" s="179" t="str">
        <f>CONCATENATE(BASE_DATOS[[#This Row],[Código_U]]&amp;BASE_DATOS[[#This Row],[Pos.]]&amp;BASE_DATOS[[#This Row],[Situación Actual]])</f>
        <v>SR-2244Rodando</v>
      </c>
    </row>
    <row r="637" spans="1:51" ht="12" x14ac:dyDescent="0.25">
      <c r="A637" s="227" t="s">
        <v>243</v>
      </c>
      <c r="B637" s="217" t="s">
        <v>244</v>
      </c>
      <c r="C637" s="228" t="s">
        <v>295</v>
      </c>
      <c r="D637" s="229" t="s">
        <v>87</v>
      </c>
      <c r="E637" s="255"/>
      <c r="F637" s="256" t="s">
        <v>97</v>
      </c>
      <c r="G637" s="256" t="s">
        <v>269</v>
      </c>
      <c r="H637" s="257" t="str">
        <f>IF(BASE_DATOS[[#This Row],[N-R]]="N",BASE_DATOS[[#This Row],[Diseño]],"Reencauche")</f>
        <v>AGC28</v>
      </c>
      <c r="I637" s="256" t="s">
        <v>270</v>
      </c>
      <c r="J637" s="243" t="s">
        <v>72</v>
      </c>
      <c r="K637" s="258">
        <v>16.5</v>
      </c>
      <c r="L637" s="256">
        <v>110</v>
      </c>
      <c r="M637" s="259"/>
      <c r="N637" s="260"/>
      <c r="O637" s="277"/>
      <c r="P637" s="278"/>
      <c r="Q637" s="279"/>
      <c r="R637" s="309" t="s">
        <v>102</v>
      </c>
      <c r="S637" s="310">
        <v>45385</v>
      </c>
      <c r="T637" s="313"/>
      <c r="U637" s="279"/>
      <c r="V637" s="227">
        <v>12</v>
      </c>
      <c r="W637" s="281">
        <v>12</v>
      </c>
      <c r="X637" s="282">
        <v>12</v>
      </c>
      <c r="Y637" s="293">
        <f t="shared" si="28"/>
        <v>12</v>
      </c>
      <c r="Z637" s="161" t="s">
        <v>73</v>
      </c>
      <c r="AA637" s="342">
        <f>IFERROR(BASE_DATOS[[#This Row],[NSK Original]]-BASE_DATOS[[#This Row],[NSK]]," ")</f>
        <v>4.5</v>
      </c>
      <c r="AB637" s="343">
        <f>'NSK-TRACTO'!$A$2</f>
        <v>6</v>
      </c>
      <c r="AC637" s="343">
        <f>IF(BASE_DATOS[[#This Row],[NSK]]&gt;=BASE_DATOS[[#This Row],[NSK Reen]],BASE_DATOS[[#This Row],[NSK Reen]],BASE_DATOS[[#This Row],[NSK]])</f>
        <v>6</v>
      </c>
      <c r="AD637" s="344">
        <f>IFERROR(100%-(BASE_DATOS[[#This Row],[NSK Reen]]/BASE_DATOS[[#This Row],[NSK Original]]),"")</f>
        <v>0.63636363636363635</v>
      </c>
      <c r="AE637" s="344">
        <f>IFERROR(100%-BASE_DATOS[[#This Row],[NSK]]/BASE_DATOS[[#This Row],[NSK Original]],"")</f>
        <v>0.27272727272727271</v>
      </c>
      <c r="AF637" s="344">
        <f>IFERROR(BASE_DATOS[[#This Row],[% Max Des.]]-BASE_DATOS[[#This Row],[% Des]],"")</f>
        <v>0.36363636363636365</v>
      </c>
      <c r="AG637" s="287"/>
      <c r="AH637" s="273"/>
      <c r="AI637" s="363" t="str">
        <f>IF(OR(BASE_DATOS[[#This Row],[Hr.]]="",BASE_DATOS[[#This Row],[Hr. Actual]]=""),"",BASE_DATOS[[#This Row],[Hr. Actual]]-BASE_DATOS[[#This Row],[Hr.]]+BASE_DATOS[[#This Row],[Horas Acumuladas]])</f>
        <v/>
      </c>
      <c r="AJ637" s="364" t="str">
        <f>IFERROR(BASE_DATOS[[#This Row],[Precio US$]]/BASE_DATOS[[#This Row],[Horas Rodadas]],"")</f>
        <v/>
      </c>
      <c r="AK637" s="365" t="str">
        <f>IFERROR(BASE_DATOS[[#This Row],[Horas Rodadas]]/(BASE_DATOS[[#This Row],[NSK Original]]-BASE_DATOS[[#This Row],[NSK]]),"")</f>
        <v/>
      </c>
      <c r="AL63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37" s="366" t="str">
        <f>IFERROR(BASE_DATOS[[#This Row],[Precio US$]]/BASE_DATOS[[#This Row],[Horas Proy.]],"")</f>
        <v/>
      </c>
      <c r="AN637" s="176" t="str">
        <f>IF(OR(BASE_DATOS[[#This Row],[Km.]]="",BASE_DATOS[[#This Row],[Km. Actual]]=""),"",BASE_DATOS[[#This Row],[Km. Actual]]-BASE_DATOS[[#This Row],[Km.]]+BASE_DATOS[[#This Row],[Kilómetros Acumulados]])</f>
        <v/>
      </c>
      <c r="AO637" s="177" t="str">
        <f>IFERROR(BASE_DATOS[[#This Row],[Precio US$]]/BASE_DATOS[[#This Row],[Kilómetros Rodados]],"")</f>
        <v/>
      </c>
      <c r="AP637" s="176" t="str">
        <f>IFERROR(BASE_DATOS[[#This Row],[Kilómetros Rodados]]/(BASE_DATOS[[#This Row],[NSK Original]]-BASE_DATOS[[#This Row],[NSK]]),"")</f>
        <v/>
      </c>
      <c r="AQ63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37" s="177" t="str">
        <f>IFERROR(BASE_DATOS[[#This Row],[Precio US$]]/BASE_DATOS[[#This Row],[Kilómetros Proy.]],"")</f>
        <v/>
      </c>
      <c r="AS637" s="167" t="s">
        <v>62</v>
      </c>
      <c r="AT637" s="167"/>
      <c r="AU637" s="167"/>
      <c r="AV637" s="167"/>
      <c r="AW637" s="179"/>
      <c r="AX637" s="179"/>
      <c r="AY637" s="179" t="str">
        <f>CONCATENATE(BASE_DATOS[[#This Row],[Código_U]]&amp;BASE_DATOS[[#This Row],[Pos.]]&amp;BASE_DATOS[[#This Row],[Situación Actual]])</f>
        <v>SR-2245Rodando</v>
      </c>
    </row>
    <row r="638" spans="1:51" ht="12" x14ac:dyDescent="0.25">
      <c r="A638" s="227" t="s">
        <v>243</v>
      </c>
      <c r="B638" s="217" t="s">
        <v>244</v>
      </c>
      <c r="C638" s="228" t="s">
        <v>295</v>
      </c>
      <c r="D638" s="229" t="s">
        <v>87</v>
      </c>
      <c r="E638" s="255"/>
      <c r="F638" s="256" t="s">
        <v>97</v>
      </c>
      <c r="G638" s="256" t="s">
        <v>269</v>
      </c>
      <c r="H638" s="257" t="str">
        <f>IF(BASE_DATOS[[#This Row],[N-R]]="N",BASE_DATOS[[#This Row],[Diseño]],"Reencauche")</f>
        <v>AGC28</v>
      </c>
      <c r="I638" s="256" t="s">
        <v>270</v>
      </c>
      <c r="J638" s="243" t="s">
        <v>72</v>
      </c>
      <c r="K638" s="258">
        <v>16.5</v>
      </c>
      <c r="L638" s="256">
        <v>110</v>
      </c>
      <c r="M638" s="259"/>
      <c r="N638" s="260"/>
      <c r="O638" s="277"/>
      <c r="P638" s="278"/>
      <c r="Q638" s="279"/>
      <c r="R638" s="309" t="s">
        <v>103</v>
      </c>
      <c r="S638" s="310">
        <v>45385</v>
      </c>
      <c r="T638" s="313"/>
      <c r="U638" s="279"/>
      <c r="V638" s="227">
        <v>12</v>
      </c>
      <c r="W638" s="281">
        <v>12</v>
      </c>
      <c r="X638" s="282">
        <v>12</v>
      </c>
      <c r="Y638" s="293">
        <f t="shared" si="28"/>
        <v>12</v>
      </c>
      <c r="Z638" s="161" t="s">
        <v>73</v>
      </c>
      <c r="AA638" s="342">
        <f>IFERROR(BASE_DATOS[[#This Row],[NSK Original]]-BASE_DATOS[[#This Row],[NSK]]," ")</f>
        <v>4.5</v>
      </c>
      <c r="AB638" s="343">
        <f>'NSK-TRACTO'!$A$2</f>
        <v>6</v>
      </c>
      <c r="AC638" s="343">
        <f>IF(BASE_DATOS[[#This Row],[NSK]]&gt;=BASE_DATOS[[#This Row],[NSK Reen]],BASE_DATOS[[#This Row],[NSK Reen]],BASE_DATOS[[#This Row],[NSK]])</f>
        <v>6</v>
      </c>
      <c r="AD638" s="344">
        <f>IFERROR(100%-(BASE_DATOS[[#This Row],[NSK Reen]]/BASE_DATOS[[#This Row],[NSK Original]]),"")</f>
        <v>0.63636363636363635</v>
      </c>
      <c r="AE638" s="344">
        <f>IFERROR(100%-BASE_DATOS[[#This Row],[NSK]]/BASE_DATOS[[#This Row],[NSK Original]],"")</f>
        <v>0.27272727272727271</v>
      </c>
      <c r="AF638" s="344">
        <f>IFERROR(BASE_DATOS[[#This Row],[% Max Des.]]-BASE_DATOS[[#This Row],[% Des]],"")</f>
        <v>0.36363636363636365</v>
      </c>
      <c r="AG638" s="287"/>
      <c r="AH638" s="273"/>
      <c r="AI638" s="363" t="str">
        <f>IF(OR(BASE_DATOS[[#This Row],[Hr.]]="",BASE_DATOS[[#This Row],[Hr. Actual]]=""),"",BASE_DATOS[[#This Row],[Hr. Actual]]-BASE_DATOS[[#This Row],[Hr.]]+BASE_DATOS[[#This Row],[Horas Acumuladas]])</f>
        <v/>
      </c>
      <c r="AJ638" s="364" t="str">
        <f>IFERROR(BASE_DATOS[[#This Row],[Precio US$]]/BASE_DATOS[[#This Row],[Horas Rodadas]],"")</f>
        <v/>
      </c>
      <c r="AK638" s="365" t="str">
        <f>IFERROR(BASE_DATOS[[#This Row],[Horas Rodadas]]/(BASE_DATOS[[#This Row],[NSK Original]]-BASE_DATOS[[#This Row],[NSK]]),"")</f>
        <v/>
      </c>
      <c r="AL63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38" s="366" t="str">
        <f>IFERROR(BASE_DATOS[[#This Row],[Precio US$]]/BASE_DATOS[[#This Row],[Horas Proy.]],"")</f>
        <v/>
      </c>
      <c r="AN638" s="176" t="str">
        <f>IF(OR(BASE_DATOS[[#This Row],[Km.]]="",BASE_DATOS[[#This Row],[Km. Actual]]=""),"",BASE_DATOS[[#This Row],[Km. Actual]]-BASE_DATOS[[#This Row],[Km.]]+BASE_DATOS[[#This Row],[Kilómetros Acumulados]])</f>
        <v/>
      </c>
      <c r="AO638" s="177" t="str">
        <f>IFERROR(BASE_DATOS[[#This Row],[Precio US$]]/BASE_DATOS[[#This Row],[Kilómetros Rodados]],"")</f>
        <v/>
      </c>
      <c r="AP638" s="176" t="str">
        <f>IFERROR(BASE_DATOS[[#This Row],[Kilómetros Rodados]]/(BASE_DATOS[[#This Row],[NSK Original]]-BASE_DATOS[[#This Row],[NSK]]),"")</f>
        <v/>
      </c>
      <c r="AQ63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38" s="177" t="str">
        <f>IFERROR(BASE_DATOS[[#This Row],[Precio US$]]/BASE_DATOS[[#This Row],[Kilómetros Proy.]],"")</f>
        <v/>
      </c>
      <c r="AS638" s="167" t="s">
        <v>62</v>
      </c>
      <c r="AT638" s="167"/>
      <c r="AU638" s="167"/>
      <c r="AV638" s="167"/>
      <c r="AW638" s="179"/>
      <c r="AX638" s="179"/>
      <c r="AY638" s="179" t="str">
        <f>CONCATENATE(BASE_DATOS[[#This Row],[Código_U]]&amp;BASE_DATOS[[#This Row],[Pos.]]&amp;BASE_DATOS[[#This Row],[Situación Actual]])</f>
        <v>SR-2246Rodando</v>
      </c>
    </row>
    <row r="639" spans="1:51" ht="12" x14ac:dyDescent="0.25">
      <c r="A639" s="227" t="s">
        <v>243</v>
      </c>
      <c r="B639" s="217" t="s">
        <v>244</v>
      </c>
      <c r="C639" s="228" t="s">
        <v>295</v>
      </c>
      <c r="D639" s="229" t="s">
        <v>384</v>
      </c>
      <c r="E639" s="255"/>
      <c r="F639" s="256" t="s">
        <v>97</v>
      </c>
      <c r="G639" s="256" t="s">
        <v>269</v>
      </c>
      <c r="H639" s="257" t="str">
        <f>IF(BASE_DATOS[[#This Row],[N-R]]="N",BASE_DATOS[[#This Row],[Diseño]],"Reencauche")</f>
        <v>AGC28</v>
      </c>
      <c r="I639" s="256" t="s">
        <v>270</v>
      </c>
      <c r="J639" s="243" t="s">
        <v>72</v>
      </c>
      <c r="K639" s="258">
        <v>16.5</v>
      </c>
      <c r="L639" s="256">
        <v>110</v>
      </c>
      <c r="M639" s="259"/>
      <c r="N639" s="260"/>
      <c r="O639" s="277"/>
      <c r="P639" s="278"/>
      <c r="Q639" s="279"/>
      <c r="R639" s="309" t="s">
        <v>509</v>
      </c>
      <c r="S639" s="310">
        <v>45385</v>
      </c>
      <c r="T639" s="313"/>
      <c r="U639" s="279"/>
      <c r="V639" s="227">
        <v>16</v>
      </c>
      <c r="W639" s="281">
        <v>16</v>
      </c>
      <c r="X639" s="282">
        <v>16</v>
      </c>
      <c r="Y639" s="293">
        <f t="shared" si="28"/>
        <v>16</v>
      </c>
      <c r="Z639" s="175" t="s">
        <v>85</v>
      </c>
      <c r="AA639" s="342">
        <f>IFERROR(BASE_DATOS[[#This Row],[NSK Original]]-BASE_DATOS[[#This Row],[NSK]]," ")</f>
        <v>0.5</v>
      </c>
      <c r="AB639" s="343">
        <f>'NSK-TRACTO'!$A$2</f>
        <v>6</v>
      </c>
      <c r="AC639" s="343">
        <f>IF(BASE_DATOS[[#This Row],[NSK]]&gt;=BASE_DATOS[[#This Row],[NSK Reen]],BASE_DATOS[[#This Row],[NSK Reen]],BASE_DATOS[[#This Row],[NSK]])</f>
        <v>6</v>
      </c>
      <c r="AD639" s="344">
        <f>IFERROR(100%-(BASE_DATOS[[#This Row],[NSK Reen]]/BASE_DATOS[[#This Row],[NSK Original]]),"")</f>
        <v>0.63636363636363635</v>
      </c>
      <c r="AE639" s="344">
        <f>IFERROR(100%-BASE_DATOS[[#This Row],[NSK]]/BASE_DATOS[[#This Row],[NSK Original]],"")</f>
        <v>3.0303030303030276E-2</v>
      </c>
      <c r="AF639" s="344">
        <f>IFERROR(BASE_DATOS[[#This Row],[% Max Des.]]-BASE_DATOS[[#This Row],[% Des]],"")</f>
        <v>0.60606060606060608</v>
      </c>
      <c r="AG639" s="287"/>
      <c r="AH639" s="273"/>
      <c r="AI639" s="363" t="str">
        <f>IF(OR(BASE_DATOS[[#This Row],[Hr.]]="",BASE_DATOS[[#This Row],[Hr. Actual]]=""),"",BASE_DATOS[[#This Row],[Hr. Actual]]-BASE_DATOS[[#This Row],[Hr.]]+BASE_DATOS[[#This Row],[Horas Acumuladas]])</f>
        <v/>
      </c>
      <c r="AJ639" s="364" t="str">
        <f>IFERROR(BASE_DATOS[[#This Row],[Precio US$]]/BASE_DATOS[[#This Row],[Horas Rodadas]],"")</f>
        <v/>
      </c>
      <c r="AK639" s="365" t="str">
        <f>IFERROR(BASE_DATOS[[#This Row],[Horas Rodadas]]/(BASE_DATOS[[#This Row],[NSK Original]]-BASE_DATOS[[#This Row],[NSK]]),"")</f>
        <v/>
      </c>
      <c r="AL63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39" s="366" t="str">
        <f>IFERROR(BASE_DATOS[[#This Row],[Precio US$]]/BASE_DATOS[[#This Row],[Horas Proy.]],"")</f>
        <v/>
      </c>
      <c r="AN639" s="176" t="str">
        <f>IF(OR(BASE_DATOS[[#This Row],[Km.]]="",BASE_DATOS[[#This Row],[Km. Actual]]=""),"",BASE_DATOS[[#This Row],[Km. Actual]]-BASE_DATOS[[#This Row],[Km.]]+BASE_DATOS[[#This Row],[Kilómetros Acumulados]])</f>
        <v/>
      </c>
      <c r="AO639" s="177" t="str">
        <f>IFERROR(BASE_DATOS[[#This Row],[Precio US$]]/BASE_DATOS[[#This Row],[Kilómetros Rodados]],"")</f>
        <v/>
      </c>
      <c r="AP639" s="176" t="str">
        <f>IFERROR(BASE_DATOS[[#This Row],[Kilómetros Rodados]]/(BASE_DATOS[[#This Row],[NSK Original]]-BASE_DATOS[[#This Row],[NSK]]),"")</f>
        <v/>
      </c>
      <c r="AQ63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39" s="177" t="str">
        <f>IFERROR(BASE_DATOS[[#This Row],[Precio US$]]/BASE_DATOS[[#This Row],[Kilómetros Proy.]],"")</f>
        <v/>
      </c>
      <c r="AS639" s="167" t="s">
        <v>62</v>
      </c>
      <c r="AT639" s="167"/>
      <c r="AU639" s="167"/>
      <c r="AV639" s="167"/>
      <c r="AW639" s="179"/>
      <c r="AX639" s="179"/>
      <c r="AY639" s="179" t="str">
        <f>CONCATENATE(BASE_DATOS[[#This Row],[Código_U]]&amp;BASE_DATOS[[#This Row],[Pos.]]&amp;BASE_DATOS[[#This Row],[Situación Actual]])</f>
        <v>SR-224RERodando</v>
      </c>
    </row>
    <row r="640" spans="1:51" ht="12" x14ac:dyDescent="0.25">
      <c r="A640" s="227" t="s">
        <v>243</v>
      </c>
      <c r="B640" s="217" t="s">
        <v>244</v>
      </c>
      <c r="C640" s="228" t="s">
        <v>295</v>
      </c>
      <c r="D640" s="229" t="s">
        <v>108</v>
      </c>
      <c r="E640" s="255"/>
      <c r="F640" s="256" t="s">
        <v>273</v>
      </c>
      <c r="G640" s="256" t="s">
        <v>271</v>
      </c>
      <c r="H640" s="257" t="str">
        <f>IF(BASE_DATOS[[#This Row],[N-R]]="N",BASE_DATOS[[#This Row],[Diseño]],"Reencauche")</f>
        <v>XMULTI2D</v>
      </c>
      <c r="I640" s="256" t="s">
        <v>299</v>
      </c>
      <c r="J640" s="243" t="s">
        <v>72</v>
      </c>
      <c r="K640" s="258">
        <v>21.4</v>
      </c>
      <c r="L640" s="256">
        <v>110</v>
      </c>
      <c r="M640" s="259"/>
      <c r="N640" s="260"/>
      <c r="O640" s="277"/>
      <c r="P640" s="278"/>
      <c r="Q640" s="279"/>
      <c r="R640" s="309" t="s">
        <v>108</v>
      </c>
      <c r="S640" s="310">
        <v>45385</v>
      </c>
      <c r="T640" s="313"/>
      <c r="U640" s="279"/>
      <c r="V640" s="227">
        <v>21</v>
      </c>
      <c r="W640" s="281"/>
      <c r="X640" s="282">
        <v>21</v>
      </c>
      <c r="Y640" s="293">
        <f t="shared" si="28"/>
        <v>21</v>
      </c>
      <c r="Z640" s="175" t="s">
        <v>85</v>
      </c>
      <c r="AA640" s="342">
        <f>IFERROR(BASE_DATOS[[#This Row],[NSK Original]]-BASE_DATOS[[#This Row],[NSK]]," ")</f>
        <v>0.39999999999999858</v>
      </c>
      <c r="AB640" s="343">
        <f>'NSK-TRACTO'!$A$2</f>
        <v>6</v>
      </c>
      <c r="AC640" s="343">
        <f>IF(BASE_DATOS[[#This Row],[NSK]]&gt;=BASE_DATOS[[#This Row],[NSK Reen]],BASE_DATOS[[#This Row],[NSK Reen]],BASE_DATOS[[#This Row],[NSK]])</f>
        <v>6</v>
      </c>
      <c r="AD640" s="344">
        <f>IFERROR(100%-(BASE_DATOS[[#This Row],[NSK Reen]]/BASE_DATOS[[#This Row],[NSK Original]]),"")</f>
        <v>0.71962616822429903</v>
      </c>
      <c r="AE640" s="344">
        <f>IFERROR(100%-BASE_DATOS[[#This Row],[NSK]]/BASE_DATOS[[#This Row],[NSK Original]],"")</f>
        <v>1.869158878504662E-2</v>
      </c>
      <c r="AF640" s="344">
        <f>IFERROR(BASE_DATOS[[#This Row],[% Max Des.]]-BASE_DATOS[[#This Row],[% Des]],"")</f>
        <v>0.70093457943925241</v>
      </c>
      <c r="AG640" s="287"/>
      <c r="AH640" s="273"/>
      <c r="AI640" s="363" t="str">
        <f>IF(OR(BASE_DATOS[[#This Row],[Hr.]]="",BASE_DATOS[[#This Row],[Hr. Actual]]=""),"",BASE_DATOS[[#This Row],[Hr. Actual]]-BASE_DATOS[[#This Row],[Hr.]]+BASE_DATOS[[#This Row],[Horas Acumuladas]])</f>
        <v/>
      </c>
      <c r="AJ640" s="364" t="str">
        <f>IFERROR(BASE_DATOS[[#This Row],[Precio US$]]/BASE_DATOS[[#This Row],[Horas Rodadas]],"")</f>
        <v/>
      </c>
      <c r="AK640" s="365" t="str">
        <f>IFERROR(BASE_DATOS[[#This Row],[Horas Rodadas]]/(BASE_DATOS[[#This Row],[NSK Original]]-BASE_DATOS[[#This Row],[NSK]]),"")</f>
        <v/>
      </c>
      <c r="AL64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40" s="366" t="str">
        <f>IFERROR(BASE_DATOS[[#This Row],[Precio US$]]/BASE_DATOS[[#This Row],[Horas Proy.]],"")</f>
        <v/>
      </c>
      <c r="AN640" s="176" t="str">
        <f>IF(OR(BASE_DATOS[[#This Row],[Km.]]="",BASE_DATOS[[#This Row],[Km. Actual]]=""),"",BASE_DATOS[[#This Row],[Km. Actual]]-BASE_DATOS[[#This Row],[Km.]]+BASE_DATOS[[#This Row],[Kilómetros Acumulados]])</f>
        <v/>
      </c>
      <c r="AO640" s="177" t="str">
        <f>IFERROR(BASE_DATOS[[#This Row],[Precio US$]]/BASE_DATOS[[#This Row],[Kilómetros Rodados]],"")</f>
        <v/>
      </c>
      <c r="AP640" s="176" t="str">
        <f>IFERROR(BASE_DATOS[[#This Row],[Kilómetros Rodados]]/(BASE_DATOS[[#This Row],[NSK Original]]-BASE_DATOS[[#This Row],[NSK]]),"")</f>
        <v/>
      </c>
      <c r="AQ64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40" s="177" t="str">
        <f>IFERROR(BASE_DATOS[[#This Row],[Precio US$]]/BASE_DATOS[[#This Row],[Kilómetros Proy.]],"")</f>
        <v/>
      </c>
      <c r="AS640" s="167" t="s">
        <v>62</v>
      </c>
      <c r="AT640" s="167"/>
      <c r="AU640" s="167"/>
      <c r="AV640" s="167"/>
      <c r="AW640" s="179"/>
      <c r="AX640" s="179"/>
      <c r="AY640" s="179" t="str">
        <f>CONCATENATE(BASE_DATOS[[#This Row],[Código_U]]&amp;BASE_DATOS[[#This Row],[Pos.]]&amp;BASE_DATOS[[#This Row],[Situación Actual]])</f>
        <v>SR-224RTRodando</v>
      </c>
    </row>
    <row r="641" spans="1:51" ht="12" x14ac:dyDescent="0.25">
      <c r="A641" s="224" t="s">
        <v>245</v>
      </c>
      <c r="B641" s="213" t="s">
        <v>246</v>
      </c>
      <c r="C641" s="225" t="s">
        <v>296</v>
      </c>
      <c r="D641" s="226" t="s">
        <v>86</v>
      </c>
      <c r="E641" s="249"/>
      <c r="F641" s="250" t="s">
        <v>71</v>
      </c>
      <c r="G641" s="250" t="s">
        <v>271</v>
      </c>
      <c r="H641" s="251" t="str">
        <f>IF(BASE_DATOS[[#This Row],[N-R]]="N",BASE_DATOS[[#This Row],[Diseño]],"Reencauche")</f>
        <v>KMAX S</v>
      </c>
      <c r="I641" s="250" t="s">
        <v>287</v>
      </c>
      <c r="J641" s="235" t="s">
        <v>72</v>
      </c>
      <c r="K641" s="252">
        <v>15.8</v>
      </c>
      <c r="L641" s="250">
        <v>100</v>
      </c>
      <c r="M641" s="253"/>
      <c r="N641" s="254"/>
      <c r="O641" s="274"/>
      <c r="P641" s="275"/>
      <c r="Q641" s="276"/>
      <c r="R641" s="305" t="s">
        <v>98</v>
      </c>
      <c r="S641" s="306">
        <v>45385</v>
      </c>
      <c r="T641" s="307"/>
      <c r="U641" s="308"/>
      <c r="V641" s="224">
        <v>11</v>
      </c>
      <c r="W641" s="325">
        <v>11</v>
      </c>
      <c r="X641" s="326">
        <v>11</v>
      </c>
      <c r="Y641" s="292">
        <f t="shared" si="28"/>
        <v>11</v>
      </c>
      <c r="Z641" s="185" t="s">
        <v>73</v>
      </c>
      <c r="AA641" s="339">
        <f>IFERROR(BASE_DATOS[[#This Row],[NSK Original]]-BASE_DATOS[[#This Row],[NSK]]," ")</f>
        <v>4.8000000000000007</v>
      </c>
      <c r="AB641" s="340">
        <f>'NSK-TRACTO'!$A$2</f>
        <v>6</v>
      </c>
      <c r="AC641" s="340">
        <f>IF(BASE_DATOS[[#This Row],[NSK]]&gt;=BASE_DATOS[[#This Row],[NSK Reen]],BASE_DATOS[[#This Row],[NSK Reen]],BASE_DATOS[[#This Row],[NSK]])</f>
        <v>6</v>
      </c>
      <c r="AD641" s="341">
        <f>IFERROR(100%-(BASE_DATOS[[#This Row],[NSK Reen]]/BASE_DATOS[[#This Row],[NSK Original]]),"")</f>
        <v>0.620253164556962</v>
      </c>
      <c r="AE641" s="341">
        <f>IFERROR(100%-BASE_DATOS[[#This Row],[NSK]]/BASE_DATOS[[#This Row],[NSK Original]],"")</f>
        <v>0.30379746835443044</v>
      </c>
      <c r="AF641" s="341">
        <f>IFERROR(BASE_DATOS[[#This Row],[% Max Des.]]-BASE_DATOS[[#This Row],[% Des]],"")</f>
        <v>0.31645569620253156</v>
      </c>
      <c r="AG641" s="284"/>
      <c r="AH641" s="335"/>
      <c r="AI641" s="359" t="str">
        <f>IF(OR(BASE_DATOS[[#This Row],[Hr.]]="",BASE_DATOS[[#This Row],[Hr. Actual]]=""),"",BASE_DATOS[[#This Row],[Hr. Actual]]-BASE_DATOS[[#This Row],[Hr.]]+BASE_DATOS[[#This Row],[Horas Acumuladas]])</f>
        <v/>
      </c>
      <c r="AJ641" s="360" t="str">
        <f>IFERROR(BASE_DATOS[[#This Row],[Precio US$]]/BASE_DATOS[[#This Row],[Horas Rodadas]],"")</f>
        <v/>
      </c>
      <c r="AK641" s="361" t="str">
        <f>IFERROR(BASE_DATOS[[#This Row],[Horas Rodadas]]/(BASE_DATOS[[#This Row],[NSK Original]]-BASE_DATOS[[#This Row],[NSK]]),"")</f>
        <v/>
      </c>
      <c r="AL641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41" s="362" t="str">
        <f>IFERROR(BASE_DATOS[[#This Row],[Precio US$]]/BASE_DATOS[[#This Row],[Horas Proy.]],"")</f>
        <v/>
      </c>
      <c r="AN641" s="195" t="str">
        <f>IF(OR(BASE_DATOS[[#This Row],[Km.]]="",BASE_DATOS[[#This Row],[Km. Actual]]=""),"",BASE_DATOS[[#This Row],[Km. Actual]]-BASE_DATOS[[#This Row],[Km.]]+BASE_DATOS[[#This Row],[Kilómetros Acumulados]])</f>
        <v/>
      </c>
      <c r="AO641" s="196" t="str">
        <f>IFERROR(BASE_DATOS[[#This Row],[Precio US$]]/BASE_DATOS[[#This Row],[Kilómetros Rodados]],"")</f>
        <v/>
      </c>
      <c r="AP641" s="195" t="str">
        <f>IFERROR(BASE_DATOS[[#This Row],[Kilómetros Rodados]]/(BASE_DATOS[[#This Row],[NSK Original]]-BASE_DATOS[[#This Row],[NSK]]),"")</f>
        <v/>
      </c>
      <c r="AQ641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41" s="196" t="str">
        <f>IFERROR(BASE_DATOS[[#This Row],[Precio US$]]/BASE_DATOS[[#This Row],[Kilómetros Proy.]],"")</f>
        <v/>
      </c>
      <c r="AS641" s="191" t="s">
        <v>62</v>
      </c>
      <c r="AT641" s="191"/>
      <c r="AU641" s="191"/>
      <c r="AV641" s="191" t="s">
        <v>515</v>
      </c>
      <c r="AW641" s="198"/>
      <c r="AX641" s="192"/>
      <c r="AY641" s="192" t="str">
        <f>CONCATENATE(BASE_DATOS[[#This Row],[Código_U]]&amp;BASE_DATOS[[#This Row],[Pos.]]&amp;BASE_DATOS[[#This Row],[Situación Actual]])</f>
        <v>TC-2261Rodando</v>
      </c>
    </row>
    <row r="642" spans="1:51" ht="12" x14ac:dyDescent="0.25">
      <c r="A642" s="227" t="s">
        <v>245</v>
      </c>
      <c r="B642" s="217" t="s">
        <v>246</v>
      </c>
      <c r="C642" s="228" t="s">
        <v>296</v>
      </c>
      <c r="D642" s="229" t="s">
        <v>86</v>
      </c>
      <c r="E642" s="255"/>
      <c r="F642" s="256" t="s">
        <v>71</v>
      </c>
      <c r="G642" s="256" t="s">
        <v>271</v>
      </c>
      <c r="H642" s="257" t="str">
        <f>IF(BASE_DATOS[[#This Row],[N-R]]="N",BASE_DATOS[[#This Row],[Diseño]],"Reencauche")</f>
        <v>KMAX S</v>
      </c>
      <c r="I642" s="256" t="s">
        <v>287</v>
      </c>
      <c r="J642" s="243" t="s">
        <v>72</v>
      </c>
      <c r="K642" s="258">
        <v>15.8</v>
      </c>
      <c r="L642" s="256">
        <v>100</v>
      </c>
      <c r="M642" s="259"/>
      <c r="N642" s="260"/>
      <c r="O642" s="277"/>
      <c r="P642" s="278"/>
      <c r="Q642" s="279"/>
      <c r="R642" s="309" t="s">
        <v>99</v>
      </c>
      <c r="S642" s="310">
        <v>45385</v>
      </c>
      <c r="T642" s="311"/>
      <c r="U642" s="312"/>
      <c r="V642" s="227">
        <v>14</v>
      </c>
      <c r="W642" s="281">
        <v>14</v>
      </c>
      <c r="X642" s="282">
        <v>14</v>
      </c>
      <c r="Y642" s="293">
        <f t="shared" si="28"/>
        <v>14</v>
      </c>
      <c r="Z642" s="161" t="s">
        <v>73</v>
      </c>
      <c r="AA642" s="342">
        <f>IFERROR(BASE_DATOS[[#This Row],[NSK Original]]-BASE_DATOS[[#This Row],[NSK]]," ")</f>
        <v>1.8000000000000007</v>
      </c>
      <c r="AB642" s="343">
        <f>'NSK-TRACTO'!$A$2</f>
        <v>6</v>
      </c>
      <c r="AC642" s="343">
        <f>IF(BASE_DATOS[[#This Row],[NSK]]&gt;=BASE_DATOS[[#This Row],[NSK Reen]],BASE_DATOS[[#This Row],[NSK Reen]],BASE_DATOS[[#This Row],[NSK]])</f>
        <v>6</v>
      </c>
      <c r="AD642" s="344">
        <f>IFERROR(100%-(BASE_DATOS[[#This Row],[NSK Reen]]/BASE_DATOS[[#This Row],[NSK Original]]),"")</f>
        <v>0.620253164556962</v>
      </c>
      <c r="AE642" s="344">
        <f>IFERROR(100%-BASE_DATOS[[#This Row],[NSK]]/BASE_DATOS[[#This Row],[NSK Original]],"")</f>
        <v>0.11392405063291144</v>
      </c>
      <c r="AF642" s="344">
        <f>IFERROR(BASE_DATOS[[#This Row],[% Max Des.]]-BASE_DATOS[[#This Row],[% Des]],"")</f>
        <v>0.50632911392405056</v>
      </c>
      <c r="AG642" s="287"/>
      <c r="AH642" s="273"/>
      <c r="AI642" s="363" t="str">
        <f>IF(OR(BASE_DATOS[[#This Row],[Hr.]]="",BASE_DATOS[[#This Row],[Hr. Actual]]=""),"",BASE_DATOS[[#This Row],[Hr. Actual]]-BASE_DATOS[[#This Row],[Hr.]]+BASE_DATOS[[#This Row],[Horas Acumuladas]])</f>
        <v/>
      </c>
      <c r="AJ642" s="364" t="str">
        <f>IFERROR(BASE_DATOS[[#This Row],[Precio US$]]/BASE_DATOS[[#This Row],[Horas Rodadas]],"")</f>
        <v/>
      </c>
      <c r="AK642" s="365" t="str">
        <f>IFERROR(BASE_DATOS[[#This Row],[Horas Rodadas]]/(BASE_DATOS[[#This Row],[NSK Original]]-BASE_DATOS[[#This Row],[NSK]]),"")</f>
        <v/>
      </c>
      <c r="AL64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42" s="366" t="str">
        <f>IFERROR(BASE_DATOS[[#This Row],[Precio US$]]/BASE_DATOS[[#This Row],[Horas Proy.]],"")</f>
        <v/>
      </c>
      <c r="AN642" s="176" t="str">
        <f>IF(OR(BASE_DATOS[[#This Row],[Km.]]="",BASE_DATOS[[#This Row],[Km. Actual]]=""),"",BASE_DATOS[[#This Row],[Km. Actual]]-BASE_DATOS[[#This Row],[Km.]]+BASE_DATOS[[#This Row],[Kilómetros Acumulados]])</f>
        <v/>
      </c>
      <c r="AO642" s="177" t="str">
        <f>IFERROR(BASE_DATOS[[#This Row],[Precio US$]]/BASE_DATOS[[#This Row],[Kilómetros Rodados]],"")</f>
        <v/>
      </c>
      <c r="AP642" s="176" t="str">
        <f>IFERROR(BASE_DATOS[[#This Row],[Kilómetros Rodados]]/(BASE_DATOS[[#This Row],[NSK Original]]-BASE_DATOS[[#This Row],[NSK]]),"")</f>
        <v/>
      </c>
      <c r="AQ64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42" s="177" t="str">
        <f>IFERROR(BASE_DATOS[[#This Row],[Precio US$]]/BASE_DATOS[[#This Row],[Kilómetros Proy.]],"")</f>
        <v/>
      </c>
      <c r="AS642" s="167" t="s">
        <v>62</v>
      </c>
      <c r="AT642" s="167"/>
      <c r="AU642" s="167"/>
      <c r="AV642" s="167" t="s">
        <v>515</v>
      </c>
      <c r="AW642" s="179"/>
      <c r="AX642" s="169"/>
      <c r="AY642" s="169" t="str">
        <f>CONCATENATE(BASE_DATOS[[#This Row],[Código_U]]&amp;BASE_DATOS[[#This Row],[Pos.]]&amp;BASE_DATOS[[#This Row],[Situación Actual]])</f>
        <v>TC-2262Rodando</v>
      </c>
    </row>
    <row r="643" spans="1:51" ht="12" x14ac:dyDescent="0.25">
      <c r="A643" s="227" t="s">
        <v>245</v>
      </c>
      <c r="B643" s="217" t="s">
        <v>246</v>
      </c>
      <c r="C643" s="228" t="s">
        <v>296</v>
      </c>
      <c r="D643" s="229" t="s">
        <v>61</v>
      </c>
      <c r="E643" s="255"/>
      <c r="F643" s="256" t="s">
        <v>273</v>
      </c>
      <c r="G643" s="256" t="s">
        <v>271</v>
      </c>
      <c r="H643" s="257" t="str">
        <f>IF(BASE_DATOS[[#This Row],[N-R]]="N",BASE_DATOS[[#This Row],[Diseño]],"Reencauche")</f>
        <v>XMULTI2D</v>
      </c>
      <c r="I643" s="256" t="s">
        <v>299</v>
      </c>
      <c r="J643" s="243" t="s">
        <v>72</v>
      </c>
      <c r="K643" s="258">
        <v>21.4</v>
      </c>
      <c r="L643" s="256">
        <v>110</v>
      </c>
      <c r="M643" s="259"/>
      <c r="N643" s="260"/>
      <c r="O643" s="277"/>
      <c r="P643" s="278"/>
      <c r="Q643" s="279"/>
      <c r="R643" s="309" t="s">
        <v>100</v>
      </c>
      <c r="S643" s="310">
        <v>45385</v>
      </c>
      <c r="T643" s="311"/>
      <c r="U643" s="312"/>
      <c r="V643" s="227">
        <v>11</v>
      </c>
      <c r="W643" s="281"/>
      <c r="X643" s="282">
        <v>11</v>
      </c>
      <c r="Y643" s="293">
        <f t="shared" si="28"/>
        <v>11</v>
      </c>
      <c r="Z643" s="161" t="s">
        <v>73</v>
      </c>
      <c r="AA643" s="342">
        <f>IFERROR(BASE_DATOS[[#This Row],[NSK Original]]-BASE_DATOS[[#This Row],[NSK]]," ")</f>
        <v>10.399999999999999</v>
      </c>
      <c r="AB643" s="343">
        <f>'NSK-TRACTO'!$A$2</f>
        <v>6</v>
      </c>
      <c r="AC643" s="343">
        <f>IF(BASE_DATOS[[#This Row],[NSK]]&gt;=BASE_DATOS[[#This Row],[NSK Reen]],BASE_DATOS[[#This Row],[NSK Reen]],BASE_DATOS[[#This Row],[NSK]])</f>
        <v>6</v>
      </c>
      <c r="AD643" s="344">
        <f>IFERROR(100%-(BASE_DATOS[[#This Row],[NSK Reen]]/BASE_DATOS[[#This Row],[NSK Original]]),"")</f>
        <v>0.71962616822429903</v>
      </c>
      <c r="AE643" s="344">
        <f>IFERROR(100%-BASE_DATOS[[#This Row],[NSK]]/BASE_DATOS[[#This Row],[NSK Original]],"")</f>
        <v>0.4859813084112149</v>
      </c>
      <c r="AF643" s="344">
        <f>IFERROR(BASE_DATOS[[#This Row],[% Max Des.]]-BASE_DATOS[[#This Row],[% Des]],"")</f>
        <v>0.23364485981308414</v>
      </c>
      <c r="AG643" s="287"/>
      <c r="AH643" s="273"/>
      <c r="AI643" s="363" t="str">
        <f>IF(OR(BASE_DATOS[[#This Row],[Hr.]]="",BASE_DATOS[[#This Row],[Hr. Actual]]=""),"",BASE_DATOS[[#This Row],[Hr. Actual]]-BASE_DATOS[[#This Row],[Hr.]]+BASE_DATOS[[#This Row],[Horas Acumuladas]])</f>
        <v/>
      </c>
      <c r="AJ643" s="364" t="str">
        <f>IFERROR(BASE_DATOS[[#This Row],[Precio US$]]/BASE_DATOS[[#This Row],[Horas Rodadas]],"")</f>
        <v/>
      </c>
      <c r="AK643" s="365" t="str">
        <f>IFERROR(BASE_DATOS[[#This Row],[Horas Rodadas]]/(BASE_DATOS[[#This Row],[NSK Original]]-BASE_DATOS[[#This Row],[NSK]]),"")</f>
        <v/>
      </c>
      <c r="AL64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43" s="366" t="str">
        <f>IFERROR(BASE_DATOS[[#This Row],[Precio US$]]/BASE_DATOS[[#This Row],[Horas Proy.]],"")</f>
        <v/>
      </c>
      <c r="AN643" s="176" t="str">
        <f>IF(OR(BASE_DATOS[[#This Row],[Km.]]="",BASE_DATOS[[#This Row],[Km. Actual]]=""),"",BASE_DATOS[[#This Row],[Km. Actual]]-BASE_DATOS[[#This Row],[Km.]]+BASE_DATOS[[#This Row],[Kilómetros Acumulados]])</f>
        <v/>
      </c>
      <c r="AO643" s="177" t="str">
        <f>IFERROR(BASE_DATOS[[#This Row],[Precio US$]]/BASE_DATOS[[#This Row],[Kilómetros Rodados]],"")</f>
        <v/>
      </c>
      <c r="AP643" s="176" t="str">
        <f>IFERROR(BASE_DATOS[[#This Row],[Kilómetros Rodados]]/(BASE_DATOS[[#This Row],[NSK Original]]-BASE_DATOS[[#This Row],[NSK]]),"")</f>
        <v/>
      </c>
      <c r="AQ64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43" s="177" t="str">
        <f>IFERROR(BASE_DATOS[[#This Row],[Precio US$]]/BASE_DATOS[[#This Row],[Kilómetros Proy.]],"")</f>
        <v/>
      </c>
      <c r="AS643" s="167" t="s">
        <v>62</v>
      </c>
      <c r="AT643" s="167"/>
      <c r="AU643" s="167"/>
      <c r="AV643" s="167"/>
      <c r="AW643" s="179"/>
      <c r="AX643" s="179"/>
      <c r="AY643" s="179" t="str">
        <f>CONCATENATE(BASE_DATOS[[#This Row],[Código_U]]&amp;BASE_DATOS[[#This Row],[Pos.]]&amp;BASE_DATOS[[#This Row],[Situación Actual]])</f>
        <v>TC-2263Rodando</v>
      </c>
    </row>
    <row r="644" spans="1:51" ht="12" x14ac:dyDescent="0.25">
      <c r="A644" s="227" t="s">
        <v>245</v>
      </c>
      <c r="B644" s="217" t="s">
        <v>246</v>
      </c>
      <c r="C644" s="228" t="s">
        <v>296</v>
      </c>
      <c r="D644" s="229" t="s">
        <v>61</v>
      </c>
      <c r="E644" s="255"/>
      <c r="F644" s="256" t="s">
        <v>273</v>
      </c>
      <c r="G644" s="256" t="s">
        <v>271</v>
      </c>
      <c r="H644" s="257" t="str">
        <f>IF(BASE_DATOS[[#This Row],[N-R]]="N",BASE_DATOS[[#This Row],[Diseño]],"Reencauche")</f>
        <v>XMULTI2D</v>
      </c>
      <c r="I644" s="256" t="s">
        <v>299</v>
      </c>
      <c r="J644" s="243" t="s">
        <v>72</v>
      </c>
      <c r="K644" s="258">
        <v>21.4</v>
      </c>
      <c r="L644" s="256">
        <v>110</v>
      </c>
      <c r="M644" s="259"/>
      <c r="N644" s="260"/>
      <c r="O644" s="277"/>
      <c r="P644" s="278"/>
      <c r="Q644" s="279"/>
      <c r="R644" s="309" t="s">
        <v>101</v>
      </c>
      <c r="S644" s="310">
        <v>45385</v>
      </c>
      <c r="T644" s="311"/>
      <c r="U644" s="312"/>
      <c r="V644" s="227">
        <v>9</v>
      </c>
      <c r="W644" s="281"/>
      <c r="X644" s="282">
        <v>9</v>
      </c>
      <c r="Y644" s="293">
        <f t="shared" si="28"/>
        <v>9</v>
      </c>
      <c r="Z644" s="161" t="s">
        <v>85</v>
      </c>
      <c r="AA644" s="342">
        <f>IFERROR(BASE_DATOS[[#This Row],[NSK Original]]-BASE_DATOS[[#This Row],[NSK]]," ")</f>
        <v>12.399999999999999</v>
      </c>
      <c r="AB644" s="343">
        <f>'NSK-TRACTO'!$A$2</f>
        <v>6</v>
      </c>
      <c r="AC644" s="343">
        <f>IF(BASE_DATOS[[#This Row],[NSK]]&gt;=BASE_DATOS[[#This Row],[NSK Reen]],BASE_DATOS[[#This Row],[NSK Reen]],BASE_DATOS[[#This Row],[NSK]])</f>
        <v>6</v>
      </c>
      <c r="AD644" s="344">
        <f>IFERROR(100%-(BASE_DATOS[[#This Row],[NSK Reen]]/BASE_DATOS[[#This Row],[NSK Original]]),"")</f>
        <v>0.71962616822429903</v>
      </c>
      <c r="AE644" s="344">
        <f>IFERROR(100%-BASE_DATOS[[#This Row],[NSK]]/BASE_DATOS[[#This Row],[NSK Original]],"")</f>
        <v>0.57943925233644855</v>
      </c>
      <c r="AF644" s="344">
        <f>IFERROR(BASE_DATOS[[#This Row],[% Max Des.]]-BASE_DATOS[[#This Row],[% Des]],"")</f>
        <v>0.14018691588785048</v>
      </c>
      <c r="AG644" s="287"/>
      <c r="AH644" s="273"/>
      <c r="AI644" s="363" t="str">
        <f>IF(OR(BASE_DATOS[[#This Row],[Hr.]]="",BASE_DATOS[[#This Row],[Hr. Actual]]=""),"",BASE_DATOS[[#This Row],[Hr. Actual]]-BASE_DATOS[[#This Row],[Hr.]]+BASE_DATOS[[#This Row],[Horas Acumuladas]])</f>
        <v/>
      </c>
      <c r="AJ644" s="364" t="str">
        <f>IFERROR(BASE_DATOS[[#This Row],[Precio US$]]/BASE_DATOS[[#This Row],[Horas Rodadas]],"")</f>
        <v/>
      </c>
      <c r="AK644" s="365" t="str">
        <f>IFERROR(BASE_DATOS[[#This Row],[Horas Rodadas]]/(BASE_DATOS[[#This Row],[NSK Original]]-BASE_DATOS[[#This Row],[NSK]]),"")</f>
        <v/>
      </c>
      <c r="AL64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44" s="366" t="str">
        <f>IFERROR(BASE_DATOS[[#This Row],[Precio US$]]/BASE_DATOS[[#This Row],[Horas Proy.]],"")</f>
        <v/>
      </c>
      <c r="AN644" s="176" t="str">
        <f>IF(OR(BASE_DATOS[[#This Row],[Km.]]="",BASE_DATOS[[#This Row],[Km. Actual]]=""),"",BASE_DATOS[[#This Row],[Km. Actual]]-BASE_DATOS[[#This Row],[Km.]]+BASE_DATOS[[#This Row],[Kilómetros Acumulados]])</f>
        <v/>
      </c>
      <c r="AO644" s="177" t="str">
        <f>IFERROR(BASE_DATOS[[#This Row],[Precio US$]]/BASE_DATOS[[#This Row],[Kilómetros Rodados]],"")</f>
        <v/>
      </c>
      <c r="AP644" s="176" t="str">
        <f>IFERROR(BASE_DATOS[[#This Row],[Kilómetros Rodados]]/(BASE_DATOS[[#This Row],[NSK Original]]-BASE_DATOS[[#This Row],[NSK]]),"")</f>
        <v/>
      </c>
      <c r="AQ64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44" s="177" t="str">
        <f>IFERROR(BASE_DATOS[[#This Row],[Precio US$]]/BASE_DATOS[[#This Row],[Kilómetros Proy.]],"")</f>
        <v/>
      </c>
      <c r="AS644" s="167" t="s">
        <v>62</v>
      </c>
      <c r="AT644" s="167"/>
      <c r="AU644" s="167"/>
      <c r="AV644" s="167"/>
      <c r="AW644" s="179"/>
      <c r="AX644" s="179"/>
      <c r="AY644" s="179" t="str">
        <f>CONCATENATE(BASE_DATOS[[#This Row],[Código_U]]&amp;BASE_DATOS[[#This Row],[Pos.]]&amp;BASE_DATOS[[#This Row],[Situación Actual]])</f>
        <v>TC-2264Rodando</v>
      </c>
    </row>
    <row r="645" spans="1:51" ht="12" x14ac:dyDescent="0.25">
      <c r="A645" s="227" t="s">
        <v>245</v>
      </c>
      <c r="B645" s="217" t="s">
        <v>246</v>
      </c>
      <c r="C645" s="228" t="s">
        <v>296</v>
      </c>
      <c r="D645" s="229" t="s">
        <v>61</v>
      </c>
      <c r="E645" s="255"/>
      <c r="F645" s="256" t="s">
        <v>273</v>
      </c>
      <c r="G645" s="256" t="s">
        <v>271</v>
      </c>
      <c r="H645" s="257" t="str">
        <f>IF(BASE_DATOS[[#This Row],[N-R]]="N",BASE_DATOS[[#This Row],[Diseño]],"Reencauche")</f>
        <v>XMULTI2D</v>
      </c>
      <c r="I645" s="256" t="s">
        <v>299</v>
      </c>
      <c r="J645" s="243" t="s">
        <v>72</v>
      </c>
      <c r="K645" s="258">
        <v>21.4</v>
      </c>
      <c r="L645" s="256">
        <v>110</v>
      </c>
      <c r="M645" s="259"/>
      <c r="N645" s="260"/>
      <c r="O645" s="277"/>
      <c r="P645" s="278"/>
      <c r="Q645" s="279"/>
      <c r="R645" s="309" t="s">
        <v>102</v>
      </c>
      <c r="S645" s="310">
        <v>45385</v>
      </c>
      <c r="T645" s="311"/>
      <c r="U645" s="312"/>
      <c r="V645" s="227">
        <v>9</v>
      </c>
      <c r="W645" s="281"/>
      <c r="X645" s="282">
        <v>10</v>
      </c>
      <c r="Y645" s="293">
        <f t="shared" si="28"/>
        <v>9</v>
      </c>
      <c r="Z645" s="161" t="s">
        <v>85</v>
      </c>
      <c r="AA645" s="342">
        <f>IFERROR(BASE_DATOS[[#This Row],[NSK Original]]-BASE_DATOS[[#This Row],[NSK]]," ")</f>
        <v>12.399999999999999</v>
      </c>
      <c r="AB645" s="343">
        <f>'NSK-TRACTO'!$A$2</f>
        <v>6</v>
      </c>
      <c r="AC645" s="343">
        <f>IF(BASE_DATOS[[#This Row],[NSK]]&gt;=BASE_DATOS[[#This Row],[NSK Reen]],BASE_DATOS[[#This Row],[NSK Reen]],BASE_DATOS[[#This Row],[NSK]])</f>
        <v>6</v>
      </c>
      <c r="AD645" s="344">
        <f>IFERROR(100%-(BASE_DATOS[[#This Row],[NSK Reen]]/BASE_DATOS[[#This Row],[NSK Original]]),"")</f>
        <v>0.71962616822429903</v>
      </c>
      <c r="AE645" s="344">
        <f>IFERROR(100%-BASE_DATOS[[#This Row],[NSK]]/BASE_DATOS[[#This Row],[NSK Original]],"")</f>
        <v>0.57943925233644855</v>
      </c>
      <c r="AF645" s="344">
        <f>IFERROR(BASE_DATOS[[#This Row],[% Max Des.]]-BASE_DATOS[[#This Row],[% Des]],"")</f>
        <v>0.14018691588785048</v>
      </c>
      <c r="AG645" s="287"/>
      <c r="AH645" s="273"/>
      <c r="AI645" s="363" t="str">
        <f>IF(OR(BASE_DATOS[[#This Row],[Hr.]]="",BASE_DATOS[[#This Row],[Hr. Actual]]=""),"",BASE_DATOS[[#This Row],[Hr. Actual]]-BASE_DATOS[[#This Row],[Hr.]]+BASE_DATOS[[#This Row],[Horas Acumuladas]])</f>
        <v/>
      </c>
      <c r="AJ645" s="364" t="str">
        <f>IFERROR(BASE_DATOS[[#This Row],[Precio US$]]/BASE_DATOS[[#This Row],[Horas Rodadas]],"")</f>
        <v/>
      </c>
      <c r="AK645" s="365" t="str">
        <f>IFERROR(BASE_DATOS[[#This Row],[Horas Rodadas]]/(BASE_DATOS[[#This Row],[NSK Original]]-BASE_DATOS[[#This Row],[NSK]]),"")</f>
        <v/>
      </c>
      <c r="AL64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45" s="366" t="str">
        <f>IFERROR(BASE_DATOS[[#This Row],[Precio US$]]/BASE_DATOS[[#This Row],[Horas Proy.]],"")</f>
        <v/>
      </c>
      <c r="AN645" s="176" t="str">
        <f>IF(OR(BASE_DATOS[[#This Row],[Km.]]="",BASE_DATOS[[#This Row],[Km. Actual]]=""),"",BASE_DATOS[[#This Row],[Km. Actual]]-BASE_DATOS[[#This Row],[Km.]]+BASE_DATOS[[#This Row],[Kilómetros Acumulados]])</f>
        <v/>
      </c>
      <c r="AO645" s="177" t="str">
        <f>IFERROR(BASE_DATOS[[#This Row],[Precio US$]]/BASE_DATOS[[#This Row],[Kilómetros Rodados]],"")</f>
        <v/>
      </c>
      <c r="AP645" s="176" t="str">
        <f>IFERROR(BASE_DATOS[[#This Row],[Kilómetros Rodados]]/(BASE_DATOS[[#This Row],[NSK Original]]-BASE_DATOS[[#This Row],[NSK]]),"")</f>
        <v/>
      </c>
      <c r="AQ64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45" s="177" t="str">
        <f>IFERROR(BASE_DATOS[[#This Row],[Precio US$]]/BASE_DATOS[[#This Row],[Kilómetros Proy.]],"")</f>
        <v/>
      </c>
      <c r="AS645" s="167" t="s">
        <v>62</v>
      </c>
      <c r="AT645" s="167"/>
      <c r="AU645" s="167"/>
      <c r="AV645" s="167"/>
      <c r="AW645" s="179"/>
      <c r="AX645" s="179"/>
      <c r="AY645" s="179" t="str">
        <f>CONCATENATE(BASE_DATOS[[#This Row],[Código_U]]&amp;BASE_DATOS[[#This Row],[Pos.]]&amp;BASE_DATOS[[#This Row],[Situación Actual]])</f>
        <v>TC-2265Rodando</v>
      </c>
    </row>
    <row r="646" spans="1:51" ht="12" x14ac:dyDescent="0.25">
      <c r="A646" s="227" t="s">
        <v>245</v>
      </c>
      <c r="B646" s="217" t="s">
        <v>246</v>
      </c>
      <c r="C646" s="228" t="s">
        <v>296</v>
      </c>
      <c r="D646" s="229" t="s">
        <v>61</v>
      </c>
      <c r="E646" s="255"/>
      <c r="F646" s="256" t="s">
        <v>273</v>
      </c>
      <c r="G646" s="256" t="s">
        <v>271</v>
      </c>
      <c r="H646" s="257" t="str">
        <f>IF(BASE_DATOS[[#This Row],[N-R]]="N",BASE_DATOS[[#This Row],[Diseño]],"Reencauche")</f>
        <v>XMULTI2D</v>
      </c>
      <c r="I646" s="256" t="s">
        <v>299</v>
      </c>
      <c r="J646" s="243" t="s">
        <v>72</v>
      </c>
      <c r="K646" s="258">
        <v>21.4</v>
      </c>
      <c r="L646" s="256">
        <v>110</v>
      </c>
      <c r="M646" s="259"/>
      <c r="N646" s="260"/>
      <c r="O646" s="277"/>
      <c r="P646" s="278"/>
      <c r="Q646" s="279"/>
      <c r="R646" s="309" t="s">
        <v>103</v>
      </c>
      <c r="S646" s="310">
        <v>45385</v>
      </c>
      <c r="T646" s="311"/>
      <c r="U646" s="312"/>
      <c r="V646" s="227">
        <v>11</v>
      </c>
      <c r="W646" s="281"/>
      <c r="X646" s="282">
        <v>11</v>
      </c>
      <c r="Y646" s="293">
        <f t="shared" si="28"/>
        <v>11</v>
      </c>
      <c r="Z646" s="161" t="s">
        <v>73</v>
      </c>
      <c r="AA646" s="342">
        <f>IFERROR(BASE_DATOS[[#This Row],[NSK Original]]-BASE_DATOS[[#This Row],[NSK]]," ")</f>
        <v>10.399999999999999</v>
      </c>
      <c r="AB646" s="343">
        <f>'NSK-TRACTO'!$A$2</f>
        <v>6</v>
      </c>
      <c r="AC646" s="343">
        <f>IF(BASE_DATOS[[#This Row],[NSK]]&gt;=BASE_DATOS[[#This Row],[NSK Reen]],BASE_DATOS[[#This Row],[NSK Reen]],BASE_DATOS[[#This Row],[NSK]])</f>
        <v>6</v>
      </c>
      <c r="AD646" s="344">
        <f>IFERROR(100%-(BASE_DATOS[[#This Row],[NSK Reen]]/BASE_DATOS[[#This Row],[NSK Original]]),"")</f>
        <v>0.71962616822429903</v>
      </c>
      <c r="AE646" s="344">
        <f>IFERROR(100%-BASE_DATOS[[#This Row],[NSK]]/BASE_DATOS[[#This Row],[NSK Original]],"")</f>
        <v>0.4859813084112149</v>
      </c>
      <c r="AF646" s="344">
        <f>IFERROR(BASE_DATOS[[#This Row],[% Max Des.]]-BASE_DATOS[[#This Row],[% Des]],"")</f>
        <v>0.23364485981308414</v>
      </c>
      <c r="AG646" s="287"/>
      <c r="AH646" s="273"/>
      <c r="AI646" s="363" t="str">
        <f>IF(OR(BASE_DATOS[[#This Row],[Hr.]]="",BASE_DATOS[[#This Row],[Hr. Actual]]=""),"",BASE_DATOS[[#This Row],[Hr. Actual]]-BASE_DATOS[[#This Row],[Hr.]]+BASE_DATOS[[#This Row],[Horas Acumuladas]])</f>
        <v/>
      </c>
      <c r="AJ646" s="364" t="str">
        <f>IFERROR(BASE_DATOS[[#This Row],[Precio US$]]/BASE_DATOS[[#This Row],[Horas Rodadas]],"")</f>
        <v/>
      </c>
      <c r="AK646" s="365" t="str">
        <f>IFERROR(BASE_DATOS[[#This Row],[Horas Rodadas]]/(BASE_DATOS[[#This Row],[NSK Original]]-BASE_DATOS[[#This Row],[NSK]]),"")</f>
        <v/>
      </c>
      <c r="AL64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46" s="366" t="str">
        <f>IFERROR(BASE_DATOS[[#This Row],[Precio US$]]/BASE_DATOS[[#This Row],[Horas Proy.]],"")</f>
        <v/>
      </c>
      <c r="AN646" s="176" t="str">
        <f>IF(OR(BASE_DATOS[[#This Row],[Km.]]="",BASE_DATOS[[#This Row],[Km. Actual]]=""),"",BASE_DATOS[[#This Row],[Km. Actual]]-BASE_DATOS[[#This Row],[Km.]]+BASE_DATOS[[#This Row],[Kilómetros Acumulados]])</f>
        <v/>
      </c>
      <c r="AO646" s="177" t="str">
        <f>IFERROR(BASE_DATOS[[#This Row],[Precio US$]]/BASE_DATOS[[#This Row],[Kilómetros Rodados]],"")</f>
        <v/>
      </c>
      <c r="AP646" s="176" t="str">
        <f>IFERROR(BASE_DATOS[[#This Row],[Kilómetros Rodados]]/(BASE_DATOS[[#This Row],[NSK Original]]-BASE_DATOS[[#This Row],[NSK]]),"")</f>
        <v/>
      </c>
      <c r="AQ64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46" s="177" t="str">
        <f>IFERROR(BASE_DATOS[[#This Row],[Precio US$]]/BASE_DATOS[[#This Row],[Kilómetros Proy.]],"")</f>
        <v/>
      </c>
      <c r="AS646" s="167" t="s">
        <v>62</v>
      </c>
      <c r="AT646" s="167"/>
      <c r="AU646" s="167"/>
      <c r="AV646" s="167"/>
      <c r="AW646" s="179"/>
      <c r="AX646" s="179"/>
      <c r="AY646" s="179" t="str">
        <f>CONCATENATE(BASE_DATOS[[#This Row],[Código_U]]&amp;BASE_DATOS[[#This Row],[Pos.]]&amp;BASE_DATOS[[#This Row],[Situación Actual]])</f>
        <v>TC-2266Rodando</v>
      </c>
    </row>
    <row r="647" spans="1:51" ht="12" x14ac:dyDescent="0.25">
      <c r="A647" s="227" t="s">
        <v>245</v>
      </c>
      <c r="B647" s="217" t="s">
        <v>246</v>
      </c>
      <c r="C647" s="228" t="s">
        <v>296</v>
      </c>
      <c r="D647" s="229" t="s">
        <v>61</v>
      </c>
      <c r="E647" s="255"/>
      <c r="F647" s="256" t="s">
        <v>273</v>
      </c>
      <c r="G647" s="256" t="s">
        <v>271</v>
      </c>
      <c r="H647" s="257" t="str">
        <f>IF(BASE_DATOS[[#This Row],[N-R]]="N",BASE_DATOS[[#This Row],[Diseño]],"Reencauche")</f>
        <v>XMULTI2D</v>
      </c>
      <c r="I647" s="256" t="s">
        <v>299</v>
      </c>
      <c r="J647" s="243" t="s">
        <v>72</v>
      </c>
      <c r="K647" s="258">
        <v>21.4</v>
      </c>
      <c r="L647" s="256">
        <v>110</v>
      </c>
      <c r="M647" s="259"/>
      <c r="N647" s="260"/>
      <c r="O647" s="277"/>
      <c r="P647" s="278"/>
      <c r="Q647" s="279"/>
      <c r="R647" s="309" t="s">
        <v>104</v>
      </c>
      <c r="S647" s="310">
        <v>45385</v>
      </c>
      <c r="T647" s="311"/>
      <c r="U647" s="312"/>
      <c r="V647" s="227">
        <v>18</v>
      </c>
      <c r="W647" s="281"/>
      <c r="X647" s="282">
        <v>19</v>
      </c>
      <c r="Y647" s="293">
        <f t="shared" si="28"/>
        <v>18</v>
      </c>
      <c r="Z647" s="161" t="s">
        <v>85</v>
      </c>
      <c r="AA647" s="342">
        <f>IFERROR(BASE_DATOS[[#This Row],[NSK Original]]-BASE_DATOS[[#This Row],[NSK]]," ")</f>
        <v>3.3999999999999986</v>
      </c>
      <c r="AB647" s="343">
        <f>'NSK-TRACTO'!$A$2</f>
        <v>6</v>
      </c>
      <c r="AC647" s="343">
        <f>IF(BASE_DATOS[[#This Row],[NSK]]&gt;=BASE_DATOS[[#This Row],[NSK Reen]],BASE_DATOS[[#This Row],[NSK Reen]],BASE_DATOS[[#This Row],[NSK]])</f>
        <v>6</v>
      </c>
      <c r="AD647" s="344">
        <f>IFERROR(100%-(BASE_DATOS[[#This Row],[NSK Reen]]/BASE_DATOS[[#This Row],[NSK Original]]),"")</f>
        <v>0.71962616822429903</v>
      </c>
      <c r="AE647" s="344">
        <f>IFERROR(100%-BASE_DATOS[[#This Row],[NSK]]/BASE_DATOS[[#This Row],[NSK Original]],"")</f>
        <v>0.1588785046728971</v>
      </c>
      <c r="AF647" s="344">
        <f>IFERROR(BASE_DATOS[[#This Row],[% Max Des.]]-BASE_DATOS[[#This Row],[% Des]],"")</f>
        <v>0.56074766355140193</v>
      </c>
      <c r="AG647" s="287"/>
      <c r="AH647" s="273"/>
      <c r="AI647" s="363" t="str">
        <f>IF(OR(BASE_DATOS[[#This Row],[Hr.]]="",BASE_DATOS[[#This Row],[Hr. Actual]]=""),"",BASE_DATOS[[#This Row],[Hr. Actual]]-BASE_DATOS[[#This Row],[Hr.]]+BASE_DATOS[[#This Row],[Horas Acumuladas]])</f>
        <v/>
      </c>
      <c r="AJ647" s="364" t="str">
        <f>IFERROR(BASE_DATOS[[#This Row],[Precio US$]]/BASE_DATOS[[#This Row],[Horas Rodadas]],"")</f>
        <v/>
      </c>
      <c r="AK647" s="365" t="str">
        <f>IFERROR(BASE_DATOS[[#This Row],[Horas Rodadas]]/(BASE_DATOS[[#This Row],[NSK Original]]-BASE_DATOS[[#This Row],[NSK]]),"")</f>
        <v/>
      </c>
      <c r="AL64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47" s="366" t="str">
        <f>IFERROR(BASE_DATOS[[#This Row],[Precio US$]]/BASE_DATOS[[#This Row],[Horas Proy.]],"")</f>
        <v/>
      </c>
      <c r="AN647" s="176" t="str">
        <f>IF(OR(BASE_DATOS[[#This Row],[Km.]]="",BASE_DATOS[[#This Row],[Km. Actual]]=""),"",BASE_DATOS[[#This Row],[Km. Actual]]-BASE_DATOS[[#This Row],[Km.]]+BASE_DATOS[[#This Row],[Kilómetros Acumulados]])</f>
        <v/>
      </c>
      <c r="AO647" s="177" t="str">
        <f>IFERROR(BASE_DATOS[[#This Row],[Precio US$]]/BASE_DATOS[[#This Row],[Kilómetros Rodados]],"")</f>
        <v/>
      </c>
      <c r="AP647" s="176" t="str">
        <f>IFERROR(BASE_DATOS[[#This Row],[Kilómetros Rodados]]/(BASE_DATOS[[#This Row],[NSK Original]]-BASE_DATOS[[#This Row],[NSK]]),"")</f>
        <v/>
      </c>
      <c r="AQ64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47" s="177" t="str">
        <f>IFERROR(BASE_DATOS[[#This Row],[Precio US$]]/BASE_DATOS[[#This Row],[Kilómetros Proy.]],"")</f>
        <v/>
      </c>
      <c r="AS647" s="167" t="s">
        <v>62</v>
      </c>
      <c r="AT647" s="167"/>
      <c r="AU647" s="167"/>
      <c r="AV647" s="167"/>
      <c r="AW647" s="179"/>
      <c r="AX647" s="179"/>
      <c r="AY647" s="179" t="str">
        <f>CONCATENATE(BASE_DATOS[[#This Row],[Código_U]]&amp;BASE_DATOS[[#This Row],[Pos.]]&amp;BASE_DATOS[[#This Row],[Situación Actual]])</f>
        <v>TC-2267Rodando</v>
      </c>
    </row>
    <row r="648" spans="1:51" ht="12" x14ac:dyDescent="0.25">
      <c r="A648" s="227" t="s">
        <v>245</v>
      </c>
      <c r="B648" s="217" t="s">
        <v>246</v>
      </c>
      <c r="C648" s="228" t="s">
        <v>296</v>
      </c>
      <c r="D648" s="229" t="s">
        <v>61</v>
      </c>
      <c r="E648" s="255"/>
      <c r="F648" s="256" t="s">
        <v>273</v>
      </c>
      <c r="G648" s="256" t="s">
        <v>271</v>
      </c>
      <c r="H648" s="257" t="str">
        <f>IF(BASE_DATOS[[#This Row],[N-R]]="N",BASE_DATOS[[#This Row],[Diseño]],"Reencauche")</f>
        <v>XMULTI2D</v>
      </c>
      <c r="I648" s="256" t="s">
        <v>299</v>
      </c>
      <c r="J648" s="243" t="s">
        <v>72</v>
      </c>
      <c r="K648" s="258">
        <v>21.4</v>
      </c>
      <c r="L648" s="256">
        <v>110</v>
      </c>
      <c r="M648" s="259"/>
      <c r="N648" s="260"/>
      <c r="O648" s="277"/>
      <c r="P648" s="278"/>
      <c r="Q648" s="279"/>
      <c r="R648" s="309" t="s">
        <v>105</v>
      </c>
      <c r="S648" s="310">
        <v>45385</v>
      </c>
      <c r="T648" s="311"/>
      <c r="U648" s="312"/>
      <c r="V648" s="227">
        <v>19</v>
      </c>
      <c r="W648" s="281"/>
      <c r="X648" s="282">
        <v>19</v>
      </c>
      <c r="Y648" s="293">
        <f t="shared" si="28"/>
        <v>19</v>
      </c>
      <c r="Z648" s="161" t="s">
        <v>73</v>
      </c>
      <c r="AA648" s="342">
        <f>IFERROR(BASE_DATOS[[#This Row],[NSK Original]]-BASE_DATOS[[#This Row],[NSK]]," ")</f>
        <v>2.3999999999999986</v>
      </c>
      <c r="AB648" s="343">
        <f>'NSK-TRACTO'!$A$2</f>
        <v>6</v>
      </c>
      <c r="AC648" s="343">
        <f>IF(BASE_DATOS[[#This Row],[NSK]]&gt;=BASE_DATOS[[#This Row],[NSK Reen]],BASE_DATOS[[#This Row],[NSK Reen]],BASE_DATOS[[#This Row],[NSK]])</f>
        <v>6</v>
      </c>
      <c r="AD648" s="344">
        <f>IFERROR(100%-(BASE_DATOS[[#This Row],[NSK Reen]]/BASE_DATOS[[#This Row],[NSK Original]]),"")</f>
        <v>0.71962616822429903</v>
      </c>
      <c r="AE648" s="344">
        <f>IFERROR(100%-BASE_DATOS[[#This Row],[NSK]]/BASE_DATOS[[#This Row],[NSK Original]],"")</f>
        <v>0.11214953271028028</v>
      </c>
      <c r="AF648" s="344">
        <f>IFERROR(BASE_DATOS[[#This Row],[% Max Des.]]-BASE_DATOS[[#This Row],[% Des]],"")</f>
        <v>0.60747663551401876</v>
      </c>
      <c r="AG648" s="287"/>
      <c r="AH648" s="273"/>
      <c r="AI648" s="363" t="str">
        <f>IF(OR(BASE_DATOS[[#This Row],[Hr.]]="",BASE_DATOS[[#This Row],[Hr. Actual]]=""),"",BASE_DATOS[[#This Row],[Hr. Actual]]-BASE_DATOS[[#This Row],[Hr.]]+BASE_DATOS[[#This Row],[Horas Acumuladas]])</f>
        <v/>
      </c>
      <c r="AJ648" s="364" t="str">
        <f>IFERROR(BASE_DATOS[[#This Row],[Precio US$]]/BASE_DATOS[[#This Row],[Horas Rodadas]],"")</f>
        <v/>
      </c>
      <c r="AK648" s="365" t="str">
        <f>IFERROR(BASE_DATOS[[#This Row],[Horas Rodadas]]/(BASE_DATOS[[#This Row],[NSK Original]]-BASE_DATOS[[#This Row],[NSK]]),"")</f>
        <v/>
      </c>
      <c r="AL64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48" s="366" t="str">
        <f>IFERROR(BASE_DATOS[[#This Row],[Precio US$]]/BASE_DATOS[[#This Row],[Horas Proy.]],"")</f>
        <v/>
      </c>
      <c r="AN648" s="176" t="str">
        <f>IF(OR(BASE_DATOS[[#This Row],[Km.]]="",BASE_DATOS[[#This Row],[Km. Actual]]=""),"",BASE_DATOS[[#This Row],[Km. Actual]]-BASE_DATOS[[#This Row],[Km.]]+BASE_DATOS[[#This Row],[Kilómetros Acumulados]])</f>
        <v/>
      </c>
      <c r="AO648" s="177" t="str">
        <f>IFERROR(BASE_DATOS[[#This Row],[Precio US$]]/BASE_DATOS[[#This Row],[Kilómetros Rodados]],"")</f>
        <v/>
      </c>
      <c r="AP648" s="176" t="str">
        <f>IFERROR(BASE_DATOS[[#This Row],[Kilómetros Rodados]]/(BASE_DATOS[[#This Row],[NSK Original]]-BASE_DATOS[[#This Row],[NSK]]),"")</f>
        <v/>
      </c>
      <c r="AQ64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48" s="177" t="str">
        <f>IFERROR(BASE_DATOS[[#This Row],[Precio US$]]/BASE_DATOS[[#This Row],[Kilómetros Proy.]],"")</f>
        <v/>
      </c>
      <c r="AS648" s="167" t="s">
        <v>62</v>
      </c>
      <c r="AT648" s="167"/>
      <c r="AU648" s="167"/>
      <c r="AV648" s="167"/>
      <c r="AW648" s="179"/>
      <c r="AX648" s="179"/>
      <c r="AY648" s="179" t="str">
        <f>CONCATENATE(BASE_DATOS[[#This Row],[Código_U]]&amp;BASE_DATOS[[#This Row],[Pos.]]&amp;BASE_DATOS[[#This Row],[Situación Actual]])</f>
        <v>TC-2268Rodando</v>
      </c>
    </row>
    <row r="649" spans="1:51" ht="12" x14ac:dyDescent="0.25">
      <c r="A649" s="227" t="s">
        <v>245</v>
      </c>
      <c r="B649" s="217" t="s">
        <v>246</v>
      </c>
      <c r="C649" s="228" t="s">
        <v>296</v>
      </c>
      <c r="D649" s="229" t="s">
        <v>61</v>
      </c>
      <c r="E649" s="255"/>
      <c r="F649" s="256" t="s">
        <v>273</v>
      </c>
      <c r="G649" s="256" t="s">
        <v>271</v>
      </c>
      <c r="H649" s="257" t="str">
        <f>IF(BASE_DATOS[[#This Row],[N-R]]="N",BASE_DATOS[[#This Row],[Diseño]],"Reencauche")</f>
        <v>XMULTI2D</v>
      </c>
      <c r="I649" s="256" t="s">
        <v>299</v>
      </c>
      <c r="J649" s="243" t="s">
        <v>72</v>
      </c>
      <c r="K649" s="258">
        <v>21.4</v>
      </c>
      <c r="L649" s="256">
        <v>110</v>
      </c>
      <c r="M649" s="259"/>
      <c r="N649" s="260"/>
      <c r="O649" s="277"/>
      <c r="P649" s="278"/>
      <c r="Q649" s="279"/>
      <c r="R649" s="309" t="s">
        <v>106</v>
      </c>
      <c r="S649" s="310">
        <v>45385</v>
      </c>
      <c r="T649" s="311"/>
      <c r="U649" s="312"/>
      <c r="V649" s="227">
        <v>19</v>
      </c>
      <c r="W649" s="281"/>
      <c r="X649" s="282">
        <v>19</v>
      </c>
      <c r="Y649" s="293">
        <f t="shared" si="28"/>
        <v>19</v>
      </c>
      <c r="Z649" s="161" t="s">
        <v>85</v>
      </c>
      <c r="AA649" s="342">
        <f>IFERROR(BASE_DATOS[[#This Row],[NSK Original]]-BASE_DATOS[[#This Row],[NSK]]," ")</f>
        <v>2.3999999999999986</v>
      </c>
      <c r="AB649" s="343">
        <f>'NSK-TRACTO'!$A$2</f>
        <v>6</v>
      </c>
      <c r="AC649" s="343">
        <f>IF(BASE_DATOS[[#This Row],[NSK]]&gt;=BASE_DATOS[[#This Row],[NSK Reen]],BASE_DATOS[[#This Row],[NSK Reen]],BASE_DATOS[[#This Row],[NSK]])</f>
        <v>6</v>
      </c>
      <c r="AD649" s="344">
        <f>IFERROR(100%-(BASE_DATOS[[#This Row],[NSK Reen]]/BASE_DATOS[[#This Row],[NSK Original]]),"")</f>
        <v>0.71962616822429903</v>
      </c>
      <c r="AE649" s="344">
        <f>IFERROR(100%-BASE_DATOS[[#This Row],[NSK]]/BASE_DATOS[[#This Row],[NSK Original]],"")</f>
        <v>0.11214953271028028</v>
      </c>
      <c r="AF649" s="344">
        <f>IFERROR(BASE_DATOS[[#This Row],[% Max Des.]]-BASE_DATOS[[#This Row],[% Des]],"")</f>
        <v>0.60747663551401876</v>
      </c>
      <c r="AG649" s="287"/>
      <c r="AH649" s="273"/>
      <c r="AI649" s="363" t="str">
        <f>IF(OR(BASE_DATOS[[#This Row],[Hr.]]="",BASE_DATOS[[#This Row],[Hr. Actual]]=""),"",BASE_DATOS[[#This Row],[Hr. Actual]]-BASE_DATOS[[#This Row],[Hr.]]+BASE_DATOS[[#This Row],[Horas Acumuladas]])</f>
        <v/>
      </c>
      <c r="AJ649" s="364" t="str">
        <f>IFERROR(BASE_DATOS[[#This Row],[Precio US$]]/BASE_DATOS[[#This Row],[Horas Rodadas]],"")</f>
        <v/>
      </c>
      <c r="AK649" s="365" t="str">
        <f>IFERROR(BASE_DATOS[[#This Row],[Horas Rodadas]]/(BASE_DATOS[[#This Row],[NSK Original]]-BASE_DATOS[[#This Row],[NSK]]),"")</f>
        <v/>
      </c>
      <c r="AL64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49" s="366" t="str">
        <f>IFERROR(BASE_DATOS[[#This Row],[Precio US$]]/BASE_DATOS[[#This Row],[Horas Proy.]],"")</f>
        <v/>
      </c>
      <c r="AN649" s="176" t="str">
        <f>IF(OR(BASE_DATOS[[#This Row],[Km.]]="",BASE_DATOS[[#This Row],[Km. Actual]]=""),"",BASE_DATOS[[#This Row],[Km. Actual]]-BASE_DATOS[[#This Row],[Km.]]+BASE_DATOS[[#This Row],[Kilómetros Acumulados]])</f>
        <v/>
      </c>
      <c r="AO649" s="177" t="str">
        <f>IFERROR(BASE_DATOS[[#This Row],[Precio US$]]/BASE_DATOS[[#This Row],[Kilómetros Rodados]],"")</f>
        <v/>
      </c>
      <c r="AP649" s="176" t="str">
        <f>IFERROR(BASE_DATOS[[#This Row],[Kilómetros Rodados]]/(BASE_DATOS[[#This Row],[NSK Original]]-BASE_DATOS[[#This Row],[NSK]]),"")</f>
        <v/>
      </c>
      <c r="AQ64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49" s="177" t="str">
        <f>IFERROR(BASE_DATOS[[#This Row],[Precio US$]]/BASE_DATOS[[#This Row],[Kilómetros Proy.]],"")</f>
        <v/>
      </c>
      <c r="AS649" s="167" t="s">
        <v>62</v>
      </c>
      <c r="AT649" s="167"/>
      <c r="AU649" s="167"/>
      <c r="AV649" s="167"/>
      <c r="AW649" s="179"/>
      <c r="AX649" s="179"/>
      <c r="AY649" s="179" t="str">
        <f>CONCATENATE(BASE_DATOS[[#This Row],[Código_U]]&amp;BASE_DATOS[[#This Row],[Pos.]]&amp;BASE_DATOS[[#This Row],[Situación Actual]])</f>
        <v>TC-2269Rodando</v>
      </c>
    </row>
    <row r="650" spans="1:51" ht="12" x14ac:dyDescent="0.25">
      <c r="A650" s="227" t="s">
        <v>245</v>
      </c>
      <c r="B650" s="217" t="s">
        <v>246</v>
      </c>
      <c r="C650" s="228" t="s">
        <v>296</v>
      </c>
      <c r="D650" s="229" t="s">
        <v>61</v>
      </c>
      <c r="E650" s="255"/>
      <c r="F650" s="256" t="s">
        <v>273</v>
      </c>
      <c r="G650" s="256" t="s">
        <v>271</v>
      </c>
      <c r="H650" s="257" t="str">
        <f>IF(BASE_DATOS[[#This Row],[N-R]]="N",BASE_DATOS[[#This Row],[Diseño]],"Reencauche")</f>
        <v>XMULTI2D</v>
      </c>
      <c r="I650" s="256" t="s">
        <v>299</v>
      </c>
      <c r="J650" s="243" t="s">
        <v>72</v>
      </c>
      <c r="K650" s="258">
        <v>21.4</v>
      </c>
      <c r="L650" s="256">
        <v>110</v>
      </c>
      <c r="M650" s="259"/>
      <c r="N650" s="260"/>
      <c r="O650" s="277"/>
      <c r="P650" s="278"/>
      <c r="Q650" s="279"/>
      <c r="R650" s="309" t="s">
        <v>107</v>
      </c>
      <c r="S650" s="310">
        <v>45385</v>
      </c>
      <c r="T650" s="311"/>
      <c r="U650" s="312"/>
      <c r="V650" s="227">
        <v>19</v>
      </c>
      <c r="W650" s="281"/>
      <c r="X650" s="282">
        <v>19</v>
      </c>
      <c r="Y650" s="293">
        <f t="shared" si="28"/>
        <v>19</v>
      </c>
      <c r="Z650" s="161" t="s">
        <v>73</v>
      </c>
      <c r="AA650" s="342">
        <f>IFERROR(BASE_DATOS[[#This Row],[NSK Original]]-BASE_DATOS[[#This Row],[NSK]]," ")</f>
        <v>2.3999999999999986</v>
      </c>
      <c r="AB650" s="343">
        <f>'NSK-TRACTO'!$A$2</f>
        <v>6</v>
      </c>
      <c r="AC650" s="343">
        <f>IF(BASE_DATOS[[#This Row],[NSK]]&gt;=BASE_DATOS[[#This Row],[NSK Reen]],BASE_DATOS[[#This Row],[NSK Reen]],BASE_DATOS[[#This Row],[NSK]])</f>
        <v>6</v>
      </c>
      <c r="AD650" s="344">
        <f>IFERROR(100%-(BASE_DATOS[[#This Row],[NSK Reen]]/BASE_DATOS[[#This Row],[NSK Original]]),"")</f>
        <v>0.71962616822429903</v>
      </c>
      <c r="AE650" s="344">
        <f>IFERROR(100%-BASE_DATOS[[#This Row],[NSK]]/BASE_DATOS[[#This Row],[NSK Original]],"")</f>
        <v>0.11214953271028028</v>
      </c>
      <c r="AF650" s="344">
        <f>IFERROR(BASE_DATOS[[#This Row],[% Max Des.]]-BASE_DATOS[[#This Row],[% Des]],"")</f>
        <v>0.60747663551401876</v>
      </c>
      <c r="AG650" s="287"/>
      <c r="AH650" s="273"/>
      <c r="AI650" s="363" t="str">
        <f>IF(OR(BASE_DATOS[[#This Row],[Hr.]]="",BASE_DATOS[[#This Row],[Hr. Actual]]=""),"",BASE_DATOS[[#This Row],[Hr. Actual]]-BASE_DATOS[[#This Row],[Hr.]]+BASE_DATOS[[#This Row],[Horas Acumuladas]])</f>
        <v/>
      </c>
      <c r="AJ650" s="364" t="str">
        <f>IFERROR(BASE_DATOS[[#This Row],[Precio US$]]/BASE_DATOS[[#This Row],[Horas Rodadas]],"")</f>
        <v/>
      </c>
      <c r="AK650" s="365" t="str">
        <f>IFERROR(BASE_DATOS[[#This Row],[Horas Rodadas]]/(BASE_DATOS[[#This Row],[NSK Original]]-BASE_DATOS[[#This Row],[NSK]]),"")</f>
        <v/>
      </c>
      <c r="AL65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50" s="366" t="str">
        <f>IFERROR(BASE_DATOS[[#This Row],[Precio US$]]/BASE_DATOS[[#This Row],[Horas Proy.]],"")</f>
        <v/>
      </c>
      <c r="AN650" s="176" t="str">
        <f>IF(OR(BASE_DATOS[[#This Row],[Km.]]="",BASE_DATOS[[#This Row],[Km. Actual]]=""),"",BASE_DATOS[[#This Row],[Km. Actual]]-BASE_DATOS[[#This Row],[Km.]]+BASE_DATOS[[#This Row],[Kilómetros Acumulados]])</f>
        <v/>
      </c>
      <c r="AO650" s="177" t="str">
        <f>IFERROR(BASE_DATOS[[#This Row],[Precio US$]]/BASE_DATOS[[#This Row],[Kilómetros Rodados]],"")</f>
        <v/>
      </c>
      <c r="AP650" s="176" t="str">
        <f>IFERROR(BASE_DATOS[[#This Row],[Kilómetros Rodados]]/(BASE_DATOS[[#This Row],[NSK Original]]-BASE_DATOS[[#This Row],[NSK]]),"")</f>
        <v/>
      </c>
      <c r="AQ65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50" s="177" t="str">
        <f>IFERROR(BASE_DATOS[[#This Row],[Precio US$]]/BASE_DATOS[[#This Row],[Kilómetros Proy.]],"")</f>
        <v/>
      </c>
      <c r="AS650" s="167" t="s">
        <v>62</v>
      </c>
      <c r="AT650" s="167"/>
      <c r="AU650" s="167"/>
      <c r="AV650" s="167"/>
      <c r="AW650" s="179"/>
      <c r="AX650" s="179"/>
      <c r="AY650" s="179" t="str">
        <f>CONCATENATE(BASE_DATOS[[#This Row],[Código_U]]&amp;BASE_DATOS[[#This Row],[Pos.]]&amp;BASE_DATOS[[#This Row],[Situación Actual]])</f>
        <v>TC-22610Rodando</v>
      </c>
    </row>
    <row r="651" spans="1:51" ht="12" x14ac:dyDescent="0.25">
      <c r="A651" s="224" t="s">
        <v>247</v>
      </c>
      <c r="B651" s="213" t="s">
        <v>248</v>
      </c>
      <c r="C651" s="225" t="s">
        <v>296</v>
      </c>
      <c r="D651" s="226" t="s">
        <v>86</v>
      </c>
      <c r="E651" s="249"/>
      <c r="F651" s="250" t="s">
        <v>273</v>
      </c>
      <c r="G651" s="250" t="s">
        <v>271</v>
      </c>
      <c r="H651" s="251" t="str">
        <f>IF(BASE_DATOS[[#This Row],[N-R]]="N",BASE_DATOS[[#This Row],[Diseño]],"Reencauche")</f>
        <v>XMULTI+Z</v>
      </c>
      <c r="I651" s="250" t="s">
        <v>297</v>
      </c>
      <c r="J651" s="235" t="s">
        <v>72</v>
      </c>
      <c r="K651" s="252">
        <v>16</v>
      </c>
      <c r="L651" s="233">
        <v>100</v>
      </c>
      <c r="M651" s="253"/>
      <c r="N651" s="254"/>
      <c r="O651" s="274"/>
      <c r="P651" s="275"/>
      <c r="Q651" s="276"/>
      <c r="R651" s="305" t="s">
        <v>98</v>
      </c>
      <c r="S651" s="306">
        <v>45384</v>
      </c>
      <c r="T651" s="307"/>
      <c r="U651" s="308"/>
      <c r="V651" s="224">
        <v>3</v>
      </c>
      <c r="W651" s="325">
        <v>5</v>
      </c>
      <c r="X651" s="326">
        <v>6</v>
      </c>
      <c r="Y651" s="292">
        <f t="shared" si="28"/>
        <v>3</v>
      </c>
      <c r="Z651" s="185" t="s">
        <v>73</v>
      </c>
      <c r="AA651" s="339">
        <f>IFERROR(BASE_DATOS[[#This Row],[NSK Original]]-BASE_DATOS[[#This Row],[NSK]]," ")</f>
        <v>13</v>
      </c>
      <c r="AB651" s="340">
        <f>'NSK-TRACTO'!$A$2</f>
        <v>6</v>
      </c>
      <c r="AC651" s="340">
        <f>IF(BASE_DATOS[[#This Row],[NSK]]&gt;=BASE_DATOS[[#This Row],[NSK Reen]],BASE_DATOS[[#This Row],[NSK Reen]],BASE_DATOS[[#This Row],[NSK]])</f>
        <v>3</v>
      </c>
      <c r="AD651" s="341">
        <f>IFERROR(100%-(BASE_DATOS[[#This Row],[NSK Reen]]/BASE_DATOS[[#This Row],[NSK Original]]),"")</f>
        <v>0.625</v>
      </c>
      <c r="AE651" s="341">
        <f>IFERROR(100%-BASE_DATOS[[#This Row],[NSK]]/BASE_DATOS[[#This Row],[NSK Original]],"")</f>
        <v>0.8125</v>
      </c>
      <c r="AF651" s="341">
        <f>IFERROR(BASE_DATOS[[#This Row],[% Max Des.]]-BASE_DATOS[[#This Row],[% Des]],"")</f>
        <v>-0.1875</v>
      </c>
      <c r="AG651" s="284"/>
      <c r="AH651" s="335"/>
      <c r="AI651" s="359" t="str">
        <f>IF(OR(BASE_DATOS[[#This Row],[Hr.]]="",BASE_DATOS[[#This Row],[Hr. Actual]]=""),"",BASE_DATOS[[#This Row],[Hr. Actual]]-BASE_DATOS[[#This Row],[Hr.]]+BASE_DATOS[[#This Row],[Horas Acumuladas]])</f>
        <v/>
      </c>
      <c r="AJ651" s="360" t="str">
        <f>IFERROR(BASE_DATOS[[#This Row],[Precio US$]]/BASE_DATOS[[#This Row],[Horas Rodadas]],"")</f>
        <v/>
      </c>
      <c r="AK651" s="361" t="str">
        <f>IFERROR(BASE_DATOS[[#This Row],[Horas Rodadas]]/(BASE_DATOS[[#This Row],[NSK Original]]-BASE_DATOS[[#This Row],[NSK]]),"")</f>
        <v/>
      </c>
      <c r="AL651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51" s="362" t="str">
        <f>IFERROR(BASE_DATOS[[#This Row],[Precio US$]]/BASE_DATOS[[#This Row],[Horas Proy.]],"")</f>
        <v/>
      </c>
      <c r="AN651" s="195" t="str">
        <f>IF(OR(BASE_DATOS[[#This Row],[Km.]]="",BASE_DATOS[[#This Row],[Km. Actual]]=""),"",BASE_DATOS[[#This Row],[Km. Actual]]-BASE_DATOS[[#This Row],[Km.]]+BASE_DATOS[[#This Row],[Kilómetros Acumulados]])</f>
        <v/>
      </c>
      <c r="AO651" s="196" t="str">
        <f>IFERROR(BASE_DATOS[[#This Row],[Precio US$]]/BASE_DATOS[[#This Row],[Kilómetros Rodados]],"")</f>
        <v/>
      </c>
      <c r="AP651" s="195" t="str">
        <f>IFERROR(BASE_DATOS[[#This Row],[Kilómetros Rodados]]/(BASE_DATOS[[#This Row],[NSK Original]]-BASE_DATOS[[#This Row],[NSK]]),"")</f>
        <v/>
      </c>
      <c r="AQ651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51" s="196" t="str">
        <f>IFERROR(BASE_DATOS[[#This Row],[Precio US$]]/BASE_DATOS[[#This Row],[Kilómetros Proy.]],"")</f>
        <v/>
      </c>
      <c r="AS651" s="191" t="s">
        <v>62</v>
      </c>
      <c r="AT651" s="191"/>
      <c r="AU651" s="191" t="s">
        <v>516</v>
      </c>
      <c r="AV651" s="191"/>
      <c r="AW651" s="198"/>
      <c r="AX651" s="198" t="s">
        <v>371</v>
      </c>
      <c r="AY651" s="198" t="str">
        <f>CONCATENATE(BASE_DATOS[[#This Row],[Código_U]]&amp;BASE_DATOS[[#This Row],[Pos.]]&amp;BASE_DATOS[[#This Row],[Situación Actual]])</f>
        <v>TC-2301Rodando</v>
      </c>
    </row>
    <row r="652" spans="1:51" ht="12" x14ac:dyDescent="0.25">
      <c r="A652" s="227" t="s">
        <v>247</v>
      </c>
      <c r="B652" s="217" t="s">
        <v>248</v>
      </c>
      <c r="C652" s="228" t="s">
        <v>296</v>
      </c>
      <c r="D652" s="229" t="s">
        <v>86</v>
      </c>
      <c r="E652" s="255"/>
      <c r="F652" s="256" t="s">
        <v>273</v>
      </c>
      <c r="G652" s="256" t="s">
        <v>271</v>
      </c>
      <c r="H652" s="257" t="str">
        <f>IF(BASE_DATOS[[#This Row],[N-R]]="N",BASE_DATOS[[#This Row],[Diseño]],"Reencauche")</f>
        <v>XMULTI+Z</v>
      </c>
      <c r="I652" s="256" t="s">
        <v>297</v>
      </c>
      <c r="J652" s="243" t="s">
        <v>72</v>
      </c>
      <c r="K652" s="258">
        <v>16</v>
      </c>
      <c r="L652" s="241">
        <v>100</v>
      </c>
      <c r="M652" s="259"/>
      <c r="N652" s="260"/>
      <c r="O652" s="277"/>
      <c r="P652" s="278"/>
      <c r="Q652" s="279"/>
      <c r="R652" s="309" t="s">
        <v>99</v>
      </c>
      <c r="S652" s="310">
        <v>45384</v>
      </c>
      <c r="T652" s="311"/>
      <c r="U652" s="312"/>
      <c r="V652" s="227">
        <v>7</v>
      </c>
      <c r="W652" s="281">
        <v>8</v>
      </c>
      <c r="X652" s="282">
        <v>7</v>
      </c>
      <c r="Y652" s="293">
        <f t="shared" si="28"/>
        <v>7</v>
      </c>
      <c r="Z652" s="161" t="s">
        <v>73</v>
      </c>
      <c r="AA652" s="342">
        <f>IFERROR(BASE_DATOS[[#This Row],[NSK Original]]-BASE_DATOS[[#This Row],[NSK]]," ")</f>
        <v>9</v>
      </c>
      <c r="AB652" s="343">
        <f>'NSK-TRACTO'!$A$2</f>
        <v>6</v>
      </c>
      <c r="AC652" s="343">
        <f>IF(BASE_DATOS[[#This Row],[NSK]]&gt;=BASE_DATOS[[#This Row],[NSK Reen]],BASE_DATOS[[#This Row],[NSK Reen]],BASE_DATOS[[#This Row],[NSK]])</f>
        <v>6</v>
      </c>
      <c r="AD652" s="344">
        <f>IFERROR(100%-(BASE_DATOS[[#This Row],[NSK Reen]]/BASE_DATOS[[#This Row],[NSK Original]]),"")</f>
        <v>0.625</v>
      </c>
      <c r="AE652" s="344">
        <f>IFERROR(100%-BASE_DATOS[[#This Row],[NSK]]/BASE_DATOS[[#This Row],[NSK Original]],"")</f>
        <v>0.5625</v>
      </c>
      <c r="AF652" s="344">
        <f>IFERROR(BASE_DATOS[[#This Row],[% Max Des.]]-BASE_DATOS[[#This Row],[% Des]],"")</f>
        <v>6.25E-2</v>
      </c>
      <c r="AG652" s="287"/>
      <c r="AH652" s="273"/>
      <c r="AI652" s="363" t="str">
        <f>IF(OR(BASE_DATOS[[#This Row],[Hr.]]="",BASE_DATOS[[#This Row],[Hr. Actual]]=""),"",BASE_DATOS[[#This Row],[Hr. Actual]]-BASE_DATOS[[#This Row],[Hr.]]+BASE_DATOS[[#This Row],[Horas Acumuladas]])</f>
        <v/>
      </c>
      <c r="AJ652" s="364" t="str">
        <f>IFERROR(BASE_DATOS[[#This Row],[Precio US$]]/BASE_DATOS[[#This Row],[Horas Rodadas]],"")</f>
        <v/>
      </c>
      <c r="AK652" s="365" t="str">
        <f>IFERROR(BASE_DATOS[[#This Row],[Horas Rodadas]]/(BASE_DATOS[[#This Row],[NSK Original]]-BASE_DATOS[[#This Row],[NSK]]),"")</f>
        <v/>
      </c>
      <c r="AL65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52" s="366" t="str">
        <f>IFERROR(BASE_DATOS[[#This Row],[Precio US$]]/BASE_DATOS[[#This Row],[Horas Proy.]],"")</f>
        <v/>
      </c>
      <c r="AN652" s="176" t="str">
        <f>IF(OR(BASE_DATOS[[#This Row],[Km.]]="",BASE_DATOS[[#This Row],[Km. Actual]]=""),"",BASE_DATOS[[#This Row],[Km. Actual]]-BASE_DATOS[[#This Row],[Km.]]+BASE_DATOS[[#This Row],[Kilómetros Acumulados]])</f>
        <v/>
      </c>
      <c r="AO652" s="177" t="str">
        <f>IFERROR(BASE_DATOS[[#This Row],[Precio US$]]/BASE_DATOS[[#This Row],[Kilómetros Rodados]],"")</f>
        <v/>
      </c>
      <c r="AP652" s="176" t="str">
        <f>IFERROR(BASE_DATOS[[#This Row],[Kilómetros Rodados]]/(BASE_DATOS[[#This Row],[NSK Original]]-BASE_DATOS[[#This Row],[NSK]]),"")</f>
        <v/>
      </c>
      <c r="AQ65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52" s="177" t="str">
        <f>IFERROR(BASE_DATOS[[#This Row],[Precio US$]]/BASE_DATOS[[#This Row],[Kilómetros Proy.]],"")</f>
        <v/>
      </c>
      <c r="AS652" s="167" t="s">
        <v>62</v>
      </c>
      <c r="AT652" s="167"/>
      <c r="AU652" s="167" t="s">
        <v>516</v>
      </c>
      <c r="AV652" s="167"/>
      <c r="AW652" s="179"/>
      <c r="AX652" s="179" t="s">
        <v>371</v>
      </c>
      <c r="AY652" s="179" t="str">
        <f>CONCATENATE(BASE_DATOS[[#This Row],[Código_U]]&amp;BASE_DATOS[[#This Row],[Pos.]]&amp;BASE_DATOS[[#This Row],[Situación Actual]])</f>
        <v>TC-2302Rodando</v>
      </c>
    </row>
    <row r="653" spans="1:51" ht="12" x14ac:dyDescent="0.25">
      <c r="A653" s="227" t="s">
        <v>247</v>
      </c>
      <c r="B653" s="217" t="s">
        <v>248</v>
      </c>
      <c r="C653" s="228" t="s">
        <v>296</v>
      </c>
      <c r="D653" s="229" t="s">
        <v>61</v>
      </c>
      <c r="E653" s="255"/>
      <c r="F653" s="256" t="s">
        <v>273</v>
      </c>
      <c r="G653" s="256" t="s">
        <v>271</v>
      </c>
      <c r="H653" s="257" t="str">
        <f>IF(BASE_DATOS[[#This Row],[N-R]]="N",BASE_DATOS[[#This Row],[Diseño]],"Reencauche")</f>
        <v>XMULTI2D</v>
      </c>
      <c r="I653" s="256" t="s">
        <v>299</v>
      </c>
      <c r="J653" s="243" t="s">
        <v>72</v>
      </c>
      <c r="K653" s="258">
        <v>21.4</v>
      </c>
      <c r="L653" s="241">
        <v>110</v>
      </c>
      <c r="M653" s="259"/>
      <c r="N653" s="260"/>
      <c r="O653" s="277"/>
      <c r="P653" s="278"/>
      <c r="Q653" s="279"/>
      <c r="R653" s="309" t="s">
        <v>100</v>
      </c>
      <c r="S653" s="310">
        <v>45384</v>
      </c>
      <c r="T653" s="311"/>
      <c r="U653" s="312"/>
      <c r="V653" s="227">
        <v>6</v>
      </c>
      <c r="W653" s="281"/>
      <c r="X653" s="282">
        <v>7</v>
      </c>
      <c r="Y653" s="293">
        <f t="shared" si="28"/>
        <v>6</v>
      </c>
      <c r="Z653" s="161" t="s">
        <v>73</v>
      </c>
      <c r="AA653" s="342">
        <f>IFERROR(BASE_DATOS[[#This Row],[NSK Original]]-BASE_DATOS[[#This Row],[NSK]]," ")</f>
        <v>15.399999999999999</v>
      </c>
      <c r="AB653" s="343">
        <f>'NSK-TRACTO'!$A$2</f>
        <v>6</v>
      </c>
      <c r="AC653" s="343">
        <f>IF(BASE_DATOS[[#This Row],[NSK]]&gt;=BASE_DATOS[[#This Row],[NSK Reen]],BASE_DATOS[[#This Row],[NSK Reen]],BASE_DATOS[[#This Row],[NSK]])</f>
        <v>6</v>
      </c>
      <c r="AD653" s="344">
        <f>IFERROR(100%-(BASE_DATOS[[#This Row],[NSK Reen]]/BASE_DATOS[[#This Row],[NSK Original]]),"")</f>
        <v>0.71962616822429903</v>
      </c>
      <c r="AE653" s="344">
        <f>IFERROR(100%-BASE_DATOS[[#This Row],[NSK]]/BASE_DATOS[[#This Row],[NSK Original]],"")</f>
        <v>0.71962616822429903</v>
      </c>
      <c r="AF653" s="344">
        <f>IFERROR(BASE_DATOS[[#This Row],[% Max Des.]]-BASE_DATOS[[#This Row],[% Des]],"")</f>
        <v>0</v>
      </c>
      <c r="AG653" s="287"/>
      <c r="AH653" s="273"/>
      <c r="AI653" s="363" t="str">
        <f>IF(OR(BASE_DATOS[[#This Row],[Hr.]]="",BASE_DATOS[[#This Row],[Hr. Actual]]=""),"",BASE_DATOS[[#This Row],[Hr. Actual]]-BASE_DATOS[[#This Row],[Hr.]]+BASE_DATOS[[#This Row],[Horas Acumuladas]])</f>
        <v/>
      </c>
      <c r="AJ653" s="364" t="str">
        <f>IFERROR(BASE_DATOS[[#This Row],[Precio US$]]/BASE_DATOS[[#This Row],[Horas Rodadas]],"")</f>
        <v/>
      </c>
      <c r="AK653" s="365" t="str">
        <f>IFERROR(BASE_DATOS[[#This Row],[Horas Rodadas]]/(BASE_DATOS[[#This Row],[NSK Original]]-BASE_DATOS[[#This Row],[NSK]]),"")</f>
        <v/>
      </c>
      <c r="AL65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53" s="366" t="str">
        <f>IFERROR(BASE_DATOS[[#This Row],[Precio US$]]/BASE_DATOS[[#This Row],[Horas Proy.]],"")</f>
        <v/>
      </c>
      <c r="AN653" s="176" t="str">
        <f>IF(OR(BASE_DATOS[[#This Row],[Km.]]="",BASE_DATOS[[#This Row],[Km. Actual]]=""),"",BASE_DATOS[[#This Row],[Km. Actual]]-BASE_DATOS[[#This Row],[Km.]]+BASE_DATOS[[#This Row],[Kilómetros Acumulados]])</f>
        <v/>
      </c>
      <c r="AO653" s="177" t="str">
        <f>IFERROR(BASE_DATOS[[#This Row],[Precio US$]]/BASE_DATOS[[#This Row],[Kilómetros Rodados]],"")</f>
        <v/>
      </c>
      <c r="AP653" s="176" t="str">
        <f>IFERROR(BASE_DATOS[[#This Row],[Kilómetros Rodados]]/(BASE_DATOS[[#This Row],[NSK Original]]-BASE_DATOS[[#This Row],[NSK]]),"")</f>
        <v/>
      </c>
      <c r="AQ65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53" s="177" t="str">
        <f>IFERROR(BASE_DATOS[[#This Row],[Precio US$]]/BASE_DATOS[[#This Row],[Kilómetros Proy.]],"")</f>
        <v/>
      </c>
      <c r="AS653" s="167" t="s">
        <v>62</v>
      </c>
      <c r="AT653" s="167"/>
      <c r="AU653" s="167"/>
      <c r="AV653" s="167"/>
      <c r="AW653" s="179"/>
      <c r="AX653" s="179"/>
      <c r="AY653" s="179" t="str">
        <f>CONCATENATE(BASE_DATOS[[#This Row],[Código_U]]&amp;BASE_DATOS[[#This Row],[Pos.]]&amp;BASE_DATOS[[#This Row],[Situación Actual]])</f>
        <v>TC-2303Rodando</v>
      </c>
    </row>
    <row r="654" spans="1:51" ht="12" x14ac:dyDescent="0.25">
      <c r="A654" s="227" t="s">
        <v>247</v>
      </c>
      <c r="B654" s="217" t="s">
        <v>248</v>
      </c>
      <c r="C654" s="228" t="s">
        <v>296</v>
      </c>
      <c r="D654" s="229" t="s">
        <v>61</v>
      </c>
      <c r="E654" s="255"/>
      <c r="F654" s="256" t="s">
        <v>273</v>
      </c>
      <c r="G654" s="256" t="s">
        <v>271</v>
      </c>
      <c r="H654" s="257" t="str">
        <f>IF(BASE_DATOS[[#This Row],[N-R]]="N",BASE_DATOS[[#This Row],[Diseño]],"Reencauche")</f>
        <v>XMULTI2D</v>
      </c>
      <c r="I654" s="256" t="s">
        <v>299</v>
      </c>
      <c r="J654" s="243" t="s">
        <v>72</v>
      </c>
      <c r="K654" s="258">
        <v>21.4</v>
      </c>
      <c r="L654" s="241">
        <v>110</v>
      </c>
      <c r="M654" s="259"/>
      <c r="N654" s="260"/>
      <c r="O654" s="277"/>
      <c r="P654" s="278"/>
      <c r="Q654" s="279"/>
      <c r="R654" s="309" t="s">
        <v>101</v>
      </c>
      <c r="S654" s="310">
        <v>45384</v>
      </c>
      <c r="T654" s="311"/>
      <c r="U654" s="312"/>
      <c r="V654" s="227">
        <v>6</v>
      </c>
      <c r="W654" s="281"/>
      <c r="X654" s="282">
        <v>8</v>
      </c>
      <c r="Y654" s="293">
        <f t="shared" si="28"/>
        <v>6</v>
      </c>
      <c r="Z654" s="161" t="s">
        <v>73</v>
      </c>
      <c r="AA654" s="342">
        <f>IFERROR(BASE_DATOS[[#This Row],[NSK Original]]-BASE_DATOS[[#This Row],[NSK]]," ")</f>
        <v>15.399999999999999</v>
      </c>
      <c r="AB654" s="343">
        <f>'NSK-TRACTO'!$A$2</f>
        <v>6</v>
      </c>
      <c r="AC654" s="343">
        <f>IF(BASE_DATOS[[#This Row],[NSK]]&gt;=BASE_DATOS[[#This Row],[NSK Reen]],BASE_DATOS[[#This Row],[NSK Reen]],BASE_DATOS[[#This Row],[NSK]])</f>
        <v>6</v>
      </c>
      <c r="AD654" s="344">
        <f>IFERROR(100%-(BASE_DATOS[[#This Row],[NSK Reen]]/BASE_DATOS[[#This Row],[NSK Original]]),"")</f>
        <v>0.71962616822429903</v>
      </c>
      <c r="AE654" s="344">
        <f>IFERROR(100%-BASE_DATOS[[#This Row],[NSK]]/BASE_DATOS[[#This Row],[NSK Original]],"")</f>
        <v>0.71962616822429903</v>
      </c>
      <c r="AF654" s="344">
        <f>IFERROR(BASE_DATOS[[#This Row],[% Max Des.]]-BASE_DATOS[[#This Row],[% Des]],"")</f>
        <v>0</v>
      </c>
      <c r="AG654" s="287"/>
      <c r="AH654" s="273"/>
      <c r="AI654" s="363" t="str">
        <f>IF(OR(BASE_DATOS[[#This Row],[Hr.]]="",BASE_DATOS[[#This Row],[Hr. Actual]]=""),"",BASE_DATOS[[#This Row],[Hr. Actual]]-BASE_DATOS[[#This Row],[Hr.]]+BASE_DATOS[[#This Row],[Horas Acumuladas]])</f>
        <v/>
      </c>
      <c r="AJ654" s="364" t="str">
        <f>IFERROR(BASE_DATOS[[#This Row],[Precio US$]]/BASE_DATOS[[#This Row],[Horas Rodadas]],"")</f>
        <v/>
      </c>
      <c r="AK654" s="365" t="str">
        <f>IFERROR(BASE_DATOS[[#This Row],[Horas Rodadas]]/(BASE_DATOS[[#This Row],[NSK Original]]-BASE_DATOS[[#This Row],[NSK]]),"")</f>
        <v/>
      </c>
      <c r="AL65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54" s="366" t="str">
        <f>IFERROR(BASE_DATOS[[#This Row],[Precio US$]]/BASE_DATOS[[#This Row],[Horas Proy.]],"")</f>
        <v/>
      </c>
      <c r="AN654" s="176" t="str">
        <f>IF(OR(BASE_DATOS[[#This Row],[Km.]]="",BASE_DATOS[[#This Row],[Km. Actual]]=""),"",BASE_DATOS[[#This Row],[Km. Actual]]-BASE_DATOS[[#This Row],[Km.]]+BASE_DATOS[[#This Row],[Kilómetros Acumulados]])</f>
        <v/>
      </c>
      <c r="AO654" s="177" t="str">
        <f>IFERROR(BASE_DATOS[[#This Row],[Precio US$]]/BASE_DATOS[[#This Row],[Kilómetros Rodados]],"")</f>
        <v/>
      </c>
      <c r="AP654" s="176" t="str">
        <f>IFERROR(BASE_DATOS[[#This Row],[Kilómetros Rodados]]/(BASE_DATOS[[#This Row],[NSK Original]]-BASE_DATOS[[#This Row],[NSK]]),"")</f>
        <v/>
      </c>
      <c r="AQ65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54" s="177" t="str">
        <f>IFERROR(BASE_DATOS[[#This Row],[Precio US$]]/BASE_DATOS[[#This Row],[Kilómetros Proy.]],"")</f>
        <v/>
      </c>
      <c r="AS654" s="167" t="s">
        <v>62</v>
      </c>
      <c r="AT654" s="167"/>
      <c r="AU654" s="167"/>
      <c r="AV654" s="167"/>
      <c r="AW654" s="179"/>
      <c r="AX654" s="179"/>
      <c r="AY654" s="179" t="str">
        <f>CONCATENATE(BASE_DATOS[[#This Row],[Código_U]]&amp;BASE_DATOS[[#This Row],[Pos.]]&amp;BASE_DATOS[[#This Row],[Situación Actual]])</f>
        <v>TC-2304Rodando</v>
      </c>
    </row>
    <row r="655" spans="1:51" ht="12" x14ac:dyDescent="0.25">
      <c r="A655" s="227" t="s">
        <v>247</v>
      </c>
      <c r="B655" s="217" t="s">
        <v>248</v>
      </c>
      <c r="C655" s="228" t="s">
        <v>296</v>
      </c>
      <c r="D655" s="229" t="s">
        <v>61</v>
      </c>
      <c r="E655" s="255"/>
      <c r="F655" s="256" t="s">
        <v>273</v>
      </c>
      <c r="G655" s="256" t="s">
        <v>271</v>
      </c>
      <c r="H655" s="257" t="str">
        <f>IF(BASE_DATOS[[#This Row],[N-R]]="N",BASE_DATOS[[#This Row],[Diseño]],"Reencauche")</f>
        <v>XMULTI2D</v>
      </c>
      <c r="I655" s="256" t="s">
        <v>299</v>
      </c>
      <c r="J655" s="243" t="s">
        <v>72</v>
      </c>
      <c r="K655" s="258">
        <v>21.4</v>
      </c>
      <c r="L655" s="241">
        <v>110</v>
      </c>
      <c r="M655" s="259"/>
      <c r="N655" s="260"/>
      <c r="O655" s="277"/>
      <c r="P655" s="278"/>
      <c r="Q655" s="279"/>
      <c r="R655" s="309" t="s">
        <v>102</v>
      </c>
      <c r="S655" s="310">
        <v>45384</v>
      </c>
      <c r="T655" s="311"/>
      <c r="U655" s="312"/>
      <c r="V655" s="227">
        <v>3</v>
      </c>
      <c r="W655" s="281"/>
      <c r="X655" s="282">
        <v>4</v>
      </c>
      <c r="Y655" s="293">
        <f t="shared" si="28"/>
        <v>3</v>
      </c>
      <c r="Z655" s="161" t="s">
        <v>73</v>
      </c>
      <c r="AA655" s="342">
        <f>IFERROR(BASE_DATOS[[#This Row],[NSK Original]]-BASE_DATOS[[#This Row],[NSK]]," ")</f>
        <v>18.399999999999999</v>
      </c>
      <c r="AB655" s="343">
        <f>'NSK-TRACTO'!$A$2</f>
        <v>6</v>
      </c>
      <c r="AC655" s="343">
        <f>IF(BASE_DATOS[[#This Row],[NSK]]&gt;=BASE_DATOS[[#This Row],[NSK Reen]],BASE_DATOS[[#This Row],[NSK Reen]],BASE_DATOS[[#This Row],[NSK]])</f>
        <v>3</v>
      </c>
      <c r="AD655" s="344">
        <f>IFERROR(100%-(BASE_DATOS[[#This Row],[NSK Reen]]/BASE_DATOS[[#This Row],[NSK Original]]),"")</f>
        <v>0.71962616822429903</v>
      </c>
      <c r="AE655" s="344">
        <f>IFERROR(100%-BASE_DATOS[[#This Row],[NSK]]/BASE_DATOS[[#This Row],[NSK Original]],"")</f>
        <v>0.85981308411214952</v>
      </c>
      <c r="AF655" s="344">
        <f>IFERROR(BASE_DATOS[[#This Row],[% Max Des.]]-BASE_DATOS[[#This Row],[% Des]],"")</f>
        <v>-0.14018691588785048</v>
      </c>
      <c r="AG655" s="287"/>
      <c r="AH655" s="273"/>
      <c r="AI655" s="363" t="str">
        <f>IF(OR(BASE_DATOS[[#This Row],[Hr.]]="",BASE_DATOS[[#This Row],[Hr. Actual]]=""),"",BASE_DATOS[[#This Row],[Hr. Actual]]-BASE_DATOS[[#This Row],[Hr.]]+BASE_DATOS[[#This Row],[Horas Acumuladas]])</f>
        <v/>
      </c>
      <c r="AJ655" s="364" t="str">
        <f>IFERROR(BASE_DATOS[[#This Row],[Precio US$]]/BASE_DATOS[[#This Row],[Horas Rodadas]],"")</f>
        <v/>
      </c>
      <c r="AK655" s="365" t="str">
        <f>IFERROR(BASE_DATOS[[#This Row],[Horas Rodadas]]/(BASE_DATOS[[#This Row],[NSK Original]]-BASE_DATOS[[#This Row],[NSK]]),"")</f>
        <v/>
      </c>
      <c r="AL65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55" s="366" t="str">
        <f>IFERROR(BASE_DATOS[[#This Row],[Precio US$]]/BASE_DATOS[[#This Row],[Horas Proy.]],"")</f>
        <v/>
      </c>
      <c r="AN655" s="176" t="str">
        <f>IF(OR(BASE_DATOS[[#This Row],[Km.]]="",BASE_DATOS[[#This Row],[Km. Actual]]=""),"",BASE_DATOS[[#This Row],[Km. Actual]]-BASE_DATOS[[#This Row],[Km.]]+BASE_DATOS[[#This Row],[Kilómetros Acumulados]])</f>
        <v/>
      </c>
      <c r="AO655" s="177" t="str">
        <f>IFERROR(BASE_DATOS[[#This Row],[Precio US$]]/BASE_DATOS[[#This Row],[Kilómetros Rodados]],"")</f>
        <v/>
      </c>
      <c r="AP655" s="176" t="str">
        <f>IFERROR(BASE_DATOS[[#This Row],[Kilómetros Rodados]]/(BASE_DATOS[[#This Row],[NSK Original]]-BASE_DATOS[[#This Row],[NSK]]),"")</f>
        <v/>
      </c>
      <c r="AQ65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55" s="177" t="str">
        <f>IFERROR(BASE_DATOS[[#This Row],[Precio US$]]/BASE_DATOS[[#This Row],[Kilómetros Proy.]],"")</f>
        <v/>
      </c>
      <c r="AS655" s="167" t="s">
        <v>62</v>
      </c>
      <c r="AT655" s="167"/>
      <c r="AU655" s="167"/>
      <c r="AV655" s="167"/>
      <c r="AW655" s="179"/>
      <c r="AX655" s="179"/>
      <c r="AY655" s="179" t="str">
        <f>CONCATENATE(BASE_DATOS[[#This Row],[Código_U]]&amp;BASE_DATOS[[#This Row],[Pos.]]&amp;BASE_DATOS[[#This Row],[Situación Actual]])</f>
        <v>TC-2305Rodando</v>
      </c>
    </row>
    <row r="656" spans="1:51" ht="12" x14ac:dyDescent="0.25">
      <c r="A656" s="227" t="s">
        <v>247</v>
      </c>
      <c r="B656" s="217" t="s">
        <v>248</v>
      </c>
      <c r="C656" s="228" t="s">
        <v>296</v>
      </c>
      <c r="D656" s="229" t="s">
        <v>61</v>
      </c>
      <c r="E656" s="255"/>
      <c r="F656" s="256" t="s">
        <v>273</v>
      </c>
      <c r="G656" s="256" t="s">
        <v>271</v>
      </c>
      <c r="H656" s="257" t="str">
        <f>IF(BASE_DATOS[[#This Row],[N-R]]="N",BASE_DATOS[[#This Row],[Diseño]],"Reencauche")</f>
        <v>XMULTI2D</v>
      </c>
      <c r="I656" s="256" t="s">
        <v>299</v>
      </c>
      <c r="J656" s="243" t="s">
        <v>72</v>
      </c>
      <c r="K656" s="258">
        <v>21.4</v>
      </c>
      <c r="L656" s="241">
        <v>110</v>
      </c>
      <c r="M656" s="259"/>
      <c r="N656" s="260"/>
      <c r="O656" s="277"/>
      <c r="P656" s="278"/>
      <c r="Q656" s="279"/>
      <c r="R656" s="309" t="s">
        <v>103</v>
      </c>
      <c r="S656" s="310">
        <v>45384</v>
      </c>
      <c r="T656" s="311"/>
      <c r="U656" s="312"/>
      <c r="V656" s="227">
        <v>6</v>
      </c>
      <c r="W656" s="281"/>
      <c r="X656" s="282">
        <v>5</v>
      </c>
      <c r="Y656" s="293">
        <f t="shared" si="28"/>
        <v>5</v>
      </c>
      <c r="Z656" s="161" t="s">
        <v>73</v>
      </c>
      <c r="AA656" s="342">
        <f>IFERROR(BASE_DATOS[[#This Row],[NSK Original]]-BASE_DATOS[[#This Row],[NSK]]," ")</f>
        <v>16.399999999999999</v>
      </c>
      <c r="AB656" s="343">
        <f>'NSK-TRACTO'!$A$2</f>
        <v>6</v>
      </c>
      <c r="AC656" s="343">
        <f>IF(BASE_DATOS[[#This Row],[NSK]]&gt;=BASE_DATOS[[#This Row],[NSK Reen]],BASE_DATOS[[#This Row],[NSK Reen]],BASE_DATOS[[#This Row],[NSK]])</f>
        <v>5</v>
      </c>
      <c r="AD656" s="344">
        <f>IFERROR(100%-(BASE_DATOS[[#This Row],[NSK Reen]]/BASE_DATOS[[#This Row],[NSK Original]]),"")</f>
        <v>0.71962616822429903</v>
      </c>
      <c r="AE656" s="344">
        <f>IFERROR(100%-BASE_DATOS[[#This Row],[NSK]]/BASE_DATOS[[#This Row],[NSK Original]],"")</f>
        <v>0.76635514018691586</v>
      </c>
      <c r="AF656" s="344">
        <f>IFERROR(BASE_DATOS[[#This Row],[% Max Des.]]-BASE_DATOS[[#This Row],[% Des]],"")</f>
        <v>-4.6728971962616828E-2</v>
      </c>
      <c r="AG656" s="287"/>
      <c r="AH656" s="273"/>
      <c r="AI656" s="363" t="str">
        <f>IF(OR(BASE_DATOS[[#This Row],[Hr.]]="",BASE_DATOS[[#This Row],[Hr. Actual]]=""),"",BASE_DATOS[[#This Row],[Hr. Actual]]-BASE_DATOS[[#This Row],[Hr.]]+BASE_DATOS[[#This Row],[Horas Acumuladas]])</f>
        <v/>
      </c>
      <c r="AJ656" s="364" t="str">
        <f>IFERROR(BASE_DATOS[[#This Row],[Precio US$]]/BASE_DATOS[[#This Row],[Horas Rodadas]],"")</f>
        <v/>
      </c>
      <c r="AK656" s="365" t="str">
        <f>IFERROR(BASE_DATOS[[#This Row],[Horas Rodadas]]/(BASE_DATOS[[#This Row],[NSK Original]]-BASE_DATOS[[#This Row],[NSK]]),"")</f>
        <v/>
      </c>
      <c r="AL65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56" s="366" t="str">
        <f>IFERROR(BASE_DATOS[[#This Row],[Precio US$]]/BASE_DATOS[[#This Row],[Horas Proy.]],"")</f>
        <v/>
      </c>
      <c r="AN656" s="176" t="str">
        <f>IF(OR(BASE_DATOS[[#This Row],[Km.]]="",BASE_DATOS[[#This Row],[Km. Actual]]=""),"",BASE_DATOS[[#This Row],[Km. Actual]]-BASE_DATOS[[#This Row],[Km.]]+BASE_DATOS[[#This Row],[Kilómetros Acumulados]])</f>
        <v/>
      </c>
      <c r="AO656" s="177" t="str">
        <f>IFERROR(BASE_DATOS[[#This Row],[Precio US$]]/BASE_DATOS[[#This Row],[Kilómetros Rodados]],"")</f>
        <v/>
      </c>
      <c r="AP656" s="176" t="str">
        <f>IFERROR(BASE_DATOS[[#This Row],[Kilómetros Rodados]]/(BASE_DATOS[[#This Row],[NSK Original]]-BASE_DATOS[[#This Row],[NSK]]),"")</f>
        <v/>
      </c>
      <c r="AQ65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56" s="177" t="str">
        <f>IFERROR(BASE_DATOS[[#This Row],[Precio US$]]/BASE_DATOS[[#This Row],[Kilómetros Proy.]],"")</f>
        <v/>
      </c>
      <c r="AS656" s="167" t="s">
        <v>62</v>
      </c>
      <c r="AT656" s="167"/>
      <c r="AU656" s="167"/>
      <c r="AV656" s="167"/>
      <c r="AW656" s="179"/>
      <c r="AX656" s="179"/>
      <c r="AY656" s="179" t="str">
        <f>CONCATENATE(BASE_DATOS[[#This Row],[Código_U]]&amp;BASE_DATOS[[#This Row],[Pos.]]&amp;BASE_DATOS[[#This Row],[Situación Actual]])</f>
        <v>TC-2306Rodando</v>
      </c>
    </row>
    <row r="657" spans="1:51" ht="12" x14ac:dyDescent="0.25">
      <c r="A657" s="227" t="s">
        <v>247</v>
      </c>
      <c r="B657" s="217" t="s">
        <v>248</v>
      </c>
      <c r="C657" s="228" t="s">
        <v>296</v>
      </c>
      <c r="D657" s="229" t="s">
        <v>61</v>
      </c>
      <c r="E657" s="255"/>
      <c r="F657" s="256" t="s">
        <v>273</v>
      </c>
      <c r="G657" s="256" t="s">
        <v>271</v>
      </c>
      <c r="H657" s="257" t="str">
        <f>IF(BASE_DATOS[[#This Row],[N-R]]="N",BASE_DATOS[[#This Row],[Diseño]],"Reencauche")</f>
        <v>XMULTI2D</v>
      </c>
      <c r="I657" s="256" t="s">
        <v>299</v>
      </c>
      <c r="J657" s="243" t="s">
        <v>72</v>
      </c>
      <c r="K657" s="258">
        <v>21.4</v>
      </c>
      <c r="L657" s="241">
        <v>110</v>
      </c>
      <c r="M657" s="259"/>
      <c r="N657" s="260"/>
      <c r="O657" s="277"/>
      <c r="P657" s="278"/>
      <c r="Q657" s="279"/>
      <c r="R657" s="309" t="s">
        <v>104</v>
      </c>
      <c r="S657" s="310">
        <v>45384</v>
      </c>
      <c r="T657" s="311"/>
      <c r="U657" s="312"/>
      <c r="V657" s="227">
        <v>7</v>
      </c>
      <c r="W657" s="281"/>
      <c r="X657" s="282">
        <v>8</v>
      </c>
      <c r="Y657" s="293">
        <f t="shared" si="28"/>
        <v>7</v>
      </c>
      <c r="Z657" s="161" t="s">
        <v>73</v>
      </c>
      <c r="AA657" s="342">
        <f>IFERROR(BASE_DATOS[[#This Row],[NSK Original]]-BASE_DATOS[[#This Row],[NSK]]," ")</f>
        <v>14.399999999999999</v>
      </c>
      <c r="AB657" s="343">
        <f>'NSK-TRACTO'!$A$2</f>
        <v>6</v>
      </c>
      <c r="AC657" s="343">
        <f>IF(BASE_DATOS[[#This Row],[NSK]]&gt;=BASE_DATOS[[#This Row],[NSK Reen]],BASE_DATOS[[#This Row],[NSK Reen]],BASE_DATOS[[#This Row],[NSK]])</f>
        <v>6</v>
      </c>
      <c r="AD657" s="344">
        <f>IFERROR(100%-(BASE_DATOS[[#This Row],[NSK Reen]]/BASE_DATOS[[#This Row],[NSK Original]]),"")</f>
        <v>0.71962616822429903</v>
      </c>
      <c r="AE657" s="344">
        <f>IFERROR(100%-BASE_DATOS[[#This Row],[NSK]]/BASE_DATOS[[#This Row],[NSK Original]],"")</f>
        <v>0.67289719626168221</v>
      </c>
      <c r="AF657" s="344">
        <f>IFERROR(BASE_DATOS[[#This Row],[% Max Des.]]-BASE_DATOS[[#This Row],[% Des]],"")</f>
        <v>4.6728971962616828E-2</v>
      </c>
      <c r="AG657" s="287"/>
      <c r="AH657" s="273"/>
      <c r="AI657" s="363" t="str">
        <f>IF(OR(BASE_DATOS[[#This Row],[Hr.]]="",BASE_DATOS[[#This Row],[Hr. Actual]]=""),"",BASE_DATOS[[#This Row],[Hr. Actual]]-BASE_DATOS[[#This Row],[Hr.]]+BASE_DATOS[[#This Row],[Horas Acumuladas]])</f>
        <v/>
      </c>
      <c r="AJ657" s="364" t="str">
        <f>IFERROR(BASE_DATOS[[#This Row],[Precio US$]]/BASE_DATOS[[#This Row],[Horas Rodadas]],"")</f>
        <v/>
      </c>
      <c r="AK657" s="365" t="str">
        <f>IFERROR(BASE_DATOS[[#This Row],[Horas Rodadas]]/(BASE_DATOS[[#This Row],[NSK Original]]-BASE_DATOS[[#This Row],[NSK]]),"")</f>
        <v/>
      </c>
      <c r="AL65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57" s="366" t="str">
        <f>IFERROR(BASE_DATOS[[#This Row],[Precio US$]]/BASE_DATOS[[#This Row],[Horas Proy.]],"")</f>
        <v/>
      </c>
      <c r="AN657" s="176" t="str">
        <f>IF(OR(BASE_DATOS[[#This Row],[Km.]]="",BASE_DATOS[[#This Row],[Km. Actual]]=""),"",BASE_DATOS[[#This Row],[Km. Actual]]-BASE_DATOS[[#This Row],[Km.]]+BASE_DATOS[[#This Row],[Kilómetros Acumulados]])</f>
        <v/>
      </c>
      <c r="AO657" s="177" t="str">
        <f>IFERROR(BASE_DATOS[[#This Row],[Precio US$]]/BASE_DATOS[[#This Row],[Kilómetros Rodados]],"")</f>
        <v/>
      </c>
      <c r="AP657" s="176" t="str">
        <f>IFERROR(BASE_DATOS[[#This Row],[Kilómetros Rodados]]/(BASE_DATOS[[#This Row],[NSK Original]]-BASE_DATOS[[#This Row],[NSK]]),"")</f>
        <v/>
      </c>
      <c r="AQ65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57" s="177" t="str">
        <f>IFERROR(BASE_DATOS[[#This Row],[Precio US$]]/BASE_DATOS[[#This Row],[Kilómetros Proy.]],"")</f>
        <v/>
      </c>
      <c r="AS657" s="167" t="s">
        <v>62</v>
      </c>
      <c r="AT657" s="167"/>
      <c r="AU657" s="167"/>
      <c r="AV657" s="167"/>
      <c r="AW657" s="179"/>
      <c r="AX657" s="179"/>
      <c r="AY657" s="179" t="str">
        <f>CONCATENATE(BASE_DATOS[[#This Row],[Código_U]]&amp;BASE_DATOS[[#This Row],[Pos.]]&amp;BASE_DATOS[[#This Row],[Situación Actual]])</f>
        <v>TC-2307Rodando</v>
      </c>
    </row>
    <row r="658" spans="1:51" ht="12" x14ac:dyDescent="0.25">
      <c r="A658" s="227" t="s">
        <v>247</v>
      </c>
      <c r="B658" s="217" t="s">
        <v>248</v>
      </c>
      <c r="C658" s="228" t="s">
        <v>296</v>
      </c>
      <c r="D658" s="229" t="s">
        <v>61</v>
      </c>
      <c r="E658" s="255"/>
      <c r="F658" s="256" t="s">
        <v>273</v>
      </c>
      <c r="G658" s="256" t="s">
        <v>271</v>
      </c>
      <c r="H658" s="257" t="str">
        <f>IF(BASE_DATOS[[#This Row],[N-R]]="N",BASE_DATOS[[#This Row],[Diseño]],"Reencauche")</f>
        <v>XMULTI2D</v>
      </c>
      <c r="I658" s="256" t="s">
        <v>299</v>
      </c>
      <c r="J658" s="243" t="s">
        <v>72</v>
      </c>
      <c r="K658" s="258">
        <v>21.4</v>
      </c>
      <c r="L658" s="241">
        <v>110</v>
      </c>
      <c r="M658" s="259"/>
      <c r="N658" s="260"/>
      <c r="O658" s="277"/>
      <c r="P658" s="278"/>
      <c r="Q658" s="279"/>
      <c r="R658" s="309" t="s">
        <v>105</v>
      </c>
      <c r="S658" s="310">
        <v>45384</v>
      </c>
      <c r="T658" s="311"/>
      <c r="U658" s="312"/>
      <c r="V658" s="227">
        <v>7</v>
      </c>
      <c r="W658" s="281"/>
      <c r="X658" s="282">
        <v>7</v>
      </c>
      <c r="Y658" s="293">
        <f t="shared" si="28"/>
        <v>7</v>
      </c>
      <c r="Z658" s="161" t="s">
        <v>73</v>
      </c>
      <c r="AA658" s="342">
        <f>IFERROR(BASE_DATOS[[#This Row],[NSK Original]]-BASE_DATOS[[#This Row],[NSK]]," ")</f>
        <v>14.399999999999999</v>
      </c>
      <c r="AB658" s="343">
        <f>'NSK-TRACTO'!$A$2</f>
        <v>6</v>
      </c>
      <c r="AC658" s="343">
        <f>IF(BASE_DATOS[[#This Row],[NSK]]&gt;=BASE_DATOS[[#This Row],[NSK Reen]],BASE_DATOS[[#This Row],[NSK Reen]],BASE_DATOS[[#This Row],[NSK]])</f>
        <v>6</v>
      </c>
      <c r="AD658" s="344">
        <f>IFERROR(100%-(BASE_DATOS[[#This Row],[NSK Reen]]/BASE_DATOS[[#This Row],[NSK Original]]),"")</f>
        <v>0.71962616822429903</v>
      </c>
      <c r="AE658" s="344">
        <f>IFERROR(100%-BASE_DATOS[[#This Row],[NSK]]/BASE_DATOS[[#This Row],[NSK Original]],"")</f>
        <v>0.67289719626168221</v>
      </c>
      <c r="AF658" s="344">
        <f>IFERROR(BASE_DATOS[[#This Row],[% Max Des.]]-BASE_DATOS[[#This Row],[% Des]],"")</f>
        <v>4.6728971962616828E-2</v>
      </c>
      <c r="AG658" s="287"/>
      <c r="AH658" s="273"/>
      <c r="AI658" s="363" t="str">
        <f>IF(OR(BASE_DATOS[[#This Row],[Hr.]]="",BASE_DATOS[[#This Row],[Hr. Actual]]=""),"",BASE_DATOS[[#This Row],[Hr. Actual]]-BASE_DATOS[[#This Row],[Hr.]]+BASE_DATOS[[#This Row],[Horas Acumuladas]])</f>
        <v/>
      </c>
      <c r="AJ658" s="364" t="str">
        <f>IFERROR(BASE_DATOS[[#This Row],[Precio US$]]/BASE_DATOS[[#This Row],[Horas Rodadas]],"")</f>
        <v/>
      </c>
      <c r="AK658" s="365" t="str">
        <f>IFERROR(BASE_DATOS[[#This Row],[Horas Rodadas]]/(BASE_DATOS[[#This Row],[NSK Original]]-BASE_DATOS[[#This Row],[NSK]]),"")</f>
        <v/>
      </c>
      <c r="AL65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58" s="366" t="str">
        <f>IFERROR(BASE_DATOS[[#This Row],[Precio US$]]/BASE_DATOS[[#This Row],[Horas Proy.]],"")</f>
        <v/>
      </c>
      <c r="AN658" s="176" t="str">
        <f>IF(OR(BASE_DATOS[[#This Row],[Km.]]="",BASE_DATOS[[#This Row],[Km. Actual]]=""),"",BASE_DATOS[[#This Row],[Km. Actual]]-BASE_DATOS[[#This Row],[Km.]]+BASE_DATOS[[#This Row],[Kilómetros Acumulados]])</f>
        <v/>
      </c>
      <c r="AO658" s="177" t="str">
        <f>IFERROR(BASE_DATOS[[#This Row],[Precio US$]]/BASE_DATOS[[#This Row],[Kilómetros Rodados]],"")</f>
        <v/>
      </c>
      <c r="AP658" s="176" t="str">
        <f>IFERROR(BASE_DATOS[[#This Row],[Kilómetros Rodados]]/(BASE_DATOS[[#This Row],[NSK Original]]-BASE_DATOS[[#This Row],[NSK]]),"")</f>
        <v/>
      </c>
      <c r="AQ65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58" s="177" t="str">
        <f>IFERROR(BASE_DATOS[[#This Row],[Precio US$]]/BASE_DATOS[[#This Row],[Kilómetros Proy.]],"")</f>
        <v/>
      </c>
      <c r="AS658" s="167" t="s">
        <v>62</v>
      </c>
      <c r="AT658" s="167"/>
      <c r="AU658" s="167"/>
      <c r="AV658" s="167"/>
      <c r="AW658" s="179"/>
      <c r="AX658" s="179"/>
      <c r="AY658" s="179" t="str">
        <f>CONCATENATE(BASE_DATOS[[#This Row],[Código_U]]&amp;BASE_DATOS[[#This Row],[Pos.]]&amp;BASE_DATOS[[#This Row],[Situación Actual]])</f>
        <v>TC-2308Rodando</v>
      </c>
    </row>
    <row r="659" spans="1:51" ht="12" x14ac:dyDescent="0.25">
      <c r="A659" s="227" t="s">
        <v>247</v>
      </c>
      <c r="B659" s="217" t="s">
        <v>248</v>
      </c>
      <c r="C659" s="228" t="s">
        <v>296</v>
      </c>
      <c r="D659" s="229" t="s">
        <v>61</v>
      </c>
      <c r="E659" s="255"/>
      <c r="F659" s="256" t="s">
        <v>273</v>
      </c>
      <c r="G659" s="256" t="s">
        <v>271</v>
      </c>
      <c r="H659" s="257" t="str">
        <f>IF(BASE_DATOS[[#This Row],[N-R]]="N",BASE_DATOS[[#This Row],[Diseño]],"Reencauche")</f>
        <v>XMULTI2D</v>
      </c>
      <c r="I659" s="256" t="s">
        <v>299</v>
      </c>
      <c r="J659" s="243" t="s">
        <v>72</v>
      </c>
      <c r="K659" s="258">
        <v>21.4</v>
      </c>
      <c r="L659" s="241">
        <v>110</v>
      </c>
      <c r="M659" s="259"/>
      <c r="N659" s="260"/>
      <c r="O659" s="277"/>
      <c r="P659" s="278"/>
      <c r="Q659" s="279"/>
      <c r="R659" s="309" t="s">
        <v>106</v>
      </c>
      <c r="S659" s="310">
        <v>45384</v>
      </c>
      <c r="T659" s="311"/>
      <c r="U659" s="312"/>
      <c r="V659" s="227">
        <v>7</v>
      </c>
      <c r="W659" s="281"/>
      <c r="X659" s="282">
        <v>8</v>
      </c>
      <c r="Y659" s="293">
        <f t="shared" si="28"/>
        <v>7</v>
      </c>
      <c r="Z659" s="161" t="s">
        <v>73</v>
      </c>
      <c r="AA659" s="342">
        <f>IFERROR(BASE_DATOS[[#This Row],[NSK Original]]-BASE_DATOS[[#This Row],[NSK]]," ")</f>
        <v>14.399999999999999</v>
      </c>
      <c r="AB659" s="343">
        <f>'NSK-TRACTO'!$A$2</f>
        <v>6</v>
      </c>
      <c r="AC659" s="343">
        <f>IF(BASE_DATOS[[#This Row],[NSK]]&gt;=BASE_DATOS[[#This Row],[NSK Reen]],BASE_DATOS[[#This Row],[NSK Reen]],BASE_DATOS[[#This Row],[NSK]])</f>
        <v>6</v>
      </c>
      <c r="AD659" s="344">
        <f>IFERROR(100%-(BASE_DATOS[[#This Row],[NSK Reen]]/BASE_DATOS[[#This Row],[NSK Original]]),"")</f>
        <v>0.71962616822429903</v>
      </c>
      <c r="AE659" s="344">
        <f>IFERROR(100%-BASE_DATOS[[#This Row],[NSK]]/BASE_DATOS[[#This Row],[NSK Original]],"")</f>
        <v>0.67289719626168221</v>
      </c>
      <c r="AF659" s="344">
        <f>IFERROR(BASE_DATOS[[#This Row],[% Max Des.]]-BASE_DATOS[[#This Row],[% Des]],"")</f>
        <v>4.6728971962616828E-2</v>
      </c>
      <c r="AG659" s="287"/>
      <c r="AH659" s="273"/>
      <c r="AI659" s="363" t="str">
        <f>IF(OR(BASE_DATOS[[#This Row],[Hr.]]="",BASE_DATOS[[#This Row],[Hr. Actual]]=""),"",BASE_DATOS[[#This Row],[Hr. Actual]]-BASE_DATOS[[#This Row],[Hr.]]+BASE_DATOS[[#This Row],[Horas Acumuladas]])</f>
        <v/>
      </c>
      <c r="AJ659" s="364" t="str">
        <f>IFERROR(BASE_DATOS[[#This Row],[Precio US$]]/BASE_DATOS[[#This Row],[Horas Rodadas]],"")</f>
        <v/>
      </c>
      <c r="AK659" s="365" t="str">
        <f>IFERROR(BASE_DATOS[[#This Row],[Horas Rodadas]]/(BASE_DATOS[[#This Row],[NSK Original]]-BASE_DATOS[[#This Row],[NSK]]),"")</f>
        <v/>
      </c>
      <c r="AL65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59" s="366" t="str">
        <f>IFERROR(BASE_DATOS[[#This Row],[Precio US$]]/BASE_DATOS[[#This Row],[Horas Proy.]],"")</f>
        <v/>
      </c>
      <c r="AN659" s="176" t="str">
        <f>IF(OR(BASE_DATOS[[#This Row],[Km.]]="",BASE_DATOS[[#This Row],[Km. Actual]]=""),"",BASE_DATOS[[#This Row],[Km. Actual]]-BASE_DATOS[[#This Row],[Km.]]+BASE_DATOS[[#This Row],[Kilómetros Acumulados]])</f>
        <v/>
      </c>
      <c r="AO659" s="177" t="str">
        <f>IFERROR(BASE_DATOS[[#This Row],[Precio US$]]/BASE_DATOS[[#This Row],[Kilómetros Rodados]],"")</f>
        <v/>
      </c>
      <c r="AP659" s="176" t="str">
        <f>IFERROR(BASE_DATOS[[#This Row],[Kilómetros Rodados]]/(BASE_DATOS[[#This Row],[NSK Original]]-BASE_DATOS[[#This Row],[NSK]]),"")</f>
        <v/>
      </c>
      <c r="AQ65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59" s="177" t="str">
        <f>IFERROR(BASE_DATOS[[#This Row],[Precio US$]]/BASE_DATOS[[#This Row],[Kilómetros Proy.]],"")</f>
        <v/>
      </c>
      <c r="AS659" s="167" t="s">
        <v>62</v>
      </c>
      <c r="AT659" s="167"/>
      <c r="AU659" s="167"/>
      <c r="AV659" s="167"/>
      <c r="AW659" s="179"/>
      <c r="AX659" s="179"/>
      <c r="AY659" s="179" t="str">
        <f>CONCATENATE(BASE_DATOS[[#This Row],[Código_U]]&amp;BASE_DATOS[[#This Row],[Pos.]]&amp;BASE_DATOS[[#This Row],[Situación Actual]])</f>
        <v>TC-2309Rodando</v>
      </c>
    </row>
    <row r="660" spans="1:51" ht="12" x14ac:dyDescent="0.25">
      <c r="A660" s="227" t="s">
        <v>247</v>
      </c>
      <c r="B660" s="217" t="s">
        <v>248</v>
      </c>
      <c r="C660" s="228" t="s">
        <v>296</v>
      </c>
      <c r="D660" s="229" t="s">
        <v>61</v>
      </c>
      <c r="E660" s="255"/>
      <c r="F660" s="256" t="s">
        <v>273</v>
      </c>
      <c r="G660" s="256" t="s">
        <v>271</v>
      </c>
      <c r="H660" s="257" t="str">
        <f>IF(BASE_DATOS[[#This Row],[N-R]]="N",BASE_DATOS[[#This Row],[Diseño]],"Reencauche")</f>
        <v>XMULTI2D</v>
      </c>
      <c r="I660" s="256" t="s">
        <v>299</v>
      </c>
      <c r="J660" s="243" t="s">
        <v>72</v>
      </c>
      <c r="K660" s="258">
        <v>21.4</v>
      </c>
      <c r="L660" s="241">
        <v>110</v>
      </c>
      <c r="M660" s="259"/>
      <c r="N660" s="260"/>
      <c r="O660" s="277"/>
      <c r="P660" s="278"/>
      <c r="Q660" s="279"/>
      <c r="R660" s="309" t="s">
        <v>107</v>
      </c>
      <c r="S660" s="310">
        <v>45384</v>
      </c>
      <c r="T660" s="311"/>
      <c r="U660" s="312"/>
      <c r="V660" s="227">
        <v>7</v>
      </c>
      <c r="W660" s="281"/>
      <c r="X660" s="282">
        <v>8</v>
      </c>
      <c r="Y660" s="293">
        <f t="shared" si="28"/>
        <v>7</v>
      </c>
      <c r="Z660" s="175" t="s">
        <v>85</v>
      </c>
      <c r="AA660" s="342">
        <f>IFERROR(BASE_DATOS[[#This Row],[NSK Original]]-BASE_DATOS[[#This Row],[NSK]]," ")</f>
        <v>14.399999999999999</v>
      </c>
      <c r="AB660" s="343">
        <f>'NSK-TRACTO'!$A$2</f>
        <v>6</v>
      </c>
      <c r="AC660" s="343">
        <f>IF(BASE_DATOS[[#This Row],[NSK]]&gt;=BASE_DATOS[[#This Row],[NSK Reen]],BASE_DATOS[[#This Row],[NSK Reen]],BASE_DATOS[[#This Row],[NSK]])</f>
        <v>6</v>
      </c>
      <c r="AD660" s="344">
        <f>IFERROR(100%-(BASE_DATOS[[#This Row],[NSK Reen]]/BASE_DATOS[[#This Row],[NSK Original]]),"")</f>
        <v>0.71962616822429903</v>
      </c>
      <c r="AE660" s="344">
        <f>IFERROR(100%-BASE_DATOS[[#This Row],[NSK]]/BASE_DATOS[[#This Row],[NSK Original]],"")</f>
        <v>0.67289719626168221</v>
      </c>
      <c r="AF660" s="344">
        <f>IFERROR(BASE_DATOS[[#This Row],[% Max Des.]]-BASE_DATOS[[#This Row],[% Des]],"")</f>
        <v>4.6728971962616828E-2</v>
      </c>
      <c r="AG660" s="287"/>
      <c r="AH660" s="273"/>
      <c r="AI660" s="363" t="str">
        <f>IF(OR(BASE_DATOS[[#This Row],[Hr.]]="",BASE_DATOS[[#This Row],[Hr. Actual]]=""),"",BASE_DATOS[[#This Row],[Hr. Actual]]-BASE_DATOS[[#This Row],[Hr.]]+BASE_DATOS[[#This Row],[Horas Acumuladas]])</f>
        <v/>
      </c>
      <c r="AJ660" s="364" t="str">
        <f>IFERROR(BASE_DATOS[[#This Row],[Precio US$]]/BASE_DATOS[[#This Row],[Horas Rodadas]],"")</f>
        <v/>
      </c>
      <c r="AK660" s="365" t="str">
        <f>IFERROR(BASE_DATOS[[#This Row],[Horas Rodadas]]/(BASE_DATOS[[#This Row],[NSK Original]]-BASE_DATOS[[#This Row],[NSK]]),"")</f>
        <v/>
      </c>
      <c r="AL66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60" s="366" t="str">
        <f>IFERROR(BASE_DATOS[[#This Row],[Precio US$]]/BASE_DATOS[[#This Row],[Horas Proy.]],"")</f>
        <v/>
      </c>
      <c r="AN660" s="176" t="str">
        <f>IF(OR(BASE_DATOS[[#This Row],[Km.]]="",BASE_DATOS[[#This Row],[Km. Actual]]=""),"",BASE_DATOS[[#This Row],[Km. Actual]]-BASE_DATOS[[#This Row],[Km.]]+BASE_DATOS[[#This Row],[Kilómetros Acumulados]])</f>
        <v/>
      </c>
      <c r="AO660" s="177" t="str">
        <f>IFERROR(BASE_DATOS[[#This Row],[Precio US$]]/BASE_DATOS[[#This Row],[Kilómetros Rodados]],"")</f>
        <v/>
      </c>
      <c r="AP660" s="176" t="str">
        <f>IFERROR(BASE_DATOS[[#This Row],[Kilómetros Rodados]]/(BASE_DATOS[[#This Row],[NSK Original]]-BASE_DATOS[[#This Row],[NSK]]),"")</f>
        <v/>
      </c>
      <c r="AQ66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60" s="177" t="str">
        <f>IFERROR(BASE_DATOS[[#This Row],[Precio US$]]/BASE_DATOS[[#This Row],[Kilómetros Proy.]],"")</f>
        <v/>
      </c>
      <c r="AS660" s="167" t="s">
        <v>62</v>
      </c>
      <c r="AT660" s="167"/>
      <c r="AU660" s="167"/>
      <c r="AV660" s="167"/>
      <c r="AW660" s="179"/>
      <c r="AX660" s="179"/>
      <c r="AY660" s="179" t="str">
        <f>CONCATENATE(BASE_DATOS[[#This Row],[Código_U]]&amp;BASE_DATOS[[#This Row],[Pos.]]&amp;BASE_DATOS[[#This Row],[Situación Actual]])</f>
        <v>TC-23010Rodando</v>
      </c>
    </row>
    <row r="661" spans="1:51" ht="12" x14ac:dyDescent="0.25">
      <c r="A661" s="224" t="s">
        <v>249</v>
      </c>
      <c r="B661" s="213" t="s">
        <v>250</v>
      </c>
      <c r="C661" s="225" t="s">
        <v>296</v>
      </c>
      <c r="D661" s="226" t="s">
        <v>86</v>
      </c>
      <c r="E661" s="249"/>
      <c r="F661" s="250" t="s">
        <v>273</v>
      </c>
      <c r="G661" s="250" t="s">
        <v>271</v>
      </c>
      <c r="H661" s="251" t="str">
        <f>IF(BASE_DATOS[[#This Row],[N-R]]="N",BASE_DATOS[[#This Row],[Diseño]],"Reencauche")</f>
        <v>XMULTI+Z</v>
      </c>
      <c r="I661" s="250" t="s">
        <v>297</v>
      </c>
      <c r="J661" s="235" t="s">
        <v>72</v>
      </c>
      <c r="K661" s="252">
        <v>16</v>
      </c>
      <c r="L661" s="233">
        <v>100</v>
      </c>
      <c r="M661" s="253"/>
      <c r="N661" s="254"/>
      <c r="O661" s="274"/>
      <c r="P661" s="275"/>
      <c r="Q661" s="276"/>
      <c r="R661" s="305" t="s">
        <v>98</v>
      </c>
      <c r="S661" s="306">
        <v>45386</v>
      </c>
      <c r="T661" s="314"/>
      <c r="U661" s="276"/>
      <c r="V661" s="224">
        <v>7</v>
      </c>
      <c r="W661" s="325">
        <v>8</v>
      </c>
      <c r="X661" s="326">
        <v>8</v>
      </c>
      <c r="Y661" s="292">
        <f t="shared" ref="Y661:Y680" si="29">IFERROR(MIN(V661:X661),"")</f>
        <v>7</v>
      </c>
      <c r="Z661" s="194" t="s">
        <v>73</v>
      </c>
      <c r="AA661" s="339">
        <f>IFERROR(BASE_DATOS[[#This Row],[NSK Original]]-BASE_DATOS[[#This Row],[NSK]]," ")</f>
        <v>9</v>
      </c>
      <c r="AB661" s="340">
        <f>'NSK-TRACTO'!$A$2</f>
        <v>6</v>
      </c>
      <c r="AC661" s="340">
        <f>IF(BASE_DATOS[[#This Row],[NSK]]&gt;=BASE_DATOS[[#This Row],[NSK Reen]],BASE_DATOS[[#This Row],[NSK Reen]],BASE_DATOS[[#This Row],[NSK]])</f>
        <v>6</v>
      </c>
      <c r="AD661" s="341">
        <f>IFERROR(100%-(BASE_DATOS[[#This Row],[NSK Reen]]/BASE_DATOS[[#This Row],[NSK Original]]),"")</f>
        <v>0.625</v>
      </c>
      <c r="AE661" s="341">
        <f>IFERROR(100%-BASE_DATOS[[#This Row],[NSK]]/BASE_DATOS[[#This Row],[NSK Original]],"")</f>
        <v>0.5625</v>
      </c>
      <c r="AF661" s="341">
        <f>IFERROR(BASE_DATOS[[#This Row],[% Max Des.]]-BASE_DATOS[[#This Row],[% Des]],"")</f>
        <v>6.25E-2</v>
      </c>
      <c r="AG661" s="284"/>
      <c r="AH661" s="335"/>
      <c r="AI661" s="359" t="str">
        <f>IF(OR(BASE_DATOS[[#This Row],[Hr.]]="",BASE_DATOS[[#This Row],[Hr. Actual]]=""),"",BASE_DATOS[[#This Row],[Hr. Actual]]-BASE_DATOS[[#This Row],[Hr.]]+BASE_DATOS[[#This Row],[Horas Acumuladas]])</f>
        <v/>
      </c>
      <c r="AJ661" s="360" t="str">
        <f>IFERROR(BASE_DATOS[[#This Row],[Precio US$]]/BASE_DATOS[[#This Row],[Horas Rodadas]],"")</f>
        <v/>
      </c>
      <c r="AK661" s="361" t="str">
        <f>IFERROR(BASE_DATOS[[#This Row],[Horas Rodadas]]/(BASE_DATOS[[#This Row],[NSK Original]]-BASE_DATOS[[#This Row],[NSK]]),"")</f>
        <v/>
      </c>
      <c r="AL661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61" s="362" t="str">
        <f>IFERROR(BASE_DATOS[[#This Row],[Precio US$]]/BASE_DATOS[[#This Row],[Horas Proy.]],"")</f>
        <v/>
      </c>
      <c r="AN661" s="195" t="str">
        <f>IF(OR(BASE_DATOS[[#This Row],[Km.]]="",BASE_DATOS[[#This Row],[Km. Actual]]=""),"",BASE_DATOS[[#This Row],[Km. Actual]]-BASE_DATOS[[#This Row],[Km.]]+BASE_DATOS[[#This Row],[Kilómetros Acumulados]])</f>
        <v/>
      </c>
      <c r="AO661" s="196" t="str">
        <f>IFERROR(BASE_DATOS[[#This Row],[Precio US$]]/BASE_DATOS[[#This Row],[Kilómetros Rodados]],"")</f>
        <v/>
      </c>
      <c r="AP661" s="195" t="str">
        <f>IFERROR(BASE_DATOS[[#This Row],[Kilómetros Rodados]]/(BASE_DATOS[[#This Row],[NSK Original]]-BASE_DATOS[[#This Row],[NSK]]),"")</f>
        <v/>
      </c>
      <c r="AQ661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61" s="196" t="str">
        <f>IFERROR(BASE_DATOS[[#This Row],[Precio US$]]/BASE_DATOS[[#This Row],[Kilómetros Proy.]],"")</f>
        <v/>
      </c>
      <c r="AS661" s="191" t="s">
        <v>62</v>
      </c>
      <c r="AT661" s="191"/>
      <c r="AU661" s="191" t="s">
        <v>515</v>
      </c>
      <c r="AV661" s="191"/>
      <c r="AW661" s="198"/>
      <c r="AX661" s="198" t="s">
        <v>371</v>
      </c>
      <c r="AY661" s="198" t="str">
        <f>CONCATENATE(BASE_DATOS[[#This Row],[Código_U]]&amp;BASE_DATOS[[#This Row],[Pos.]]&amp;BASE_DATOS[[#This Row],[Situación Actual]])</f>
        <v>TC-2321Rodando</v>
      </c>
    </row>
    <row r="662" spans="1:51" ht="12" x14ac:dyDescent="0.25">
      <c r="A662" s="227" t="s">
        <v>249</v>
      </c>
      <c r="B662" s="217" t="s">
        <v>250</v>
      </c>
      <c r="C662" s="228" t="s">
        <v>296</v>
      </c>
      <c r="D662" s="229" t="s">
        <v>86</v>
      </c>
      <c r="E662" s="255"/>
      <c r="F662" s="256" t="s">
        <v>273</v>
      </c>
      <c r="G662" s="256" t="s">
        <v>271</v>
      </c>
      <c r="H662" s="257" t="str">
        <f>IF(BASE_DATOS[[#This Row],[N-R]]="N",BASE_DATOS[[#This Row],[Diseño]],"Reencauche")</f>
        <v>XMULTI+Z</v>
      </c>
      <c r="I662" s="256" t="s">
        <v>297</v>
      </c>
      <c r="J662" s="243" t="s">
        <v>72</v>
      </c>
      <c r="K662" s="258">
        <v>16</v>
      </c>
      <c r="L662" s="241">
        <v>100</v>
      </c>
      <c r="M662" s="259"/>
      <c r="N662" s="260"/>
      <c r="O662" s="277"/>
      <c r="P662" s="278"/>
      <c r="Q662" s="279"/>
      <c r="R662" s="309" t="s">
        <v>99</v>
      </c>
      <c r="S662" s="310">
        <v>45386</v>
      </c>
      <c r="T662" s="313"/>
      <c r="U662" s="279"/>
      <c r="V662" s="227">
        <v>8</v>
      </c>
      <c r="W662" s="281">
        <v>8</v>
      </c>
      <c r="X662" s="282">
        <v>8</v>
      </c>
      <c r="Y662" s="293">
        <f t="shared" si="29"/>
        <v>8</v>
      </c>
      <c r="Z662" s="161" t="s">
        <v>85</v>
      </c>
      <c r="AA662" s="342">
        <f>IFERROR(BASE_DATOS[[#This Row],[NSK Original]]-BASE_DATOS[[#This Row],[NSK]]," ")</f>
        <v>8</v>
      </c>
      <c r="AB662" s="343">
        <f>'NSK-TRACTO'!$A$2</f>
        <v>6</v>
      </c>
      <c r="AC662" s="343">
        <f>IF(BASE_DATOS[[#This Row],[NSK]]&gt;=BASE_DATOS[[#This Row],[NSK Reen]],BASE_DATOS[[#This Row],[NSK Reen]],BASE_DATOS[[#This Row],[NSK]])</f>
        <v>6</v>
      </c>
      <c r="AD662" s="344">
        <f>IFERROR(100%-(BASE_DATOS[[#This Row],[NSK Reen]]/BASE_DATOS[[#This Row],[NSK Original]]),"")</f>
        <v>0.625</v>
      </c>
      <c r="AE662" s="344">
        <f>IFERROR(100%-BASE_DATOS[[#This Row],[NSK]]/BASE_DATOS[[#This Row],[NSK Original]],"")</f>
        <v>0.5</v>
      </c>
      <c r="AF662" s="344">
        <f>IFERROR(BASE_DATOS[[#This Row],[% Max Des.]]-BASE_DATOS[[#This Row],[% Des]],"")</f>
        <v>0.125</v>
      </c>
      <c r="AG662" s="287"/>
      <c r="AH662" s="273"/>
      <c r="AI662" s="363" t="str">
        <f>IF(OR(BASE_DATOS[[#This Row],[Hr.]]="",BASE_DATOS[[#This Row],[Hr. Actual]]=""),"",BASE_DATOS[[#This Row],[Hr. Actual]]-BASE_DATOS[[#This Row],[Hr.]]+BASE_DATOS[[#This Row],[Horas Acumuladas]])</f>
        <v/>
      </c>
      <c r="AJ662" s="364" t="str">
        <f>IFERROR(BASE_DATOS[[#This Row],[Precio US$]]/BASE_DATOS[[#This Row],[Horas Rodadas]],"")</f>
        <v/>
      </c>
      <c r="AK662" s="365" t="str">
        <f>IFERROR(BASE_DATOS[[#This Row],[Horas Rodadas]]/(BASE_DATOS[[#This Row],[NSK Original]]-BASE_DATOS[[#This Row],[NSK]]),"")</f>
        <v/>
      </c>
      <c r="AL66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62" s="366" t="str">
        <f>IFERROR(BASE_DATOS[[#This Row],[Precio US$]]/BASE_DATOS[[#This Row],[Horas Proy.]],"")</f>
        <v/>
      </c>
      <c r="AN662" s="176" t="str">
        <f>IF(OR(BASE_DATOS[[#This Row],[Km.]]="",BASE_DATOS[[#This Row],[Km. Actual]]=""),"",BASE_DATOS[[#This Row],[Km. Actual]]-BASE_DATOS[[#This Row],[Km.]]+BASE_DATOS[[#This Row],[Kilómetros Acumulados]])</f>
        <v/>
      </c>
      <c r="AO662" s="177" t="str">
        <f>IFERROR(BASE_DATOS[[#This Row],[Precio US$]]/BASE_DATOS[[#This Row],[Kilómetros Rodados]],"")</f>
        <v/>
      </c>
      <c r="AP662" s="176" t="str">
        <f>IFERROR(BASE_DATOS[[#This Row],[Kilómetros Rodados]]/(BASE_DATOS[[#This Row],[NSK Original]]-BASE_DATOS[[#This Row],[NSK]]),"")</f>
        <v/>
      </c>
      <c r="AQ66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62" s="177" t="str">
        <f>IFERROR(BASE_DATOS[[#This Row],[Precio US$]]/BASE_DATOS[[#This Row],[Kilómetros Proy.]],"")</f>
        <v/>
      </c>
      <c r="AS662" s="167" t="s">
        <v>62</v>
      </c>
      <c r="AT662" s="167"/>
      <c r="AU662" s="167"/>
      <c r="AV662" s="167"/>
      <c r="AW662" s="179"/>
      <c r="AX662" s="179"/>
      <c r="AY662" s="179" t="str">
        <f>CONCATENATE(BASE_DATOS[[#This Row],[Código_U]]&amp;BASE_DATOS[[#This Row],[Pos.]]&amp;BASE_DATOS[[#This Row],[Situación Actual]])</f>
        <v>TC-2322Rodando</v>
      </c>
    </row>
    <row r="663" spans="1:51" ht="12" x14ac:dyDescent="0.25">
      <c r="A663" s="227" t="s">
        <v>249</v>
      </c>
      <c r="B663" s="217" t="s">
        <v>250</v>
      </c>
      <c r="C663" s="228" t="s">
        <v>296</v>
      </c>
      <c r="D663" s="229" t="s">
        <v>61</v>
      </c>
      <c r="E663" s="255"/>
      <c r="F663" s="256" t="s">
        <v>273</v>
      </c>
      <c r="G663" s="256" t="s">
        <v>271</v>
      </c>
      <c r="H663" s="257" t="str">
        <f>IF(BASE_DATOS[[#This Row],[N-R]]="N",BASE_DATOS[[#This Row],[Diseño]],"Reencauche")</f>
        <v>XMULTI2D</v>
      </c>
      <c r="I663" s="256" t="s">
        <v>299</v>
      </c>
      <c r="J663" s="243" t="s">
        <v>72</v>
      </c>
      <c r="K663" s="258">
        <v>21.4</v>
      </c>
      <c r="L663" s="241">
        <v>110</v>
      </c>
      <c r="M663" s="259"/>
      <c r="N663" s="260"/>
      <c r="O663" s="277"/>
      <c r="P663" s="278"/>
      <c r="Q663" s="279"/>
      <c r="R663" s="309" t="s">
        <v>100</v>
      </c>
      <c r="S663" s="310">
        <v>45386</v>
      </c>
      <c r="T663" s="313"/>
      <c r="U663" s="279"/>
      <c r="V663" s="227">
        <v>9</v>
      </c>
      <c r="W663" s="281"/>
      <c r="X663" s="282">
        <v>8</v>
      </c>
      <c r="Y663" s="293">
        <f t="shared" si="29"/>
        <v>8</v>
      </c>
      <c r="Z663" s="175" t="s">
        <v>73</v>
      </c>
      <c r="AA663" s="342">
        <f>IFERROR(BASE_DATOS[[#This Row],[NSK Original]]-BASE_DATOS[[#This Row],[NSK]]," ")</f>
        <v>13.399999999999999</v>
      </c>
      <c r="AB663" s="343">
        <f>'NSK-TRACTO'!$A$2</f>
        <v>6</v>
      </c>
      <c r="AC663" s="343">
        <f>IF(BASE_DATOS[[#This Row],[NSK]]&gt;=BASE_DATOS[[#This Row],[NSK Reen]],BASE_DATOS[[#This Row],[NSK Reen]],BASE_DATOS[[#This Row],[NSK]])</f>
        <v>6</v>
      </c>
      <c r="AD663" s="344">
        <f>IFERROR(100%-(BASE_DATOS[[#This Row],[NSK Reen]]/BASE_DATOS[[#This Row],[NSK Original]]),"")</f>
        <v>0.71962616822429903</v>
      </c>
      <c r="AE663" s="344">
        <f>IFERROR(100%-BASE_DATOS[[#This Row],[NSK]]/BASE_DATOS[[#This Row],[NSK Original]],"")</f>
        <v>0.62616822429906538</v>
      </c>
      <c r="AF663" s="344">
        <f>IFERROR(BASE_DATOS[[#This Row],[% Max Des.]]-BASE_DATOS[[#This Row],[% Des]],"")</f>
        <v>9.3457943925233655E-2</v>
      </c>
      <c r="AG663" s="287"/>
      <c r="AH663" s="273"/>
      <c r="AI663" s="363" t="str">
        <f>IF(OR(BASE_DATOS[[#This Row],[Hr.]]="",BASE_DATOS[[#This Row],[Hr. Actual]]=""),"",BASE_DATOS[[#This Row],[Hr. Actual]]-BASE_DATOS[[#This Row],[Hr.]]+BASE_DATOS[[#This Row],[Horas Acumuladas]])</f>
        <v/>
      </c>
      <c r="AJ663" s="364" t="str">
        <f>IFERROR(BASE_DATOS[[#This Row],[Precio US$]]/BASE_DATOS[[#This Row],[Horas Rodadas]],"")</f>
        <v/>
      </c>
      <c r="AK663" s="365" t="str">
        <f>IFERROR(BASE_DATOS[[#This Row],[Horas Rodadas]]/(BASE_DATOS[[#This Row],[NSK Original]]-BASE_DATOS[[#This Row],[NSK]]),"")</f>
        <v/>
      </c>
      <c r="AL66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63" s="366" t="str">
        <f>IFERROR(BASE_DATOS[[#This Row],[Precio US$]]/BASE_DATOS[[#This Row],[Horas Proy.]],"")</f>
        <v/>
      </c>
      <c r="AN663" s="176" t="str">
        <f>IF(OR(BASE_DATOS[[#This Row],[Km.]]="",BASE_DATOS[[#This Row],[Km. Actual]]=""),"",BASE_DATOS[[#This Row],[Km. Actual]]-BASE_DATOS[[#This Row],[Km.]]+BASE_DATOS[[#This Row],[Kilómetros Acumulados]])</f>
        <v/>
      </c>
      <c r="AO663" s="177" t="str">
        <f>IFERROR(BASE_DATOS[[#This Row],[Precio US$]]/BASE_DATOS[[#This Row],[Kilómetros Rodados]],"")</f>
        <v/>
      </c>
      <c r="AP663" s="176" t="str">
        <f>IFERROR(BASE_DATOS[[#This Row],[Kilómetros Rodados]]/(BASE_DATOS[[#This Row],[NSK Original]]-BASE_DATOS[[#This Row],[NSK]]),"")</f>
        <v/>
      </c>
      <c r="AQ66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63" s="177" t="str">
        <f>IFERROR(BASE_DATOS[[#This Row],[Precio US$]]/BASE_DATOS[[#This Row],[Kilómetros Proy.]],"")</f>
        <v/>
      </c>
      <c r="AS663" s="167" t="s">
        <v>62</v>
      </c>
      <c r="AT663" s="167"/>
      <c r="AU663" s="167"/>
      <c r="AV663" s="167"/>
      <c r="AW663" s="179"/>
      <c r="AX663" s="179"/>
      <c r="AY663" s="179" t="str">
        <f>CONCATENATE(BASE_DATOS[[#This Row],[Código_U]]&amp;BASE_DATOS[[#This Row],[Pos.]]&amp;BASE_DATOS[[#This Row],[Situación Actual]])</f>
        <v>TC-2323Rodando</v>
      </c>
    </row>
    <row r="664" spans="1:51" ht="12" x14ac:dyDescent="0.25">
      <c r="A664" s="227" t="s">
        <v>249</v>
      </c>
      <c r="B664" s="217" t="s">
        <v>250</v>
      </c>
      <c r="C664" s="228" t="s">
        <v>296</v>
      </c>
      <c r="D664" s="229" t="s">
        <v>61</v>
      </c>
      <c r="E664" s="255"/>
      <c r="F664" s="256" t="s">
        <v>273</v>
      </c>
      <c r="G664" s="256" t="s">
        <v>271</v>
      </c>
      <c r="H664" s="257" t="str">
        <f>IF(BASE_DATOS[[#This Row],[N-R]]="N",BASE_DATOS[[#This Row],[Diseño]],"Reencauche")</f>
        <v>XMULTI2D</v>
      </c>
      <c r="I664" s="256" t="s">
        <v>299</v>
      </c>
      <c r="J664" s="243" t="s">
        <v>72</v>
      </c>
      <c r="K664" s="258">
        <v>21.4</v>
      </c>
      <c r="L664" s="241">
        <v>110</v>
      </c>
      <c r="M664" s="259"/>
      <c r="N664" s="260"/>
      <c r="O664" s="277"/>
      <c r="P664" s="278"/>
      <c r="Q664" s="279"/>
      <c r="R664" s="309" t="s">
        <v>101</v>
      </c>
      <c r="S664" s="310">
        <v>45386</v>
      </c>
      <c r="T664" s="313"/>
      <c r="U664" s="279"/>
      <c r="V664" s="227">
        <v>8</v>
      </c>
      <c r="W664" s="281"/>
      <c r="X664" s="282">
        <v>9</v>
      </c>
      <c r="Y664" s="293">
        <f t="shared" si="29"/>
        <v>8</v>
      </c>
      <c r="Z664" s="175" t="s">
        <v>73</v>
      </c>
      <c r="AA664" s="342">
        <f>IFERROR(BASE_DATOS[[#This Row],[NSK Original]]-BASE_DATOS[[#This Row],[NSK]]," ")</f>
        <v>13.399999999999999</v>
      </c>
      <c r="AB664" s="343">
        <f>'NSK-TRACTO'!$A$2</f>
        <v>6</v>
      </c>
      <c r="AC664" s="343">
        <f>IF(BASE_DATOS[[#This Row],[NSK]]&gt;=BASE_DATOS[[#This Row],[NSK Reen]],BASE_DATOS[[#This Row],[NSK Reen]],BASE_DATOS[[#This Row],[NSK]])</f>
        <v>6</v>
      </c>
      <c r="AD664" s="344">
        <f>IFERROR(100%-(BASE_DATOS[[#This Row],[NSK Reen]]/BASE_DATOS[[#This Row],[NSK Original]]),"")</f>
        <v>0.71962616822429903</v>
      </c>
      <c r="AE664" s="344">
        <f>IFERROR(100%-BASE_DATOS[[#This Row],[NSK]]/BASE_DATOS[[#This Row],[NSK Original]],"")</f>
        <v>0.62616822429906538</v>
      </c>
      <c r="AF664" s="344">
        <f>IFERROR(BASE_DATOS[[#This Row],[% Max Des.]]-BASE_DATOS[[#This Row],[% Des]],"")</f>
        <v>9.3457943925233655E-2</v>
      </c>
      <c r="AG664" s="287"/>
      <c r="AH664" s="273"/>
      <c r="AI664" s="363" t="str">
        <f>IF(OR(BASE_DATOS[[#This Row],[Hr.]]="",BASE_DATOS[[#This Row],[Hr. Actual]]=""),"",BASE_DATOS[[#This Row],[Hr. Actual]]-BASE_DATOS[[#This Row],[Hr.]]+BASE_DATOS[[#This Row],[Horas Acumuladas]])</f>
        <v/>
      </c>
      <c r="AJ664" s="364" t="str">
        <f>IFERROR(BASE_DATOS[[#This Row],[Precio US$]]/BASE_DATOS[[#This Row],[Horas Rodadas]],"")</f>
        <v/>
      </c>
      <c r="AK664" s="365" t="str">
        <f>IFERROR(BASE_DATOS[[#This Row],[Horas Rodadas]]/(BASE_DATOS[[#This Row],[NSK Original]]-BASE_DATOS[[#This Row],[NSK]]),"")</f>
        <v/>
      </c>
      <c r="AL66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64" s="366" t="str">
        <f>IFERROR(BASE_DATOS[[#This Row],[Precio US$]]/BASE_DATOS[[#This Row],[Horas Proy.]],"")</f>
        <v/>
      </c>
      <c r="AN664" s="176" t="str">
        <f>IF(OR(BASE_DATOS[[#This Row],[Km.]]="",BASE_DATOS[[#This Row],[Km. Actual]]=""),"",BASE_DATOS[[#This Row],[Km. Actual]]-BASE_DATOS[[#This Row],[Km.]]+BASE_DATOS[[#This Row],[Kilómetros Acumulados]])</f>
        <v/>
      </c>
      <c r="AO664" s="177" t="str">
        <f>IFERROR(BASE_DATOS[[#This Row],[Precio US$]]/BASE_DATOS[[#This Row],[Kilómetros Rodados]],"")</f>
        <v/>
      </c>
      <c r="AP664" s="176" t="str">
        <f>IFERROR(BASE_DATOS[[#This Row],[Kilómetros Rodados]]/(BASE_DATOS[[#This Row],[NSK Original]]-BASE_DATOS[[#This Row],[NSK]]),"")</f>
        <v/>
      </c>
      <c r="AQ66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64" s="177" t="str">
        <f>IFERROR(BASE_DATOS[[#This Row],[Precio US$]]/BASE_DATOS[[#This Row],[Kilómetros Proy.]],"")</f>
        <v/>
      </c>
      <c r="AS664" s="167" t="s">
        <v>62</v>
      </c>
      <c r="AT664" s="167"/>
      <c r="AU664" s="167"/>
      <c r="AV664" s="167"/>
      <c r="AW664" s="179"/>
      <c r="AX664" s="179"/>
      <c r="AY664" s="179" t="str">
        <f>CONCATENATE(BASE_DATOS[[#This Row],[Código_U]]&amp;BASE_DATOS[[#This Row],[Pos.]]&amp;BASE_DATOS[[#This Row],[Situación Actual]])</f>
        <v>TC-2324Rodando</v>
      </c>
    </row>
    <row r="665" spans="1:51" ht="12" x14ac:dyDescent="0.25">
      <c r="A665" s="227" t="s">
        <v>249</v>
      </c>
      <c r="B665" s="217" t="s">
        <v>250</v>
      </c>
      <c r="C665" s="228" t="s">
        <v>296</v>
      </c>
      <c r="D665" s="229" t="s">
        <v>61</v>
      </c>
      <c r="E665" s="255"/>
      <c r="F665" s="256" t="s">
        <v>273</v>
      </c>
      <c r="G665" s="256" t="s">
        <v>271</v>
      </c>
      <c r="H665" s="257" t="str">
        <f>IF(BASE_DATOS[[#This Row],[N-R]]="N",BASE_DATOS[[#This Row],[Diseño]],"Reencauche")</f>
        <v>XMULTI2D</v>
      </c>
      <c r="I665" s="256" t="s">
        <v>299</v>
      </c>
      <c r="J665" s="243" t="s">
        <v>72</v>
      </c>
      <c r="K665" s="258">
        <v>21.4</v>
      </c>
      <c r="L665" s="241">
        <v>110</v>
      </c>
      <c r="M665" s="259"/>
      <c r="N665" s="260"/>
      <c r="O665" s="277"/>
      <c r="P665" s="278"/>
      <c r="Q665" s="279"/>
      <c r="R665" s="309" t="s">
        <v>102</v>
      </c>
      <c r="S665" s="310">
        <v>45386</v>
      </c>
      <c r="T665" s="313"/>
      <c r="U665" s="279"/>
      <c r="V665" s="227">
        <v>8</v>
      </c>
      <c r="W665" s="281"/>
      <c r="X665" s="282">
        <v>8</v>
      </c>
      <c r="Y665" s="293">
        <f t="shared" si="29"/>
        <v>8</v>
      </c>
      <c r="Z665" s="175" t="s">
        <v>73</v>
      </c>
      <c r="AA665" s="342">
        <f>IFERROR(BASE_DATOS[[#This Row],[NSK Original]]-BASE_DATOS[[#This Row],[NSK]]," ")</f>
        <v>13.399999999999999</v>
      </c>
      <c r="AB665" s="343">
        <f>'NSK-TRACTO'!$A$2</f>
        <v>6</v>
      </c>
      <c r="AC665" s="343">
        <f>IF(BASE_DATOS[[#This Row],[NSK]]&gt;=BASE_DATOS[[#This Row],[NSK Reen]],BASE_DATOS[[#This Row],[NSK Reen]],BASE_DATOS[[#This Row],[NSK]])</f>
        <v>6</v>
      </c>
      <c r="AD665" s="344">
        <f>IFERROR(100%-(BASE_DATOS[[#This Row],[NSK Reen]]/BASE_DATOS[[#This Row],[NSK Original]]),"")</f>
        <v>0.71962616822429903</v>
      </c>
      <c r="AE665" s="344">
        <f>IFERROR(100%-BASE_DATOS[[#This Row],[NSK]]/BASE_DATOS[[#This Row],[NSK Original]],"")</f>
        <v>0.62616822429906538</v>
      </c>
      <c r="AF665" s="344">
        <f>IFERROR(BASE_DATOS[[#This Row],[% Max Des.]]-BASE_DATOS[[#This Row],[% Des]],"")</f>
        <v>9.3457943925233655E-2</v>
      </c>
      <c r="AG665" s="287"/>
      <c r="AH665" s="273"/>
      <c r="AI665" s="363" t="str">
        <f>IF(OR(BASE_DATOS[[#This Row],[Hr.]]="",BASE_DATOS[[#This Row],[Hr. Actual]]=""),"",BASE_DATOS[[#This Row],[Hr. Actual]]-BASE_DATOS[[#This Row],[Hr.]]+BASE_DATOS[[#This Row],[Horas Acumuladas]])</f>
        <v/>
      </c>
      <c r="AJ665" s="364" t="str">
        <f>IFERROR(BASE_DATOS[[#This Row],[Precio US$]]/BASE_DATOS[[#This Row],[Horas Rodadas]],"")</f>
        <v/>
      </c>
      <c r="AK665" s="365" t="str">
        <f>IFERROR(BASE_DATOS[[#This Row],[Horas Rodadas]]/(BASE_DATOS[[#This Row],[NSK Original]]-BASE_DATOS[[#This Row],[NSK]]),"")</f>
        <v/>
      </c>
      <c r="AL66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65" s="366" t="str">
        <f>IFERROR(BASE_DATOS[[#This Row],[Precio US$]]/BASE_DATOS[[#This Row],[Horas Proy.]],"")</f>
        <v/>
      </c>
      <c r="AN665" s="176" t="str">
        <f>IF(OR(BASE_DATOS[[#This Row],[Km.]]="",BASE_DATOS[[#This Row],[Km. Actual]]=""),"",BASE_DATOS[[#This Row],[Km. Actual]]-BASE_DATOS[[#This Row],[Km.]]+BASE_DATOS[[#This Row],[Kilómetros Acumulados]])</f>
        <v/>
      </c>
      <c r="AO665" s="177" t="str">
        <f>IFERROR(BASE_DATOS[[#This Row],[Precio US$]]/BASE_DATOS[[#This Row],[Kilómetros Rodados]],"")</f>
        <v/>
      </c>
      <c r="AP665" s="176" t="str">
        <f>IFERROR(BASE_DATOS[[#This Row],[Kilómetros Rodados]]/(BASE_DATOS[[#This Row],[NSK Original]]-BASE_DATOS[[#This Row],[NSK]]),"")</f>
        <v/>
      </c>
      <c r="AQ66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65" s="177" t="str">
        <f>IFERROR(BASE_DATOS[[#This Row],[Precio US$]]/BASE_DATOS[[#This Row],[Kilómetros Proy.]],"")</f>
        <v/>
      </c>
      <c r="AS665" s="167" t="s">
        <v>62</v>
      </c>
      <c r="AT665" s="167"/>
      <c r="AU665" s="167"/>
      <c r="AV665" s="167"/>
      <c r="AW665" s="179"/>
      <c r="AX665" s="179"/>
      <c r="AY665" s="179" t="str">
        <f>CONCATENATE(BASE_DATOS[[#This Row],[Código_U]]&amp;BASE_DATOS[[#This Row],[Pos.]]&amp;BASE_DATOS[[#This Row],[Situación Actual]])</f>
        <v>TC-2325Rodando</v>
      </c>
    </row>
    <row r="666" spans="1:51" ht="12" x14ac:dyDescent="0.25">
      <c r="A666" s="227" t="s">
        <v>249</v>
      </c>
      <c r="B666" s="217" t="s">
        <v>250</v>
      </c>
      <c r="C666" s="228" t="s">
        <v>296</v>
      </c>
      <c r="D666" s="229" t="s">
        <v>61</v>
      </c>
      <c r="E666" s="255"/>
      <c r="F666" s="256" t="s">
        <v>273</v>
      </c>
      <c r="G666" s="256" t="s">
        <v>271</v>
      </c>
      <c r="H666" s="257" t="str">
        <f>IF(BASE_DATOS[[#This Row],[N-R]]="N",BASE_DATOS[[#This Row],[Diseño]],"Reencauche")</f>
        <v>XMULTI2D</v>
      </c>
      <c r="I666" s="256" t="s">
        <v>299</v>
      </c>
      <c r="J666" s="243" t="s">
        <v>72</v>
      </c>
      <c r="K666" s="258">
        <v>21.4</v>
      </c>
      <c r="L666" s="241">
        <v>110</v>
      </c>
      <c r="M666" s="259"/>
      <c r="N666" s="260"/>
      <c r="O666" s="277"/>
      <c r="P666" s="278"/>
      <c r="Q666" s="279"/>
      <c r="R666" s="309" t="s">
        <v>103</v>
      </c>
      <c r="S666" s="310">
        <v>45386</v>
      </c>
      <c r="T666" s="313"/>
      <c r="U666" s="279"/>
      <c r="V666" s="227">
        <v>7</v>
      </c>
      <c r="W666" s="281"/>
      <c r="X666" s="282">
        <v>8</v>
      </c>
      <c r="Y666" s="293">
        <f t="shared" si="29"/>
        <v>7</v>
      </c>
      <c r="Z666" s="175" t="s">
        <v>73</v>
      </c>
      <c r="AA666" s="342">
        <f>IFERROR(BASE_DATOS[[#This Row],[NSK Original]]-BASE_DATOS[[#This Row],[NSK]]," ")</f>
        <v>14.399999999999999</v>
      </c>
      <c r="AB666" s="343">
        <f>'NSK-TRACTO'!$A$2</f>
        <v>6</v>
      </c>
      <c r="AC666" s="343">
        <f>IF(BASE_DATOS[[#This Row],[NSK]]&gt;=BASE_DATOS[[#This Row],[NSK Reen]],BASE_DATOS[[#This Row],[NSK Reen]],BASE_DATOS[[#This Row],[NSK]])</f>
        <v>6</v>
      </c>
      <c r="AD666" s="344">
        <f>IFERROR(100%-(BASE_DATOS[[#This Row],[NSK Reen]]/BASE_DATOS[[#This Row],[NSK Original]]),"")</f>
        <v>0.71962616822429903</v>
      </c>
      <c r="AE666" s="344">
        <f>IFERROR(100%-BASE_DATOS[[#This Row],[NSK]]/BASE_DATOS[[#This Row],[NSK Original]],"")</f>
        <v>0.67289719626168221</v>
      </c>
      <c r="AF666" s="344">
        <f>IFERROR(BASE_DATOS[[#This Row],[% Max Des.]]-BASE_DATOS[[#This Row],[% Des]],"")</f>
        <v>4.6728971962616828E-2</v>
      </c>
      <c r="AG666" s="287"/>
      <c r="AH666" s="273"/>
      <c r="AI666" s="363" t="str">
        <f>IF(OR(BASE_DATOS[[#This Row],[Hr.]]="",BASE_DATOS[[#This Row],[Hr. Actual]]=""),"",BASE_DATOS[[#This Row],[Hr. Actual]]-BASE_DATOS[[#This Row],[Hr.]]+BASE_DATOS[[#This Row],[Horas Acumuladas]])</f>
        <v/>
      </c>
      <c r="AJ666" s="364" t="str">
        <f>IFERROR(BASE_DATOS[[#This Row],[Precio US$]]/BASE_DATOS[[#This Row],[Horas Rodadas]],"")</f>
        <v/>
      </c>
      <c r="AK666" s="365" t="str">
        <f>IFERROR(BASE_DATOS[[#This Row],[Horas Rodadas]]/(BASE_DATOS[[#This Row],[NSK Original]]-BASE_DATOS[[#This Row],[NSK]]),"")</f>
        <v/>
      </c>
      <c r="AL66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66" s="366" t="str">
        <f>IFERROR(BASE_DATOS[[#This Row],[Precio US$]]/BASE_DATOS[[#This Row],[Horas Proy.]],"")</f>
        <v/>
      </c>
      <c r="AN666" s="176" t="str">
        <f>IF(OR(BASE_DATOS[[#This Row],[Km.]]="",BASE_DATOS[[#This Row],[Km. Actual]]=""),"",BASE_DATOS[[#This Row],[Km. Actual]]-BASE_DATOS[[#This Row],[Km.]]+BASE_DATOS[[#This Row],[Kilómetros Acumulados]])</f>
        <v/>
      </c>
      <c r="AO666" s="177" t="str">
        <f>IFERROR(BASE_DATOS[[#This Row],[Precio US$]]/BASE_DATOS[[#This Row],[Kilómetros Rodados]],"")</f>
        <v/>
      </c>
      <c r="AP666" s="176" t="str">
        <f>IFERROR(BASE_DATOS[[#This Row],[Kilómetros Rodados]]/(BASE_DATOS[[#This Row],[NSK Original]]-BASE_DATOS[[#This Row],[NSK]]),"")</f>
        <v/>
      </c>
      <c r="AQ66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66" s="177" t="str">
        <f>IFERROR(BASE_DATOS[[#This Row],[Precio US$]]/BASE_DATOS[[#This Row],[Kilómetros Proy.]],"")</f>
        <v/>
      </c>
      <c r="AS666" s="167" t="s">
        <v>62</v>
      </c>
      <c r="AT666" s="167"/>
      <c r="AU666" s="167"/>
      <c r="AV666" s="167"/>
      <c r="AW666" s="179"/>
      <c r="AX666" s="179"/>
      <c r="AY666" s="179" t="str">
        <f>CONCATENATE(BASE_DATOS[[#This Row],[Código_U]]&amp;BASE_DATOS[[#This Row],[Pos.]]&amp;BASE_DATOS[[#This Row],[Situación Actual]])</f>
        <v>TC-2326Rodando</v>
      </c>
    </row>
    <row r="667" spans="1:51" ht="12" x14ac:dyDescent="0.25">
      <c r="A667" s="227" t="s">
        <v>249</v>
      </c>
      <c r="B667" s="217" t="s">
        <v>250</v>
      </c>
      <c r="C667" s="228" t="s">
        <v>296</v>
      </c>
      <c r="D667" s="229" t="s">
        <v>61</v>
      </c>
      <c r="E667" s="255"/>
      <c r="F667" s="256" t="s">
        <v>273</v>
      </c>
      <c r="G667" s="256" t="s">
        <v>271</v>
      </c>
      <c r="H667" s="257" t="str">
        <f>IF(BASE_DATOS[[#This Row],[N-R]]="N",BASE_DATOS[[#This Row],[Diseño]],"Reencauche")</f>
        <v>XMULTI2D</v>
      </c>
      <c r="I667" s="256" t="s">
        <v>299</v>
      </c>
      <c r="J667" s="243" t="s">
        <v>72</v>
      </c>
      <c r="K667" s="258">
        <v>21.4</v>
      </c>
      <c r="L667" s="241">
        <v>110</v>
      </c>
      <c r="M667" s="259"/>
      <c r="N667" s="260"/>
      <c r="O667" s="277"/>
      <c r="P667" s="278"/>
      <c r="Q667" s="279"/>
      <c r="R667" s="309" t="s">
        <v>104</v>
      </c>
      <c r="S667" s="310">
        <v>45386</v>
      </c>
      <c r="T667" s="313"/>
      <c r="U667" s="279"/>
      <c r="V667" s="227">
        <v>9</v>
      </c>
      <c r="W667" s="281"/>
      <c r="X667" s="282">
        <v>10</v>
      </c>
      <c r="Y667" s="293">
        <f t="shared" si="29"/>
        <v>9</v>
      </c>
      <c r="Z667" s="175" t="s">
        <v>73</v>
      </c>
      <c r="AA667" s="342">
        <f>IFERROR(BASE_DATOS[[#This Row],[NSK Original]]-BASE_DATOS[[#This Row],[NSK]]," ")</f>
        <v>12.399999999999999</v>
      </c>
      <c r="AB667" s="343">
        <f>'NSK-TRACTO'!$A$2</f>
        <v>6</v>
      </c>
      <c r="AC667" s="343">
        <f>IF(BASE_DATOS[[#This Row],[NSK]]&gt;=BASE_DATOS[[#This Row],[NSK Reen]],BASE_DATOS[[#This Row],[NSK Reen]],BASE_DATOS[[#This Row],[NSK]])</f>
        <v>6</v>
      </c>
      <c r="AD667" s="344">
        <f>IFERROR(100%-(BASE_DATOS[[#This Row],[NSK Reen]]/BASE_DATOS[[#This Row],[NSK Original]]),"")</f>
        <v>0.71962616822429903</v>
      </c>
      <c r="AE667" s="344">
        <f>IFERROR(100%-BASE_DATOS[[#This Row],[NSK]]/BASE_DATOS[[#This Row],[NSK Original]],"")</f>
        <v>0.57943925233644855</v>
      </c>
      <c r="AF667" s="344">
        <f>IFERROR(BASE_DATOS[[#This Row],[% Max Des.]]-BASE_DATOS[[#This Row],[% Des]],"")</f>
        <v>0.14018691588785048</v>
      </c>
      <c r="AG667" s="287"/>
      <c r="AH667" s="273"/>
      <c r="AI667" s="363" t="str">
        <f>IF(OR(BASE_DATOS[[#This Row],[Hr.]]="",BASE_DATOS[[#This Row],[Hr. Actual]]=""),"",BASE_DATOS[[#This Row],[Hr. Actual]]-BASE_DATOS[[#This Row],[Hr.]]+BASE_DATOS[[#This Row],[Horas Acumuladas]])</f>
        <v/>
      </c>
      <c r="AJ667" s="364" t="str">
        <f>IFERROR(BASE_DATOS[[#This Row],[Precio US$]]/BASE_DATOS[[#This Row],[Horas Rodadas]],"")</f>
        <v/>
      </c>
      <c r="AK667" s="365" t="str">
        <f>IFERROR(BASE_DATOS[[#This Row],[Horas Rodadas]]/(BASE_DATOS[[#This Row],[NSK Original]]-BASE_DATOS[[#This Row],[NSK]]),"")</f>
        <v/>
      </c>
      <c r="AL66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67" s="366" t="str">
        <f>IFERROR(BASE_DATOS[[#This Row],[Precio US$]]/BASE_DATOS[[#This Row],[Horas Proy.]],"")</f>
        <v/>
      </c>
      <c r="AN667" s="176" t="str">
        <f>IF(OR(BASE_DATOS[[#This Row],[Km.]]="",BASE_DATOS[[#This Row],[Km. Actual]]=""),"",BASE_DATOS[[#This Row],[Km. Actual]]-BASE_DATOS[[#This Row],[Km.]]+BASE_DATOS[[#This Row],[Kilómetros Acumulados]])</f>
        <v/>
      </c>
      <c r="AO667" s="177" t="str">
        <f>IFERROR(BASE_DATOS[[#This Row],[Precio US$]]/BASE_DATOS[[#This Row],[Kilómetros Rodados]],"")</f>
        <v/>
      </c>
      <c r="AP667" s="176" t="str">
        <f>IFERROR(BASE_DATOS[[#This Row],[Kilómetros Rodados]]/(BASE_DATOS[[#This Row],[NSK Original]]-BASE_DATOS[[#This Row],[NSK]]),"")</f>
        <v/>
      </c>
      <c r="AQ66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67" s="177" t="str">
        <f>IFERROR(BASE_DATOS[[#This Row],[Precio US$]]/BASE_DATOS[[#This Row],[Kilómetros Proy.]],"")</f>
        <v/>
      </c>
      <c r="AS667" s="167" t="s">
        <v>62</v>
      </c>
      <c r="AT667" s="167"/>
      <c r="AU667" s="167"/>
      <c r="AV667" s="167"/>
      <c r="AW667" s="179"/>
      <c r="AX667" s="179"/>
      <c r="AY667" s="179" t="str">
        <f>CONCATENATE(BASE_DATOS[[#This Row],[Código_U]]&amp;BASE_DATOS[[#This Row],[Pos.]]&amp;BASE_DATOS[[#This Row],[Situación Actual]])</f>
        <v>TC-2327Rodando</v>
      </c>
    </row>
    <row r="668" spans="1:51" ht="12" x14ac:dyDescent="0.25">
      <c r="A668" s="227" t="s">
        <v>249</v>
      </c>
      <c r="B668" s="217" t="s">
        <v>250</v>
      </c>
      <c r="C668" s="228" t="s">
        <v>296</v>
      </c>
      <c r="D668" s="229" t="s">
        <v>61</v>
      </c>
      <c r="E668" s="255"/>
      <c r="F668" s="256" t="s">
        <v>273</v>
      </c>
      <c r="G668" s="256" t="s">
        <v>271</v>
      </c>
      <c r="H668" s="257" t="str">
        <f>IF(BASE_DATOS[[#This Row],[N-R]]="N",BASE_DATOS[[#This Row],[Diseño]],"Reencauche")</f>
        <v>XMULTI2D</v>
      </c>
      <c r="I668" s="256" t="s">
        <v>299</v>
      </c>
      <c r="J668" s="243" t="s">
        <v>72</v>
      </c>
      <c r="K668" s="258">
        <v>21.4</v>
      </c>
      <c r="L668" s="241">
        <v>110</v>
      </c>
      <c r="M668" s="259"/>
      <c r="N668" s="260"/>
      <c r="O668" s="277"/>
      <c r="P668" s="278"/>
      <c r="Q668" s="279"/>
      <c r="R668" s="309" t="s">
        <v>105</v>
      </c>
      <c r="S668" s="310">
        <v>45386</v>
      </c>
      <c r="T668" s="313"/>
      <c r="U668" s="279"/>
      <c r="V668" s="227">
        <v>10</v>
      </c>
      <c r="W668" s="281"/>
      <c r="X668" s="282">
        <v>9</v>
      </c>
      <c r="Y668" s="293">
        <f t="shared" si="29"/>
        <v>9</v>
      </c>
      <c r="Z668" s="161" t="s">
        <v>85</v>
      </c>
      <c r="AA668" s="342">
        <f>IFERROR(BASE_DATOS[[#This Row],[NSK Original]]-BASE_DATOS[[#This Row],[NSK]]," ")</f>
        <v>12.399999999999999</v>
      </c>
      <c r="AB668" s="343">
        <f>'NSK-TRACTO'!$A$2</f>
        <v>6</v>
      </c>
      <c r="AC668" s="343">
        <f>IF(BASE_DATOS[[#This Row],[NSK]]&gt;=BASE_DATOS[[#This Row],[NSK Reen]],BASE_DATOS[[#This Row],[NSK Reen]],BASE_DATOS[[#This Row],[NSK]])</f>
        <v>6</v>
      </c>
      <c r="AD668" s="344">
        <f>IFERROR(100%-(BASE_DATOS[[#This Row],[NSK Reen]]/BASE_DATOS[[#This Row],[NSK Original]]),"")</f>
        <v>0.71962616822429903</v>
      </c>
      <c r="AE668" s="344">
        <f>IFERROR(100%-BASE_DATOS[[#This Row],[NSK]]/BASE_DATOS[[#This Row],[NSK Original]],"")</f>
        <v>0.57943925233644855</v>
      </c>
      <c r="AF668" s="344">
        <f>IFERROR(BASE_DATOS[[#This Row],[% Max Des.]]-BASE_DATOS[[#This Row],[% Des]],"")</f>
        <v>0.14018691588785048</v>
      </c>
      <c r="AG668" s="287"/>
      <c r="AH668" s="273"/>
      <c r="AI668" s="363" t="str">
        <f>IF(OR(BASE_DATOS[[#This Row],[Hr.]]="",BASE_DATOS[[#This Row],[Hr. Actual]]=""),"",BASE_DATOS[[#This Row],[Hr. Actual]]-BASE_DATOS[[#This Row],[Hr.]]+BASE_DATOS[[#This Row],[Horas Acumuladas]])</f>
        <v/>
      </c>
      <c r="AJ668" s="364" t="str">
        <f>IFERROR(BASE_DATOS[[#This Row],[Precio US$]]/BASE_DATOS[[#This Row],[Horas Rodadas]],"")</f>
        <v/>
      </c>
      <c r="AK668" s="365" t="str">
        <f>IFERROR(BASE_DATOS[[#This Row],[Horas Rodadas]]/(BASE_DATOS[[#This Row],[NSK Original]]-BASE_DATOS[[#This Row],[NSK]]),"")</f>
        <v/>
      </c>
      <c r="AL66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68" s="366" t="str">
        <f>IFERROR(BASE_DATOS[[#This Row],[Precio US$]]/BASE_DATOS[[#This Row],[Horas Proy.]],"")</f>
        <v/>
      </c>
      <c r="AN668" s="176" t="str">
        <f>IF(OR(BASE_DATOS[[#This Row],[Km.]]="",BASE_DATOS[[#This Row],[Km. Actual]]=""),"",BASE_DATOS[[#This Row],[Km. Actual]]-BASE_DATOS[[#This Row],[Km.]]+BASE_DATOS[[#This Row],[Kilómetros Acumulados]])</f>
        <v/>
      </c>
      <c r="AO668" s="177" t="str">
        <f>IFERROR(BASE_DATOS[[#This Row],[Precio US$]]/BASE_DATOS[[#This Row],[Kilómetros Rodados]],"")</f>
        <v/>
      </c>
      <c r="AP668" s="176" t="str">
        <f>IFERROR(BASE_DATOS[[#This Row],[Kilómetros Rodados]]/(BASE_DATOS[[#This Row],[NSK Original]]-BASE_DATOS[[#This Row],[NSK]]),"")</f>
        <v/>
      </c>
      <c r="AQ66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68" s="177" t="str">
        <f>IFERROR(BASE_DATOS[[#This Row],[Precio US$]]/BASE_DATOS[[#This Row],[Kilómetros Proy.]],"")</f>
        <v/>
      </c>
      <c r="AS668" s="167" t="s">
        <v>62</v>
      </c>
      <c r="AT668" s="167"/>
      <c r="AU668" s="167"/>
      <c r="AV668" s="167"/>
      <c r="AW668" s="179"/>
      <c r="AX668" s="179"/>
      <c r="AY668" s="179" t="str">
        <f>CONCATENATE(BASE_DATOS[[#This Row],[Código_U]]&amp;BASE_DATOS[[#This Row],[Pos.]]&amp;BASE_DATOS[[#This Row],[Situación Actual]])</f>
        <v>TC-2328Rodando</v>
      </c>
    </row>
    <row r="669" spans="1:51" ht="12" x14ac:dyDescent="0.25">
      <c r="A669" s="227" t="s">
        <v>249</v>
      </c>
      <c r="B669" s="217" t="s">
        <v>250</v>
      </c>
      <c r="C669" s="228" t="s">
        <v>296</v>
      </c>
      <c r="D669" s="229" t="s">
        <v>61</v>
      </c>
      <c r="E669" s="255"/>
      <c r="F669" s="256" t="s">
        <v>273</v>
      </c>
      <c r="G669" s="256" t="s">
        <v>271</v>
      </c>
      <c r="H669" s="257" t="str">
        <f>IF(BASE_DATOS[[#This Row],[N-R]]="N",BASE_DATOS[[#This Row],[Diseño]],"Reencauche")</f>
        <v>XMULTI2D</v>
      </c>
      <c r="I669" s="256" t="s">
        <v>299</v>
      </c>
      <c r="J669" s="243" t="s">
        <v>72</v>
      </c>
      <c r="K669" s="258">
        <v>21.4</v>
      </c>
      <c r="L669" s="241">
        <v>110</v>
      </c>
      <c r="M669" s="259"/>
      <c r="N669" s="260"/>
      <c r="O669" s="277"/>
      <c r="P669" s="278"/>
      <c r="Q669" s="279"/>
      <c r="R669" s="309" t="s">
        <v>106</v>
      </c>
      <c r="S669" s="310">
        <v>45386</v>
      </c>
      <c r="T669" s="313"/>
      <c r="U669" s="279"/>
      <c r="V669" s="227">
        <v>8</v>
      </c>
      <c r="W669" s="281"/>
      <c r="X669" s="282">
        <v>8</v>
      </c>
      <c r="Y669" s="293">
        <f t="shared" si="29"/>
        <v>8</v>
      </c>
      <c r="Z669" s="161" t="s">
        <v>85</v>
      </c>
      <c r="AA669" s="342">
        <f>IFERROR(BASE_DATOS[[#This Row],[NSK Original]]-BASE_DATOS[[#This Row],[NSK]]," ")</f>
        <v>13.399999999999999</v>
      </c>
      <c r="AB669" s="343">
        <f>'NSK-TRACTO'!$A$2</f>
        <v>6</v>
      </c>
      <c r="AC669" s="343">
        <f>IF(BASE_DATOS[[#This Row],[NSK]]&gt;=BASE_DATOS[[#This Row],[NSK Reen]],BASE_DATOS[[#This Row],[NSK Reen]],BASE_DATOS[[#This Row],[NSK]])</f>
        <v>6</v>
      </c>
      <c r="AD669" s="344">
        <f>IFERROR(100%-(BASE_DATOS[[#This Row],[NSK Reen]]/BASE_DATOS[[#This Row],[NSK Original]]),"")</f>
        <v>0.71962616822429903</v>
      </c>
      <c r="AE669" s="344">
        <f>IFERROR(100%-BASE_DATOS[[#This Row],[NSK]]/BASE_DATOS[[#This Row],[NSK Original]],"")</f>
        <v>0.62616822429906538</v>
      </c>
      <c r="AF669" s="344">
        <f>IFERROR(BASE_DATOS[[#This Row],[% Max Des.]]-BASE_DATOS[[#This Row],[% Des]],"")</f>
        <v>9.3457943925233655E-2</v>
      </c>
      <c r="AG669" s="287"/>
      <c r="AH669" s="273"/>
      <c r="AI669" s="363" t="str">
        <f>IF(OR(BASE_DATOS[[#This Row],[Hr.]]="",BASE_DATOS[[#This Row],[Hr. Actual]]=""),"",BASE_DATOS[[#This Row],[Hr. Actual]]-BASE_DATOS[[#This Row],[Hr.]]+BASE_DATOS[[#This Row],[Horas Acumuladas]])</f>
        <v/>
      </c>
      <c r="AJ669" s="364" t="str">
        <f>IFERROR(BASE_DATOS[[#This Row],[Precio US$]]/BASE_DATOS[[#This Row],[Horas Rodadas]],"")</f>
        <v/>
      </c>
      <c r="AK669" s="365" t="str">
        <f>IFERROR(BASE_DATOS[[#This Row],[Horas Rodadas]]/(BASE_DATOS[[#This Row],[NSK Original]]-BASE_DATOS[[#This Row],[NSK]]),"")</f>
        <v/>
      </c>
      <c r="AL66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69" s="366" t="str">
        <f>IFERROR(BASE_DATOS[[#This Row],[Precio US$]]/BASE_DATOS[[#This Row],[Horas Proy.]],"")</f>
        <v/>
      </c>
      <c r="AN669" s="176" t="str">
        <f>IF(OR(BASE_DATOS[[#This Row],[Km.]]="",BASE_DATOS[[#This Row],[Km. Actual]]=""),"",BASE_DATOS[[#This Row],[Km. Actual]]-BASE_DATOS[[#This Row],[Km.]]+BASE_DATOS[[#This Row],[Kilómetros Acumulados]])</f>
        <v/>
      </c>
      <c r="AO669" s="177" t="str">
        <f>IFERROR(BASE_DATOS[[#This Row],[Precio US$]]/BASE_DATOS[[#This Row],[Kilómetros Rodados]],"")</f>
        <v/>
      </c>
      <c r="AP669" s="176" t="str">
        <f>IFERROR(BASE_DATOS[[#This Row],[Kilómetros Rodados]]/(BASE_DATOS[[#This Row],[NSK Original]]-BASE_DATOS[[#This Row],[NSK]]),"")</f>
        <v/>
      </c>
      <c r="AQ66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69" s="177" t="str">
        <f>IFERROR(BASE_DATOS[[#This Row],[Precio US$]]/BASE_DATOS[[#This Row],[Kilómetros Proy.]],"")</f>
        <v/>
      </c>
      <c r="AS669" s="167" t="s">
        <v>62</v>
      </c>
      <c r="AT669" s="167"/>
      <c r="AU669" s="167"/>
      <c r="AV669" s="167"/>
      <c r="AW669" s="179"/>
      <c r="AX669" s="179"/>
      <c r="AY669" s="179" t="str">
        <f>CONCATENATE(BASE_DATOS[[#This Row],[Código_U]]&amp;BASE_DATOS[[#This Row],[Pos.]]&amp;BASE_DATOS[[#This Row],[Situación Actual]])</f>
        <v>TC-2329Rodando</v>
      </c>
    </row>
    <row r="670" spans="1:51" ht="12" x14ac:dyDescent="0.25">
      <c r="A670" s="227" t="s">
        <v>249</v>
      </c>
      <c r="B670" s="217" t="s">
        <v>250</v>
      </c>
      <c r="C670" s="228" t="s">
        <v>296</v>
      </c>
      <c r="D670" s="229" t="s">
        <v>61</v>
      </c>
      <c r="E670" s="255"/>
      <c r="F670" s="256" t="s">
        <v>273</v>
      </c>
      <c r="G670" s="256" t="s">
        <v>271</v>
      </c>
      <c r="H670" s="257" t="str">
        <f>IF(BASE_DATOS[[#This Row],[N-R]]="N",BASE_DATOS[[#This Row],[Diseño]],"Reencauche")</f>
        <v>XMULTI2D</v>
      </c>
      <c r="I670" s="256" t="s">
        <v>299</v>
      </c>
      <c r="J670" s="243" t="s">
        <v>72</v>
      </c>
      <c r="K670" s="258">
        <v>21.4</v>
      </c>
      <c r="L670" s="241">
        <v>110</v>
      </c>
      <c r="M670" s="259"/>
      <c r="N670" s="260"/>
      <c r="O670" s="277"/>
      <c r="P670" s="278"/>
      <c r="Q670" s="279"/>
      <c r="R670" s="309" t="s">
        <v>107</v>
      </c>
      <c r="S670" s="310">
        <v>45386</v>
      </c>
      <c r="T670" s="313"/>
      <c r="U670" s="279"/>
      <c r="V670" s="227">
        <v>8</v>
      </c>
      <c r="W670" s="281"/>
      <c r="X670" s="282">
        <v>8</v>
      </c>
      <c r="Y670" s="293">
        <f t="shared" si="29"/>
        <v>8</v>
      </c>
      <c r="Z670" s="161" t="s">
        <v>73</v>
      </c>
      <c r="AA670" s="342">
        <f>IFERROR(BASE_DATOS[[#This Row],[NSK Original]]-BASE_DATOS[[#This Row],[NSK]]," ")</f>
        <v>13.399999999999999</v>
      </c>
      <c r="AB670" s="343">
        <f>'NSK-TRACTO'!$A$2</f>
        <v>6</v>
      </c>
      <c r="AC670" s="343">
        <f>IF(BASE_DATOS[[#This Row],[NSK]]&gt;=BASE_DATOS[[#This Row],[NSK Reen]],BASE_DATOS[[#This Row],[NSK Reen]],BASE_DATOS[[#This Row],[NSK]])</f>
        <v>6</v>
      </c>
      <c r="AD670" s="344">
        <f>IFERROR(100%-(BASE_DATOS[[#This Row],[NSK Reen]]/BASE_DATOS[[#This Row],[NSK Original]]),"")</f>
        <v>0.71962616822429903</v>
      </c>
      <c r="AE670" s="344">
        <f>IFERROR(100%-BASE_DATOS[[#This Row],[NSK]]/BASE_DATOS[[#This Row],[NSK Original]],"")</f>
        <v>0.62616822429906538</v>
      </c>
      <c r="AF670" s="344">
        <f>IFERROR(BASE_DATOS[[#This Row],[% Max Des.]]-BASE_DATOS[[#This Row],[% Des]],"")</f>
        <v>9.3457943925233655E-2</v>
      </c>
      <c r="AG670" s="287"/>
      <c r="AH670" s="273"/>
      <c r="AI670" s="363" t="str">
        <f>IF(OR(BASE_DATOS[[#This Row],[Hr.]]="",BASE_DATOS[[#This Row],[Hr. Actual]]=""),"",BASE_DATOS[[#This Row],[Hr. Actual]]-BASE_DATOS[[#This Row],[Hr.]]+BASE_DATOS[[#This Row],[Horas Acumuladas]])</f>
        <v/>
      </c>
      <c r="AJ670" s="364" t="str">
        <f>IFERROR(BASE_DATOS[[#This Row],[Precio US$]]/BASE_DATOS[[#This Row],[Horas Rodadas]],"")</f>
        <v/>
      </c>
      <c r="AK670" s="365" t="str">
        <f>IFERROR(BASE_DATOS[[#This Row],[Horas Rodadas]]/(BASE_DATOS[[#This Row],[NSK Original]]-BASE_DATOS[[#This Row],[NSK]]),"")</f>
        <v/>
      </c>
      <c r="AL67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70" s="366" t="str">
        <f>IFERROR(BASE_DATOS[[#This Row],[Precio US$]]/BASE_DATOS[[#This Row],[Horas Proy.]],"")</f>
        <v/>
      </c>
      <c r="AN670" s="176" t="str">
        <f>IF(OR(BASE_DATOS[[#This Row],[Km.]]="",BASE_DATOS[[#This Row],[Km. Actual]]=""),"",BASE_DATOS[[#This Row],[Km. Actual]]-BASE_DATOS[[#This Row],[Km.]]+BASE_DATOS[[#This Row],[Kilómetros Acumulados]])</f>
        <v/>
      </c>
      <c r="AO670" s="177" t="str">
        <f>IFERROR(BASE_DATOS[[#This Row],[Precio US$]]/BASE_DATOS[[#This Row],[Kilómetros Rodados]],"")</f>
        <v/>
      </c>
      <c r="AP670" s="176" t="str">
        <f>IFERROR(BASE_DATOS[[#This Row],[Kilómetros Rodados]]/(BASE_DATOS[[#This Row],[NSK Original]]-BASE_DATOS[[#This Row],[NSK]]),"")</f>
        <v/>
      </c>
      <c r="AQ67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70" s="177" t="str">
        <f>IFERROR(BASE_DATOS[[#This Row],[Precio US$]]/BASE_DATOS[[#This Row],[Kilómetros Proy.]],"")</f>
        <v/>
      </c>
      <c r="AS670" s="167" t="s">
        <v>62</v>
      </c>
      <c r="AT670" s="167"/>
      <c r="AU670" s="167"/>
      <c r="AV670" s="167"/>
      <c r="AW670" s="179"/>
      <c r="AX670" s="179"/>
      <c r="AY670" s="179" t="str">
        <f>CONCATENATE(BASE_DATOS[[#This Row],[Código_U]]&amp;BASE_DATOS[[#This Row],[Pos.]]&amp;BASE_DATOS[[#This Row],[Situación Actual]])</f>
        <v>TC-23210Rodando</v>
      </c>
    </row>
    <row r="671" spans="1:51" ht="12" x14ac:dyDescent="0.25">
      <c r="A671" s="224" t="s">
        <v>251</v>
      </c>
      <c r="B671" s="213" t="s">
        <v>252</v>
      </c>
      <c r="C671" s="225" t="s">
        <v>296</v>
      </c>
      <c r="D671" s="226" t="s">
        <v>86</v>
      </c>
      <c r="E671" s="249"/>
      <c r="F671" s="250" t="s">
        <v>273</v>
      </c>
      <c r="G671" s="250" t="s">
        <v>271</v>
      </c>
      <c r="H671" s="251" t="str">
        <f>IF(BASE_DATOS[[#This Row],[N-R]]="N",BASE_DATOS[[#This Row],[Diseño]],"Reencauche")</f>
        <v>XMULTI+Z</v>
      </c>
      <c r="I671" s="250" t="s">
        <v>297</v>
      </c>
      <c r="J671" s="235" t="s">
        <v>72</v>
      </c>
      <c r="K671" s="252">
        <v>16</v>
      </c>
      <c r="L671" s="233">
        <v>100</v>
      </c>
      <c r="M671" s="253"/>
      <c r="N671" s="254"/>
      <c r="O671" s="274"/>
      <c r="P671" s="275"/>
      <c r="Q671" s="276"/>
      <c r="R671" s="305" t="s">
        <v>98</v>
      </c>
      <c r="S671" s="306">
        <v>45386</v>
      </c>
      <c r="T671" s="314"/>
      <c r="U671" s="276"/>
      <c r="V671" s="224">
        <v>5</v>
      </c>
      <c r="W671" s="325">
        <v>6</v>
      </c>
      <c r="X671" s="326">
        <v>7</v>
      </c>
      <c r="Y671" s="292">
        <f t="shared" si="29"/>
        <v>5</v>
      </c>
      <c r="Z671" s="185" t="s">
        <v>73</v>
      </c>
      <c r="AA671" s="339">
        <f>IFERROR(BASE_DATOS[[#This Row],[NSK Original]]-BASE_DATOS[[#This Row],[NSK]]," ")</f>
        <v>11</v>
      </c>
      <c r="AB671" s="340">
        <f>'NSK-TRACTO'!$A$2</f>
        <v>6</v>
      </c>
      <c r="AC671" s="340">
        <f>IF(BASE_DATOS[[#This Row],[NSK]]&gt;=BASE_DATOS[[#This Row],[NSK Reen]],BASE_DATOS[[#This Row],[NSK Reen]],BASE_DATOS[[#This Row],[NSK]])</f>
        <v>5</v>
      </c>
      <c r="AD671" s="341">
        <f>IFERROR(100%-(BASE_DATOS[[#This Row],[NSK Reen]]/BASE_DATOS[[#This Row],[NSK Original]]),"")</f>
        <v>0.625</v>
      </c>
      <c r="AE671" s="341">
        <f>IFERROR(100%-BASE_DATOS[[#This Row],[NSK]]/BASE_DATOS[[#This Row],[NSK Original]],"")</f>
        <v>0.6875</v>
      </c>
      <c r="AF671" s="341">
        <f>IFERROR(BASE_DATOS[[#This Row],[% Max Des.]]-BASE_DATOS[[#This Row],[% Des]],"")</f>
        <v>-6.25E-2</v>
      </c>
      <c r="AG671" s="284"/>
      <c r="AH671" s="335"/>
      <c r="AI671" s="359" t="str">
        <f>IF(OR(BASE_DATOS[[#This Row],[Hr.]]="",BASE_DATOS[[#This Row],[Hr. Actual]]=""),"",BASE_DATOS[[#This Row],[Hr. Actual]]-BASE_DATOS[[#This Row],[Hr.]]+BASE_DATOS[[#This Row],[Horas Acumuladas]])</f>
        <v/>
      </c>
      <c r="AJ671" s="360" t="str">
        <f>IFERROR(BASE_DATOS[[#This Row],[Precio US$]]/BASE_DATOS[[#This Row],[Horas Rodadas]],"")</f>
        <v/>
      </c>
      <c r="AK671" s="361" t="str">
        <f>IFERROR(BASE_DATOS[[#This Row],[Horas Rodadas]]/(BASE_DATOS[[#This Row],[NSK Original]]-BASE_DATOS[[#This Row],[NSK]]),"")</f>
        <v/>
      </c>
      <c r="AL671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71" s="362" t="str">
        <f>IFERROR(BASE_DATOS[[#This Row],[Precio US$]]/BASE_DATOS[[#This Row],[Horas Proy.]],"")</f>
        <v/>
      </c>
      <c r="AN671" s="195" t="str">
        <f>IF(OR(BASE_DATOS[[#This Row],[Km.]]="",BASE_DATOS[[#This Row],[Km. Actual]]=""),"",BASE_DATOS[[#This Row],[Km. Actual]]-BASE_DATOS[[#This Row],[Km.]]+BASE_DATOS[[#This Row],[Kilómetros Acumulados]])</f>
        <v/>
      </c>
      <c r="AO671" s="196" t="str">
        <f>IFERROR(BASE_DATOS[[#This Row],[Precio US$]]/BASE_DATOS[[#This Row],[Kilómetros Rodados]],"")</f>
        <v/>
      </c>
      <c r="AP671" s="195" t="str">
        <f>IFERROR(BASE_DATOS[[#This Row],[Kilómetros Rodados]]/(BASE_DATOS[[#This Row],[NSK Original]]-BASE_DATOS[[#This Row],[NSK]]),"")</f>
        <v/>
      </c>
      <c r="AQ671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71" s="196" t="str">
        <f>IFERROR(BASE_DATOS[[#This Row],[Precio US$]]/BASE_DATOS[[#This Row],[Kilómetros Proy.]],"")</f>
        <v/>
      </c>
      <c r="AS671" s="191" t="s">
        <v>62</v>
      </c>
      <c r="AT671" s="191"/>
      <c r="AU671" s="191" t="s">
        <v>515</v>
      </c>
      <c r="AV671" s="191"/>
      <c r="AW671" s="198"/>
      <c r="AX671" s="192" t="s">
        <v>371</v>
      </c>
      <c r="AY671" s="192" t="str">
        <f>CONCATENATE(BASE_DATOS[[#This Row],[Código_U]]&amp;BASE_DATOS[[#This Row],[Pos.]]&amp;BASE_DATOS[[#This Row],[Situación Actual]])</f>
        <v>TC-2361Rodando</v>
      </c>
    </row>
    <row r="672" spans="1:51" ht="12" x14ac:dyDescent="0.25">
      <c r="A672" s="227" t="s">
        <v>251</v>
      </c>
      <c r="B672" s="217" t="s">
        <v>252</v>
      </c>
      <c r="C672" s="228" t="s">
        <v>296</v>
      </c>
      <c r="D672" s="229" t="s">
        <v>86</v>
      </c>
      <c r="E672" s="255"/>
      <c r="F672" s="256" t="s">
        <v>273</v>
      </c>
      <c r="G672" s="256" t="s">
        <v>271</v>
      </c>
      <c r="H672" s="257" t="str">
        <f>IF(BASE_DATOS[[#This Row],[N-R]]="N",BASE_DATOS[[#This Row],[Diseño]],"Reencauche")</f>
        <v>XMULTI+Z</v>
      </c>
      <c r="I672" s="256" t="s">
        <v>297</v>
      </c>
      <c r="J672" s="243" t="s">
        <v>72</v>
      </c>
      <c r="K672" s="258">
        <v>16</v>
      </c>
      <c r="L672" s="241">
        <v>100</v>
      </c>
      <c r="M672" s="259"/>
      <c r="N672" s="260"/>
      <c r="O672" s="277"/>
      <c r="P672" s="278"/>
      <c r="Q672" s="280"/>
      <c r="R672" s="309" t="s">
        <v>99</v>
      </c>
      <c r="S672" s="310">
        <v>45386</v>
      </c>
      <c r="T672" s="313"/>
      <c r="U672" s="279"/>
      <c r="V672" s="227">
        <v>8</v>
      </c>
      <c r="W672" s="281">
        <v>8</v>
      </c>
      <c r="X672" s="282">
        <v>8</v>
      </c>
      <c r="Y672" s="293">
        <f t="shared" si="29"/>
        <v>8</v>
      </c>
      <c r="Z672" s="161" t="s">
        <v>73</v>
      </c>
      <c r="AA672" s="342">
        <f>IFERROR(BASE_DATOS[[#This Row],[NSK Original]]-BASE_DATOS[[#This Row],[NSK]]," ")</f>
        <v>8</v>
      </c>
      <c r="AB672" s="343">
        <f>'NSK-TRACTO'!$A$2</f>
        <v>6</v>
      </c>
      <c r="AC672" s="343">
        <f>IF(BASE_DATOS[[#This Row],[NSK]]&gt;=BASE_DATOS[[#This Row],[NSK Reen]],BASE_DATOS[[#This Row],[NSK Reen]],BASE_DATOS[[#This Row],[NSK]])</f>
        <v>6</v>
      </c>
      <c r="AD672" s="344">
        <f>IFERROR(100%-(BASE_DATOS[[#This Row],[NSK Reen]]/BASE_DATOS[[#This Row],[NSK Original]]),"")</f>
        <v>0.625</v>
      </c>
      <c r="AE672" s="344">
        <f>IFERROR(100%-BASE_DATOS[[#This Row],[NSK]]/BASE_DATOS[[#This Row],[NSK Original]],"")</f>
        <v>0.5</v>
      </c>
      <c r="AF672" s="344">
        <f>IFERROR(BASE_DATOS[[#This Row],[% Max Des.]]-BASE_DATOS[[#This Row],[% Des]],"")</f>
        <v>0.125</v>
      </c>
      <c r="AG672" s="287"/>
      <c r="AH672" s="273"/>
      <c r="AI672" s="363" t="str">
        <f>IF(OR(BASE_DATOS[[#This Row],[Hr.]]="",BASE_DATOS[[#This Row],[Hr. Actual]]=""),"",BASE_DATOS[[#This Row],[Hr. Actual]]-BASE_DATOS[[#This Row],[Hr.]]+BASE_DATOS[[#This Row],[Horas Acumuladas]])</f>
        <v/>
      </c>
      <c r="AJ672" s="364" t="str">
        <f>IFERROR(BASE_DATOS[[#This Row],[Precio US$]]/BASE_DATOS[[#This Row],[Horas Rodadas]],"")</f>
        <v/>
      </c>
      <c r="AK672" s="365" t="str">
        <f>IFERROR(BASE_DATOS[[#This Row],[Horas Rodadas]]/(BASE_DATOS[[#This Row],[NSK Original]]-BASE_DATOS[[#This Row],[NSK]]),"")</f>
        <v/>
      </c>
      <c r="AL67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72" s="366" t="str">
        <f>IFERROR(BASE_DATOS[[#This Row],[Precio US$]]/BASE_DATOS[[#This Row],[Horas Proy.]],"")</f>
        <v/>
      </c>
      <c r="AN672" s="176" t="str">
        <f>IF(OR(BASE_DATOS[[#This Row],[Km.]]="",BASE_DATOS[[#This Row],[Km. Actual]]=""),"",BASE_DATOS[[#This Row],[Km. Actual]]-BASE_DATOS[[#This Row],[Km.]]+BASE_DATOS[[#This Row],[Kilómetros Acumulados]])</f>
        <v/>
      </c>
      <c r="AO672" s="177" t="str">
        <f>IFERROR(BASE_DATOS[[#This Row],[Precio US$]]/BASE_DATOS[[#This Row],[Kilómetros Rodados]],"")</f>
        <v/>
      </c>
      <c r="AP672" s="176" t="str">
        <f>IFERROR(BASE_DATOS[[#This Row],[Kilómetros Rodados]]/(BASE_DATOS[[#This Row],[NSK Original]]-BASE_DATOS[[#This Row],[NSK]]),"")</f>
        <v/>
      </c>
      <c r="AQ67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72" s="177" t="str">
        <f>IFERROR(BASE_DATOS[[#This Row],[Precio US$]]/BASE_DATOS[[#This Row],[Kilómetros Proy.]],"")</f>
        <v/>
      </c>
      <c r="AS672" s="167" t="s">
        <v>62</v>
      </c>
      <c r="AT672" s="167"/>
      <c r="AU672" s="167"/>
      <c r="AV672" s="167"/>
      <c r="AW672" s="179"/>
      <c r="AX672" s="179"/>
      <c r="AY672" s="179" t="str">
        <f>CONCATENATE(BASE_DATOS[[#This Row],[Código_U]]&amp;BASE_DATOS[[#This Row],[Pos.]]&amp;BASE_DATOS[[#This Row],[Situación Actual]])</f>
        <v>TC-2362Rodando</v>
      </c>
    </row>
    <row r="673" spans="1:51" ht="12" x14ac:dyDescent="0.25">
      <c r="A673" s="227" t="s">
        <v>251</v>
      </c>
      <c r="B673" s="217" t="s">
        <v>252</v>
      </c>
      <c r="C673" s="228" t="s">
        <v>296</v>
      </c>
      <c r="D673" s="229" t="s">
        <v>61</v>
      </c>
      <c r="E673" s="255"/>
      <c r="F673" s="256" t="s">
        <v>273</v>
      </c>
      <c r="G673" s="256" t="s">
        <v>271</v>
      </c>
      <c r="H673" s="257" t="str">
        <f>IF(BASE_DATOS[[#This Row],[N-R]]="N",BASE_DATOS[[#This Row],[Diseño]],"Reencauche")</f>
        <v>XMULTI2D</v>
      </c>
      <c r="I673" s="256" t="s">
        <v>299</v>
      </c>
      <c r="J673" s="243" t="s">
        <v>72</v>
      </c>
      <c r="K673" s="258">
        <v>21.4</v>
      </c>
      <c r="L673" s="241">
        <v>110</v>
      </c>
      <c r="M673" s="259"/>
      <c r="N673" s="260"/>
      <c r="O673" s="277"/>
      <c r="P673" s="278"/>
      <c r="Q673" s="280"/>
      <c r="R673" s="309" t="s">
        <v>100</v>
      </c>
      <c r="S673" s="310">
        <v>45386</v>
      </c>
      <c r="T673" s="313"/>
      <c r="U673" s="279"/>
      <c r="V673" s="227">
        <v>10</v>
      </c>
      <c r="W673" s="281"/>
      <c r="X673" s="282">
        <v>9</v>
      </c>
      <c r="Y673" s="293">
        <f t="shared" si="29"/>
        <v>9</v>
      </c>
      <c r="Z673" s="161" t="s">
        <v>73</v>
      </c>
      <c r="AA673" s="342">
        <f>IFERROR(BASE_DATOS[[#This Row],[NSK Original]]-BASE_DATOS[[#This Row],[NSK]]," ")</f>
        <v>12.399999999999999</v>
      </c>
      <c r="AB673" s="343">
        <f>'NSK-TRACTO'!$A$2</f>
        <v>6</v>
      </c>
      <c r="AC673" s="343">
        <f>IF(BASE_DATOS[[#This Row],[NSK]]&gt;=BASE_DATOS[[#This Row],[NSK Reen]],BASE_DATOS[[#This Row],[NSK Reen]],BASE_DATOS[[#This Row],[NSK]])</f>
        <v>6</v>
      </c>
      <c r="AD673" s="344">
        <f>IFERROR(100%-(BASE_DATOS[[#This Row],[NSK Reen]]/BASE_DATOS[[#This Row],[NSK Original]]),"")</f>
        <v>0.71962616822429903</v>
      </c>
      <c r="AE673" s="344">
        <f>IFERROR(100%-BASE_DATOS[[#This Row],[NSK]]/BASE_DATOS[[#This Row],[NSK Original]],"")</f>
        <v>0.57943925233644855</v>
      </c>
      <c r="AF673" s="344">
        <f>IFERROR(BASE_DATOS[[#This Row],[% Max Des.]]-BASE_DATOS[[#This Row],[% Des]],"")</f>
        <v>0.14018691588785048</v>
      </c>
      <c r="AG673" s="287"/>
      <c r="AH673" s="273"/>
      <c r="AI673" s="363" t="str">
        <f>IF(OR(BASE_DATOS[[#This Row],[Hr.]]="",BASE_DATOS[[#This Row],[Hr. Actual]]=""),"",BASE_DATOS[[#This Row],[Hr. Actual]]-BASE_DATOS[[#This Row],[Hr.]]+BASE_DATOS[[#This Row],[Horas Acumuladas]])</f>
        <v/>
      </c>
      <c r="AJ673" s="364" t="str">
        <f>IFERROR(BASE_DATOS[[#This Row],[Precio US$]]/BASE_DATOS[[#This Row],[Horas Rodadas]],"")</f>
        <v/>
      </c>
      <c r="AK673" s="365" t="str">
        <f>IFERROR(BASE_DATOS[[#This Row],[Horas Rodadas]]/(BASE_DATOS[[#This Row],[NSK Original]]-BASE_DATOS[[#This Row],[NSK]]),"")</f>
        <v/>
      </c>
      <c r="AL67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73" s="366" t="str">
        <f>IFERROR(BASE_DATOS[[#This Row],[Precio US$]]/BASE_DATOS[[#This Row],[Horas Proy.]],"")</f>
        <v/>
      </c>
      <c r="AN673" s="176" t="str">
        <f>IF(OR(BASE_DATOS[[#This Row],[Km.]]="",BASE_DATOS[[#This Row],[Km. Actual]]=""),"",BASE_DATOS[[#This Row],[Km. Actual]]-BASE_DATOS[[#This Row],[Km.]]+BASE_DATOS[[#This Row],[Kilómetros Acumulados]])</f>
        <v/>
      </c>
      <c r="AO673" s="177" t="str">
        <f>IFERROR(BASE_DATOS[[#This Row],[Precio US$]]/BASE_DATOS[[#This Row],[Kilómetros Rodados]],"")</f>
        <v/>
      </c>
      <c r="AP673" s="176" t="str">
        <f>IFERROR(BASE_DATOS[[#This Row],[Kilómetros Rodados]]/(BASE_DATOS[[#This Row],[NSK Original]]-BASE_DATOS[[#This Row],[NSK]]),"")</f>
        <v/>
      </c>
      <c r="AQ67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73" s="177" t="str">
        <f>IFERROR(BASE_DATOS[[#This Row],[Precio US$]]/BASE_DATOS[[#This Row],[Kilómetros Proy.]],"")</f>
        <v/>
      </c>
      <c r="AS673" s="167" t="s">
        <v>62</v>
      </c>
      <c r="AT673" s="167"/>
      <c r="AU673" s="167"/>
      <c r="AV673" s="167"/>
      <c r="AW673" s="179"/>
      <c r="AX673" s="179"/>
      <c r="AY673" s="179" t="str">
        <f>CONCATENATE(BASE_DATOS[[#This Row],[Código_U]]&amp;BASE_DATOS[[#This Row],[Pos.]]&amp;BASE_DATOS[[#This Row],[Situación Actual]])</f>
        <v>TC-2363Rodando</v>
      </c>
    </row>
    <row r="674" spans="1:51" ht="12" x14ac:dyDescent="0.25">
      <c r="A674" s="227" t="s">
        <v>251</v>
      </c>
      <c r="B674" s="217" t="s">
        <v>252</v>
      </c>
      <c r="C674" s="228" t="s">
        <v>296</v>
      </c>
      <c r="D674" s="229" t="s">
        <v>61</v>
      </c>
      <c r="E674" s="255"/>
      <c r="F674" s="256" t="s">
        <v>273</v>
      </c>
      <c r="G674" s="256" t="s">
        <v>271</v>
      </c>
      <c r="H674" s="257" t="str">
        <f>IF(BASE_DATOS[[#This Row],[N-R]]="N",BASE_DATOS[[#This Row],[Diseño]],"Reencauche")</f>
        <v>XMULTI2D</v>
      </c>
      <c r="I674" s="256" t="s">
        <v>299</v>
      </c>
      <c r="J674" s="243" t="s">
        <v>72</v>
      </c>
      <c r="K674" s="258">
        <v>21.4</v>
      </c>
      <c r="L674" s="241">
        <v>110</v>
      </c>
      <c r="M674" s="259"/>
      <c r="N674" s="260"/>
      <c r="O674" s="277"/>
      <c r="P674" s="278"/>
      <c r="Q674" s="280"/>
      <c r="R674" s="309" t="s">
        <v>101</v>
      </c>
      <c r="S674" s="310">
        <v>45386</v>
      </c>
      <c r="T674" s="313"/>
      <c r="U674" s="279"/>
      <c r="V674" s="227">
        <v>9</v>
      </c>
      <c r="W674" s="281"/>
      <c r="X674" s="282">
        <v>10</v>
      </c>
      <c r="Y674" s="293">
        <f t="shared" si="29"/>
        <v>9</v>
      </c>
      <c r="Z674" s="161" t="s">
        <v>73</v>
      </c>
      <c r="AA674" s="342">
        <f>IFERROR(BASE_DATOS[[#This Row],[NSK Original]]-BASE_DATOS[[#This Row],[NSK]]," ")</f>
        <v>12.399999999999999</v>
      </c>
      <c r="AB674" s="343">
        <f>'NSK-TRACTO'!$A$2</f>
        <v>6</v>
      </c>
      <c r="AC674" s="343">
        <f>IF(BASE_DATOS[[#This Row],[NSK]]&gt;=BASE_DATOS[[#This Row],[NSK Reen]],BASE_DATOS[[#This Row],[NSK Reen]],BASE_DATOS[[#This Row],[NSK]])</f>
        <v>6</v>
      </c>
      <c r="AD674" s="344">
        <f>IFERROR(100%-(BASE_DATOS[[#This Row],[NSK Reen]]/BASE_DATOS[[#This Row],[NSK Original]]),"")</f>
        <v>0.71962616822429903</v>
      </c>
      <c r="AE674" s="344">
        <f>IFERROR(100%-BASE_DATOS[[#This Row],[NSK]]/BASE_DATOS[[#This Row],[NSK Original]],"")</f>
        <v>0.57943925233644855</v>
      </c>
      <c r="AF674" s="344">
        <f>IFERROR(BASE_DATOS[[#This Row],[% Max Des.]]-BASE_DATOS[[#This Row],[% Des]],"")</f>
        <v>0.14018691588785048</v>
      </c>
      <c r="AG674" s="287"/>
      <c r="AH674" s="273"/>
      <c r="AI674" s="363" t="str">
        <f>IF(OR(BASE_DATOS[[#This Row],[Hr.]]="",BASE_DATOS[[#This Row],[Hr. Actual]]=""),"",BASE_DATOS[[#This Row],[Hr. Actual]]-BASE_DATOS[[#This Row],[Hr.]]+BASE_DATOS[[#This Row],[Horas Acumuladas]])</f>
        <v/>
      </c>
      <c r="AJ674" s="364" t="str">
        <f>IFERROR(BASE_DATOS[[#This Row],[Precio US$]]/BASE_DATOS[[#This Row],[Horas Rodadas]],"")</f>
        <v/>
      </c>
      <c r="AK674" s="365" t="str">
        <f>IFERROR(BASE_DATOS[[#This Row],[Horas Rodadas]]/(BASE_DATOS[[#This Row],[NSK Original]]-BASE_DATOS[[#This Row],[NSK]]),"")</f>
        <v/>
      </c>
      <c r="AL67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74" s="366" t="str">
        <f>IFERROR(BASE_DATOS[[#This Row],[Precio US$]]/BASE_DATOS[[#This Row],[Horas Proy.]],"")</f>
        <v/>
      </c>
      <c r="AN674" s="176" t="str">
        <f>IF(OR(BASE_DATOS[[#This Row],[Km.]]="",BASE_DATOS[[#This Row],[Km. Actual]]=""),"",BASE_DATOS[[#This Row],[Km. Actual]]-BASE_DATOS[[#This Row],[Km.]]+BASE_DATOS[[#This Row],[Kilómetros Acumulados]])</f>
        <v/>
      </c>
      <c r="AO674" s="177" t="str">
        <f>IFERROR(BASE_DATOS[[#This Row],[Precio US$]]/BASE_DATOS[[#This Row],[Kilómetros Rodados]],"")</f>
        <v/>
      </c>
      <c r="AP674" s="176" t="str">
        <f>IFERROR(BASE_DATOS[[#This Row],[Kilómetros Rodados]]/(BASE_DATOS[[#This Row],[NSK Original]]-BASE_DATOS[[#This Row],[NSK]]),"")</f>
        <v/>
      </c>
      <c r="AQ67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74" s="177" t="str">
        <f>IFERROR(BASE_DATOS[[#This Row],[Precio US$]]/BASE_DATOS[[#This Row],[Kilómetros Proy.]],"")</f>
        <v/>
      </c>
      <c r="AS674" s="167" t="s">
        <v>62</v>
      </c>
      <c r="AT674" s="167"/>
      <c r="AU674" s="167"/>
      <c r="AV674" s="167"/>
      <c r="AW674" s="179"/>
      <c r="AX674" s="179"/>
      <c r="AY674" s="179" t="str">
        <f>CONCATENATE(BASE_DATOS[[#This Row],[Código_U]]&amp;BASE_DATOS[[#This Row],[Pos.]]&amp;BASE_DATOS[[#This Row],[Situación Actual]])</f>
        <v>TC-2364Rodando</v>
      </c>
    </row>
    <row r="675" spans="1:51" ht="12" x14ac:dyDescent="0.25">
      <c r="A675" s="227" t="s">
        <v>251</v>
      </c>
      <c r="B675" s="217" t="s">
        <v>252</v>
      </c>
      <c r="C675" s="228" t="s">
        <v>296</v>
      </c>
      <c r="D675" s="229" t="s">
        <v>61</v>
      </c>
      <c r="E675" s="255"/>
      <c r="F675" s="256" t="s">
        <v>273</v>
      </c>
      <c r="G675" s="256" t="s">
        <v>271</v>
      </c>
      <c r="H675" s="257" t="str">
        <f>IF(BASE_DATOS[[#This Row],[N-R]]="N",BASE_DATOS[[#This Row],[Diseño]],"Reencauche")</f>
        <v>XMULTI2D</v>
      </c>
      <c r="I675" s="256" t="s">
        <v>299</v>
      </c>
      <c r="J675" s="243" t="s">
        <v>72</v>
      </c>
      <c r="K675" s="258">
        <v>21.4</v>
      </c>
      <c r="L675" s="241">
        <v>110</v>
      </c>
      <c r="M675" s="259"/>
      <c r="N675" s="260"/>
      <c r="O675" s="277"/>
      <c r="P675" s="278"/>
      <c r="Q675" s="280"/>
      <c r="R675" s="309" t="s">
        <v>102</v>
      </c>
      <c r="S675" s="310">
        <v>45386</v>
      </c>
      <c r="T675" s="313"/>
      <c r="U675" s="279"/>
      <c r="V675" s="227">
        <v>8</v>
      </c>
      <c r="W675" s="281"/>
      <c r="X675" s="282">
        <v>9</v>
      </c>
      <c r="Y675" s="293">
        <f t="shared" si="29"/>
        <v>8</v>
      </c>
      <c r="Z675" s="161" t="s">
        <v>85</v>
      </c>
      <c r="AA675" s="342">
        <f>IFERROR(BASE_DATOS[[#This Row],[NSK Original]]-BASE_DATOS[[#This Row],[NSK]]," ")</f>
        <v>13.399999999999999</v>
      </c>
      <c r="AB675" s="343">
        <f>'NSK-TRACTO'!$A$2</f>
        <v>6</v>
      </c>
      <c r="AC675" s="343">
        <f>IF(BASE_DATOS[[#This Row],[NSK]]&gt;=BASE_DATOS[[#This Row],[NSK Reen]],BASE_DATOS[[#This Row],[NSK Reen]],BASE_DATOS[[#This Row],[NSK]])</f>
        <v>6</v>
      </c>
      <c r="AD675" s="344">
        <f>IFERROR(100%-(BASE_DATOS[[#This Row],[NSK Reen]]/BASE_DATOS[[#This Row],[NSK Original]]),"")</f>
        <v>0.71962616822429903</v>
      </c>
      <c r="AE675" s="344">
        <f>IFERROR(100%-BASE_DATOS[[#This Row],[NSK]]/BASE_DATOS[[#This Row],[NSK Original]],"")</f>
        <v>0.62616822429906538</v>
      </c>
      <c r="AF675" s="344">
        <f>IFERROR(BASE_DATOS[[#This Row],[% Max Des.]]-BASE_DATOS[[#This Row],[% Des]],"")</f>
        <v>9.3457943925233655E-2</v>
      </c>
      <c r="AG675" s="287"/>
      <c r="AH675" s="273"/>
      <c r="AI675" s="363" t="str">
        <f>IF(OR(BASE_DATOS[[#This Row],[Hr.]]="",BASE_DATOS[[#This Row],[Hr. Actual]]=""),"",BASE_DATOS[[#This Row],[Hr. Actual]]-BASE_DATOS[[#This Row],[Hr.]]+BASE_DATOS[[#This Row],[Horas Acumuladas]])</f>
        <v/>
      </c>
      <c r="AJ675" s="364" t="str">
        <f>IFERROR(BASE_DATOS[[#This Row],[Precio US$]]/BASE_DATOS[[#This Row],[Horas Rodadas]],"")</f>
        <v/>
      </c>
      <c r="AK675" s="365" t="str">
        <f>IFERROR(BASE_DATOS[[#This Row],[Horas Rodadas]]/(BASE_DATOS[[#This Row],[NSK Original]]-BASE_DATOS[[#This Row],[NSK]]),"")</f>
        <v/>
      </c>
      <c r="AL67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75" s="366" t="str">
        <f>IFERROR(BASE_DATOS[[#This Row],[Precio US$]]/BASE_DATOS[[#This Row],[Horas Proy.]],"")</f>
        <v/>
      </c>
      <c r="AN675" s="176" t="str">
        <f>IF(OR(BASE_DATOS[[#This Row],[Km.]]="",BASE_DATOS[[#This Row],[Km. Actual]]=""),"",BASE_DATOS[[#This Row],[Km. Actual]]-BASE_DATOS[[#This Row],[Km.]]+BASE_DATOS[[#This Row],[Kilómetros Acumulados]])</f>
        <v/>
      </c>
      <c r="AO675" s="177" t="str">
        <f>IFERROR(BASE_DATOS[[#This Row],[Precio US$]]/BASE_DATOS[[#This Row],[Kilómetros Rodados]],"")</f>
        <v/>
      </c>
      <c r="AP675" s="176" t="str">
        <f>IFERROR(BASE_DATOS[[#This Row],[Kilómetros Rodados]]/(BASE_DATOS[[#This Row],[NSK Original]]-BASE_DATOS[[#This Row],[NSK]]),"")</f>
        <v/>
      </c>
      <c r="AQ67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75" s="177" t="str">
        <f>IFERROR(BASE_DATOS[[#This Row],[Precio US$]]/BASE_DATOS[[#This Row],[Kilómetros Proy.]],"")</f>
        <v/>
      </c>
      <c r="AS675" s="167" t="s">
        <v>62</v>
      </c>
      <c r="AT675" s="167"/>
      <c r="AU675" s="167"/>
      <c r="AV675" s="167"/>
      <c r="AW675" s="179"/>
      <c r="AX675" s="179"/>
      <c r="AY675" s="179" t="str">
        <f>CONCATENATE(BASE_DATOS[[#This Row],[Código_U]]&amp;BASE_DATOS[[#This Row],[Pos.]]&amp;BASE_DATOS[[#This Row],[Situación Actual]])</f>
        <v>TC-2365Rodando</v>
      </c>
    </row>
    <row r="676" spans="1:51" ht="12" x14ac:dyDescent="0.25">
      <c r="A676" s="227" t="s">
        <v>251</v>
      </c>
      <c r="B676" s="217" t="s">
        <v>252</v>
      </c>
      <c r="C676" s="228" t="s">
        <v>296</v>
      </c>
      <c r="D676" s="229" t="s">
        <v>61</v>
      </c>
      <c r="E676" s="255"/>
      <c r="F676" s="256" t="s">
        <v>273</v>
      </c>
      <c r="G676" s="256" t="s">
        <v>271</v>
      </c>
      <c r="H676" s="257" t="str">
        <f>IF(BASE_DATOS[[#This Row],[N-R]]="N",BASE_DATOS[[#This Row],[Diseño]],"Reencauche")</f>
        <v>XMULTI2D</v>
      </c>
      <c r="I676" s="256" t="s">
        <v>299</v>
      </c>
      <c r="J676" s="243" t="s">
        <v>72</v>
      </c>
      <c r="K676" s="258">
        <v>21.4</v>
      </c>
      <c r="L676" s="241">
        <v>110</v>
      </c>
      <c r="M676" s="259"/>
      <c r="N676" s="260"/>
      <c r="O676" s="277"/>
      <c r="P676" s="278"/>
      <c r="Q676" s="280"/>
      <c r="R676" s="309" t="s">
        <v>103</v>
      </c>
      <c r="S676" s="310">
        <v>45386</v>
      </c>
      <c r="T676" s="313"/>
      <c r="U676" s="279"/>
      <c r="V676" s="227">
        <v>8</v>
      </c>
      <c r="W676" s="281"/>
      <c r="X676" s="282">
        <v>9</v>
      </c>
      <c r="Y676" s="293">
        <f t="shared" si="29"/>
        <v>8</v>
      </c>
      <c r="Z676" s="161" t="s">
        <v>73</v>
      </c>
      <c r="AA676" s="342">
        <f>IFERROR(BASE_DATOS[[#This Row],[NSK Original]]-BASE_DATOS[[#This Row],[NSK]]," ")</f>
        <v>13.399999999999999</v>
      </c>
      <c r="AB676" s="343">
        <f>'NSK-TRACTO'!$A$2</f>
        <v>6</v>
      </c>
      <c r="AC676" s="343">
        <f>IF(BASE_DATOS[[#This Row],[NSK]]&gt;=BASE_DATOS[[#This Row],[NSK Reen]],BASE_DATOS[[#This Row],[NSK Reen]],BASE_DATOS[[#This Row],[NSK]])</f>
        <v>6</v>
      </c>
      <c r="AD676" s="344">
        <f>IFERROR(100%-(BASE_DATOS[[#This Row],[NSK Reen]]/BASE_DATOS[[#This Row],[NSK Original]]),"")</f>
        <v>0.71962616822429903</v>
      </c>
      <c r="AE676" s="344">
        <f>IFERROR(100%-BASE_DATOS[[#This Row],[NSK]]/BASE_DATOS[[#This Row],[NSK Original]],"")</f>
        <v>0.62616822429906538</v>
      </c>
      <c r="AF676" s="344">
        <f>IFERROR(BASE_DATOS[[#This Row],[% Max Des.]]-BASE_DATOS[[#This Row],[% Des]],"")</f>
        <v>9.3457943925233655E-2</v>
      </c>
      <c r="AG676" s="287"/>
      <c r="AH676" s="273"/>
      <c r="AI676" s="363" t="str">
        <f>IF(OR(BASE_DATOS[[#This Row],[Hr.]]="",BASE_DATOS[[#This Row],[Hr. Actual]]=""),"",BASE_DATOS[[#This Row],[Hr. Actual]]-BASE_DATOS[[#This Row],[Hr.]]+BASE_DATOS[[#This Row],[Horas Acumuladas]])</f>
        <v/>
      </c>
      <c r="AJ676" s="364" t="str">
        <f>IFERROR(BASE_DATOS[[#This Row],[Precio US$]]/BASE_DATOS[[#This Row],[Horas Rodadas]],"")</f>
        <v/>
      </c>
      <c r="AK676" s="365" t="str">
        <f>IFERROR(BASE_DATOS[[#This Row],[Horas Rodadas]]/(BASE_DATOS[[#This Row],[NSK Original]]-BASE_DATOS[[#This Row],[NSK]]),"")</f>
        <v/>
      </c>
      <c r="AL67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76" s="366" t="str">
        <f>IFERROR(BASE_DATOS[[#This Row],[Precio US$]]/BASE_DATOS[[#This Row],[Horas Proy.]],"")</f>
        <v/>
      </c>
      <c r="AN676" s="176" t="str">
        <f>IF(OR(BASE_DATOS[[#This Row],[Km.]]="",BASE_DATOS[[#This Row],[Km. Actual]]=""),"",BASE_DATOS[[#This Row],[Km. Actual]]-BASE_DATOS[[#This Row],[Km.]]+BASE_DATOS[[#This Row],[Kilómetros Acumulados]])</f>
        <v/>
      </c>
      <c r="AO676" s="177" t="str">
        <f>IFERROR(BASE_DATOS[[#This Row],[Precio US$]]/BASE_DATOS[[#This Row],[Kilómetros Rodados]],"")</f>
        <v/>
      </c>
      <c r="AP676" s="176" t="str">
        <f>IFERROR(BASE_DATOS[[#This Row],[Kilómetros Rodados]]/(BASE_DATOS[[#This Row],[NSK Original]]-BASE_DATOS[[#This Row],[NSK]]),"")</f>
        <v/>
      </c>
      <c r="AQ67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76" s="177" t="str">
        <f>IFERROR(BASE_DATOS[[#This Row],[Precio US$]]/BASE_DATOS[[#This Row],[Kilómetros Proy.]],"")</f>
        <v/>
      </c>
      <c r="AS676" s="167" t="s">
        <v>62</v>
      </c>
      <c r="AT676" s="167"/>
      <c r="AU676" s="167"/>
      <c r="AV676" s="167"/>
      <c r="AW676" s="179"/>
      <c r="AX676" s="179"/>
      <c r="AY676" s="179" t="str">
        <f>CONCATENATE(BASE_DATOS[[#This Row],[Código_U]]&amp;BASE_DATOS[[#This Row],[Pos.]]&amp;BASE_DATOS[[#This Row],[Situación Actual]])</f>
        <v>TC-2366Rodando</v>
      </c>
    </row>
    <row r="677" spans="1:51" ht="12" x14ac:dyDescent="0.25">
      <c r="A677" s="227" t="s">
        <v>251</v>
      </c>
      <c r="B677" s="217" t="s">
        <v>252</v>
      </c>
      <c r="C677" s="228" t="s">
        <v>296</v>
      </c>
      <c r="D677" s="229" t="s">
        <v>61</v>
      </c>
      <c r="E677" s="255"/>
      <c r="F677" s="256" t="s">
        <v>273</v>
      </c>
      <c r="G677" s="256" t="s">
        <v>271</v>
      </c>
      <c r="H677" s="257" t="str">
        <f>IF(BASE_DATOS[[#This Row],[N-R]]="N",BASE_DATOS[[#This Row],[Diseño]],"Reencauche")</f>
        <v>XMULTI2D</v>
      </c>
      <c r="I677" s="256" t="s">
        <v>299</v>
      </c>
      <c r="J677" s="243" t="s">
        <v>72</v>
      </c>
      <c r="K677" s="258">
        <v>21.4</v>
      </c>
      <c r="L677" s="241">
        <v>110</v>
      </c>
      <c r="M677" s="259"/>
      <c r="N677" s="260"/>
      <c r="O677" s="277"/>
      <c r="P677" s="278"/>
      <c r="Q677" s="280"/>
      <c r="R677" s="309" t="s">
        <v>104</v>
      </c>
      <c r="S677" s="310">
        <v>45386</v>
      </c>
      <c r="T677" s="313"/>
      <c r="U677" s="279"/>
      <c r="V677" s="227">
        <v>8</v>
      </c>
      <c r="W677" s="281"/>
      <c r="X677" s="282">
        <v>7</v>
      </c>
      <c r="Y677" s="293">
        <f t="shared" si="29"/>
        <v>7</v>
      </c>
      <c r="Z677" s="161" t="s">
        <v>73</v>
      </c>
      <c r="AA677" s="342">
        <f>IFERROR(BASE_DATOS[[#This Row],[NSK Original]]-BASE_DATOS[[#This Row],[NSK]]," ")</f>
        <v>14.399999999999999</v>
      </c>
      <c r="AB677" s="343">
        <f>'NSK-TRACTO'!$A$2</f>
        <v>6</v>
      </c>
      <c r="AC677" s="343">
        <f>IF(BASE_DATOS[[#This Row],[NSK]]&gt;=BASE_DATOS[[#This Row],[NSK Reen]],BASE_DATOS[[#This Row],[NSK Reen]],BASE_DATOS[[#This Row],[NSK]])</f>
        <v>6</v>
      </c>
      <c r="AD677" s="344">
        <f>IFERROR(100%-(BASE_DATOS[[#This Row],[NSK Reen]]/BASE_DATOS[[#This Row],[NSK Original]]),"")</f>
        <v>0.71962616822429903</v>
      </c>
      <c r="AE677" s="344">
        <f>IFERROR(100%-BASE_DATOS[[#This Row],[NSK]]/BASE_DATOS[[#This Row],[NSK Original]],"")</f>
        <v>0.67289719626168221</v>
      </c>
      <c r="AF677" s="344">
        <f>IFERROR(BASE_DATOS[[#This Row],[% Max Des.]]-BASE_DATOS[[#This Row],[% Des]],"")</f>
        <v>4.6728971962616828E-2</v>
      </c>
      <c r="AG677" s="287"/>
      <c r="AH677" s="273"/>
      <c r="AI677" s="363" t="str">
        <f>IF(OR(BASE_DATOS[[#This Row],[Hr.]]="",BASE_DATOS[[#This Row],[Hr. Actual]]=""),"",BASE_DATOS[[#This Row],[Hr. Actual]]-BASE_DATOS[[#This Row],[Hr.]]+BASE_DATOS[[#This Row],[Horas Acumuladas]])</f>
        <v/>
      </c>
      <c r="AJ677" s="364" t="str">
        <f>IFERROR(BASE_DATOS[[#This Row],[Precio US$]]/BASE_DATOS[[#This Row],[Horas Rodadas]],"")</f>
        <v/>
      </c>
      <c r="AK677" s="365" t="str">
        <f>IFERROR(BASE_DATOS[[#This Row],[Horas Rodadas]]/(BASE_DATOS[[#This Row],[NSK Original]]-BASE_DATOS[[#This Row],[NSK]]),"")</f>
        <v/>
      </c>
      <c r="AL67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77" s="366" t="str">
        <f>IFERROR(BASE_DATOS[[#This Row],[Precio US$]]/BASE_DATOS[[#This Row],[Horas Proy.]],"")</f>
        <v/>
      </c>
      <c r="AN677" s="176" t="str">
        <f>IF(OR(BASE_DATOS[[#This Row],[Km.]]="",BASE_DATOS[[#This Row],[Km. Actual]]=""),"",BASE_DATOS[[#This Row],[Km. Actual]]-BASE_DATOS[[#This Row],[Km.]]+BASE_DATOS[[#This Row],[Kilómetros Acumulados]])</f>
        <v/>
      </c>
      <c r="AO677" s="177" t="str">
        <f>IFERROR(BASE_DATOS[[#This Row],[Precio US$]]/BASE_DATOS[[#This Row],[Kilómetros Rodados]],"")</f>
        <v/>
      </c>
      <c r="AP677" s="176" t="str">
        <f>IFERROR(BASE_DATOS[[#This Row],[Kilómetros Rodados]]/(BASE_DATOS[[#This Row],[NSK Original]]-BASE_DATOS[[#This Row],[NSK]]),"")</f>
        <v/>
      </c>
      <c r="AQ67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77" s="177" t="str">
        <f>IFERROR(BASE_DATOS[[#This Row],[Precio US$]]/BASE_DATOS[[#This Row],[Kilómetros Proy.]],"")</f>
        <v/>
      </c>
      <c r="AS677" s="167" t="s">
        <v>62</v>
      </c>
      <c r="AT677" s="167"/>
      <c r="AU677" s="167"/>
      <c r="AV677" s="167"/>
      <c r="AW677" s="179"/>
      <c r="AX677" s="179"/>
      <c r="AY677" s="179" t="str">
        <f>CONCATENATE(BASE_DATOS[[#This Row],[Código_U]]&amp;BASE_DATOS[[#This Row],[Pos.]]&amp;BASE_DATOS[[#This Row],[Situación Actual]])</f>
        <v>TC-2367Rodando</v>
      </c>
    </row>
    <row r="678" spans="1:51" ht="12" x14ac:dyDescent="0.25">
      <c r="A678" s="227" t="s">
        <v>251</v>
      </c>
      <c r="B678" s="217" t="s">
        <v>252</v>
      </c>
      <c r="C678" s="228" t="s">
        <v>296</v>
      </c>
      <c r="D678" s="229" t="s">
        <v>61</v>
      </c>
      <c r="E678" s="255"/>
      <c r="F678" s="256" t="s">
        <v>273</v>
      </c>
      <c r="G678" s="256" t="s">
        <v>271</v>
      </c>
      <c r="H678" s="257" t="str">
        <f>IF(BASE_DATOS[[#This Row],[N-R]]="N",BASE_DATOS[[#This Row],[Diseño]],"Reencauche")</f>
        <v>XMULTI2D</v>
      </c>
      <c r="I678" s="256" t="s">
        <v>299</v>
      </c>
      <c r="J678" s="243" t="s">
        <v>72</v>
      </c>
      <c r="K678" s="258">
        <v>21.4</v>
      </c>
      <c r="L678" s="241">
        <v>110</v>
      </c>
      <c r="M678" s="259"/>
      <c r="N678" s="260"/>
      <c r="O678" s="277"/>
      <c r="P678" s="278"/>
      <c r="Q678" s="280"/>
      <c r="R678" s="309" t="s">
        <v>105</v>
      </c>
      <c r="S678" s="310">
        <v>45386</v>
      </c>
      <c r="T678" s="313"/>
      <c r="U678" s="279"/>
      <c r="V678" s="227">
        <v>7</v>
      </c>
      <c r="W678" s="281"/>
      <c r="X678" s="282">
        <v>8</v>
      </c>
      <c r="Y678" s="293">
        <f t="shared" si="29"/>
        <v>7</v>
      </c>
      <c r="Z678" s="161" t="s">
        <v>73</v>
      </c>
      <c r="AA678" s="342">
        <f>IFERROR(BASE_DATOS[[#This Row],[NSK Original]]-BASE_DATOS[[#This Row],[NSK]]," ")</f>
        <v>14.399999999999999</v>
      </c>
      <c r="AB678" s="343">
        <f>'NSK-TRACTO'!$A$2</f>
        <v>6</v>
      </c>
      <c r="AC678" s="343">
        <f>IF(BASE_DATOS[[#This Row],[NSK]]&gt;=BASE_DATOS[[#This Row],[NSK Reen]],BASE_DATOS[[#This Row],[NSK Reen]],BASE_DATOS[[#This Row],[NSK]])</f>
        <v>6</v>
      </c>
      <c r="AD678" s="344">
        <f>IFERROR(100%-(BASE_DATOS[[#This Row],[NSK Reen]]/BASE_DATOS[[#This Row],[NSK Original]]),"")</f>
        <v>0.71962616822429903</v>
      </c>
      <c r="AE678" s="344">
        <f>IFERROR(100%-BASE_DATOS[[#This Row],[NSK]]/BASE_DATOS[[#This Row],[NSK Original]],"")</f>
        <v>0.67289719626168221</v>
      </c>
      <c r="AF678" s="344">
        <f>IFERROR(BASE_DATOS[[#This Row],[% Max Des.]]-BASE_DATOS[[#This Row],[% Des]],"")</f>
        <v>4.6728971962616828E-2</v>
      </c>
      <c r="AG678" s="287"/>
      <c r="AH678" s="273"/>
      <c r="AI678" s="363" t="str">
        <f>IF(OR(BASE_DATOS[[#This Row],[Hr.]]="",BASE_DATOS[[#This Row],[Hr. Actual]]=""),"",BASE_DATOS[[#This Row],[Hr. Actual]]-BASE_DATOS[[#This Row],[Hr.]]+BASE_DATOS[[#This Row],[Horas Acumuladas]])</f>
        <v/>
      </c>
      <c r="AJ678" s="364" t="str">
        <f>IFERROR(BASE_DATOS[[#This Row],[Precio US$]]/BASE_DATOS[[#This Row],[Horas Rodadas]],"")</f>
        <v/>
      </c>
      <c r="AK678" s="365" t="str">
        <f>IFERROR(BASE_DATOS[[#This Row],[Horas Rodadas]]/(BASE_DATOS[[#This Row],[NSK Original]]-BASE_DATOS[[#This Row],[NSK]]),"")</f>
        <v/>
      </c>
      <c r="AL67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78" s="366" t="str">
        <f>IFERROR(BASE_DATOS[[#This Row],[Precio US$]]/BASE_DATOS[[#This Row],[Horas Proy.]],"")</f>
        <v/>
      </c>
      <c r="AN678" s="176" t="str">
        <f>IF(OR(BASE_DATOS[[#This Row],[Km.]]="",BASE_DATOS[[#This Row],[Km. Actual]]=""),"",BASE_DATOS[[#This Row],[Km. Actual]]-BASE_DATOS[[#This Row],[Km.]]+BASE_DATOS[[#This Row],[Kilómetros Acumulados]])</f>
        <v/>
      </c>
      <c r="AO678" s="177" t="str">
        <f>IFERROR(BASE_DATOS[[#This Row],[Precio US$]]/BASE_DATOS[[#This Row],[Kilómetros Rodados]],"")</f>
        <v/>
      </c>
      <c r="AP678" s="176" t="str">
        <f>IFERROR(BASE_DATOS[[#This Row],[Kilómetros Rodados]]/(BASE_DATOS[[#This Row],[NSK Original]]-BASE_DATOS[[#This Row],[NSK]]),"")</f>
        <v/>
      </c>
      <c r="AQ67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78" s="177" t="str">
        <f>IFERROR(BASE_DATOS[[#This Row],[Precio US$]]/BASE_DATOS[[#This Row],[Kilómetros Proy.]],"")</f>
        <v/>
      </c>
      <c r="AS678" s="167" t="s">
        <v>62</v>
      </c>
      <c r="AT678" s="167"/>
      <c r="AU678" s="167"/>
      <c r="AV678" s="167"/>
      <c r="AW678" s="179"/>
      <c r="AX678" s="179"/>
      <c r="AY678" s="179" t="str">
        <f>CONCATENATE(BASE_DATOS[[#This Row],[Código_U]]&amp;BASE_DATOS[[#This Row],[Pos.]]&amp;BASE_DATOS[[#This Row],[Situación Actual]])</f>
        <v>TC-2368Rodando</v>
      </c>
    </row>
    <row r="679" spans="1:51" ht="12" x14ac:dyDescent="0.25">
      <c r="A679" s="227" t="s">
        <v>251</v>
      </c>
      <c r="B679" s="217" t="s">
        <v>252</v>
      </c>
      <c r="C679" s="228" t="s">
        <v>296</v>
      </c>
      <c r="D679" s="229" t="s">
        <v>61</v>
      </c>
      <c r="E679" s="255"/>
      <c r="F679" s="256" t="s">
        <v>273</v>
      </c>
      <c r="G679" s="256" t="s">
        <v>271</v>
      </c>
      <c r="H679" s="257" t="str">
        <f>IF(BASE_DATOS[[#This Row],[N-R]]="N",BASE_DATOS[[#This Row],[Diseño]],"Reencauche")</f>
        <v>XMULTI2D</v>
      </c>
      <c r="I679" s="256" t="s">
        <v>299</v>
      </c>
      <c r="J679" s="243" t="s">
        <v>72</v>
      </c>
      <c r="K679" s="258">
        <v>21.4</v>
      </c>
      <c r="L679" s="241">
        <v>110</v>
      </c>
      <c r="M679" s="259"/>
      <c r="N679" s="260"/>
      <c r="O679" s="277"/>
      <c r="P679" s="278"/>
      <c r="Q679" s="280"/>
      <c r="R679" s="309" t="s">
        <v>106</v>
      </c>
      <c r="S679" s="310">
        <v>45386</v>
      </c>
      <c r="T679" s="313"/>
      <c r="U679" s="279"/>
      <c r="V679" s="227">
        <v>6</v>
      </c>
      <c r="W679" s="281"/>
      <c r="X679" s="282">
        <v>8</v>
      </c>
      <c r="Y679" s="293">
        <f t="shared" si="29"/>
        <v>6</v>
      </c>
      <c r="Z679" s="175" t="s">
        <v>85</v>
      </c>
      <c r="AA679" s="342">
        <f>IFERROR(BASE_DATOS[[#This Row],[NSK Original]]-BASE_DATOS[[#This Row],[NSK]]," ")</f>
        <v>15.399999999999999</v>
      </c>
      <c r="AB679" s="343">
        <f>'NSK-TRACTO'!$A$2</f>
        <v>6</v>
      </c>
      <c r="AC679" s="343">
        <f>IF(BASE_DATOS[[#This Row],[NSK]]&gt;=BASE_DATOS[[#This Row],[NSK Reen]],BASE_DATOS[[#This Row],[NSK Reen]],BASE_DATOS[[#This Row],[NSK]])</f>
        <v>6</v>
      </c>
      <c r="AD679" s="344">
        <f>IFERROR(100%-(BASE_DATOS[[#This Row],[NSK Reen]]/BASE_DATOS[[#This Row],[NSK Original]]),"")</f>
        <v>0.71962616822429903</v>
      </c>
      <c r="AE679" s="344">
        <f>IFERROR(100%-BASE_DATOS[[#This Row],[NSK]]/BASE_DATOS[[#This Row],[NSK Original]],"")</f>
        <v>0.71962616822429903</v>
      </c>
      <c r="AF679" s="344">
        <f>IFERROR(BASE_DATOS[[#This Row],[% Max Des.]]-BASE_DATOS[[#This Row],[% Des]],"")</f>
        <v>0</v>
      </c>
      <c r="AG679" s="287"/>
      <c r="AH679" s="273"/>
      <c r="AI679" s="363" t="str">
        <f>IF(OR(BASE_DATOS[[#This Row],[Hr.]]="",BASE_DATOS[[#This Row],[Hr. Actual]]=""),"",BASE_DATOS[[#This Row],[Hr. Actual]]-BASE_DATOS[[#This Row],[Hr.]]+BASE_DATOS[[#This Row],[Horas Acumuladas]])</f>
        <v/>
      </c>
      <c r="AJ679" s="364" t="str">
        <f>IFERROR(BASE_DATOS[[#This Row],[Precio US$]]/BASE_DATOS[[#This Row],[Horas Rodadas]],"")</f>
        <v/>
      </c>
      <c r="AK679" s="365" t="str">
        <f>IFERROR(BASE_DATOS[[#This Row],[Horas Rodadas]]/(BASE_DATOS[[#This Row],[NSK Original]]-BASE_DATOS[[#This Row],[NSK]]),"")</f>
        <v/>
      </c>
      <c r="AL67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79" s="366" t="str">
        <f>IFERROR(BASE_DATOS[[#This Row],[Precio US$]]/BASE_DATOS[[#This Row],[Horas Proy.]],"")</f>
        <v/>
      </c>
      <c r="AN679" s="176" t="str">
        <f>IF(OR(BASE_DATOS[[#This Row],[Km.]]="",BASE_DATOS[[#This Row],[Km. Actual]]=""),"",BASE_DATOS[[#This Row],[Km. Actual]]-BASE_DATOS[[#This Row],[Km.]]+BASE_DATOS[[#This Row],[Kilómetros Acumulados]])</f>
        <v/>
      </c>
      <c r="AO679" s="177" t="str">
        <f>IFERROR(BASE_DATOS[[#This Row],[Precio US$]]/BASE_DATOS[[#This Row],[Kilómetros Rodados]],"")</f>
        <v/>
      </c>
      <c r="AP679" s="176" t="str">
        <f>IFERROR(BASE_DATOS[[#This Row],[Kilómetros Rodados]]/(BASE_DATOS[[#This Row],[NSK Original]]-BASE_DATOS[[#This Row],[NSK]]),"")</f>
        <v/>
      </c>
      <c r="AQ67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79" s="177" t="str">
        <f>IFERROR(BASE_DATOS[[#This Row],[Precio US$]]/BASE_DATOS[[#This Row],[Kilómetros Proy.]],"")</f>
        <v/>
      </c>
      <c r="AS679" s="167" t="s">
        <v>62</v>
      </c>
      <c r="AT679" s="167"/>
      <c r="AU679" s="167"/>
      <c r="AV679" s="167"/>
      <c r="AW679" s="179"/>
      <c r="AX679" s="179"/>
      <c r="AY679" s="179" t="str">
        <f>CONCATENATE(BASE_DATOS[[#This Row],[Código_U]]&amp;BASE_DATOS[[#This Row],[Pos.]]&amp;BASE_DATOS[[#This Row],[Situación Actual]])</f>
        <v>TC-2369Rodando</v>
      </c>
    </row>
    <row r="680" spans="1:51" ht="12" x14ac:dyDescent="0.25">
      <c r="A680" s="227" t="s">
        <v>251</v>
      </c>
      <c r="B680" s="217" t="s">
        <v>252</v>
      </c>
      <c r="C680" s="228" t="s">
        <v>296</v>
      </c>
      <c r="D680" s="229" t="s">
        <v>61</v>
      </c>
      <c r="E680" s="255"/>
      <c r="F680" s="256" t="s">
        <v>273</v>
      </c>
      <c r="G680" s="256" t="s">
        <v>271</v>
      </c>
      <c r="H680" s="257" t="str">
        <f>IF(BASE_DATOS[[#This Row],[N-R]]="N",BASE_DATOS[[#This Row],[Diseño]],"Reencauche")</f>
        <v>XMULTI2D</v>
      </c>
      <c r="I680" s="256" t="s">
        <v>299</v>
      </c>
      <c r="J680" s="243" t="s">
        <v>72</v>
      </c>
      <c r="K680" s="258">
        <v>21.4</v>
      </c>
      <c r="L680" s="241">
        <v>110</v>
      </c>
      <c r="M680" s="259"/>
      <c r="N680" s="260"/>
      <c r="O680" s="277"/>
      <c r="P680" s="278"/>
      <c r="Q680" s="280"/>
      <c r="R680" s="309" t="s">
        <v>107</v>
      </c>
      <c r="S680" s="310">
        <v>45386</v>
      </c>
      <c r="T680" s="313"/>
      <c r="U680" s="279"/>
      <c r="V680" s="227">
        <v>6</v>
      </c>
      <c r="W680" s="281"/>
      <c r="X680" s="282">
        <v>8</v>
      </c>
      <c r="Y680" s="293">
        <f t="shared" si="29"/>
        <v>6</v>
      </c>
      <c r="Z680" s="161" t="s">
        <v>73</v>
      </c>
      <c r="AA680" s="342">
        <f>IFERROR(BASE_DATOS[[#This Row],[NSK Original]]-BASE_DATOS[[#This Row],[NSK]]," ")</f>
        <v>15.399999999999999</v>
      </c>
      <c r="AB680" s="343">
        <f>'NSK-TRACTO'!$A$2</f>
        <v>6</v>
      </c>
      <c r="AC680" s="343">
        <f>IF(BASE_DATOS[[#This Row],[NSK]]&gt;=BASE_DATOS[[#This Row],[NSK Reen]],BASE_DATOS[[#This Row],[NSK Reen]],BASE_DATOS[[#This Row],[NSK]])</f>
        <v>6</v>
      </c>
      <c r="AD680" s="344">
        <f>IFERROR(100%-(BASE_DATOS[[#This Row],[NSK Reen]]/BASE_DATOS[[#This Row],[NSK Original]]),"")</f>
        <v>0.71962616822429903</v>
      </c>
      <c r="AE680" s="344">
        <f>IFERROR(100%-BASE_DATOS[[#This Row],[NSK]]/BASE_DATOS[[#This Row],[NSK Original]],"")</f>
        <v>0.71962616822429903</v>
      </c>
      <c r="AF680" s="344">
        <f>IFERROR(BASE_DATOS[[#This Row],[% Max Des.]]-BASE_DATOS[[#This Row],[% Des]],"")</f>
        <v>0</v>
      </c>
      <c r="AG680" s="287"/>
      <c r="AH680" s="273"/>
      <c r="AI680" s="363" t="str">
        <f>IF(OR(BASE_DATOS[[#This Row],[Hr.]]="",BASE_DATOS[[#This Row],[Hr. Actual]]=""),"",BASE_DATOS[[#This Row],[Hr. Actual]]-BASE_DATOS[[#This Row],[Hr.]]+BASE_DATOS[[#This Row],[Horas Acumuladas]])</f>
        <v/>
      </c>
      <c r="AJ680" s="364" t="str">
        <f>IFERROR(BASE_DATOS[[#This Row],[Precio US$]]/BASE_DATOS[[#This Row],[Horas Rodadas]],"")</f>
        <v/>
      </c>
      <c r="AK680" s="365" t="str">
        <f>IFERROR(BASE_DATOS[[#This Row],[Horas Rodadas]]/(BASE_DATOS[[#This Row],[NSK Original]]-BASE_DATOS[[#This Row],[NSK]]),"")</f>
        <v/>
      </c>
      <c r="AL68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80" s="366" t="str">
        <f>IFERROR(BASE_DATOS[[#This Row],[Precio US$]]/BASE_DATOS[[#This Row],[Horas Proy.]],"")</f>
        <v/>
      </c>
      <c r="AN680" s="176" t="str">
        <f>IF(OR(BASE_DATOS[[#This Row],[Km.]]="",BASE_DATOS[[#This Row],[Km. Actual]]=""),"",BASE_DATOS[[#This Row],[Km. Actual]]-BASE_DATOS[[#This Row],[Km.]]+BASE_DATOS[[#This Row],[Kilómetros Acumulados]])</f>
        <v/>
      </c>
      <c r="AO680" s="177" t="str">
        <f>IFERROR(BASE_DATOS[[#This Row],[Precio US$]]/BASE_DATOS[[#This Row],[Kilómetros Rodados]],"")</f>
        <v/>
      </c>
      <c r="AP680" s="176" t="str">
        <f>IFERROR(BASE_DATOS[[#This Row],[Kilómetros Rodados]]/(BASE_DATOS[[#This Row],[NSK Original]]-BASE_DATOS[[#This Row],[NSK]]),"")</f>
        <v/>
      </c>
      <c r="AQ68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80" s="177" t="str">
        <f>IFERROR(BASE_DATOS[[#This Row],[Precio US$]]/BASE_DATOS[[#This Row],[Kilómetros Proy.]],"")</f>
        <v/>
      </c>
      <c r="AS680" s="167" t="s">
        <v>62</v>
      </c>
      <c r="AT680" s="167"/>
      <c r="AU680" s="167"/>
      <c r="AV680" s="167"/>
      <c r="AW680" s="179"/>
      <c r="AX680" s="179"/>
      <c r="AY680" s="179" t="str">
        <f>CONCATENATE(BASE_DATOS[[#This Row],[Código_U]]&amp;BASE_DATOS[[#This Row],[Pos.]]&amp;BASE_DATOS[[#This Row],[Situación Actual]])</f>
        <v>TC-23610Rodando</v>
      </c>
    </row>
    <row r="681" spans="1:51" ht="12" x14ac:dyDescent="0.25">
      <c r="A681" s="222" t="s">
        <v>407</v>
      </c>
      <c r="B681" s="213" t="s">
        <v>253</v>
      </c>
      <c r="C681" s="225" t="s">
        <v>296</v>
      </c>
      <c r="D681" s="226" t="s">
        <v>86</v>
      </c>
      <c r="E681" s="249"/>
      <c r="F681" s="250" t="s">
        <v>273</v>
      </c>
      <c r="G681" s="250" t="s">
        <v>271</v>
      </c>
      <c r="H681" s="251" t="str">
        <f>IF(BASE_DATOS[[#This Row],[N-R]]="N",BASE_DATOS[[#This Row],[Diseño]],"Reencauche")</f>
        <v>XMULTI+Z</v>
      </c>
      <c r="I681" s="250" t="s">
        <v>297</v>
      </c>
      <c r="J681" s="235" t="s">
        <v>72</v>
      </c>
      <c r="K681" s="252">
        <v>16</v>
      </c>
      <c r="L681" s="233">
        <v>100</v>
      </c>
      <c r="M681" s="253"/>
      <c r="N681" s="254"/>
      <c r="O681" s="274"/>
      <c r="P681" s="275"/>
      <c r="Q681" s="276"/>
      <c r="R681" s="305" t="s">
        <v>98</v>
      </c>
      <c r="S681" s="306">
        <v>45385</v>
      </c>
      <c r="T681" s="307"/>
      <c r="U681" s="308"/>
      <c r="V681" s="224">
        <v>8</v>
      </c>
      <c r="W681" s="325">
        <v>10</v>
      </c>
      <c r="X681" s="326">
        <v>10</v>
      </c>
      <c r="Y681" s="292">
        <f t="shared" ref="Y681:Y718" si="30">IFERROR(MIN(V681:X681),"")</f>
        <v>8</v>
      </c>
      <c r="Z681" s="194" t="s">
        <v>85</v>
      </c>
      <c r="AA681" s="339">
        <f>IFERROR(BASE_DATOS[[#This Row],[NSK Original]]-BASE_DATOS[[#This Row],[NSK]]," ")</f>
        <v>8</v>
      </c>
      <c r="AB681" s="340">
        <f>'NSK-TRACTO'!$A$2</f>
        <v>6</v>
      </c>
      <c r="AC681" s="340">
        <f>IF(BASE_DATOS[[#This Row],[NSK]]&gt;=BASE_DATOS[[#This Row],[NSK Reen]],BASE_DATOS[[#This Row],[NSK Reen]],BASE_DATOS[[#This Row],[NSK]])</f>
        <v>6</v>
      </c>
      <c r="AD681" s="341">
        <f>IFERROR(100%-(BASE_DATOS[[#This Row],[NSK Reen]]/BASE_DATOS[[#This Row],[NSK Original]]),"")</f>
        <v>0.625</v>
      </c>
      <c r="AE681" s="341">
        <f>IFERROR(100%-BASE_DATOS[[#This Row],[NSK]]/BASE_DATOS[[#This Row],[NSK Original]],"")</f>
        <v>0.5</v>
      </c>
      <c r="AF681" s="341">
        <f>IFERROR(BASE_DATOS[[#This Row],[% Max Des.]]-BASE_DATOS[[#This Row],[% Des]],"")</f>
        <v>0.125</v>
      </c>
      <c r="AG681" s="284"/>
      <c r="AH681" s="335"/>
      <c r="AI681" s="359" t="str">
        <f>IF(OR(BASE_DATOS[[#This Row],[Hr.]]="",BASE_DATOS[[#This Row],[Hr. Actual]]=""),"",BASE_DATOS[[#This Row],[Hr. Actual]]-BASE_DATOS[[#This Row],[Hr.]]+BASE_DATOS[[#This Row],[Horas Acumuladas]])</f>
        <v/>
      </c>
      <c r="AJ681" s="360" t="str">
        <f>IFERROR(BASE_DATOS[[#This Row],[Precio US$]]/BASE_DATOS[[#This Row],[Horas Rodadas]],"")</f>
        <v/>
      </c>
      <c r="AK681" s="361" t="str">
        <f>IFERROR(BASE_DATOS[[#This Row],[Horas Rodadas]]/(BASE_DATOS[[#This Row],[NSK Original]]-BASE_DATOS[[#This Row],[NSK]]),"")</f>
        <v/>
      </c>
      <c r="AL681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81" s="362" t="str">
        <f>IFERROR(BASE_DATOS[[#This Row],[Precio US$]]/BASE_DATOS[[#This Row],[Horas Proy.]],"")</f>
        <v/>
      </c>
      <c r="AN681" s="195" t="str">
        <f>IF(OR(BASE_DATOS[[#This Row],[Km.]]="",BASE_DATOS[[#This Row],[Km. Actual]]=""),"",BASE_DATOS[[#This Row],[Km. Actual]]-BASE_DATOS[[#This Row],[Km.]]+BASE_DATOS[[#This Row],[Kilómetros Acumulados]])</f>
        <v/>
      </c>
      <c r="AO681" s="196" t="str">
        <f>IFERROR(BASE_DATOS[[#This Row],[Precio US$]]/BASE_DATOS[[#This Row],[Kilómetros Rodados]],"")</f>
        <v/>
      </c>
      <c r="AP681" s="195" t="str">
        <f>IFERROR(BASE_DATOS[[#This Row],[Kilómetros Rodados]]/(BASE_DATOS[[#This Row],[NSK Original]]-BASE_DATOS[[#This Row],[NSK]]),"")</f>
        <v/>
      </c>
      <c r="AQ681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81" s="196" t="str">
        <f>IFERROR(BASE_DATOS[[#This Row],[Precio US$]]/BASE_DATOS[[#This Row],[Kilómetros Proy.]],"")</f>
        <v/>
      </c>
      <c r="AS681" s="191" t="s">
        <v>62</v>
      </c>
      <c r="AT681" s="191"/>
      <c r="AU681" s="191" t="s">
        <v>515</v>
      </c>
      <c r="AV681" s="191"/>
      <c r="AW681" s="198"/>
      <c r="AX681" s="192" t="s">
        <v>371</v>
      </c>
      <c r="AY681" s="192" t="str">
        <f>CONCATENATE(BASE_DATOS[[#This Row],[Código_U]]&amp;BASE_DATOS[[#This Row],[Pos.]]&amp;BASE_DATOS[[#This Row],[Situación Actual]])</f>
        <v>TC-2561Rodando</v>
      </c>
    </row>
    <row r="682" spans="1:51" ht="12" x14ac:dyDescent="0.25">
      <c r="A682" s="223" t="s">
        <v>407</v>
      </c>
      <c r="B682" s="217" t="s">
        <v>253</v>
      </c>
      <c r="C682" s="228" t="s">
        <v>296</v>
      </c>
      <c r="D682" s="229" t="s">
        <v>86</v>
      </c>
      <c r="E682" s="255"/>
      <c r="F682" s="256" t="s">
        <v>273</v>
      </c>
      <c r="G682" s="256" t="s">
        <v>271</v>
      </c>
      <c r="H682" s="257" t="str">
        <f>IF(BASE_DATOS[[#This Row],[N-R]]="N",BASE_DATOS[[#This Row],[Diseño]],"Reencauche")</f>
        <v>XMULTI+Z</v>
      </c>
      <c r="I682" s="256" t="s">
        <v>297</v>
      </c>
      <c r="J682" s="243" t="s">
        <v>72</v>
      </c>
      <c r="K682" s="258">
        <v>16</v>
      </c>
      <c r="L682" s="241">
        <v>100</v>
      </c>
      <c r="M682" s="259"/>
      <c r="N682" s="260"/>
      <c r="O682" s="277"/>
      <c r="P682" s="278"/>
      <c r="Q682" s="279"/>
      <c r="R682" s="309" t="s">
        <v>99</v>
      </c>
      <c r="S682" s="310">
        <v>45385</v>
      </c>
      <c r="T682" s="311"/>
      <c r="U682" s="312"/>
      <c r="V682" s="227">
        <v>7</v>
      </c>
      <c r="W682" s="281">
        <v>8</v>
      </c>
      <c r="X682" s="282">
        <v>10</v>
      </c>
      <c r="Y682" s="293">
        <f t="shared" si="30"/>
        <v>7</v>
      </c>
      <c r="Z682" s="175" t="s">
        <v>85</v>
      </c>
      <c r="AA682" s="342">
        <f>IFERROR(BASE_DATOS[[#This Row],[NSK Original]]-BASE_DATOS[[#This Row],[NSK]]," ")</f>
        <v>9</v>
      </c>
      <c r="AB682" s="343">
        <f>'NSK-TRACTO'!$A$2</f>
        <v>6</v>
      </c>
      <c r="AC682" s="343">
        <f>IF(BASE_DATOS[[#This Row],[NSK]]&gt;=BASE_DATOS[[#This Row],[NSK Reen]],BASE_DATOS[[#This Row],[NSK Reen]],BASE_DATOS[[#This Row],[NSK]])</f>
        <v>6</v>
      </c>
      <c r="AD682" s="344">
        <f>IFERROR(100%-(BASE_DATOS[[#This Row],[NSK Reen]]/BASE_DATOS[[#This Row],[NSK Original]]),"")</f>
        <v>0.625</v>
      </c>
      <c r="AE682" s="344">
        <f>IFERROR(100%-BASE_DATOS[[#This Row],[NSK]]/BASE_DATOS[[#This Row],[NSK Original]],"")</f>
        <v>0.5625</v>
      </c>
      <c r="AF682" s="344">
        <f>IFERROR(BASE_DATOS[[#This Row],[% Max Des.]]-BASE_DATOS[[#This Row],[% Des]],"")</f>
        <v>6.25E-2</v>
      </c>
      <c r="AG682" s="287"/>
      <c r="AH682" s="273"/>
      <c r="AI682" s="363" t="str">
        <f>IF(OR(BASE_DATOS[[#This Row],[Hr.]]="",BASE_DATOS[[#This Row],[Hr. Actual]]=""),"",BASE_DATOS[[#This Row],[Hr. Actual]]-BASE_DATOS[[#This Row],[Hr.]]+BASE_DATOS[[#This Row],[Horas Acumuladas]])</f>
        <v/>
      </c>
      <c r="AJ682" s="364" t="str">
        <f>IFERROR(BASE_DATOS[[#This Row],[Precio US$]]/BASE_DATOS[[#This Row],[Horas Rodadas]],"")</f>
        <v/>
      </c>
      <c r="AK682" s="365" t="str">
        <f>IFERROR(BASE_DATOS[[#This Row],[Horas Rodadas]]/(BASE_DATOS[[#This Row],[NSK Original]]-BASE_DATOS[[#This Row],[NSK]]),"")</f>
        <v/>
      </c>
      <c r="AL68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82" s="366" t="str">
        <f>IFERROR(BASE_DATOS[[#This Row],[Precio US$]]/BASE_DATOS[[#This Row],[Horas Proy.]],"")</f>
        <v/>
      </c>
      <c r="AN682" s="176" t="str">
        <f>IF(OR(BASE_DATOS[[#This Row],[Km.]]="",BASE_DATOS[[#This Row],[Km. Actual]]=""),"",BASE_DATOS[[#This Row],[Km. Actual]]-BASE_DATOS[[#This Row],[Km.]]+BASE_DATOS[[#This Row],[Kilómetros Acumulados]])</f>
        <v/>
      </c>
      <c r="AO682" s="177" t="str">
        <f>IFERROR(BASE_DATOS[[#This Row],[Precio US$]]/BASE_DATOS[[#This Row],[Kilómetros Rodados]],"")</f>
        <v/>
      </c>
      <c r="AP682" s="176" t="str">
        <f>IFERROR(BASE_DATOS[[#This Row],[Kilómetros Rodados]]/(BASE_DATOS[[#This Row],[NSK Original]]-BASE_DATOS[[#This Row],[NSK]]),"")</f>
        <v/>
      </c>
      <c r="AQ68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82" s="177" t="str">
        <f>IFERROR(BASE_DATOS[[#This Row],[Precio US$]]/BASE_DATOS[[#This Row],[Kilómetros Proy.]],"")</f>
        <v/>
      </c>
      <c r="AS682" s="167" t="s">
        <v>62</v>
      </c>
      <c r="AT682" s="167"/>
      <c r="AU682" s="167" t="s">
        <v>515</v>
      </c>
      <c r="AV682" s="167"/>
      <c r="AW682" s="179"/>
      <c r="AX682" s="169" t="s">
        <v>371</v>
      </c>
      <c r="AY682" s="169" t="str">
        <f>CONCATENATE(BASE_DATOS[[#This Row],[Código_U]]&amp;BASE_DATOS[[#This Row],[Pos.]]&amp;BASE_DATOS[[#This Row],[Situación Actual]])</f>
        <v>TC-2562Rodando</v>
      </c>
    </row>
    <row r="683" spans="1:51" ht="12" x14ac:dyDescent="0.25">
      <c r="A683" s="223" t="s">
        <v>407</v>
      </c>
      <c r="B683" s="217" t="s">
        <v>253</v>
      </c>
      <c r="C683" s="228" t="s">
        <v>296</v>
      </c>
      <c r="D683" s="229" t="s">
        <v>61</v>
      </c>
      <c r="E683" s="255"/>
      <c r="F683" s="256" t="s">
        <v>273</v>
      </c>
      <c r="G683" s="256" t="s">
        <v>271</v>
      </c>
      <c r="H683" s="257" t="str">
        <f>IF(BASE_DATOS[[#This Row],[N-R]]="N",BASE_DATOS[[#This Row],[Diseño]],"Reencauche")</f>
        <v>XMULTI2D</v>
      </c>
      <c r="I683" s="256" t="s">
        <v>299</v>
      </c>
      <c r="J683" s="243" t="s">
        <v>72</v>
      </c>
      <c r="K683" s="258">
        <v>21.4</v>
      </c>
      <c r="L683" s="241">
        <v>110</v>
      </c>
      <c r="M683" s="259"/>
      <c r="N683" s="260"/>
      <c r="O683" s="277"/>
      <c r="P683" s="278"/>
      <c r="Q683" s="279"/>
      <c r="R683" s="309" t="s">
        <v>100</v>
      </c>
      <c r="S683" s="310">
        <v>45385</v>
      </c>
      <c r="T683" s="311"/>
      <c r="U683" s="312"/>
      <c r="V683" s="227">
        <v>13</v>
      </c>
      <c r="W683" s="281"/>
      <c r="X683" s="282">
        <v>14</v>
      </c>
      <c r="Y683" s="293">
        <f t="shared" si="30"/>
        <v>13</v>
      </c>
      <c r="Z683" s="161" t="s">
        <v>73</v>
      </c>
      <c r="AA683" s="342">
        <f>IFERROR(BASE_DATOS[[#This Row],[NSK Original]]-BASE_DATOS[[#This Row],[NSK]]," ")</f>
        <v>8.3999999999999986</v>
      </c>
      <c r="AB683" s="343">
        <f>'NSK-TRACTO'!$A$2</f>
        <v>6</v>
      </c>
      <c r="AC683" s="343">
        <f>IF(BASE_DATOS[[#This Row],[NSK]]&gt;=BASE_DATOS[[#This Row],[NSK Reen]],BASE_DATOS[[#This Row],[NSK Reen]],BASE_DATOS[[#This Row],[NSK]])</f>
        <v>6</v>
      </c>
      <c r="AD683" s="344">
        <f>IFERROR(100%-(BASE_DATOS[[#This Row],[NSK Reen]]/BASE_DATOS[[#This Row],[NSK Original]]),"")</f>
        <v>0.71962616822429903</v>
      </c>
      <c r="AE683" s="344">
        <f>IFERROR(100%-BASE_DATOS[[#This Row],[NSK]]/BASE_DATOS[[#This Row],[NSK Original]],"")</f>
        <v>0.39252336448598124</v>
      </c>
      <c r="AF683" s="344">
        <f>IFERROR(BASE_DATOS[[#This Row],[% Max Des.]]-BASE_DATOS[[#This Row],[% Des]],"")</f>
        <v>0.32710280373831779</v>
      </c>
      <c r="AG683" s="287"/>
      <c r="AH683" s="273"/>
      <c r="AI683" s="363" t="str">
        <f>IF(OR(BASE_DATOS[[#This Row],[Hr.]]="",BASE_DATOS[[#This Row],[Hr. Actual]]=""),"",BASE_DATOS[[#This Row],[Hr. Actual]]-BASE_DATOS[[#This Row],[Hr.]]+BASE_DATOS[[#This Row],[Horas Acumuladas]])</f>
        <v/>
      </c>
      <c r="AJ683" s="364" t="str">
        <f>IFERROR(BASE_DATOS[[#This Row],[Precio US$]]/BASE_DATOS[[#This Row],[Horas Rodadas]],"")</f>
        <v/>
      </c>
      <c r="AK683" s="365" t="str">
        <f>IFERROR(BASE_DATOS[[#This Row],[Horas Rodadas]]/(BASE_DATOS[[#This Row],[NSK Original]]-BASE_DATOS[[#This Row],[NSK]]),"")</f>
        <v/>
      </c>
      <c r="AL68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83" s="366" t="str">
        <f>IFERROR(BASE_DATOS[[#This Row],[Precio US$]]/BASE_DATOS[[#This Row],[Horas Proy.]],"")</f>
        <v/>
      </c>
      <c r="AN683" s="176" t="str">
        <f>IF(OR(BASE_DATOS[[#This Row],[Km.]]="",BASE_DATOS[[#This Row],[Km. Actual]]=""),"",BASE_DATOS[[#This Row],[Km. Actual]]-BASE_DATOS[[#This Row],[Km.]]+BASE_DATOS[[#This Row],[Kilómetros Acumulados]])</f>
        <v/>
      </c>
      <c r="AO683" s="177" t="str">
        <f>IFERROR(BASE_DATOS[[#This Row],[Precio US$]]/BASE_DATOS[[#This Row],[Kilómetros Rodados]],"")</f>
        <v/>
      </c>
      <c r="AP683" s="176" t="str">
        <f>IFERROR(BASE_DATOS[[#This Row],[Kilómetros Rodados]]/(BASE_DATOS[[#This Row],[NSK Original]]-BASE_DATOS[[#This Row],[NSK]]),"")</f>
        <v/>
      </c>
      <c r="AQ68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83" s="177" t="str">
        <f>IFERROR(BASE_DATOS[[#This Row],[Precio US$]]/BASE_DATOS[[#This Row],[Kilómetros Proy.]],"")</f>
        <v/>
      </c>
      <c r="AS683" s="167" t="s">
        <v>62</v>
      </c>
      <c r="AT683" s="167"/>
      <c r="AU683" s="167"/>
      <c r="AV683" s="167"/>
      <c r="AW683" s="179"/>
      <c r="AX683" s="179"/>
      <c r="AY683" s="179" t="str">
        <f>CONCATENATE(BASE_DATOS[[#This Row],[Código_U]]&amp;BASE_DATOS[[#This Row],[Pos.]]&amp;BASE_DATOS[[#This Row],[Situación Actual]])</f>
        <v>TC-2563Rodando</v>
      </c>
    </row>
    <row r="684" spans="1:51" ht="12" x14ac:dyDescent="0.25">
      <c r="A684" s="223" t="s">
        <v>407</v>
      </c>
      <c r="B684" s="217" t="s">
        <v>253</v>
      </c>
      <c r="C684" s="228" t="s">
        <v>296</v>
      </c>
      <c r="D684" s="229" t="s">
        <v>61</v>
      </c>
      <c r="E684" s="255"/>
      <c r="F684" s="256" t="s">
        <v>273</v>
      </c>
      <c r="G684" s="256" t="s">
        <v>271</v>
      </c>
      <c r="H684" s="257" t="str">
        <f>IF(BASE_DATOS[[#This Row],[N-R]]="N",BASE_DATOS[[#This Row],[Diseño]],"Reencauche")</f>
        <v>XMULTI2D</v>
      </c>
      <c r="I684" s="256" t="s">
        <v>299</v>
      </c>
      <c r="J684" s="243" t="s">
        <v>72</v>
      </c>
      <c r="K684" s="258">
        <v>21.4</v>
      </c>
      <c r="L684" s="241">
        <v>110</v>
      </c>
      <c r="M684" s="259"/>
      <c r="N684" s="260"/>
      <c r="O684" s="277"/>
      <c r="P684" s="278"/>
      <c r="Q684" s="279"/>
      <c r="R684" s="309" t="s">
        <v>101</v>
      </c>
      <c r="S684" s="310">
        <v>45385</v>
      </c>
      <c r="T684" s="311"/>
      <c r="U684" s="312"/>
      <c r="V684" s="227">
        <v>13</v>
      </c>
      <c r="W684" s="281"/>
      <c r="X684" s="282">
        <v>13</v>
      </c>
      <c r="Y684" s="293">
        <f t="shared" si="30"/>
        <v>13</v>
      </c>
      <c r="Z684" s="161" t="s">
        <v>73</v>
      </c>
      <c r="AA684" s="342">
        <f>IFERROR(BASE_DATOS[[#This Row],[NSK Original]]-BASE_DATOS[[#This Row],[NSK]]," ")</f>
        <v>8.3999999999999986</v>
      </c>
      <c r="AB684" s="343">
        <f>'NSK-TRACTO'!$A$2</f>
        <v>6</v>
      </c>
      <c r="AC684" s="343">
        <f>IF(BASE_DATOS[[#This Row],[NSK]]&gt;=BASE_DATOS[[#This Row],[NSK Reen]],BASE_DATOS[[#This Row],[NSK Reen]],BASE_DATOS[[#This Row],[NSK]])</f>
        <v>6</v>
      </c>
      <c r="AD684" s="344">
        <f>IFERROR(100%-(BASE_DATOS[[#This Row],[NSK Reen]]/BASE_DATOS[[#This Row],[NSK Original]]),"")</f>
        <v>0.71962616822429903</v>
      </c>
      <c r="AE684" s="344">
        <f>IFERROR(100%-BASE_DATOS[[#This Row],[NSK]]/BASE_DATOS[[#This Row],[NSK Original]],"")</f>
        <v>0.39252336448598124</v>
      </c>
      <c r="AF684" s="344">
        <f>IFERROR(BASE_DATOS[[#This Row],[% Max Des.]]-BASE_DATOS[[#This Row],[% Des]],"")</f>
        <v>0.32710280373831779</v>
      </c>
      <c r="AG684" s="287"/>
      <c r="AH684" s="273"/>
      <c r="AI684" s="363" t="str">
        <f>IF(OR(BASE_DATOS[[#This Row],[Hr.]]="",BASE_DATOS[[#This Row],[Hr. Actual]]=""),"",BASE_DATOS[[#This Row],[Hr. Actual]]-BASE_DATOS[[#This Row],[Hr.]]+BASE_DATOS[[#This Row],[Horas Acumuladas]])</f>
        <v/>
      </c>
      <c r="AJ684" s="364" t="str">
        <f>IFERROR(BASE_DATOS[[#This Row],[Precio US$]]/BASE_DATOS[[#This Row],[Horas Rodadas]],"")</f>
        <v/>
      </c>
      <c r="AK684" s="365" t="str">
        <f>IFERROR(BASE_DATOS[[#This Row],[Horas Rodadas]]/(BASE_DATOS[[#This Row],[NSK Original]]-BASE_DATOS[[#This Row],[NSK]]),"")</f>
        <v/>
      </c>
      <c r="AL68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84" s="366" t="str">
        <f>IFERROR(BASE_DATOS[[#This Row],[Precio US$]]/BASE_DATOS[[#This Row],[Horas Proy.]],"")</f>
        <v/>
      </c>
      <c r="AN684" s="176" t="str">
        <f>IF(OR(BASE_DATOS[[#This Row],[Km.]]="",BASE_DATOS[[#This Row],[Km. Actual]]=""),"",BASE_DATOS[[#This Row],[Km. Actual]]-BASE_DATOS[[#This Row],[Km.]]+BASE_DATOS[[#This Row],[Kilómetros Acumulados]])</f>
        <v/>
      </c>
      <c r="AO684" s="177" t="str">
        <f>IFERROR(BASE_DATOS[[#This Row],[Precio US$]]/BASE_DATOS[[#This Row],[Kilómetros Rodados]],"")</f>
        <v/>
      </c>
      <c r="AP684" s="176" t="str">
        <f>IFERROR(BASE_DATOS[[#This Row],[Kilómetros Rodados]]/(BASE_DATOS[[#This Row],[NSK Original]]-BASE_DATOS[[#This Row],[NSK]]),"")</f>
        <v/>
      </c>
      <c r="AQ68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84" s="177" t="str">
        <f>IFERROR(BASE_DATOS[[#This Row],[Precio US$]]/BASE_DATOS[[#This Row],[Kilómetros Proy.]],"")</f>
        <v/>
      </c>
      <c r="AS684" s="167" t="s">
        <v>62</v>
      </c>
      <c r="AT684" s="167"/>
      <c r="AU684" s="167" t="s">
        <v>515</v>
      </c>
      <c r="AV684" s="167"/>
      <c r="AW684" s="179"/>
      <c r="AX684" s="169" t="s">
        <v>371</v>
      </c>
      <c r="AY684" s="169" t="str">
        <f>CONCATENATE(BASE_DATOS[[#This Row],[Código_U]]&amp;BASE_DATOS[[#This Row],[Pos.]]&amp;BASE_DATOS[[#This Row],[Situación Actual]])</f>
        <v>TC-2564Rodando</v>
      </c>
    </row>
    <row r="685" spans="1:51" ht="12" x14ac:dyDescent="0.25">
      <c r="A685" s="223" t="s">
        <v>407</v>
      </c>
      <c r="B685" s="217" t="s">
        <v>253</v>
      </c>
      <c r="C685" s="228" t="s">
        <v>296</v>
      </c>
      <c r="D685" s="229" t="s">
        <v>61</v>
      </c>
      <c r="E685" s="255"/>
      <c r="F685" s="256" t="s">
        <v>273</v>
      </c>
      <c r="G685" s="256" t="s">
        <v>271</v>
      </c>
      <c r="H685" s="257" t="str">
        <f>IF(BASE_DATOS[[#This Row],[N-R]]="N",BASE_DATOS[[#This Row],[Diseño]],"Reencauche")</f>
        <v>XMULTI2D</v>
      </c>
      <c r="I685" s="256" t="s">
        <v>299</v>
      </c>
      <c r="J685" s="243" t="s">
        <v>72</v>
      </c>
      <c r="K685" s="258">
        <v>21.4</v>
      </c>
      <c r="L685" s="241">
        <v>110</v>
      </c>
      <c r="M685" s="259"/>
      <c r="N685" s="260"/>
      <c r="O685" s="277"/>
      <c r="P685" s="278"/>
      <c r="Q685" s="279"/>
      <c r="R685" s="309" t="s">
        <v>102</v>
      </c>
      <c r="S685" s="310">
        <v>45385</v>
      </c>
      <c r="T685" s="311"/>
      <c r="U685" s="312"/>
      <c r="V685" s="227">
        <v>14</v>
      </c>
      <c r="W685" s="281"/>
      <c r="X685" s="282">
        <v>13</v>
      </c>
      <c r="Y685" s="293">
        <f t="shared" si="30"/>
        <v>13</v>
      </c>
      <c r="Z685" s="161" t="s">
        <v>85</v>
      </c>
      <c r="AA685" s="342">
        <f>IFERROR(BASE_DATOS[[#This Row],[NSK Original]]-BASE_DATOS[[#This Row],[NSK]]," ")</f>
        <v>8.3999999999999986</v>
      </c>
      <c r="AB685" s="343">
        <f>'NSK-TRACTO'!$A$2</f>
        <v>6</v>
      </c>
      <c r="AC685" s="343">
        <f>IF(BASE_DATOS[[#This Row],[NSK]]&gt;=BASE_DATOS[[#This Row],[NSK Reen]],BASE_DATOS[[#This Row],[NSK Reen]],BASE_DATOS[[#This Row],[NSK]])</f>
        <v>6</v>
      </c>
      <c r="AD685" s="344">
        <f>IFERROR(100%-(BASE_DATOS[[#This Row],[NSK Reen]]/BASE_DATOS[[#This Row],[NSK Original]]),"")</f>
        <v>0.71962616822429903</v>
      </c>
      <c r="AE685" s="344">
        <f>IFERROR(100%-BASE_DATOS[[#This Row],[NSK]]/BASE_DATOS[[#This Row],[NSK Original]],"")</f>
        <v>0.39252336448598124</v>
      </c>
      <c r="AF685" s="344">
        <f>IFERROR(BASE_DATOS[[#This Row],[% Max Des.]]-BASE_DATOS[[#This Row],[% Des]],"")</f>
        <v>0.32710280373831779</v>
      </c>
      <c r="AG685" s="287"/>
      <c r="AH685" s="273"/>
      <c r="AI685" s="363" t="str">
        <f>IF(OR(BASE_DATOS[[#This Row],[Hr.]]="",BASE_DATOS[[#This Row],[Hr. Actual]]=""),"",BASE_DATOS[[#This Row],[Hr. Actual]]-BASE_DATOS[[#This Row],[Hr.]]+BASE_DATOS[[#This Row],[Horas Acumuladas]])</f>
        <v/>
      </c>
      <c r="AJ685" s="364" t="str">
        <f>IFERROR(BASE_DATOS[[#This Row],[Precio US$]]/BASE_DATOS[[#This Row],[Horas Rodadas]],"")</f>
        <v/>
      </c>
      <c r="AK685" s="365" t="str">
        <f>IFERROR(BASE_DATOS[[#This Row],[Horas Rodadas]]/(BASE_DATOS[[#This Row],[NSK Original]]-BASE_DATOS[[#This Row],[NSK]]),"")</f>
        <v/>
      </c>
      <c r="AL68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85" s="366" t="str">
        <f>IFERROR(BASE_DATOS[[#This Row],[Precio US$]]/BASE_DATOS[[#This Row],[Horas Proy.]],"")</f>
        <v/>
      </c>
      <c r="AN685" s="176" t="str">
        <f>IF(OR(BASE_DATOS[[#This Row],[Km.]]="",BASE_DATOS[[#This Row],[Km. Actual]]=""),"",BASE_DATOS[[#This Row],[Km. Actual]]-BASE_DATOS[[#This Row],[Km.]]+BASE_DATOS[[#This Row],[Kilómetros Acumulados]])</f>
        <v/>
      </c>
      <c r="AO685" s="177" t="str">
        <f>IFERROR(BASE_DATOS[[#This Row],[Precio US$]]/BASE_DATOS[[#This Row],[Kilómetros Rodados]],"")</f>
        <v/>
      </c>
      <c r="AP685" s="176" t="str">
        <f>IFERROR(BASE_DATOS[[#This Row],[Kilómetros Rodados]]/(BASE_DATOS[[#This Row],[NSK Original]]-BASE_DATOS[[#This Row],[NSK]]),"")</f>
        <v/>
      </c>
      <c r="AQ68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85" s="177" t="str">
        <f>IFERROR(BASE_DATOS[[#This Row],[Precio US$]]/BASE_DATOS[[#This Row],[Kilómetros Proy.]],"")</f>
        <v/>
      </c>
      <c r="AS685" s="167" t="s">
        <v>62</v>
      </c>
      <c r="AT685" s="167"/>
      <c r="AU685" s="167"/>
      <c r="AV685" s="167"/>
      <c r="AW685" s="179"/>
      <c r="AX685" s="179"/>
      <c r="AY685" s="179" t="str">
        <f>CONCATENATE(BASE_DATOS[[#This Row],[Código_U]]&amp;BASE_DATOS[[#This Row],[Pos.]]&amp;BASE_DATOS[[#This Row],[Situación Actual]])</f>
        <v>TC-2565Rodando</v>
      </c>
    </row>
    <row r="686" spans="1:51" ht="12" x14ac:dyDescent="0.25">
      <c r="A686" s="223" t="s">
        <v>407</v>
      </c>
      <c r="B686" s="217" t="s">
        <v>253</v>
      </c>
      <c r="C686" s="228" t="s">
        <v>296</v>
      </c>
      <c r="D686" s="229" t="s">
        <v>61</v>
      </c>
      <c r="E686" s="255"/>
      <c r="F686" s="256" t="s">
        <v>273</v>
      </c>
      <c r="G686" s="256" t="s">
        <v>271</v>
      </c>
      <c r="H686" s="257" t="str">
        <f>IF(BASE_DATOS[[#This Row],[N-R]]="N",BASE_DATOS[[#This Row],[Diseño]],"Reencauche")</f>
        <v>XMULTI2D</v>
      </c>
      <c r="I686" s="256" t="s">
        <v>299</v>
      </c>
      <c r="J686" s="243" t="s">
        <v>72</v>
      </c>
      <c r="K686" s="258">
        <v>21.4</v>
      </c>
      <c r="L686" s="241">
        <v>110</v>
      </c>
      <c r="M686" s="259"/>
      <c r="N686" s="260"/>
      <c r="O686" s="277"/>
      <c r="P686" s="278"/>
      <c r="Q686" s="279"/>
      <c r="R686" s="309" t="s">
        <v>103</v>
      </c>
      <c r="S686" s="310">
        <v>45385</v>
      </c>
      <c r="T686" s="311"/>
      <c r="U686" s="312"/>
      <c r="V686" s="227">
        <v>13</v>
      </c>
      <c r="W686" s="281"/>
      <c r="X686" s="282">
        <v>13</v>
      </c>
      <c r="Y686" s="293">
        <f t="shared" si="30"/>
        <v>13</v>
      </c>
      <c r="Z686" s="161" t="s">
        <v>73</v>
      </c>
      <c r="AA686" s="342">
        <f>IFERROR(BASE_DATOS[[#This Row],[NSK Original]]-BASE_DATOS[[#This Row],[NSK]]," ")</f>
        <v>8.3999999999999986</v>
      </c>
      <c r="AB686" s="343">
        <f>'NSK-TRACTO'!$A$2</f>
        <v>6</v>
      </c>
      <c r="AC686" s="343">
        <f>IF(BASE_DATOS[[#This Row],[NSK]]&gt;=BASE_DATOS[[#This Row],[NSK Reen]],BASE_DATOS[[#This Row],[NSK Reen]],BASE_DATOS[[#This Row],[NSK]])</f>
        <v>6</v>
      </c>
      <c r="AD686" s="344">
        <f>IFERROR(100%-(BASE_DATOS[[#This Row],[NSK Reen]]/BASE_DATOS[[#This Row],[NSK Original]]),"")</f>
        <v>0.71962616822429903</v>
      </c>
      <c r="AE686" s="344">
        <f>IFERROR(100%-BASE_DATOS[[#This Row],[NSK]]/BASE_DATOS[[#This Row],[NSK Original]],"")</f>
        <v>0.39252336448598124</v>
      </c>
      <c r="AF686" s="344">
        <f>IFERROR(BASE_DATOS[[#This Row],[% Max Des.]]-BASE_DATOS[[#This Row],[% Des]],"")</f>
        <v>0.32710280373831779</v>
      </c>
      <c r="AG686" s="287"/>
      <c r="AH686" s="273"/>
      <c r="AI686" s="363" t="str">
        <f>IF(OR(BASE_DATOS[[#This Row],[Hr.]]="",BASE_DATOS[[#This Row],[Hr. Actual]]=""),"",BASE_DATOS[[#This Row],[Hr. Actual]]-BASE_DATOS[[#This Row],[Hr.]]+BASE_DATOS[[#This Row],[Horas Acumuladas]])</f>
        <v/>
      </c>
      <c r="AJ686" s="364" t="str">
        <f>IFERROR(BASE_DATOS[[#This Row],[Precio US$]]/BASE_DATOS[[#This Row],[Horas Rodadas]],"")</f>
        <v/>
      </c>
      <c r="AK686" s="365" t="str">
        <f>IFERROR(BASE_DATOS[[#This Row],[Horas Rodadas]]/(BASE_DATOS[[#This Row],[NSK Original]]-BASE_DATOS[[#This Row],[NSK]]),"")</f>
        <v/>
      </c>
      <c r="AL68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86" s="366" t="str">
        <f>IFERROR(BASE_DATOS[[#This Row],[Precio US$]]/BASE_DATOS[[#This Row],[Horas Proy.]],"")</f>
        <v/>
      </c>
      <c r="AN686" s="176" t="str">
        <f>IF(OR(BASE_DATOS[[#This Row],[Km.]]="",BASE_DATOS[[#This Row],[Km. Actual]]=""),"",BASE_DATOS[[#This Row],[Km. Actual]]-BASE_DATOS[[#This Row],[Km.]]+BASE_DATOS[[#This Row],[Kilómetros Acumulados]])</f>
        <v/>
      </c>
      <c r="AO686" s="177" t="str">
        <f>IFERROR(BASE_DATOS[[#This Row],[Precio US$]]/BASE_DATOS[[#This Row],[Kilómetros Rodados]],"")</f>
        <v/>
      </c>
      <c r="AP686" s="176" t="str">
        <f>IFERROR(BASE_DATOS[[#This Row],[Kilómetros Rodados]]/(BASE_DATOS[[#This Row],[NSK Original]]-BASE_DATOS[[#This Row],[NSK]]),"")</f>
        <v/>
      </c>
      <c r="AQ68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86" s="177" t="str">
        <f>IFERROR(BASE_DATOS[[#This Row],[Precio US$]]/BASE_DATOS[[#This Row],[Kilómetros Proy.]],"")</f>
        <v/>
      </c>
      <c r="AS686" s="167" t="s">
        <v>62</v>
      </c>
      <c r="AT686" s="167"/>
      <c r="AU686" s="167"/>
      <c r="AV686" s="167"/>
      <c r="AW686" s="179"/>
      <c r="AX686" s="179"/>
      <c r="AY686" s="179" t="str">
        <f>CONCATENATE(BASE_DATOS[[#This Row],[Código_U]]&amp;BASE_DATOS[[#This Row],[Pos.]]&amp;BASE_DATOS[[#This Row],[Situación Actual]])</f>
        <v>TC-2566Rodando</v>
      </c>
    </row>
    <row r="687" spans="1:51" ht="12" x14ac:dyDescent="0.25">
      <c r="A687" s="223" t="s">
        <v>407</v>
      </c>
      <c r="B687" s="217" t="s">
        <v>253</v>
      </c>
      <c r="C687" s="228" t="s">
        <v>296</v>
      </c>
      <c r="D687" s="229" t="s">
        <v>61</v>
      </c>
      <c r="E687" s="255"/>
      <c r="F687" s="256" t="s">
        <v>273</v>
      </c>
      <c r="G687" s="256" t="s">
        <v>271</v>
      </c>
      <c r="H687" s="257" t="str">
        <f>IF(BASE_DATOS[[#This Row],[N-R]]="N",BASE_DATOS[[#This Row],[Diseño]],"Reencauche")</f>
        <v>XMULTI2D</v>
      </c>
      <c r="I687" s="256" t="s">
        <v>299</v>
      </c>
      <c r="J687" s="243" t="s">
        <v>72</v>
      </c>
      <c r="K687" s="258">
        <v>21.4</v>
      </c>
      <c r="L687" s="241">
        <v>110</v>
      </c>
      <c r="M687" s="259"/>
      <c r="N687" s="260"/>
      <c r="O687" s="277"/>
      <c r="P687" s="278"/>
      <c r="Q687" s="279"/>
      <c r="R687" s="309" t="s">
        <v>104</v>
      </c>
      <c r="S687" s="310">
        <v>45385</v>
      </c>
      <c r="T687" s="311"/>
      <c r="U687" s="312"/>
      <c r="V687" s="227">
        <v>13</v>
      </c>
      <c r="W687" s="281"/>
      <c r="X687" s="282">
        <v>13</v>
      </c>
      <c r="Y687" s="293">
        <f t="shared" si="30"/>
        <v>13</v>
      </c>
      <c r="Z687" s="161" t="s">
        <v>73</v>
      </c>
      <c r="AA687" s="342">
        <f>IFERROR(BASE_DATOS[[#This Row],[NSK Original]]-BASE_DATOS[[#This Row],[NSK]]," ")</f>
        <v>8.3999999999999986</v>
      </c>
      <c r="AB687" s="343">
        <f>'NSK-TRACTO'!$A$2</f>
        <v>6</v>
      </c>
      <c r="AC687" s="343">
        <f>IF(BASE_DATOS[[#This Row],[NSK]]&gt;=BASE_DATOS[[#This Row],[NSK Reen]],BASE_DATOS[[#This Row],[NSK Reen]],BASE_DATOS[[#This Row],[NSK]])</f>
        <v>6</v>
      </c>
      <c r="AD687" s="344">
        <f>IFERROR(100%-(BASE_DATOS[[#This Row],[NSK Reen]]/BASE_DATOS[[#This Row],[NSK Original]]),"")</f>
        <v>0.71962616822429903</v>
      </c>
      <c r="AE687" s="344">
        <f>IFERROR(100%-BASE_DATOS[[#This Row],[NSK]]/BASE_DATOS[[#This Row],[NSK Original]],"")</f>
        <v>0.39252336448598124</v>
      </c>
      <c r="AF687" s="344">
        <f>IFERROR(BASE_DATOS[[#This Row],[% Max Des.]]-BASE_DATOS[[#This Row],[% Des]],"")</f>
        <v>0.32710280373831779</v>
      </c>
      <c r="AG687" s="287"/>
      <c r="AH687" s="273"/>
      <c r="AI687" s="363" t="str">
        <f>IF(OR(BASE_DATOS[[#This Row],[Hr.]]="",BASE_DATOS[[#This Row],[Hr. Actual]]=""),"",BASE_DATOS[[#This Row],[Hr. Actual]]-BASE_DATOS[[#This Row],[Hr.]]+BASE_DATOS[[#This Row],[Horas Acumuladas]])</f>
        <v/>
      </c>
      <c r="AJ687" s="364" t="str">
        <f>IFERROR(BASE_DATOS[[#This Row],[Precio US$]]/BASE_DATOS[[#This Row],[Horas Rodadas]],"")</f>
        <v/>
      </c>
      <c r="AK687" s="365" t="str">
        <f>IFERROR(BASE_DATOS[[#This Row],[Horas Rodadas]]/(BASE_DATOS[[#This Row],[NSK Original]]-BASE_DATOS[[#This Row],[NSK]]),"")</f>
        <v/>
      </c>
      <c r="AL68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87" s="366" t="str">
        <f>IFERROR(BASE_DATOS[[#This Row],[Precio US$]]/BASE_DATOS[[#This Row],[Horas Proy.]],"")</f>
        <v/>
      </c>
      <c r="AN687" s="176" t="str">
        <f>IF(OR(BASE_DATOS[[#This Row],[Km.]]="",BASE_DATOS[[#This Row],[Km. Actual]]=""),"",BASE_DATOS[[#This Row],[Km. Actual]]-BASE_DATOS[[#This Row],[Km.]]+BASE_DATOS[[#This Row],[Kilómetros Acumulados]])</f>
        <v/>
      </c>
      <c r="AO687" s="177" t="str">
        <f>IFERROR(BASE_DATOS[[#This Row],[Precio US$]]/BASE_DATOS[[#This Row],[Kilómetros Rodados]],"")</f>
        <v/>
      </c>
      <c r="AP687" s="176" t="str">
        <f>IFERROR(BASE_DATOS[[#This Row],[Kilómetros Rodados]]/(BASE_DATOS[[#This Row],[NSK Original]]-BASE_DATOS[[#This Row],[NSK]]),"")</f>
        <v/>
      </c>
      <c r="AQ68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87" s="177" t="str">
        <f>IFERROR(BASE_DATOS[[#This Row],[Precio US$]]/BASE_DATOS[[#This Row],[Kilómetros Proy.]],"")</f>
        <v/>
      </c>
      <c r="AS687" s="167" t="s">
        <v>62</v>
      </c>
      <c r="AT687" s="167"/>
      <c r="AU687" s="167"/>
      <c r="AV687" s="167"/>
      <c r="AW687" s="179"/>
      <c r="AX687" s="179"/>
      <c r="AY687" s="179" t="str">
        <f>CONCATENATE(BASE_DATOS[[#This Row],[Código_U]]&amp;BASE_DATOS[[#This Row],[Pos.]]&amp;BASE_DATOS[[#This Row],[Situación Actual]])</f>
        <v>TC-2567Rodando</v>
      </c>
    </row>
    <row r="688" spans="1:51" ht="12" x14ac:dyDescent="0.25">
      <c r="A688" s="223" t="s">
        <v>407</v>
      </c>
      <c r="B688" s="217" t="s">
        <v>253</v>
      </c>
      <c r="C688" s="228" t="s">
        <v>296</v>
      </c>
      <c r="D688" s="229" t="s">
        <v>61</v>
      </c>
      <c r="E688" s="255"/>
      <c r="F688" s="256" t="s">
        <v>273</v>
      </c>
      <c r="G688" s="256" t="s">
        <v>271</v>
      </c>
      <c r="H688" s="257" t="str">
        <f>IF(BASE_DATOS[[#This Row],[N-R]]="N",BASE_DATOS[[#This Row],[Diseño]],"Reencauche")</f>
        <v>XMULTI2D</v>
      </c>
      <c r="I688" s="256" t="s">
        <v>299</v>
      </c>
      <c r="J688" s="243" t="s">
        <v>72</v>
      </c>
      <c r="K688" s="258">
        <v>21.4</v>
      </c>
      <c r="L688" s="241">
        <v>110</v>
      </c>
      <c r="M688" s="259"/>
      <c r="N688" s="260"/>
      <c r="O688" s="277"/>
      <c r="P688" s="278"/>
      <c r="Q688" s="279"/>
      <c r="R688" s="309" t="s">
        <v>105</v>
      </c>
      <c r="S688" s="310">
        <v>45385</v>
      </c>
      <c r="T688" s="311"/>
      <c r="U688" s="312"/>
      <c r="V688" s="227">
        <v>12</v>
      </c>
      <c r="W688" s="281"/>
      <c r="X688" s="282">
        <v>12</v>
      </c>
      <c r="Y688" s="293">
        <f t="shared" si="30"/>
        <v>12</v>
      </c>
      <c r="Z688" s="161" t="s">
        <v>73</v>
      </c>
      <c r="AA688" s="342">
        <f>IFERROR(BASE_DATOS[[#This Row],[NSK Original]]-BASE_DATOS[[#This Row],[NSK]]," ")</f>
        <v>9.3999999999999986</v>
      </c>
      <c r="AB688" s="343">
        <f>'NSK-TRACTO'!$A$2</f>
        <v>6</v>
      </c>
      <c r="AC688" s="343">
        <f>IF(BASE_DATOS[[#This Row],[NSK]]&gt;=BASE_DATOS[[#This Row],[NSK Reen]],BASE_DATOS[[#This Row],[NSK Reen]],BASE_DATOS[[#This Row],[NSK]])</f>
        <v>6</v>
      </c>
      <c r="AD688" s="344">
        <f>IFERROR(100%-(BASE_DATOS[[#This Row],[NSK Reen]]/BASE_DATOS[[#This Row],[NSK Original]]),"")</f>
        <v>0.71962616822429903</v>
      </c>
      <c r="AE688" s="344">
        <f>IFERROR(100%-BASE_DATOS[[#This Row],[NSK]]/BASE_DATOS[[#This Row],[NSK Original]],"")</f>
        <v>0.43925233644859807</v>
      </c>
      <c r="AF688" s="344">
        <f>IFERROR(BASE_DATOS[[#This Row],[% Max Des.]]-BASE_DATOS[[#This Row],[% Des]],"")</f>
        <v>0.28037383177570097</v>
      </c>
      <c r="AG688" s="287"/>
      <c r="AH688" s="273"/>
      <c r="AI688" s="363" t="str">
        <f>IF(OR(BASE_DATOS[[#This Row],[Hr.]]="",BASE_DATOS[[#This Row],[Hr. Actual]]=""),"",BASE_DATOS[[#This Row],[Hr. Actual]]-BASE_DATOS[[#This Row],[Hr.]]+BASE_DATOS[[#This Row],[Horas Acumuladas]])</f>
        <v/>
      </c>
      <c r="AJ688" s="364" t="str">
        <f>IFERROR(BASE_DATOS[[#This Row],[Precio US$]]/BASE_DATOS[[#This Row],[Horas Rodadas]],"")</f>
        <v/>
      </c>
      <c r="AK688" s="365" t="str">
        <f>IFERROR(BASE_DATOS[[#This Row],[Horas Rodadas]]/(BASE_DATOS[[#This Row],[NSK Original]]-BASE_DATOS[[#This Row],[NSK]]),"")</f>
        <v/>
      </c>
      <c r="AL68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88" s="366" t="str">
        <f>IFERROR(BASE_DATOS[[#This Row],[Precio US$]]/BASE_DATOS[[#This Row],[Horas Proy.]],"")</f>
        <v/>
      </c>
      <c r="AN688" s="176" t="str">
        <f>IF(OR(BASE_DATOS[[#This Row],[Km.]]="",BASE_DATOS[[#This Row],[Km. Actual]]=""),"",BASE_DATOS[[#This Row],[Km. Actual]]-BASE_DATOS[[#This Row],[Km.]]+BASE_DATOS[[#This Row],[Kilómetros Acumulados]])</f>
        <v/>
      </c>
      <c r="AO688" s="177" t="str">
        <f>IFERROR(BASE_DATOS[[#This Row],[Precio US$]]/BASE_DATOS[[#This Row],[Kilómetros Rodados]],"")</f>
        <v/>
      </c>
      <c r="AP688" s="176" t="str">
        <f>IFERROR(BASE_DATOS[[#This Row],[Kilómetros Rodados]]/(BASE_DATOS[[#This Row],[NSK Original]]-BASE_DATOS[[#This Row],[NSK]]),"")</f>
        <v/>
      </c>
      <c r="AQ68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88" s="177" t="str">
        <f>IFERROR(BASE_DATOS[[#This Row],[Precio US$]]/BASE_DATOS[[#This Row],[Kilómetros Proy.]],"")</f>
        <v/>
      </c>
      <c r="AS688" s="167" t="s">
        <v>62</v>
      </c>
      <c r="AT688" s="167"/>
      <c r="AU688" s="167" t="s">
        <v>515</v>
      </c>
      <c r="AV688" s="167"/>
      <c r="AW688" s="179"/>
      <c r="AX688" s="169" t="s">
        <v>371</v>
      </c>
      <c r="AY688" s="169" t="str">
        <f>CONCATENATE(BASE_DATOS[[#This Row],[Código_U]]&amp;BASE_DATOS[[#This Row],[Pos.]]&amp;BASE_DATOS[[#This Row],[Situación Actual]])</f>
        <v>TC-2568Rodando</v>
      </c>
    </row>
    <row r="689" spans="1:51" ht="12" x14ac:dyDescent="0.25">
      <c r="A689" s="223" t="s">
        <v>407</v>
      </c>
      <c r="B689" s="217" t="s">
        <v>253</v>
      </c>
      <c r="C689" s="228" t="s">
        <v>296</v>
      </c>
      <c r="D689" s="229" t="s">
        <v>61</v>
      </c>
      <c r="E689" s="255"/>
      <c r="F689" s="256" t="s">
        <v>273</v>
      </c>
      <c r="G689" s="256" t="s">
        <v>271</v>
      </c>
      <c r="H689" s="257" t="str">
        <f>IF(BASE_DATOS[[#This Row],[N-R]]="N",BASE_DATOS[[#This Row],[Diseño]],"Reencauche")</f>
        <v>XMULTI2D</v>
      </c>
      <c r="I689" s="256" t="s">
        <v>299</v>
      </c>
      <c r="J689" s="243" t="s">
        <v>72</v>
      </c>
      <c r="K689" s="258">
        <v>21.4</v>
      </c>
      <c r="L689" s="241">
        <v>110</v>
      </c>
      <c r="M689" s="259"/>
      <c r="N689" s="260"/>
      <c r="O689" s="277"/>
      <c r="P689" s="278"/>
      <c r="Q689" s="279"/>
      <c r="R689" s="309" t="s">
        <v>106</v>
      </c>
      <c r="S689" s="310">
        <v>45385</v>
      </c>
      <c r="T689" s="311"/>
      <c r="U689" s="312"/>
      <c r="V689" s="227">
        <v>12</v>
      </c>
      <c r="W689" s="281"/>
      <c r="X689" s="282">
        <v>12</v>
      </c>
      <c r="Y689" s="293">
        <f t="shared" si="30"/>
        <v>12</v>
      </c>
      <c r="Z689" s="175" t="s">
        <v>85</v>
      </c>
      <c r="AA689" s="342">
        <f>IFERROR(BASE_DATOS[[#This Row],[NSK Original]]-BASE_DATOS[[#This Row],[NSK]]," ")</f>
        <v>9.3999999999999986</v>
      </c>
      <c r="AB689" s="343">
        <f>'NSK-TRACTO'!$A$2</f>
        <v>6</v>
      </c>
      <c r="AC689" s="343">
        <f>IF(BASE_DATOS[[#This Row],[NSK]]&gt;=BASE_DATOS[[#This Row],[NSK Reen]],BASE_DATOS[[#This Row],[NSK Reen]],BASE_DATOS[[#This Row],[NSK]])</f>
        <v>6</v>
      </c>
      <c r="AD689" s="344">
        <f>IFERROR(100%-(BASE_DATOS[[#This Row],[NSK Reen]]/BASE_DATOS[[#This Row],[NSK Original]]),"")</f>
        <v>0.71962616822429903</v>
      </c>
      <c r="AE689" s="344">
        <f>IFERROR(100%-BASE_DATOS[[#This Row],[NSK]]/BASE_DATOS[[#This Row],[NSK Original]],"")</f>
        <v>0.43925233644859807</v>
      </c>
      <c r="AF689" s="344">
        <f>IFERROR(BASE_DATOS[[#This Row],[% Max Des.]]-BASE_DATOS[[#This Row],[% Des]],"")</f>
        <v>0.28037383177570097</v>
      </c>
      <c r="AG689" s="287"/>
      <c r="AH689" s="273"/>
      <c r="AI689" s="363" t="str">
        <f>IF(OR(BASE_DATOS[[#This Row],[Hr.]]="",BASE_DATOS[[#This Row],[Hr. Actual]]=""),"",BASE_DATOS[[#This Row],[Hr. Actual]]-BASE_DATOS[[#This Row],[Hr.]]+BASE_DATOS[[#This Row],[Horas Acumuladas]])</f>
        <v/>
      </c>
      <c r="AJ689" s="364" t="str">
        <f>IFERROR(BASE_DATOS[[#This Row],[Precio US$]]/BASE_DATOS[[#This Row],[Horas Rodadas]],"")</f>
        <v/>
      </c>
      <c r="AK689" s="365" t="str">
        <f>IFERROR(BASE_DATOS[[#This Row],[Horas Rodadas]]/(BASE_DATOS[[#This Row],[NSK Original]]-BASE_DATOS[[#This Row],[NSK]]),"")</f>
        <v/>
      </c>
      <c r="AL68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89" s="366" t="str">
        <f>IFERROR(BASE_DATOS[[#This Row],[Precio US$]]/BASE_DATOS[[#This Row],[Horas Proy.]],"")</f>
        <v/>
      </c>
      <c r="AN689" s="176" t="str">
        <f>IF(OR(BASE_DATOS[[#This Row],[Km.]]="",BASE_DATOS[[#This Row],[Km. Actual]]=""),"",BASE_DATOS[[#This Row],[Km. Actual]]-BASE_DATOS[[#This Row],[Km.]]+BASE_DATOS[[#This Row],[Kilómetros Acumulados]])</f>
        <v/>
      </c>
      <c r="AO689" s="177" t="str">
        <f>IFERROR(BASE_DATOS[[#This Row],[Precio US$]]/BASE_DATOS[[#This Row],[Kilómetros Rodados]],"")</f>
        <v/>
      </c>
      <c r="AP689" s="176" t="str">
        <f>IFERROR(BASE_DATOS[[#This Row],[Kilómetros Rodados]]/(BASE_DATOS[[#This Row],[NSK Original]]-BASE_DATOS[[#This Row],[NSK]]),"")</f>
        <v/>
      </c>
      <c r="AQ68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89" s="177" t="str">
        <f>IFERROR(BASE_DATOS[[#This Row],[Precio US$]]/BASE_DATOS[[#This Row],[Kilómetros Proy.]],"")</f>
        <v/>
      </c>
      <c r="AS689" s="167" t="s">
        <v>62</v>
      </c>
      <c r="AT689" s="167"/>
      <c r="AU689" s="167"/>
      <c r="AV689" s="167"/>
      <c r="AW689" s="179"/>
      <c r="AX689" s="179"/>
      <c r="AY689" s="179" t="str">
        <f>CONCATENATE(BASE_DATOS[[#This Row],[Código_U]]&amp;BASE_DATOS[[#This Row],[Pos.]]&amp;BASE_DATOS[[#This Row],[Situación Actual]])</f>
        <v>TC-2569Rodando</v>
      </c>
    </row>
    <row r="690" spans="1:51" ht="12" x14ac:dyDescent="0.25">
      <c r="A690" s="223" t="s">
        <v>407</v>
      </c>
      <c r="B690" s="217" t="s">
        <v>253</v>
      </c>
      <c r="C690" s="228" t="s">
        <v>296</v>
      </c>
      <c r="D690" s="229" t="s">
        <v>61</v>
      </c>
      <c r="E690" s="255"/>
      <c r="F690" s="256" t="s">
        <v>273</v>
      </c>
      <c r="G690" s="256" t="s">
        <v>271</v>
      </c>
      <c r="H690" s="257" t="str">
        <f>IF(BASE_DATOS[[#This Row],[N-R]]="N",BASE_DATOS[[#This Row],[Diseño]],"Reencauche")</f>
        <v>XMULTI2D</v>
      </c>
      <c r="I690" s="256" t="s">
        <v>299</v>
      </c>
      <c r="J690" s="243" t="s">
        <v>72</v>
      </c>
      <c r="K690" s="258">
        <v>21.4</v>
      </c>
      <c r="L690" s="241">
        <v>110</v>
      </c>
      <c r="M690" s="259"/>
      <c r="N690" s="260"/>
      <c r="O690" s="277"/>
      <c r="P690" s="278"/>
      <c r="Q690" s="279"/>
      <c r="R690" s="309" t="s">
        <v>107</v>
      </c>
      <c r="S690" s="310">
        <v>45385</v>
      </c>
      <c r="T690" s="311"/>
      <c r="U690" s="312"/>
      <c r="V690" s="227">
        <v>12</v>
      </c>
      <c r="W690" s="281"/>
      <c r="X690" s="282">
        <v>12</v>
      </c>
      <c r="Y690" s="293">
        <f t="shared" si="30"/>
        <v>12</v>
      </c>
      <c r="Z690" s="161" t="s">
        <v>73</v>
      </c>
      <c r="AA690" s="342">
        <f>IFERROR(BASE_DATOS[[#This Row],[NSK Original]]-BASE_DATOS[[#This Row],[NSK]]," ")</f>
        <v>9.3999999999999986</v>
      </c>
      <c r="AB690" s="343">
        <f>'NSK-TRACTO'!$A$2</f>
        <v>6</v>
      </c>
      <c r="AC690" s="343">
        <f>IF(BASE_DATOS[[#This Row],[NSK]]&gt;=BASE_DATOS[[#This Row],[NSK Reen]],BASE_DATOS[[#This Row],[NSK Reen]],BASE_DATOS[[#This Row],[NSK]])</f>
        <v>6</v>
      </c>
      <c r="AD690" s="344">
        <f>IFERROR(100%-(BASE_DATOS[[#This Row],[NSK Reen]]/BASE_DATOS[[#This Row],[NSK Original]]),"")</f>
        <v>0.71962616822429903</v>
      </c>
      <c r="AE690" s="344">
        <f>IFERROR(100%-BASE_DATOS[[#This Row],[NSK]]/BASE_DATOS[[#This Row],[NSK Original]],"")</f>
        <v>0.43925233644859807</v>
      </c>
      <c r="AF690" s="344">
        <f>IFERROR(BASE_DATOS[[#This Row],[% Max Des.]]-BASE_DATOS[[#This Row],[% Des]],"")</f>
        <v>0.28037383177570097</v>
      </c>
      <c r="AG690" s="287"/>
      <c r="AH690" s="273"/>
      <c r="AI690" s="363" t="str">
        <f>IF(OR(BASE_DATOS[[#This Row],[Hr.]]="",BASE_DATOS[[#This Row],[Hr. Actual]]=""),"",BASE_DATOS[[#This Row],[Hr. Actual]]-BASE_DATOS[[#This Row],[Hr.]]+BASE_DATOS[[#This Row],[Horas Acumuladas]])</f>
        <v/>
      </c>
      <c r="AJ690" s="364" t="str">
        <f>IFERROR(BASE_DATOS[[#This Row],[Precio US$]]/BASE_DATOS[[#This Row],[Horas Rodadas]],"")</f>
        <v/>
      </c>
      <c r="AK690" s="365" t="str">
        <f>IFERROR(BASE_DATOS[[#This Row],[Horas Rodadas]]/(BASE_DATOS[[#This Row],[NSK Original]]-BASE_DATOS[[#This Row],[NSK]]),"")</f>
        <v/>
      </c>
      <c r="AL69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90" s="366" t="str">
        <f>IFERROR(BASE_DATOS[[#This Row],[Precio US$]]/BASE_DATOS[[#This Row],[Horas Proy.]],"")</f>
        <v/>
      </c>
      <c r="AN690" s="176" t="str">
        <f>IF(OR(BASE_DATOS[[#This Row],[Km.]]="",BASE_DATOS[[#This Row],[Km. Actual]]=""),"",BASE_DATOS[[#This Row],[Km. Actual]]-BASE_DATOS[[#This Row],[Km.]]+BASE_DATOS[[#This Row],[Kilómetros Acumulados]])</f>
        <v/>
      </c>
      <c r="AO690" s="177" t="str">
        <f>IFERROR(BASE_DATOS[[#This Row],[Precio US$]]/BASE_DATOS[[#This Row],[Kilómetros Rodados]],"")</f>
        <v/>
      </c>
      <c r="AP690" s="176" t="str">
        <f>IFERROR(BASE_DATOS[[#This Row],[Kilómetros Rodados]]/(BASE_DATOS[[#This Row],[NSK Original]]-BASE_DATOS[[#This Row],[NSK]]),"")</f>
        <v/>
      </c>
      <c r="AQ69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90" s="177" t="str">
        <f>IFERROR(BASE_DATOS[[#This Row],[Precio US$]]/BASE_DATOS[[#This Row],[Kilómetros Proy.]],"")</f>
        <v/>
      </c>
      <c r="AS690" s="167" t="s">
        <v>62</v>
      </c>
      <c r="AT690" s="167"/>
      <c r="AU690" s="167"/>
      <c r="AV690" s="167"/>
      <c r="AW690" s="179"/>
      <c r="AX690" s="179"/>
      <c r="AY690" s="179" t="str">
        <f>CONCATENATE(BASE_DATOS[[#This Row],[Código_U]]&amp;BASE_DATOS[[#This Row],[Pos.]]&amp;BASE_DATOS[[#This Row],[Situación Actual]])</f>
        <v>TC-25610Rodando</v>
      </c>
    </row>
    <row r="691" spans="1:51" ht="12" x14ac:dyDescent="0.25">
      <c r="A691" s="222" t="s">
        <v>462</v>
      </c>
      <c r="B691" s="213" t="s">
        <v>254</v>
      </c>
      <c r="C691" s="225" t="s">
        <v>295</v>
      </c>
      <c r="D691" s="226" t="s">
        <v>87</v>
      </c>
      <c r="E691" s="249"/>
      <c r="F691" s="250" t="s">
        <v>97</v>
      </c>
      <c r="G691" s="250" t="s">
        <v>269</v>
      </c>
      <c r="H691" s="251" t="str">
        <f>IF(BASE_DATOS[[#This Row],[N-R]]="N",BASE_DATOS[[#This Row],[Diseño]],"Reencauche")</f>
        <v>AGC28</v>
      </c>
      <c r="I691" s="250" t="s">
        <v>270</v>
      </c>
      <c r="J691" s="235" t="s">
        <v>72</v>
      </c>
      <c r="K691" s="252">
        <v>16.5</v>
      </c>
      <c r="L691" s="250">
        <v>110</v>
      </c>
      <c r="M691" s="253"/>
      <c r="N691" s="254"/>
      <c r="O691" s="274"/>
      <c r="P691" s="275"/>
      <c r="Q691" s="276"/>
      <c r="R691" s="305" t="s">
        <v>98</v>
      </c>
      <c r="S691" s="306">
        <v>45386</v>
      </c>
      <c r="T691" s="314"/>
      <c r="U691" s="276"/>
      <c r="V691" s="224">
        <v>10</v>
      </c>
      <c r="W691" s="325">
        <v>10</v>
      </c>
      <c r="X691" s="326">
        <v>10</v>
      </c>
      <c r="Y691" s="292">
        <f t="shared" si="30"/>
        <v>10</v>
      </c>
      <c r="Z691" s="194" t="s">
        <v>85</v>
      </c>
      <c r="AA691" s="339">
        <f>IFERROR(BASE_DATOS[[#This Row],[NSK Original]]-BASE_DATOS[[#This Row],[NSK]]," ")</f>
        <v>6.5</v>
      </c>
      <c r="AB691" s="340">
        <f>'NSK-TRACTO'!$A$2</f>
        <v>6</v>
      </c>
      <c r="AC691" s="340">
        <f>IF(BASE_DATOS[[#This Row],[NSK]]&gt;=BASE_DATOS[[#This Row],[NSK Reen]],BASE_DATOS[[#This Row],[NSK Reen]],BASE_DATOS[[#This Row],[NSK]])</f>
        <v>6</v>
      </c>
      <c r="AD691" s="341">
        <f>IFERROR(100%-(BASE_DATOS[[#This Row],[NSK Reen]]/BASE_DATOS[[#This Row],[NSK Original]]),"")</f>
        <v>0.63636363636363635</v>
      </c>
      <c r="AE691" s="341">
        <f>IFERROR(100%-BASE_DATOS[[#This Row],[NSK]]/BASE_DATOS[[#This Row],[NSK Original]],"")</f>
        <v>0.39393939393939392</v>
      </c>
      <c r="AF691" s="341">
        <f>IFERROR(BASE_DATOS[[#This Row],[% Max Des.]]-BASE_DATOS[[#This Row],[% Des]],"")</f>
        <v>0.24242424242424243</v>
      </c>
      <c r="AG691" s="284"/>
      <c r="AH691" s="335"/>
      <c r="AI691" s="359" t="str">
        <f>IF(OR(BASE_DATOS[[#This Row],[Hr.]]="",BASE_DATOS[[#This Row],[Hr. Actual]]=""),"",BASE_DATOS[[#This Row],[Hr. Actual]]-BASE_DATOS[[#This Row],[Hr.]]+BASE_DATOS[[#This Row],[Horas Acumuladas]])</f>
        <v/>
      </c>
      <c r="AJ691" s="360" t="str">
        <f>IFERROR(BASE_DATOS[[#This Row],[Precio US$]]/BASE_DATOS[[#This Row],[Horas Rodadas]],"")</f>
        <v/>
      </c>
      <c r="AK691" s="361" t="str">
        <f>IFERROR(BASE_DATOS[[#This Row],[Horas Rodadas]]/(BASE_DATOS[[#This Row],[NSK Original]]-BASE_DATOS[[#This Row],[NSK]]),"")</f>
        <v/>
      </c>
      <c r="AL691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91" s="362" t="str">
        <f>IFERROR(BASE_DATOS[[#This Row],[Precio US$]]/BASE_DATOS[[#This Row],[Horas Proy.]],"")</f>
        <v/>
      </c>
      <c r="AN691" s="195" t="str">
        <f>IF(OR(BASE_DATOS[[#This Row],[Km.]]="",BASE_DATOS[[#This Row],[Km. Actual]]=""),"",BASE_DATOS[[#This Row],[Km. Actual]]-BASE_DATOS[[#This Row],[Km.]]+BASE_DATOS[[#This Row],[Kilómetros Acumulados]])</f>
        <v/>
      </c>
      <c r="AO691" s="196" t="str">
        <f>IFERROR(BASE_DATOS[[#This Row],[Precio US$]]/BASE_DATOS[[#This Row],[Kilómetros Rodados]],"")</f>
        <v/>
      </c>
      <c r="AP691" s="195" t="str">
        <f>IFERROR(BASE_DATOS[[#This Row],[Kilómetros Rodados]]/(BASE_DATOS[[#This Row],[NSK Original]]-BASE_DATOS[[#This Row],[NSK]]),"")</f>
        <v/>
      </c>
      <c r="AQ691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91" s="196" t="str">
        <f>IFERROR(BASE_DATOS[[#This Row],[Precio US$]]/BASE_DATOS[[#This Row],[Kilómetros Proy.]],"")</f>
        <v/>
      </c>
      <c r="AS691" s="191" t="s">
        <v>62</v>
      </c>
      <c r="AT691" s="191"/>
      <c r="AU691" s="191"/>
      <c r="AV691" s="191"/>
      <c r="AW691" s="198"/>
      <c r="AX691" s="198"/>
      <c r="AY691" s="198" t="str">
        <f>CONCATENATE(BASE_DATOS[[#This Row],[Código_U]]&amp;BASE_DATOS[[#This Row],[Pos.]]&amp;BASE_DATOS[[#This Row],[Situación Actual]])</f>
        <v>SR-2281Rodando</v>
      </c>
    </row>
    <row r="692" spans="1:51" ht="12" x14ac:dyDescent="0.25">
      <c r="A692" s="223" t="s">
        <v>462</v>
      </c>
      <c r="B692" s="217" t="s">
        <v>254</v>
      </c>
      <c r="C692" s="228" t="s">
        <v>295</v>
      </c>
      <c r="D692" s="229" t="s">
        <v>87</v>
      </c>
      <c r="E692" s="255"/>
      <c r="F692" s="256" t="s">
        <v>97</v>
      </c>
      <c r="G692" s="256" t="s">
        <v>269</v>
      </c>
      <c r="H692" s="257" t="str">
        <f>IF(BASE_DATOS[[#This Row],[N-R]]="N",BASE_DATOS[[#This Row],[Diseño]],"Reencauche")</f>
        <v>AGC28</v>
      </c>
      <c r="I692" s="256" t="s">
        <v>270</v>
      </c>
      <c r="J692" s="243" t="s">
        <v>72</v>
      </c>
      <c r="K692" s="258">
        <v>16.5</v>
      </c>
      <c r="L692" s="256">
        <v>110</v>
      </c>
      <c r="M692" s="259"/>
      <c r="N692" s="260"/>
      <c r="O692" s="277"/>
      <c r="P692" s="278"/>
      <c r="Q692" s="279"/>
      <c r="R692" s="309" t="s">
        <v>99</v>
      </c>
      <c r="S692" s="310">
        <v>45386</v>
      </c>
      <c r="T692" s="313"/>
      <c r="U692" s="279"/>
      <c r="V692" s="227">
        <v>10</v>
      </c>
      <c r="W692" s="281">
        <v>10</v>
      </c>
      <c r="X692" s="282">
        <v>10</v>
      </c>
      <c r="Y692" s="293">
        <f t="shared" si="30"/>
        <v>10</v>
      </c>
      <c r="Z692" s="161" t="s">
        <v>73</v>
      </c>
      <c r="AA692" s="342">
        <f>IFERROR(BASE_DATOS[[#This Row],[NSK Original]]-BASE_DATOS[[#This Row],[NSK]]," ")</f>
        <v>6.5</v>
      </c>
      <c r="AB692" s="343">
        <f>'NSK-TRACTO'!$A$2</f>
        <v>6</v>
      </c>
      <c r="AC692" s="343">
        <f>IF(BASE_DATOS[[#This Row],[NSK]]&gt;=BASE_DATOS[[#This Row],[NSK Reen]],BASE_DATOS[[#This Row],[NSK Reen]],BASE_DATOS[[#This Row],[NSK]])</f>
        <v>6</v>
      </c>
      <c r="AD692" s="344">
        <f>IFERROR(100%-(BASE_DATOS[[#This Row],[NSK Reen]]/BASE_DATOS[[#This Row],[NSK Original]]),"")</f>
        <v>0.63636363636363635</v>
      </c>
      <c r="AE692" s="344">
        <f>IFERROR(100%-BASE_DATOS[[#This Row],[NSK]]/BASE_DATOS[[#This Row],[NSK Original]],"")</f>
        <v>0.39393939393939392</v>
      </c>
      <c r="AF692" s="344">
        <f>IFERROR(BASE_DATOS[[#This Row],[% Max Des.]]-BASE_DATOS[[#This Row],[% Des]],"")</f>
        <v>0.24242424242424243</v>
      </c>
      <c r="AG692" s="287"/>
      <c r="AH692" s="273"/>
      <c r="AI692" s="363" t="str">
        <f>IF(OR(BASE_DATOS[[#This Row],[Hr.]]="",BASE_DATOS[[#This Row],[Hr. Actual]]=""),"",BASE_DATOS[[#This Row],[Hr. Actual]]-BASE_DATOS[[#This Row],[Hr.]]+BASE_DATOS[[#This Row],[Horas Acumuladas]])</f>
        <v/>
      </c>
      <c r="AJ692" s="364" t="str">
        <f>IFERROR(BASE_DATOS[[#This Row],[Precio US$]]/BASE_DATOS[[#This Row],[Horas Rodadas]],"")</f>
        <v/>
      </c>
      <c r="AK692" s="365" t="str">
        <f>IFERROR(BASE_DATOS[[#This Row],[Horas Rodadas]]/(BASE_DATOS[[#This Row],[NSK Original]]-BASE_DATOS[[#This Row],[NSK]]),"")</f>
        <v/>
      </c>
      <c r="AL69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92" s="366" t="str">
        <f>IFERROR(BASE_DATOS[[#This Row],[Precio US$]]/BASE_DATOS[[#This Row],[Horas Proy.]],"")</f>
        <v/>
      </c>
      <c r="AN692" s="176" t="str">
        <f>IF(OR(BASE_DATOS[[#This Row],[Km.]]="",BASE_DATOS[[#This Row],[Km. Actual]]=""),"",BASE_DATOS[[#This Row],[Km. Actual]]-BASE_DATOS[[#This Row],[Km.]]+BASE_DATOS[[#This Row],[Kilómetros Acumulados]])</f>
        <v/>
      </c>
      <c r="AO692" s="177" t="str">
        <f>IFERROR(BASE_DATOS[[#This Row],[Precio US$]]/BASE_DATOS[[#This Row],[Kilómetros Rodados]],"")</f>
        <v/>
      </c>
      <c r="AP692" s="176" t="str">
        <f>IFERROR(BASE_DATOS[[#This Row],[Kilómetros Rodados]]/(BASE_DATOS[[#This Row],[NSK Original]]-BASE_DATOS[[#This Row],[NSK]]),"")</f>
        <v/>
      </c>
      <c r="AQ69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92" s="177" t="str">
        <f>IFERROR(BASE_DATOS[[#This Row],[Precio US$]]/BASE_DATOS[[#This Row],[Kilómetros Proy.]],"")</f>
        <v/>
      </c>
      <c r="AS692" s="167" t="s">
        <v>62</v>
      </c>
      <c r="AT692" s="167"/>
      <c r="AU692" s="167"/>
      <c r="AV692" s="167"/>
      <c r="AW692" s="179"/>
      <c r="AX692" s="179"/>
      <c r="AY692" s="179" t="str">
        <f>CONCATENATE(BASE_DATOS[[#This Row],[Código_U]]&amp;BASE_DATOS[[#This Row],[Pos.]]&amp;BASE_DATOS[[#This Row],[Situación Actual]])</f>
        <v>SR-2282Rodando</v>
      </c>
    </row>
    <row r="693" spans="1:51" ht="12" x14ac:dyDescent="0.25">
      <c r="A693" s="223" t="s">
        <v>462</v>
      </c>
      <c r="B693" s="217" t="s">
        <v>254</v>
      </c>
      <c r="C693" s="228" t="s">
        <v>295</v>
      </c>
      <c r="D693" s="229" t="s">
        <v>87</v>
      </c>
      <c r="E693" s="255"/>
      <c r="F693" s="256" t="s">
        <v>97</v>
      </c>
      <c r="G693" s="256" t="s">
        <v>269</v>
      </c>
      <c r="H693" s="257" t="str">
        <f>IF(BASE_DATOS[[#This Row],[N-R]]="N",BASE_DATOS[[#This Row],[Diseño]],"Reencauche")</f>
        <v>AGC28</v>
      </c>
      <c r="I693" s="256" t="s">
        <v>270</v>
      </c>
      <c r="J693" s="243" t="s">
        <v>72</v>
      </c>
      <c r="K693" s="258">
        <v>16.5</v>
      </c>
      <c r="L693" s="256">
        <v>110</v>
      </c>
      <c r="M693" s="259"/>
      <c r="N693" s="260"/>
      <c r="O693" s="277"/>
      <c r="P693" s="278"/>
      <c r="Q693" s="279"/>
      <c r="R693" s="309" t="s">
        <v>100</v>
      </c>
      <c r="S693" s="310">
        <v>45386</v>
      </c>
      <c r="T693" s="313"/>
      <c r="U693" s="279"/>
      <c r="V693" s="227">
        <v>10</v>
      </c>
      <c r="W693" s="281">
        <v>9</v>
      </c>
      <c r="X693" s="282">
        <v>9</v>
      </c>
      <c r="Y693" s="293">
        <f t="shared" si="30"/>
        <v>9</v>
      </c>
      <c r="Z693" s="175" t="s">
        <v>85</v>
      </c>
      <c r="AA693" s="342">
        <f>IFERROR(BASE_DATOS[[#This Row],[NSK Original]]-BASE_DATOS[[#This Row],[NSK]]," ")</f>
        <v>7.5</v>
      </c>
      <c r="AB693" s="343">
        <f>'NSK-TRACTO'!$A$2</f>
        <v>6</v>
      </c>
      <c r="AC693" s="343">
        <f>IF(BASE_DATOS[[#This Row],[NSK]]&gt;=BASE_DATOS[[#This Row],[NSK Reen]],BASE_DATOS[[#This Row],[NSK Reen]],BASE_DATOS[[#This Row],[NSK]])</f>
        <v>6</v>
      </c>
      <c r="AD693" s="344">
        <f>IFERROR(100%-(BASE_DATOS[[#This Row],[NSK Reen]]/BASE_DATOS[[#This Row],[NSK Original]]),"")</f>
        <v>0.63636363636363635</v>
      </c>
      <c r="AE693" s="344">
        <f>IFERROR(100%-BASE_DATOS[[#This Row],[NSK]]/BASE_DATOS[[#This Row],[NSK Original]],"")</f>
        <v>0.45454545454545459</v>
      </c>
      <c r="AF693" s="344">
        <f>IFERROR(BASE_DATOS[[#This Row],[% Max Des.]]-BASE_DATOS[[#This Row],[% Des]],"")</f>
        <v>0.18181818181818177</v>
      </c>
      <c r="AG693" s="287"/>
      <c r="AH693" s="273"/>
      <c r="AI693" s="363" t="str">
        <f>IF(OR(BASE_DATOS[[#This Row],[Hr.]]="",BASE_DATOS[[#This Row],[Hr. Actual]]=""),"",BASE_DATOS[[#This Row],[Hr. Actual]]-BASE_DATOS[[#This Row],[Hr.]]+BASE_DATOS[[#This Row],[Horas Acumuladas]])</f>
        <v/>
      </c>
      <c r="AJ693" s="364" t="str">
        <f>IFERROR(BASE_DATOS[[#This Row],[Precio US$]]/BASE_DATOS[[#This Row],[Horas Rodadas]],"")</f>
        <v/>
      </c>
      <c r="AK693" s="365" t="str">
        <f>IFERROR(BASE_DATOS[[#This Row],[Horas Rodadas]]/(BASE_DATOS[[#This Row],[NSK Original]]-BASE_DATOS[[#This Row],[NSK]]),"")</f>
        <v/>
      </c>
      <c r="AL69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93" s="366" t="str">
        <f>IFERROR(BASE_DATOS[[#This Row],[Precio US$]]/BASE_DATOS[[#This Row],[Horas Proy.]],"")</f>
        <v/>
      </c>
      <c r="AN693" s="176" t="str">
        <f>IF(OR(BASE_DATOS[[#This Row],[Km.]]="",BASE_DATOS[[#This Row],[Km. Actual]]=""),"",BASE_DATOS[[#This Row],[Km. Actual]]-BASE_DATOS[[#This Row],[Km.]]+BASE_DATOS[[#This Row],[Kilómetros Acumulados]])</f>
        <v/>
      </c>
      <c r="AO693" s="177" t="str">
        <f>IFERROR(BASE_DATOS[[#This Row],[Precio US$]]/BASE_DATOS[[#This Row],[Kilómetros Rodados]],"")</f>
        <v/>
      </c>
      <c r="AP693" s="176" t="str">
        <f>IFERROR(BASE_DATOS[[#This Row],[Kilómetros Rodados]]/(BASE_DATOS[[#This Row],[NSK Original]]-BASE_DATOS[[#This Row],[NSK]]),"")</f>
        <v/>
      </c>
      <c r="AQ69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93" s="177" t="str">
        <f>IFERROR(BASE_DATOS[[#This Row],[Precio US$]]/BASE_DATOS[[#This Row],[Kilómetros Proy.]],"")</f>
        <v/>
      </c>
      <c r="AS693" s="167" t="s">
        <v>62</v>
      </c>
      <c r="AT693" s="167"/>
      <c r="AU693" s="167"/>
      <c r="AV693" s="167"/>
      <c r="AW693" s="179"/>
      <c r="AX693" s="179"/>
      <c r="AY693" s="179" t="str">
        <f>CONCATENATE(BASE_DATOS[[#This Row],[Código_U]]&amp;BASE_DATOS[[#This Row],[Pos.]]&amp;BASE_DATOS[[#This Row],[Situación Actual]])</f>
        <v>SR-2283Rodando</v>
      </c>
    </row>
    <row r="694" spans="1:51" ht="12" x14ac:dyDescent="0.25">
      <c r="A694" s="223" t="s">
        <v>462</v>
      </c>
      <c r="B694" s="217" t="s">
        <v>254</v>
      </c>
      <c r="C694" s="228" t="s">
        <v>295</v>
      </c>
      <c r="D694" s="229" t="s">
        <v>87</v>
      </c>
      <c r="E694" s="255"/>
      <c r="F694" s="256" t="s">
        <v>97</v>
      </c>
      <c r="G694" s="256" t="s">
        <v>269</v>
      </c>
      <c r="H694" s="257" t="str">
        <f>IF(BASE_DATOS[[#This Row],[N-R]]="N",BASE_DATOS[[#This Row],[Diseño]],"Reencauche")</f>
        <v>AGC28</v>
      </c>
      <c r="I694" s="256" t="s">
        <v>270</v>
      </c>
      <c r="J694" s="243" t="s">
        <v>72</v>
      </c>
      <c r="K694" s="258">
        <v>16.5</v>
      </c>
      <c r="L694" s="256">
        <v>110</v>
      </c>
      <c r="M694" s="259"/>
      <c r="N694" s="260"/>
      <c r="O694" s="277"/>
      <c r="P694" s="278"/>
      <c r="Q694" s="279"/>
      <c r="R694" s="309" t="s">
        <v>101</v>
      </c>
      <c r="S694" s="310">
        <v>45386</v>
      </c>
      <c r="T694" s="313"/>
      <c r="U694" s="279"/>
      <c r="V694" s="227">
        <v>9</v>
      </c>
      <c r="W694" s="281">
        <v>9</v>
      </c>
      <c r="X694" s="282">
        <v>9</v>
      </c>
      <c r="Y694" s="293">
        <f t="shared" si="30"/>
        <v>9</v>
      </c>
      <c r="Z694" s="175" t="s">
        <v>85</v>
      </c>
      <c r="AA694" s="342">
        <f>IFERROR(BASE_DATOS[[#This Row],[NSK Original]]-BASE_DATOS[[#This Row],[NSK]]," ")</f>
        <v>7.5</v>
      </c>
      <c r="AB694" s="343">
        <f>'NSK-TRACTO'!$A$2</f>
        <v>6</v>
      </c>
      <c r="AC694" s="343">
        <f>IF(BASE_DATOS[[#This Row],[NSK]]&gt;=BASE_DATOS[[#This Row],[NSK Reen]],BASE_DATOS[[#This Row],[NSK Reen]],BASE_DATOS[[#This Row],[NSK]])</f>
        <v>6</v>
      </c>
      <c r="AD694" s="344">
        <f>IFERROR(100%-(BASE_DATOS[[#This Row],[NSK Reen]]/BASE_DATOS[[#This Row],[NSK Original]]),"")</f>
        <v>0.63636363636363635</v>
      </c>
      <c r="AE694" s="344">
        <f>IFERROR(100%-BASE_DATOS[[#This Row],[NSK]]/BASE_DATOS[[#This Row],[NSK Original]],"")</f>
        <v>0.45454545454545459</v>
      </c>
      <c r="AF694" s="344">
        <f>IFERROR(BASE_DATOS[[#This Row],[% Max Des.]]-BASE_DATOS[[#This Row],[% Des]],"")</f>
        <v>0.18181818181818177</v>
      </c>
      <c r="AG694" s="287"/>
      <c r="AH694" s="273"/>
      <c r="AI694" s="363" t="str">
        <f>IF(OR(BASE_DATOS[[#This Row],[Hr.]]="",BASE_DATOS[[#This Row],[Hr. Actual]]=""),"",BASE_DATOS[[#This Row],[Hr. Actual]]-BASE_DATOS[[#This Row],[Hr.]]+BASE_DATOS[[#This Row],[Horas Acumuladas]])</f>
        <v/>
      </c>
      <c r="AJ694" s="364" t="str">
        <f>IFERROR(BASE_DATOS[[#This Row],[Precio US$]]/BASE_DATOS[[#This Row],[Horas Rodadas]],"")</f>
        <v/>
      </c>
      <c r="AK694" s="365" t="str">
        <f>IFERROR(BASE_DATOS[[#This Row],[Horas Rodadas]]/(BASE_DATOS[[#This Row],[NSK Original]]-BASE_DATOS[[#This Row],[NSK]]),"")</f>
        <v/>
      </c>
      <c r="AL69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94" s="366" t="str">
        <f>IFERROR(BASE_DATOS[[#This Row],[Precio US$]]/BASE_DATOS[[#This Row],[Horas Proy.]],"")</f>
        <v/>
      </c>
      <c r="AN694" s="176" t="str">
        <f>IF(OR(BASE_DATOS[[#This Row],[Km.]]="",BASE_DATOS[[#This Row],[Km. Actual]]=""),"",BASE_DATOS[[#This Row],[Km. Actual]]-BASE_DATOS[[#This Row],[Km.]]+BASE_DATOS[[#This Row],[Kilómetros Acumulados]])</f>
        <v/>
      </c>
      <c r="AO694" s="177" t="str">
        <f>IFERROR(BASE_DATOS[[#This Row],[Precio US$]]/BASE_DATOS[[#This Row],[Kilómetros Rodados]],"")</f>
        <v/>
      </c>
      <c r="AP694" s="176" t="str">
        <f>IFERROR(BASE_DATOS[[#This Row],[Kilómetros Rodados]]/(BASE_DATOS[[#This Row],[NSK Original]]-BASE_DATOS[[#This Row],[NSK]]),"")</f>
        <v/>
      </c>
      <c r="AQ69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94" s="177" t="str">
        <f>IFERROR(BASE_DATOS[[#This Row],[Precio US$]]/BASE_DATOS[[#This Row],[Kilómetros Proy.]],"")</f>
        <v/>
      </c>
      <c r="AS694" s="167" t="s">
        <v>62</v>
      </c>
      <c r="AT694" s="167"/>
      <c r="AU694" s="167"/>
      <c r="AV694" s="167"/>
      <c r="AW694" s="179"/>
      <c r="AX694" s="179"/>
      <c r="AY694" s="179" t="str">
        <f>CONCATENATE(BASE_DATOS[[#This Row],[Código_U]]&amp;BASE_DATOS[[#This Row],[Pos.]]&amp;BASE_DATOS[[#This Row],[Situación Actual]])</f>
        <v>SR-2284Rodando</v>
      </c>
    </row>
    <row r="695" spans="1:51" ht="12" x14ac:dyDescent="0.25">
      <c r="A695" s="223" t="s">
        <v>462</v>
      </c>
      <c r="B695" s="217" t="s">
        <v>254</v>
      </c>
      <c r="C695" s="228" t="s">
        <v>295</v>
      </c>
      <c r="D695" s="229" t="s">
        <v>87</v>
      </c>
      <c r="E695" s="255"/>
      <c r="F695" s="256" t="s">
        <v>97</v>
      </c>
      <c r="G695" s="256" t="s">
        <v>269</v>
      </c>
      <c r="H695" s="257" t="str">
        <f>IF(BASE_DATOS[[#This Row],[N-R]]="N",BASE_DATOS[[#This Row],[Diseño]],"Reencauche")</f>
        <v>AGC28</v>
      </c>
      <c r="I695" s="256" t="s">
        <v>270</v>
      </c>
      <c r="J695" s="243" t="s">
        <v>72</v>
      </c>
      <c r="K695" s="258">
        <v>16.5</v>
      </c>
      <c r="L695" s="256">
        <v>110</v>
      </c>
      <c r="M695" s="259"/>
      <c r="N695" s="260"/>
      <c r="O695" s="277"/>
      <c r="P695" s="278"/>
      <c r="Q695" s="279"/>
      <c r="R695" s="309" t="s">
        <v>102</v>
      </c>
      <c r="S695" s="310">
        <v>45386</v>
      </c>
      <c r="T695" s="313"/>
      <c r="U695" s="279"/>
      <c r="V695" s="227">
        <v>10</v>
      </c>
      <c r="W695" s="281">
        <v>10</v>
      </c>
      <c r="X695" s="282">
        <v>10</v>
      </c>
      <c r="Y695" s="293">
        <f t="shared" si="30"/>
        <v>10</v>
      </c>
      <c r="Z695" s="161" t="s">
        <v>73</v>
      </c>
      <c r="AA695" s="342">
        <f>IFERROR(BASE_DATOS[[#This Row],[NSK Original]]-BASE_DATOS[[#This Row],[NSK]]," ")</f>
        <v>6.5</v>
      </c>
      <c r="AB695" s="343">
        <f>'NSK-TRACTO'!$A$2</f>
        <v>6</v>
      </c>
      <c r="AC695" s="343">
        <f>IF(BASE_DATOS[[#This Row],[NSK]]&gt;=BASE_DATOS[[#This Row],[NSK Reen]],BASE_DATOS[[#This Row],[NSK Reen]],BASE_DATOS[[#This Row],[NSK]])</f>
        <v>6</v>
      </c>
      <c r="AD695" s="344">
        <f>IFERROR(100%-(BASE_DATOS[[#This Row],[NSK Reen]]/BASE_DATOS[[#This Row],[NSK Original]]),"")</f>
        <v>0.63636363636363635</v>
      </c>
      <c r="AE695" s="344">
        <f>IFERROR(100%-BASE_DATOS[[#This Row],[NSK]]/BASE_DATOS[[#This Row],[NSK Original]],"")</f>
        <v>0.39393939393939392</v>
      </c>
      <c r="AF695" s="344">
        <f>IFERROR(BASE_DATOS[[#This Row],[% Max Des.]]-BASE_DATOS[[#This Row],[% Des]],"")</f>
        <v>0.24242424242424243</v>
      </c>
      <c r="AG695" s="287"/>
      <c r="AH695" s="273"/>
      <c r="AI695" s="363" t="str">
        <f>IF(OR(BASE_DATOS[[#This Row],[Hr.]]="",BASE_DATOS[[#This Row],[Hr. Actual]]=""),"",BASE_DATOS[[#This Row],[Hr. Actual]]-BASE_DATOS[[#This Row],[Hr.]]+BASE_DATOS[[#This Row],[Horas Acumuladas]])</f>
        <v/>
      </c>
      <c r="AJ695" s="364" t="str">
        <f>IFERROR(BASE_DATOS[[#This Row],[Precio US$]]/BASE_DATOS[[#This Row],[Horas Rodadas]],"")</f>
        <v/>
      </c>
      <c r="AK695" s="365" t="str">
        <f>IFERROR(BASE_DATOS[[#This Row],[Horas Rodadas]]/(BASE_DATOS[[#This Row],[NSK Original]]-BASE_DATOS[[#This Row],[NSK]]),"")</f>
        <v/>
      </c>
      <c r="AL69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95" s="366" t="str">
        <f>IFERROR(BASE_DATOS[[#This Row],[Precio US$]]/BASE_DATOS[[#This Row],[Horas Proy.]],"")</f>
        <v/>
      </c>
      <c r="AN695" s="176" t="str">
        <f>IF(OR(BASE_DATOS[[#This Row],[Km.]]="",BASE_DATOS[[#This Row],[Km. Actual]]=""),"",BASE_DATOS[[#This Row],[Km. Actual]]-BASE_DATOS[[#This Row],[Km.]]+BASE_DATOS[[#This Row],[Kilómetros Acumulados]])</f>
        <v/>
      </c>
      <c r="AO695" s="177" t="str">
        <f>IFERROR(BASE_DATOS[[#This Row],[Precio US$]]/BASE_DATOS[[#This Row],[Kilómetros Rodados]],"")</f>
        <v/>
      </c>
      <c r="AP695" s="176" t="str">
        <f>IFERROR(BASE_DATOS[[#This Row],[Kilómetros Rodados]]/(BASE_DATOS[[#This Row],[NSK Original]]-BASE_DATOS[[#This Row],[NSK]]),"")</f>
        <v/>
      </c>
      <c r="AQ69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95" s="177" t="str">
        <f>IFERROR(BASE_DATOS[[#This Row],[Precio US$]]/BASE_DATOS[[#This Row],[Kilómetros Proy.]],"")</f>
        <v/>
      </c>
      <c r="AS695" s="167" t="s">
        <v>62</v>
      </c>
      <c r="AT695" s="167"/>
      <c r="AU695" s="167"/>
      <c r="AV695" s="167"/>
      <c r="AW695" s="179"/>
      <c r="AX695" s="179"/>
      <c r="AY695" s="179" t="str">
        <f>CONCATENATE(BASE_DATOS[[#This Row],[Código_U]]&amp;BASE_DATOS[[#This Row],[Pos.]]&amp;BASE_DATOS[[#This Row],[Situación Actual]])</f>
        <v>SR-2285Rodando</v>
      </c>
    </row>
    <row r="696" spans="1:51" ht="12" x14ac:dyDescent="0.25">
      <c r="A696" s="223" t="s">
        <v>462</v>
      </c>
      <c r="B696" s="217" t="s">
        <v>254</v>
      </c>
      <c r="C696" s="228" t="s">
        <v>295</v>
      </c>
      <c r="D696" s="229" t="s">
        <v>87</v>
      </c>
      <c r="E696" s="255"/>
      <c r="F696" s="256" t="s">
        <v>97</v>
      </c>
      <c r="G696" s="256" t="s">
        <v>269</v>
      </c>
      <c r="H696" s="257" t="str">
        <f>IF(BASE_DATOS[[#This Row],[N-R]]="N",BASE_DATOS[[#This Row],[Diseño]],"Reencauche")</f>
        <v>AGC28</v>
      </c>
      <c r="I696" s="256" t="s">
        <v>270</v>
      </c>
      <c r="J696" s="243" t="s">
        <v>72</v>
      </c>
      <c r="K696" s="258">
        <v>16.5</v>
      </c>
      <c r="L696" s="256">
        <v>110</v>
      </c>
      <c r="M696" s="259"/>
      <c r="N696" s="260"/>
      <c r="O696" s="277"/>
      <c r="P696" s="278"/>
      <c r="Q696" s="279"/>
      <c r="R696" s="309" t="s">
        <v>103</v>
      </c>
      <c r="S696" s="310">
        <v>45386</v>
      </c>
      <c r="T696" s="313"/>
      <c r="U696" s="279"/>
      <c r="V696" s="227">
        <v>11</v>
      </c>
      <c r="W696" s="281">
        <v>11</v>
      </c>
      <c r="X696" s="282">
        <v>11</v>
      </c>
      <c r="Y696" s="293">
        <f t="shared" si="30"/>
        <v>11</v>
      </c>
      <c r="Z696" s="175" t="s">
        <v>85</v>
      </c>
      <c r="AA696" s="342">
        <f>IFERROR(BASE_DATOS[[#This Row],[NSK Original]]-BASE_DATOS[[#This Row],[NSK]]," ")</f>
        <v>5.5</v>
      </c>
      <c r="AB696" s="343">
        <f>'NSK-TRACTO'!$A$2</f>
        <v>6</v>
      </c>
      <c r="AC696" s="343">
        <f>IF(BASE_DATOS[[#This Row],[NSK]]&gt;=BASE_DATOS[[#This Row],[NSK Reen]],BASE_DATOS[[#This Row],[NSK Reen]],BASE_DATOS[[#This Row],[NSK]])</f>
        <v>6</v>
      </c>
      <c r="AD696" s="344">
        <f>IFERROR(100%-(BASE_DATOS[[#This Row],[NSK Reen]]/BASE_DATOS[[#This Row],[NSK Original]]),"")</f>
        <v>0.63636363636363635</v>
      </c>
      <c r="AE696" s="344">
        <f>IFERROR(100%-BASE_DATOS[[#This Row],[NSK]]/BASE_DATOS[[#This Row],[NSK Original]],"")</f>
        <v>0.33333333333333337</v>
      </c>
      <c r="AF696" s="344">
        <f>IFERROR(BASE_DATOS[[#This Row],[% Max Des.]]-BASE_DATOS[[#This Row],[% Des]],"")</f>
        <v>0.30303030303030298</v>
      </c>
      <c r="AG696" s="287"/>
      <c r="AH696" s="273"/>
      <c r="AI696" s="363" t="str">
        <f>IF(OR(BASE_DATOS[[#This Row],[Hr.]]="",BASE_DATOS[[#This Row],[Hr. Actual]]=""),"",BASE_DATOS[[#This Row],[Hr. Actual]]-BASE_DATOS[[#This Row],[Hr.]]+BASE_DATOS[[#This Row],[Horas Acumuladas]])</f>
        <v/>
      </c>
      <c r="AJ696" s="364" t="str">
        <f>IFERROR(BASE_DATOS[[#This Row],[Precio US$]]/BASE_DATOS[[#This Row],[Horas Rodadas]],"")</f>
        <v/>
      </c>
      <c r="AK696" s="365" t="str">
        <f>IFERROR(BASE_DATOS[[#This Row],[Horas Rodadas]]/(BASE_DATOS[[#This Row],[NSK Original]]-BASE_DATOS[[#This Row],[NSK]]),"")</f>
        <v/>
      </c>
      <c r="AL69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96" s="366" t="str">
        <f>IFERROR(BASE_DATOS[[#This Row],[Precio US$]]/BASE_DATOS[[#This Row],[Horas Proy.]],"")</f>
        <v/>
      </c>
      <c r="AN696" s="176" t="str">
        <f>IF(OR(BASE_DATOS[[#This Row],[Km.]]="",BASE_DATOS[[#This Row],[Km. Actual]]=""),"",BASE_DATOS[[#This Row],[Km. Actual]]-BASE_DATOS[[#This Row],[Km.]]+BASE_DATOS[[#This Row],[Kilómetros Acumulados]])</f>
        <v/>
      </c>
      <c r="AO696" s="177" t="str">
        <f>IFERROR(BASE_DATOS[[#This Row],[Precio US$]]/BASE_DATOS[[#This Row],[Kilómetros Rodados]],"")</f>
        <v/>
      </c>
      <c r="AP696" s="176" t="str">
        <f>IFERROR(BASE_DATOS[[#This Row],[Kilómetros Rodados]]/(BASE_DATOS[[#This Row],[NSK Original]]-BASE_DATOS[[#This Row],[NSK]]),"")</f>
        <v/>
      </c>
      <c r="AQ69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96" s="177" t="str">
        <f>IFERROR(BASE_DATOS[[#This Row],[Precio US$]]/BASE_DATOS[[#This Row],[Kilómetros Proy.]],"")</f>
        <v/>
      </c>
      <c r="AS696" s="167" t="s">
        <v>62</v>
      </c>
      <c r="AT696" s="167"/>
      <c r="AU696" s="167"/>
      <c r="AV696" s="167"/>
      <c r="AW696" s="179"/>
      <c r="AX696" s="179"/>
      <c r="AY696" s="179" t="str">
        <f>CONCATENATE(BASE_DATOS[[#This Row],[Código_U]]&amp;BASE_DATOS[[#This Row],[Pos.]]&amp;BASE_DATOS[[#This Row],[Situación Actual]])</f>
        <v>SR-2286Rodando</v>
      </c>
    </row>
    <row r="697" spans="1:51" ht="12" x14ac:dyDescent="0.25">
      <c r="A697" s="223" t="s">
        <v>462</v>
      </c>
      <c r="B697" s="217" t="s">
        <v>254</v>
      </c>
      <c r="C697" s="228" t="s">
        <v>295</v>
      </c>
      <c r="D697" s="229" t="s">
        <v>384</v>
      </c>
      <c r="E697" s="255"/>
      <c r="F697" s="256" t="s">
        <v>97</v>
      </c>
      <c r="G697" s="256" t="s">
        <v>269</v>
      </c>
      <c r="H697" s="257" t="str">
        <f>IF(BASE_DATOS[[#This Row],[N-R]]="N",BASE_DATOS[[#This Row],[Diseño]],"Reencauche")</f>
        <v>AGC28</v>
      </c>
      <c r="I697" s="256" t="s">
        <v>270</v>
      </c>
      <c r="J697" s="243" t="s">
        <v>72</v>
      </c>
      <c r="K697" s="258">
        <v>16.5</v>
      </c>
      <c r="L697" s="256">
        <v>110</v>
      </c>
      <c r="M697" s="259"/>
      <c r="N697" s="260"/>
      <c r="O697" s="277"/>
      <c r="P697" s="278"/>
      <c r="Q697" s="279"/>
      <c r="R697" s="309" t="s">
        <v>509</v>
      </c>
      <c r="S697" s="310">
        <v>45386</v>
      </c>
      <c r="T697" s="313"/>
      <c r="U697" s="279"/>
      <c r="V697" s="227">
        <v>16</v>
      </c>
      <c r="W697" s="281">
        <v>16</v>
      </c>
      <c r="X697" s="282">
        <v>16</v>
      </c>
      <c r="Y697" s="293">
        <f t="shared" si="30"/>
        <v>16</v>
      </c>
      <c r="Z697" s="175" t="s">
        <v>85</v>
      </c>
      <c r="AA697" s="342">
        <f>IFERROR(BASE_DATOS[[#This Row],[NSK Original]]-BASE_DATOS[[#This Row],[NSK]]," ")</f>
        <v>0.5</v>
      </c>
      <c r="AB697" s="343">
        <f>'NSK-TRACTO'!$A$2</f>
        <v>6</v>
      </c>
      <c r="AC697" s="343">
        <f>IF(BASE_DATOS[[#This Row],[NSK]]&gt;=BASE_DATOS[[#This Row],[NSK Reen]],BASE_DATOS[[#This Row],[NSK Reen]],BASE_DATOS[[#This Row],[NSK]])</f>
        <v>6</v>
      </c>
      <c r="AD697" s="344">
        <f>IFERROR(100%-(BASE_DATOS[[#This Row],[NSK Reen]]/BASE_DATOS[[#This Row],[NSK Original]]),"")</f>
        <v>0.63636363636363635</v>
      </c>
      <c r="AE697" s="344">
        <f>IFERROR(100%-BASE_DATOS[[#This Row],[NSK]]/BASE_DATOS[[#This Row],[NSK Original]],"")</f>
        <v>3.0303030303030276E-2</v>
      </c>
      <c r="AF697" s="344">
        <f>IFERROR(BASE_DATOS[[#This Row],[% Max Des.]]-BASE_DATOS[[#This Row],[% Des]],"")</f>
        <v>0.60606060606060608</v>
      </c>
      <c r="AG697" s="287"/>
      <c r="AH697" s="273"/>
      <c r="AI697" s="363" t="str">
        <f>IF(OR(BASE_DATOS[[#This Row],[Hr.]]="",BASE_DATOS[[#This Row],[Hr. Actual]]=""),"",BASE_DATOS[[#This Row],[Hr. Actual]]-BASE_DATOS[[#This Row],[Hr.]]+BASE_DATOS[[#This Row],[Horas Acumuladas]])</f>
        <v/>
      </c>
      <c r="AJ697" s="364" t="str">
        <f>IFERROR(BASE_DATOS[[#This Row],[Precio US$]]/BASE_DATOS[[#This Row],[Horas Rodadas]],"")</f>
        <v/>
      </c>
      <c r="AK697" s="365" t="str">
        <f>IFERROR(BASE_DATOS[[#This Row],[Horas Rodadas]]/(BASE_DATOS[[#This Row],[NSK Original]]-BASE_DATOS[[#This Row],[NSK]]),"")</f>
        <v/>
      </c>
      <c r="AL69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97" s="366" t="str">
        <f>IFERROR(BASE_DATOS[[#This Row],[Precio US$]]/BASE_DATOS[[#This Row],[Horas Proy.]],"")</f>
        <v/>
      </c>
      <c r="AN697" s="176" t="str">
        <f>IF(OR(BASE_DATOS[[#This Row],[Km.]]="",BASE_DATOS[[#This Row],[Km. Actual]]=""),"",BASE_DATOS[[#This Row],[Km. Actual]]-BASE_DATOS[[#This Row],[Km.]]+BASE_DATOS[[#This Row],[Kilómetros Acumulados]])</f>
        <v/>
      </c>
      <c r="AO697" s="177" t="str">
        <f>IFERROR(BASE_DATOS[[#This Row],[Precio US$]]/BASE_DATOS[[#This Row],[Kilómetros Rodados]],"")</f>
        <v/>
      </c>
      <c r="AP697" s="176" t="str">
        <f>IFERROR(BASE_DATOS[[#This Row],[Kilómetros Rodados]]/(BASE_DATOS[[#This Row],[NSK Original]]-BASE_DATOS[[#This Row],[NSK]]),"")</f>
        <v/>
      </c>
      <c r="AQ69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97" s="177" t="str">
        <f>IFERROR(BASE_DATOS[[#This Row],[Precio US$]]/BASE_DATOS[[#This Row],[Kilómetros Proy.]],"")</f>
        <v/>
      </c>
      <c r="AS697" s="167" t="s">
        <v>62</v>
      </c>
      <c r="AT697" s="167"/>
      <c r="AU697" s="167"/>
      <c r="AV697" s="167"/>
      <c r="AW697" s="179"/>
      <c r="AX697" s="179"/>
      <c r="AY697" s="179" t="str">
        <f>CONCATENATE(BASE_DATOS[[#This Row],[Código_U]]&amp;BASE_DATOS[[#This Row],[Pos.]]&amp;BASE_DATOS[[#This Row],[Situación Actual]])</f>
        <v>SR-228RERodando</v>
      </c>
    </row>
    <row r="698" spans="1:51" ht="12" x14ac:dyDescent="0.25">
      <c r="A698" s="223" t="s">
        <v>462</v>
      </c>
      <c r="B698" s="217" t="s">
        <v>254</v>
      </c>
      <c r="C698" s="228" t="s">
        <v>295</v>
      </c>
      <c r="D698" s="229" t="s">
        <v>108</v>
      </c>
      <c r="E698" s="255"/>
      <c r="F698" s="256" t="s">
        <v>273</v>
      </c>
      <c r="G698" s="256" t="s">
        <v>271</v>
      </c>
      <c r="H698" s="257" t="str">
        <f>IF(BASE_DATOS[[#This Row],[N-R]]="N",BASE_DATOS[[#This Row],[Diseño]],"Reencauche")</f>
        <v>XMULTI2D</v>
      </c>
      <c r="I698" s="256" t="s">
        <v>299</v>
      </c>
      <c r="J698" s="243" t="s">
        <v>72</v>
      </c>
      <c r="K698" s="258">
        <v>21.4</v>
      </c>
      <c r="L698" s="256">
        <v>110</v>
      </c>
      <c r="M698" s="259"/>
      <c r="N698" s="260"/>
      <c r="O698" s="277"/>
      <c r="P698" s="278"/>
      <c r="Q698" s="279"/>
      <c r="R698" s="309" t="s">
        <v>108</v>
      </c>
      <c r="S698" s="310">
        <v>45386</v>
      </c>
      <c r="T698" s="313"/>
      <c r="U698" s="279"/>
      <c r="V698" s="227">
        <v>20</v>
      </c>
      <c r="W698" s="281"/>
      <c r="X698" s="282">
        <v>20</v>
      </c>
      <c r="Y698" s="293">
        <f t="shared" si="30"/>
        <v>20</v>
      </c>
      <c r="Z698" s="161" t="s">
        <v>73</v>
      </c>
      <c r="AA698" s="342">
        <f>IFERROR(BASE_DATOS[[#This Row],[NSK Original]]-BASE_DATOS[[#This Row],[NSK]]," ")</f>
        <v>1.3999999999999986</v>
      </c>
      <c r="AB698" s="343">
        <f>'NSK-TRACTO'!$A$2</f>
        <v>6</v>
      </c>
      <c r="AC698" s="343">
        <f>IF(BASE_DATOS[[#This Row],[NSK]]&gt;=BASE_DATOS[[#This Row],[NSK Reen]],BASE_DATOS[[#This Row],[NSK Reen]],BASE_DATOS[[#This Row],[NSK]])</f>
        <v>6</v>
      </c>
      <c r="AD698" s="344">
        <f>IFERROR(100%-(BASE_DATOS[[#This Row],[NSK Reen]]/BASE_DATOS[[#This Row],[NSK Original]]),"")</f>
        <v>0.71962616822429903</v>
      </c>
      <c r="AE698" s="344">
        <f>IFERROR(100%-BASE_DATOS[[#This Row],[NSK]]/BASE_DATOS[[#This Row],[NSK Original]],"")</f>
        <v>6.5420560747663448E-2</v>
      </c>
      <c r="AF698" s="344">
        <f>IFERROR(BASE_DATOS[[#This Row],[% Max Des.]]-BASE_DATOS[[#This Row],[% Des]],"")</f>
        <v>0.65420560747663559</v>
      </c>
      <c r="AG698" s="287"/>
      <c r="AH698" s="273"/>
      <c r="AI698" s="363" t="str">
        <f>IF(OR(BASE_DATOS[[#This Row],[Hr.]]="",BASE_DATOS[[#This Row],[Hr. Actual]]=""),"",BASE_DATOS[[#This Row],[Hr. Actual]]-BASE_DATOS[[#This Row],[Hr.]]+BASE_DATOS[[#This Row],[Horas Acumuladas]])</f>
        <v/>
      </c>
      <c r="AJ698" s="364" t="str">
        <f>IFERROR(BASE_DATOS[[#This Row],[Precio US$]]/BASE_DATOS[[#This Row],[Horas Rodadas]],"")</f>
        <v/>
      </c>
      <c r="AK698" s="365" t="str">
        <f>IFERROR(BASE_DATOS[[#This Row],[Horas Rodadas]]/(BASE_DATOS[[#This Row],[NSK Original]]-BASE_DATOS[[#This Row],[NSK]]),"")</f>
        <v/>
      </c>
      <c r="AL69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98" s="366" t="str">
        <f>IFERROR(BASE_DATOS[[#This Row],[Precio US$]]/BASE_DATOS[[#This Row],[Horas Proy.]],"")</f>
        <v/>
      </c>
      <c r="AN698" s="176" t="str">
        <f>IF(OR(BASE_DATOS[[#This Row],[Km.]]="",BASE_DATOS[[#This Row],[Km. Actual]]=""),"",BASE_DATOS[[#This Row],[Km. Actual]]-BASE_DATOS[[#This Row],[Km.]]+BASE_DATOS[[#This Row],[Kilómetros Acumulados]])</f>
        <v/>
      </c>
      <c r="AO698" s="177" t="str">
        <f>IFERROR(BASE_DATOS[[#This Row],[Precio US$]]/BASE_DATOS[[#This Row],[Kilómetros Rodados]],"")</f>
        <v/>
      </c>
      <c r="AP698" s="176" t="str">
        <f>IFERROR(BASE_DATOS[[#This Row],[Kilómetros Rodados]]/(BASE_DATOS[[#This Row],[NSK Original]]-BASE_DATOS[[#This Row],[NSK]]),"")</f>
        <v/>
      </c>
      <c r="AQ69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98" s="177" t="str">
        <f>IFERROR(BASE_DATOS[[#This Row],[Precio US$]]/BASE_DATOS[[#This Row],[Kilómetros Proy.]],"")</f>
        <v/>
      </c>
      <c r="AS698" s="167" t="s">
        <v>62</v>
      </c>
      <c r="AT698" s="167"/>
      <c r="AU698" s="167"/>
      <c r="AV698" s="167"/>
      <c r="AW698" s="179"/>
      <c r="AX698" s="179"/>
      <c r="AY698" s="179" t="str">
        <f>CONCATENATE(BASE_DATOS[[#This Row],[Código_U]]&amp;BASE_DATOS[[#This Row],[Pos.]]&amp;BASE_DATOS[[#This Row],[Situación Actual]])</f>
        <v>SR-228RTRodando</v>
      </c>
    </row>
    <row r="699" spans="1:51" ht="12" x14ac:dyDescent="0.25">
      <c r="A699" s="222" t="s">
        <v>420</v>
      </c>
      <c r="B699" s="213" t="s">
        <v>255</v>
      </c>
      <c r="C699" s="225" t="s">
        <v>296</v>
      </c>
      <c r="D699" s="226" t="s">
        <v>86</v>
      </c>
      <c r="E699" s="249"/>
      <c r="F699" s="250" t="s">
        <v>273</v>
      </c>
      <c r="G699" s="250" t="s">
        <v>271</v>
      </c>
      <c r="H699" s="251" t="str">
        <f>IF(BASE_DATOS[[#This Row],[N-R]]="N",BASE_DATOS[[#This Row],[Diseño]],"Reencauche")</f>
        <v>XMULTI+Z</v>
      </c>
      <c r="I699" s="250" t="s">
        <v>297</v>
      </c>
      <c r="J699" s="235" t="s">
        <v>72</v>
      </c>
      <c r="K699" s="252">
        <v>16</v>
      </c>
      <c r="L699" s="233">
        <v>100</v>
      </c>
      <c r="M699" s="253"/>
      <c r="N699" s="254"/>
      <c r="O699" s="274"/>
      <c r="P699" s="275"/>
      <c r="Q699" s="276"/>
      <c r="R699" s="305" t="s">
        <v>98</v>
      </c>
      <c r="S699" s="306">
        <v>45385</v>
      </c>
      <c r="T699" s="307"/>
      <c r="U699" s="308"/>
      <c r="V699" s="224">
        <v>8</v>
      </c>
      <c r="W699" s="325">
        <v>8</v>
      </c>
      <c r="X699" s="326">
        <v>6</v>
      </c>
      <c r="Y699" s="292">
        <f t="shared" si="30"/>
        <v>6</v>
      </c>
      <c r="Z699" s="185" t="s">
        <v>73</v>
      </c>
      <c r="AA699" s="339">
        <f>IFERROR(BASE_DATOS[[#This Row],[NSK Original]]-BASE_DATOS[[#This Row],[NSK]]," ")</f>
        <v>10</v>
      </c>
      <c r="AB699" s="340">
        <f>'NSK-TRACTO'!$A$2</f>
        <v>6</v>
      </c>
      <c r="AC699" s="340">
        <f>IF(BASE_DATOS[[#This Row],[NSK]]&gt;=BASE_DATOS[[#This Row],[NSK Reen]],BASE_DATOS[[#This Row],[NSK Reen]],BASE_DATOS[[#This Row],[NSK]])</f>
        <v>6</v>
      </c>
      <c r="AD699" s="341">
        <f>IFERROR(100%-(BASE_DATOS[[#This Row],[NSK Reen]]/BASE_DATOS[[#This Row],[NSK Original]]),"")</f>
        <v>0.625</v>
      </c>
      <c r="AE699" s="341">
        <f>IFERROR(100%-BASE_DATOS[[#This Row],[NSK]]/BASE_DATOS[[#This Row],[NSK Original]],"")</f>
        <v>0.625</v>
      </c>
      <c r="AF699" s="341">
        <f>IFERROR(BASE_DATOS[[#This Row],[% Max Des.]]-BASE_DATOS[[#This Row],[% Des]],"")</f>
        <v>0</v>
      </c>
      <c r="AG699" s="284"/>
      <c r="AH699" s="335"/>
      <c r="AI699" s="359" t="str">
        <f>IF(OR(BASE_DATOS[[#This Row],[Hr.]]="",BASE_DATOS[[#This Row],[Hr. Actual]]=""),"",BASE_DATOS[[#This Row],[Hr. Actual]]-BASE_DATOS[[#This Row],[Hr.]]+BASE_DATOS[[#This Row],[Horas Acumuladas]])</f>
        <v/>
      </c>
      <c r="AJ699" s="360" t="str">
        <f>IFERROR(BASE_DATOS[[#This Row],[Precio US$]]/BASE_DATOS[[#This Row],[Horas Rodadas]],"")</f>
        <v/>
      </c>
      <c r="AK699" s="361" t="str">
        <f>IFERROR(BASE_DATOS[[#This Row],[Horas Rodadas]]/(BASE_DATOS[[#This Row],[NSK Original]]-BASE_DATOS[[#This Row],[NSK]]),"")</f>
        <v/>
      </c>
      <c r="AL699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699" s="362" t="str">
        <f>IFERROR(BASE_DATOS[[#This Row],[Precio US$]]/BASE_DATOS[[#This Row],[Horas Proy.]],"")</f>
        <v/>
      </c>
      <c r="AN699" s="195" t="str">
        <f>IF(OR(BASE_DATOS[[#This Row],[Km.]]="",BASE_DATOS[[#This Row],[Km. Actual]]=""),"",BASE_DATOS[[#This Row],[Km. Actual]]-BASE_DATOS[[#This Row],[Km.]]+BASE_DATOS[[#This Row],[Kilómetros Acumulados]])</f>
        <v/>
      </c>
      <c r="AO699" s="196" t="str">
        <f>IFERROR(BASE_DATOS[[#This Row],[Precio US$]]/BASE_DATOS[[#This Row],[Kilómetros Rodados]],"")</f>
        <v/>
      </c>
      <c r="AP699" s="195" t="str">
        <f>IFERROR(BASE_DATOS[[#This Row],[Kilómetros Rodados]]/(BASE_DATOS[[#This Row],[NSK Original]]-BASE_DATOS[[#This Row],[NSK]]),"")</f>
        <v/>
      </c>
      <c r="AQ699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699" s="196" t="str">
        <f>IFERROR(BASE_DATOS[[#This Row],[Precio US$]]/BASE_DATOS[[#This Row],[Kilómetros Proy.]],"")</f>
        <v/>
      </c>
      <c r="AS699" s="191" t="s">
        <v>62</v>
      </c>
      <c r="AT699" s="191"/>
      <c r="AU699" s="191" t="s">
        <v>515</v>
      </c>
      <c r="AV699" s="191"/>
      <c r="AW699" s="198"/>
      <c r="AX699" s="198" t="s">
        <v>371</v>
      </c>
      <c r="AY699" s="198" t="str">
        <f>CONCATENATE(BASE_DATOS[[#This Row],[Código_U]]&amp;BASE_DATOS[[#This Row],[Pos.]]&amp;BASE_DATOS[[#This Row],[Situación Actual]])</f>
        <v>TC-2581Rodando</v>
      </c>
    </row>
    <row r="700" spans="1:51" ht="12" x14ac:dyDescent="0.25">
      <c r="A700" s="223" t="s">
        <v>420</v>
      </c>
      <c r="B700" s="217" t="s">
        <v>255</v>
      </c>
      <c r="C700" s="228" t="s">
        <v>296</v>
      </c>
      <c r="D700" s="229" t="s">
        <v>86</v>
      </c>
      <c r="E700" s="255"/>
      <c r="F700" s="256" t="s">
        <v>273</v>
      </c>
      <c r="G700" s="256" t="s">
        <v>271</v>
      </c>
      <c r="H700" s="257" t="str">
        <f>IF(BASE_DATOS[[#This Row],[N-R]]="N",BASE_DATOS[[#This Row],[Diseño]],"Reencauche")</f>
        <v>XMULTI+Z</v>
      </c>
      <c r="I700" s="256" t="s">
        <v>297</v>
      </c>
      <c r="J700" s="243" t="s">
        <v>72</v>
      </c>
      <c r="K700" s="258">
        <v>16</v>
      </c>
      <c r="L700" s="241">
        <v>100</v>
      </c>
      <c r="M700" s="259"/>
      <c r="N700" s="260"/>
      <c r="O700" s="277"/>
      <c r="P700" s="278"/>
      <c r="Q700" s="279"/>
      <c r="R700" s="309" t="s">
        <v>99</v>
      </c>
      <c r="S700" s="310">
        <v>45385</v>
      </c>
      <c r="T700" s="311"/>
      <c r="U700" s="312"/>
      <c r="V700" s="227">
        <v>9</v>
      </c>
      <c r="W700" s="281">
        <v>9</v>
      </c>
      <c r="X700" s="282">
        <v>9</v>
      </c>
      <c r="Y700" s="293">
        <f t="shared" si="30"/>
        <v>9</v>
      </c>
      <c r="Z700" s="161" t="s">
        <v>73</v>
      </c>
      <c r="AA700" s="342">
        <f>IFERROR(BASE_DATOS[[#This Row],[NSK Original]]-BASE_DATOS[[#This Row],[NSK]]," ")</f>
        <v>7</v>
      </c>
      <c r="AB700" s="343">
        <f>'NSK-TRACTO'!$A$2</f>
        <v>6</v>
      </c>
      <c r="AC700" s="343">
        <f>IF(BASE_DATOS[[#This Row],[NSK]]&gt;=BASE_DATOS[[#This Row],[NSK Reen]],BASE_DATOS[[#This Row],[NSK Reen]],BASE_DATOS[[#This Row],[NSK]])</f>
        <v>6</v>
      </c>
      <c r="AD700" s="344">
        <f>IFERROR(100%-(BASE_DATOS[[#This Row],[NSK Reen]]/BASE_DATOS[[#This Row],[NSK Original]]),"")</f>
        <v>0.625</v>
      </c>
      <c r="AE700" s="344">
        <f>IFERROR(100%-BASE_DATOS[[#This Row],[NSK]]/BASE_DATOS[[#This Row],[NSK Original]],"")</f>
        <v>0.4375</v>
      </c>
      <c r="AF700" s="344">
        <f>IFERROR(BASE_DATOS[[#This Row],[% Max Des.]]-BASE_DATOS[[#This Row],[% Des]],"")</f>
        <v>0.1875</v>
      </c>
      <c r="AG700" s="287"/>
      <c r="AH700" s="273"/>
      <c r="AI700" s="363" t="str">
        <f>IF(OR(BASE_DATOS[[#This Row],[Hr.]]="",BASE_DATOS[[#This Row],[Hr. Actual]]=""),"",BASE_DATOS[[#This Row],[Hr. Actual]]-BASE_DATOS[[#This Row],[Hr.]]+BASE_DATOS[[#This Row],[Horas Acumuladas]])</f>
        <v/>
      </c>
      <c r="AJ700" s="364" t="str">
        <f>IFERROR(BASE_DATOS[[#This Row],[Precio US$]]/BASE_DATOS[[#This Row],[Horas Rodadas]],"")</f>
        <v/>
      </c>
      <c r="AK700" s="365" t="str">
        <f>IFERROR(BASE_DATOS[[#This Row],[Horas Rodadas]]/(BASE_DATOS[[#This Row],[NSK Original]]-BASE_DATOS[[#This Row],[NSK]]),"")</f>
        <v/>
      </c>
      <c r="AL70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00" s="366" t="str">
        <f>IFERROR(BASE_DATOS[[#This Row],[Precio US$]]/BASE_DATOS[[#This Row],[Horas Proy.]],"")</f>
        <v/>
      </c>
      <c r="AN700" s="176" t="str">
        <f>IF(OR(BASE_DATOS[[#This Row],[Km.]]="",BASE_DATOS[[#This Row],[Km. Actual]]=""),"",BASE_DATOS[[#This Row],[Km. Actual]]-BASE_DATOS[[#This Row],[Km.]]+BASE_DATOS[[#This Row],[Kilómetros Acumulados]])</f>
        <v/>
      </c>
      <c r="AO700" s="177" t="str">
        <f>IFERROR(BASE_DATOS[[#This Row],[Precio US$]]/BASE_DATOS[[#This Row],[Kilómetros Rodados]],"")</f>
        <v/>
      </c>
      <c r="AP700" s="176" t="str">
        <f>IFERROR(BASE_DATOS[[#This Row],[Kilómetros Rodados]]/(BASE_DATOS[[#This Row],[NSK Original]]-BASE_DATOS[[#This Row],[NSK]]),"")</f>
        <v/>
      </c>
      <c r="AQ70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00" s="177" t="str">
        <f>IFERROR(BASE_DATOS[[#This Row],[Precio US$]]/BASE_DATOS[[#This Row],[Kilómetros Proy.]],"")</f>
        <v/>
      </c>
      <c r="AS700" s="167" t="s">
        <v>62</v>
      </c>
      <c r="AT700" s="167"/>
      <c r="AU700" s="167" t="s">
        <v>515</v>
      </c>
      <c r="AV700" s="167"/>
      <c r="AW700" s="179"/>
      <c r="AX700" s="179" t="s">
        <v>371</v>
      </c>
      <c r="AY700" s="179" t="str">
        <f>CONCATENATE(BASE_DATOS[[#This Row],[Código_U]]&amp;BASE_DATOS[[#This Row],[Pos.]]&amp;BASE_DATOS[[#This Row],[Situación Actual]])</f>
        <v>TC-2582Rodando</v>
      </c>
    </row>
    <row r="701" spans="1:51" ht="12" x14ac:dyDescent="0.25">
      <c r="A701" s="223" t="s">
        <v>420</v>
      </c>
      <c r="B701" s="217" t="s">
        <v>255</v>
      </c>
      <c r="C701" s="228" t="s">
        <v>296</v>
      </c>
      <c r="D701" s="229" t="s">
        <v>61</v>
      </c>
      <c r="E701" s="255"/>
      <c r="F701" s="256" t="s">
        <v>273</v>
      </c>
      <c r="G701" s="256" t="s">
        <v>271</v>
      </c>
      <c r="H701" s="257" t="str">
        <f>IF(BASE_DATOS[[#This Row],[N-R]]="N",BASE_DATOS[[#This Row],[Diseño]],"Reencauche")</f>
        <v>XMULTI2D</v>
      </c>
      <c r="I701" s="256" t="s">
        <v>299</v>
      </c>
      <c r="J701" s="243" t="s">
        <v>72</v>
      </c>
      <c r="K701" s="258">
        <v>21.4</v>
      </c>
      <c r="L701" s="241">
        <v>110</v>
      </c>
      <c r="M701" s="259"/>
      <c r="N701" s="260"/>
      <c r="O701" s="277"/>
      <c r="P701" s="278"/>
      <c r="Q701" s="279"/>
      <c r="R701" s="309" t="s">
        <v>100</v>
      </c>
      <c r="S701" s="310">
        <v>45385</v>
      </c>
      <c r="T701" s="311"/>
      <c r="U701" s="312"/>
      <c r="V701" s="227">
        <v>13</v>
      </c>
      <c r="W701" s="281"/>
      <c r="X701" s="282">
        <v>14</v>
      </c>
      <c r="Y701" s="293">
        <f t="shared" si="30"/>
        <v>13</v>
      </c>
      <c r="Z701" s="161" t="s">
        <v>73</v>
      </c>
      <c r="AA701" s="342">
        <f>IFERROR(BASE_DATOS[[#This Row],[NSK Original]]-BASE_DATOS[[#This Row],[NSK]]," ")</f>
        <v>8.3999999999999986</v>
      </c>
      <c r="AB701" s="343">
        <f>'NSK-TRACTO'!$A$2</f>
        <v>6</v>
      </c>
      <c r="AC701" s="343">
        <f>IF(BASE_DATOS[[#This Row],[NSK]]&gt;=BASE_DATOS[[#This Row],[NSK Reen]],BASE_DATOS[[#This Row],[NSK Reen]],BASE_DATOS[[#This Row],[NSK]])</f>
        <v>6</v>
      </c>
      <c r="AD701" s="344">
        <f>IFERROR(100%-(BASE_DATOS[[#This Row],[NSK Reen]]/BASE_DATOS[[#This Row],[NSK Original]]),"")</f>
        <v>0.71962616822429903</v>
      </c>
      <c r="AE701" s="344">
        <f>IFERROR(100%-BASE_DATOS[[#This Row],[NSK]]/BASE_DATOS[[#This Row],[NSK Original]],"")</f>
        <v>0.39252336448598124</v>
      </c>
      <c r="AF701" s="344">
        <f>IFERROR(BASE_DATOS[[#This Row],[% Max Des.]]-BASE_DATOS[[#This Row],[% Des]],"")</f>
        <v>0.32710280373831779</v>
      </c>
      <c r="AG701" s="287"/>
      <c r="AH701" s="273"/>
      <c r="AI701" s="363" t="str">
        <f>IF(OR(BASE_DATOS[[#This Row],[Hr.]]="",BASE_DATOS[[#This Row],[Hr. Actual]]=""),"",BASE_DATOS[[#This Row],[Hr. Actual]]-BASE_DATOS[[#This Row],[Hr.]]+BASE_DATOS[[#This Row],[Horas Acumuladas]])</f>
        <v/>
      </c>
      <c r="AJ701" s="364" t="str">
        <f>IFERROR(BASE_DATOS[[#This Row],[Precio US$]]/BASE_DATOS[[#This Row],[Horas Rodadas]],"")</f>
        <v/>
      </c>
      <c r="AK701" s="365" t="str">
        <f>IFERROR(BASE_DATOS[[#This Row],[Horas Rodadas]]/(BASE_DATOS[[#This Row],[NSK Original]]-BASE_DATOS[[#This Row],[NSK]]),"")</f>
        <v/>
      </c>
      <c r="AL70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01" s="366" t="str">
        <f>IFERROR(BASE_DATOS[[#This Row],[Precio US$]]/BASE_DATOS[[#This Row],[Horas Proy.]],"")</f>
        <v/>
      </c>
      <c r="AN701" s="176" t="str">
        <f>IF(OR(BASE_DATOS[[#This Row],[Km.]]="",BASE_DATOS[[#This Row],[Km. Actual]]=""),"",BASE_DATOS[[#This Row],[Km. Actual]]-BASE_DATOS[[#This Row],[Km.]]+BASE_DATOS[[#This Row],[Kilómetros Acumulados]])</f>
        <v/>
      </c>
      <c r="AO701" s="177" t="str">
        <f>IFERROR(BASE_DATOS[[#This Row],[Precio US$]]/BASE_DATOS[[#This Row],[Kilómetros Rodados]],"")</f>
        <v/>
      </c>
      <c r="AP701" s="176" t="str">
        <f>IFERROR(BASE_DATOS[[#This Row],[Kilómetros Rodados]]/(BASE_DATOS[[#This Row],[NSK Original]]-BASE_DATOS[[#This Row],[NSK]]),"")</f>
        <v/>
      </c>
      <c r="AQ70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01" s="177" t="str">
        <f>IFERROR(BASE_DATOS[[#This Row],[Precio US$]]/BASE_DATOS[[#This Row],[Kilómetros Proy.]],"")</f>
        <v/>
      </c>
      <c r="AS701" s="167" t="s">
        <v>62</v>
      </c>
      <c r="AT701" s="167"/>
      <c r="AU701" s="167"/>
      <c r="AV701" s="167"/>
      <c r="AW701" s="179"/>
      <c r="AX701" s="179"/>
      <c r="AY701" s="179" t="str">
        <f>CONCATENATE(BASE_DATOS[[#This Row],[Código_U]]&amp;BASE_DATOS[[#This Row],[Pos.]]&amp;BASE_DATOS[[#This Row],[Situación Actual]])</f>
        <v>TC-2583Rodando</v>
      </c>
    </row>
    <row r="702" spans="1:51" ht="12" x14ac:dyDescent="0.25">
      <c r="A702" s="223" t="s">
        <v>420</v>
      </c>
      <c r="B702" s="217" t="s">
        <v>255</v>
      </c>
      <c r="C702" s="228" t="s">
        <v>296</v>
      </c>
      <c r="D702" s="229" t="s">
        <v>61</v>
      </c>
      <c r="E702" s="255"/>
      <c r="F702" s="256" t="s">
        <v>273</v>
      </c>
      <c r="G702" s="256" t="s">
        <v>271</v>
      </c>
      <c r="H702" s="257" t="str">
        <f>IF(BASE_DATOS[[#This Row],[N-R]]="N",BASE_DATOS[[#This Row],[Diseño]],"Reencauche")</f>
        <v>XMULTI2D</v>
      </c>
      <c r="I702" s="256" t="s">
        <v>299</v>
      </c>
      <c r="J702" s="243" t="s">
        <v>72</v>
      </c>
      <c r="K702" s="258">
        <v>21.4</v>
      </c>
      <c r="L702" s="241">
        <v>110</v>
      </c>
      <c r="M702" s="259"/>
      <c r="N702" s="260"/>
      <c r="O702" s="277"/>
      <c r="P702" s="278"/>
      <c r="Q702" s="279"/>
      <c r="R702" s="309" t="s">
        <v>101</v>
      </c>
      <c r="S702" s="310">
        <v>45385</v>
      </c>
      <c r="T702" s="311"/>
      <c r="U702" s="312"/>
      <c r="V702" s="227">
        <v>13</v>
      </c>
      <c r="W702" s="281"/>
      <c r="X702" s="282">
        <v>13</v>
      </c>
      <c r="Y702" s="293">
        <f t="shared" si="30"/>
        <v>13</v>
      </c>
      <c r="Z702" s="161" t="s">
        <v>73</v>
      </c>
      <c r="AA702" s="342">
        <f>IFERROR(BASE_DATOS[[#This Row],[NSK Original]]-BASE_DATOS[[#This Row],[NSK]]," ")</f>
        <v>8.3999999999999986</v>
      </c>
      <c r="AB702" s="343">
        <f>'NSK-TRACTO'!$A$2</f>
        <v>6</v>
      </c>
      <c r="AC702" s="343">
        <f>IF(BASE_DATOS[[#This Row],[NSK]]&gt;=BASE_DATOS[[#This Row],[NSK Reen]],BASE_DATOS[[#This Row],[NSK Reen]],BASE_DATOS[[#This Row],[NSK]])</f>
        <v>6</v>
      </c>
      <c r="AD702" s="344">
        <f>IFERROR(100%-(BASE_DATOS[[#This Row],[NSK Reen]]/BASE_DATOS[[#This Row],[NSK Original]]),"")</f>
        <v>0.71962616822429903</v>
      </c>
      <c r="AE702" s="344">
        <f>IFERROR(100%-BASE_DATOS[[#This Row],[NSK]]/BASE_DATOS[[#This Row],[NSK Original]],"")</f>
        <v>0.39252336448598124</v>
      </c>
      <c r="AF702" s="344">
        <f>IFERROR(BASE_DATOS[[#This Row],[% Max Des.]]-BASE_DATOS[[#This Row],[% Des]],"")</f>
        <v>0.32710280373831779</v>
      </c>
      <c r="AG702" s="287"/>
      <c r="AH702" s="273"/>
      <c r="AI702" s="363" t="str">
        <f>IF(OR(BASE_DATOS[[#This Row],[Hr.]]="",BASE_DATOS[[#This Row],[Hr. Actual]]=""),"",BASE_DATOS[[#This Row],[Hr. Actual]]-BASE_DATOS[[#This Row],[Hr.]]+BASE_DATOS[[#This Row],[Horas Acumuladas]])</f>
        <v/>
      </c>
      <c r="AJ702" s="364" t="str">
        <f>IFERROR(BASE_DATOS[[#This Row],[Precio US$]]/BASE_DATOS[[#This Row],[Horas Rodadas]],"")</f>
        <v/>
      </c>
      <c r="AK702" s="365" t="str">
        <f>IFERROR(BASE_DATOS[[#This Row],[Horas Rodadas]]/(BASE_DATOS[[#This Row],[NSK Original]]-BASE_DATOS[[#This Row],[NSK]]),"")</f>
        <v/>
      </c>
      <c r="AL70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02" s="366" t="str">
        <f>IFERROR(BASE_DATOS[[#This Row],[Precio US$]]/BASE_DATOS[[#This Row],[Horas Proy.]],"")</f>
        <v/>
      </c>
      <c r="AN702" s="176" t="str">
        <f>IF(OR(BASE_DATOS[[#This Row],[Km.]]="",BASE_DATOS[[#This Row],[Km. Actual]]=""),"",BASE_DATOS[[#This Row],[Km. Actual]]-BASE_DATOS[[#This Row],[Km.]]+BASE_DATOS[[#This Row],[Kilómetros Acumulados]])</f>
        <v/>
      </c>
      <c r="AO702" s="177" t="str">
        <f>IFERROR(BASE_DATOS[[#This Row],[Precio US$]]/BASE_DATOS[[#This Row],[Kilómetros Rodados]],"")</f>
        <v/>
      </c>
      <c r="AP702" s="176" t="str">
        <f>IFERROR(BASE_DATOS[[#This Row],[Kilómetros Rodados]]/(BASE_DATOS[[#This Row],[NSK Original]]-BASE_DATOS[[#This Row],[NSK]]),"")</f>
        <v/>
      </c>
      <c r="AQ70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02" s="177" t="str">
        <f>IFERROR(BASE_DATOS[[#This Row],[Precio US$]]/BASE_DATOS[[#This Row],[Kilómetros Proy.]],"")</f>
        <v/>
      </c>
      <c r="AS702" s="167" t="s">
        <v>62</v>
      </c>
      <c r="AT702" s="167"/>
      <c r="AU702" s="167"/>
      <c r="AV702" s="167"/>
      <c r="AW702" s="179"/>
      <c r="AX702" s="179"/>
      <c r="AY702" s="179" t="str">
        <f>CONCATENATE(BASE_DATOS[[#This Row],[Código_U]]&amp;BASE_DATOS[[#This Row],[Pos.]]&amp;BASE_DATOS[[#This Row],[Situación Actual]])</f>
        <v>TC-2584Rodando</v>
      </c>
    </row>
    <row r="703" spans="1:51" ht="12" x14ac:dyDescent="0.25">
      <c r="A703" s="223" t="s">
        <v>420</v>
      </c>
      <c r="B703" s="217" t="s">
        <v>255</v>
      </c>
      <c r="C703" s="228" t="s">
        <v>296</v>
      </c>
      <c r="D703" s="229" t="s">
        <v>61</v>
      </c>
      <c r="E703" s="255"/>
      <c r="F703" s="256" t="s">
        <v>273</v>
      </c>
      <c r="G703" s="256" t="s">
        <v>271</v>
      </c>
      <c r="H703" s="257" t="str">
        <f>IF(BASE_DATOS[[#This Row],[N-R]]="N",BASE_DATOS[[#This Row],[Diseño]],"Reencauche")</f>
        <v>XMULTI2D</v>
      </c>
      <c r="I703" s="256" t="s">
        <v>299</v>
      </c>
      <c r="J703" s="243" t="s">
        <v>72</v>
      </c>
      <c r="K703" s="258">
        <v>21.4</v>
      </c>
      <c r="L703" s="241">
        <v>110</v>
      </c>
      <c r="M703" s="259"/>
      <c r="N703" s="260"/>
      <c r="O703" s="277"/>
      <c r="P703" s="278"/>
      <c r="Q703" s="279"/>
      <c r="R703" s="309" t="s">
        <v>102</v>
      </c>
      <c r="S703" s="310">
        <v>45385</v>
      </c>
      <c r="T703" s="311"/>
      <c r="U703" s="312"/>
      <c r="V703" s="227">
        <v>12</v>
      </c>
      <c r="W703" s="281"/>
      <c r="X703" s="282">
        <v>13</v>
      </c>
      <c r="Y703" s="293">
        <f t="shared" si="30"/>
        <v>12</v>
      </c>
      <c r="Z703" s="161" t="s">
        <v>85</v>
      </c>
      <c r="AA703" s="342">
        <f>IFERROR(BASE_DATOS[[#This Row],[NSK Original]]-BASE_DATOS[[#This Row],[NSK]]," ")</f>
        <v>9.3999999999999986</v>
      </c>
      <c r="AB703" s="343">
        <f>'NSK-TRACTO'!$A$2</f>
        <v>6</v>
      </c>
      <c r="AC703" s="343">
        <f>IF(BASE_DATOS[[#This Row],[NSK]]&gt;=BASE_DATOS[[#This Row],[NSK Reen]],BASE_DATOS[[#This Row],[NSK Reen]],BASE_DATOS[[#This Row],[NSK]])</f>
        <v>6</v>
      </c>
      <c r="AD703" s="344">
        <f>IFERROR(100%-(BASE_DATOS[[#This Row],[NSK Reen]]/BASE_DATOS[[#This Row],[NSK Original]]),"")</f>
        <v>0.71962616822429903</v>
      </c>
      <c r="AE703" s="344">
        <f>IFERROR(100%-BASE_DATOS[[#This Row],[NSK]]/BASE_DATOS[[#This Row],[NSK Original]],"")</f>
        <v>0.43925233644859807</v>
      </c>
      <c r="AF703" s="344">
        <f>IFERROR(BASE_DATOS[[#This Row],[% Max Des.]]-BASE_DATOS[[#This Row],[% Des]],"")</f>
        <v>0.28037383177570097</v>
      </c>
      <c r="AG703" s="287"/>
      <c r="AH703" s="273"/>
      <c r="AI703" s="363" t="str">
        <f>IF(OR(BASE_DATOS[[#This Row],[Hr.]]="",BASE_DATOS[[#This Row],[Hr. Actual]]=""),"",BASE_DATOS[[#This Row],[Hr. Actual]]-BASE_DATOS[[#This Row],[Hr.]]+BASE_DATOS[[#This Row],[Horas Acumuladas]])</f>
        <v/>
      </c>
      <c r="AJ703" s="364" t="str">
        <f>IFERROR(BASE_DATOS[[#This Row],[Precio US$]]/BASE_DATOS[[#This Row],[Horas Rodadas]],"")</f>
        <v/>
      </c>
      <c r="AK703" s="365" t="str">
        <f>IFERROR(BASE_DATOS[[#This Row],[Horas Rodadas]]/(BASE_DATOS[[#This Row],[NSK Original]]-BASE_DATOS[[#This Row],[NSK]]),"")</f>
        <v/>
      </c>
      <c r="AL70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03" s="366" t="str">
        <f>IFERROR(BASE_DATOS[[#This Row],[Precio US$]]/BASE_DATOS[[#This Row],[Horas Proy.]],"")</f>
        <v/>
      </c>
      <c r="AN703" s="176" t="str">
        <f>IF(OR(BASE_DATOS[[#This Row],[Km.]]="",BASE_DATOS[[#This Row],[Km. Actual]]=""),"",BASE_DATOS[[#This Row],[Km. Actual]]-BASE_DATOS[[#This Row],[Km.]]+BASE_DATOS[[#This Row],[Kilómetros Acumulados]])</f>
        <v/>
      </c>
      <c r="AO703" s="177" t="str">
        <f>IFERROR(BASE_DATOS[[#This Row],[Precio US$]]/BASE_DATOS[[#This Row],[Kilómetros Rodados]],"")</f>
        <v/>
      </c>
      <c r="AP703" s="176" t="str">
        <f>IFERROR(BASE_DATOS[[#This Row],[Kilómetros Rodados]]/(BASE_DATOS[[#This Row],[NSK Original]]-BASE_DATOS[[#This Row],[NSK]]),"")</f>
        <v/>
      </c>
      <c r="AQ70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03" s="177" t="str">
        <f>IFERROR(BASE_DATOS[[#This Row],[Precio US$]]/BASE_DATOS[[#This Row],[Kilómetros Proy.]],"")</f>
        <v/>
      </c>
      <c r="AS703" s="167" t="s">
        <v>62</v>
      </c>
      <c r="AT703" s="167"/>
      <c r="AU703" s="167"/>
      <c r="AV703" s="167"/>
      <c r="AW703" s="179"/>
      <c r="AX703" s="179"/>
      <c r="AY703" s="179" t="str">
        <f>CONCATENATE(BASE_DATOS[[#This Row],[Código_U]]&amp;BASE_DATOS[[#This Row],[Pos.]]&amp;BASE_DATOS[[#This Row],[Situación Actual]])</f>
        <v>TC-2585Rodando</v>
      </c>
    </row>
    <row r="704" spans="1:51" ht="12" x14ac:dyDescent="0.25">
      <c r="A704" s="223" t="s">
        <v>420</v>
      </c>
      <c r="B704" s="217" t="s">
        <v>255</v>
      </c>
      <c r="C704" s="228" t="s">
        <v>296</v>
      </c>
      <c r="D704" s="229" t="s">
        <v>61</v>
      </c>
      <c r="E704" s="255"/>
      <c r="F704" s="256" t="s">
        <v>273</v>
      </c>
      <c r="G704" s="256" t="s">
        <v>271</v>
      </c>
      <c r="H704" s="257" t="str">
        <f>IF(BASE_DATOS[[#This Row],[N-R]]="N",BASE_DATOS[[#This Row],[Diseño]],"Reencauche")</f>
        <v>XMULTI2D</v>
      </c>
      <c r="I704" s="256" t="s">
        <v>299</v>
      </c>
      <c r="J704" s="243" t="s">
        <v>72</v>
      </c>
      <c r="K704" s="258">
        <v>21.4</v>
      </c>
      <c r="L704" s="241">
        <v>110</v>
      </c>
      <c r="M704" s="259"/>
      <c r="N704" s="260"/>
      <c r="O704" s="277"/>
      <c r="P704" s="278"/>
      <c r="Q704" s="279"/>
      <c r="R704" s="309" t="s">
        <v>103</v>
      </c>
      <c r="S704" s="310">
        <v>45385</v>
      </c>
      <c r="T704" s="311"/>
      <c r="U704" s="312"/>
      <c r="V704" s="227">
        <v>12</v>
      </c>
      <c r="W704" s="281"/>
      <c r="X704" s="282">
        <v>13</v>
      </c>
      <c r="Y704" s="293">
        <f t="shared" si="30"/>
        <v>12</v>
      </c>
      <c r="Z704" s="161" t="s">
        <v>85</v>
      </c>
      <c r="AA704" s="342">
        <f>IFERROR(BASE_DATOS[[#This Row],[NSK Original]]-BASE_DATOS[[#This Row],[NSK]]," ")</f>
        <v>9.3999999999999986</v>
      </c>
      <c r="AB704" s="343">
        <f>'NSK-TRACTO'!$A$2</f>
        <v>6</v>
      </c>
      <c r="AC704" s="343">
        <f>IF(BASE_DATOS[[#This Row],[NSK]]&gt;=BASE_DATOS[[#This Row],[NSK Reen]],BASE_DATOS[[#This Row],[NSK Reen]],BASE_DATOS[[#This Row],[NSK]])</f>
        <v>6</v>
      </c>
      <c r="AD704" s="344">
        <f>IFERROR(100%-(BASE_DATOS[[#This Row],[NSK Reen]]/BASE_DATOS[[#This Row],[NSK Original]]),"")</f>
        <v>0.71962616822429903</v>
      </c>
      <c r="AE704" s="344">
        <f>IFERROR(100%-BASE_DATOS[[#This Row],[NSK]]/BASE_DATOS[[#This Row],[NSK Original]],"")</f>
        <v>0.43925233644859807</v>
      </c>
      <c r="AF704" s="344">
        <f>IFERROR(BASE_DATOS[[#This Row],[% Max Des.]]-BASE_DATOS[[#This Row],[% Des]],"")</f>
        <v>0.28037383177570097</v>
      </c>
      <c r="AG704" s="287"/>
      <c r="AH704" s="273"/>
      <c r="AI704" s="363" t="str">
        <f>IF(OR(BASE_DATOS[[#This Row],[Hr.]]="",BASE_DATOS[[#This Row],[Hr. Actual]]=""),"",BASE_DATOS[[#This Row],[Hr. Actual]]-BASE_DATOS[[#This Row],[Hr.]]+BASE_DATOS[[#This Row],[Horas Acumuladas]])</f>
        <v/>
      </c>
      <c r="AJ704" s="364" t="str">
        <f>IFERROR(BASE_DATOS[[#This Row],[Precio US$]]/BASE_DATOS[[#This Row],[Horas Rodadas]],"")</f>
        <v/>
      </c>
      <c r="AK704" s="365" t="str">
        <f>IFERROR(BASE_DATOS[[#This Row],[Horas Rodadas]]/(BASE_DATOS[[#This Row],[NSK Original]]-BASE_DATOS[[#This Row],[NSK]]),"")</f>
        <v/>
      </c>
      <c r="AL70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04" s="366" t="str">
        <f>IFERROR(BASE_DATOS[[#This Row],[Precio US$]]/BASE_DATOS[[#This Row],[Horas Proy.]],"")</f>
        <v/>
      </c>
      <c r="AN704" s="176" t="str">
        <f>IF(OR(BASE_DATOS[[#This Row],[Km.]]="",BASE_DATOS[[#This Row],[Km. Actual]]=""),"",BASE_DATOS[[#This Row],[Km. Actual]]-BASE_DATOS[[#This Row],[Km.]]+BASE_DATOS[[#This Row],[Kilómetros Acumulados]])</f>
        <v/>
      </c>
      <c r="AO704" s="177" t="str">
        <f>IFERROR(BASE_DATOS[[#This Row],[Precio US$]]/BASE_DATOS[[#This Row],[Kilómetros Rodados]],"")</f>
        <v/>
      </c>
      <c r="AP704" s="176" t="str">
        <f>IFERROR(BASE_DATOS[[#This Row],[Kilómetros Rodados]]/(BASE_DATOS[[#This Row],[NSK Original]]-BASE_DATOS[[#This Row],[NSK]]),"")</f>
        <v/>
      </c>
      <c r="AQ70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04" s="177" t="str">
        <f>IFERROR(BASE_DATOS[[#This Row],[Precio US$]]/BASE_DATOS[[#This Row],[Kilómetros Proy.]],"")</f>
        <v/>
      </c>
      <c r="AS704" s="167" t="s">
        <v>62</v>
      </c>
      <c r="AT704" s="167"/>
      <c r="AU704" s="167"/>
      <c r="AV704" s="167"/>
      <c r="AW704" s="179"/>
      <c r="AX704" s="179"/>
      <c r="AY704" s="179" t="str">
        <f>CONCATENATE(BASE_DATOS[[#This Row],[Código_U]]&amp;BASE_DATOS[[#This Row],[Pos.]]&amp;BASE_DATOS[[#This Row],[Situación Actual]])</f>
        <v>TC-2586Rodando</v>
      </c>
    </row>
    <row r="705" spans="1:51" ht="12" x14ac:dyDescent="0.25">
      <c r="A705" s="223" t="s">
        <v>420</v>
      </c>
      <c r="B705" s="217" t="s">
        <v>255</v>
      </c>
      <c r="C705" s="228" t="s">
        <v>296</v>
      </c>
      <c r="D705" s="229" t="s">
        <v>61</v>
      </c>
      <c r="E705" s="255"/>
      <c r="F705" s="256" t="s">
        <v>273</v>
      </c>
      <c r="G705" s="256" t="s">
        <v>271</v>
      </c>
      <c r="H705" s="257" t="str">
        <f>IF(BASE_DATOS[[#This Row],[N-R]]="N",BASE_DATOS[[#This Row],[Diseño]],"Reencauche")</f>
        <v>XMULTI2D</v>
      </c>
      <c r="I705" s="256" t="s">
        <v>299</v>
      </c>
      <c r="J705" s="243" t="s">
        <v>72</v>
      </c>
      <c r="K705" s="258">
        <v>21.4</v>
      </c>
      <c r="L705" s="241">
        <v>110</v>
      </c>
      <c r="M705" s="259"/>
      <c r="N705" s="260"/>
      <c r="O705" s="277"/>
      <c r="P705" s="278"/>
      <c r="Q705" s="279"/>
      <c r="R705" s="309" t="s">
        <v>104</v>
      </c>
      <c r="S705" s="310">
        <v>45385</v>
      </c>
      <c r="T705" s="311"/>
      <c r="U705" s="312"/>
      <c r="V705" s="227">
        <v>12</v>
      </c>
      <c r="W705" s="281"/>
      <c r="X705" s="282">
        <v>12</v>
      </c>
      <c r="Y705" s="293">
        <f t="shared" si="30"/>
        <v>12</v>
      </c>
      <c r="Z705" s="161" t="s">
        <v>85</v>
      </c>
      <c r="AA705" s="342">
        <f>IFERROR(BASE_DATOS[[#This Row],[NSK Original]]-BASE_DATOS[[#This Row],[NSK]]," ")</f>
        <v>9.3999999999999986</v>
      </c>
      <c r="AB705" s="343">
        <f>'NSK-TRACTO'!$A$2</f>
        <v>6</v>
      </c>
      <c r="AC705" s="343">
        <f>IF(BASE_DATOS[[#This Row],[NSK]]&gt;=BASE_DATOS[[#This Row],[NSK Reen]],BASE_DATOS[[#This Row],[NSK Reen]],BASE_DATOS[[#This Row],[NSK]])</f>
        <v>6</v>
      </c>
      <c r="AD705" s="344">
        <f>IFERROR(100%-(BASE_DATOS[[#This Row],[NSK Reen]]/BASE_DATOS[[#This Row],[NSK Original]]),"")</f>
        <v>0.71962616822429903</v>
      </c>
      <c r="AE705" s="344">
        <f>IFERROR(100%-BASE_DATOS[[#This Row],[NSK]]/BASE_DATOS[[#This Row],[NSK Original]],"")</f>
        <v>0.43925233644859807</v>
      </c>
      <c r="AF705" s="344">
        <f>IFERROR(BASE_DATOS[[#This Row],[% Max Des.]]-BASE_DATOS[[#This Row],[% Des]],"")</f>
        <v>0.28037383177570097</v>
      </c>
      <c r="AG705" s="287"/>
      <c r="AH705" s="273"/>
      <c r="AI705" s="363" t="str">
        <f>IF(OR(BASE_DATOS[[#This Row],[Hr.]]="",BASE_DATOS[[#This Row],[Hr. Actual]]=""),"",BASE_DATOS[[#This Row],[Hr. Actual]]-BASE_DATOS[[#This Row],[Hr.]]+BASE_DATOS[[#This Row],[Horas Acumuladas]])</f>
        <v/>
      </c>
      <c r="AJ705" s="364" t="str">
        <f>IFERROR(BASE_DATOS[[#This Row],[Precio US$]]/BASE_DATOS[[#This Row],[Horas Rodadas]],"")</f>
        <v/>
      </c>
      <c r="AK705" s="365" t="str">
        <f>IFERROR(BASE_DATOS[[#This Row],[Horas Rodadas]]/(BASE_DATOS[[#This Row],[NSK Original]]-BASE_DATOS[[#This Row],[NSK]]),"")</f>
        <v/>
      </c>
      <c r="AL70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05" s="366" t="str">
        <f>IFERROR(BASE_DATOS[[#This Row],[Precio US$]]/BASE_DATOS[[#This Row],[Horas Proy.]],"")</f>
        <v/>
      </c>
      <c r="AN705" s="176" t="str">
        <f>IF(OR(BASE_DATOS[[#This Row],[Km.]]="",BASE_DATOS[[#This Row],[Km. Actual]]=""),"",BASE_DATOS[[#This Row],[Km. Actual]]-BASE_DATOS[[#This Row],[Km.]]+BASE_DATOS[[#This Row],[Kilómetros Acumulados]])</f>
        <v/>
      </c>
      <c r="AO705" s="177" t="str">
        <f>IFERROR(BASE_DATOS[[#This Row],[Precio US$]]/BASE_DATOS[[#This Row],[Kilómetros Rodados]],"")</f>
        <v/>
      </c>
      <c r="AP705" s="176" t="str">
        <f>IFERROR(BASE_DATOS[[#This Row],[Kilómetros Rodados]]/(BASE_DATOS[[#This Row],[NSK Original]]-BASE_DATOS[[#This Row],[NSK]]),"")</f>
        <v/>
      </c>
      <c r="AQ70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05" s="177" t="str">
        <f>IFERROR(BASE_DATOS[[#This Row],[Precio US$]]/BASE_DATOS[[#This Row],[Kilómetros Proy.]],"")</f>
        <v/>
      </c>
      <c r="AS705" s="167" t="s">
        <v>62</v>
      </c>
      <c r="AT705" s="167"/>
      <c r="AU705" s="167"/>
      <c r="AV705" s="167"/>
      <c r="AW705" s="179"/>
      <c r="AX705" s="179"/>
      <c r="AY705" s="179" t="str">
        <f>CONCATENATE(BASE_DATOS[[#This Row],[Código_U]]&amp;BASE_DATOS[[#This Row],[Pos.]]&amp;BASE_DATOS[[#This Row],[Situación Actual]])</f>
        <v>TC-2587Rodando</v>
      </c>
    </row>
    <row r="706" spans="1:51" ht="12" x14ac:dyDescent="0.25">
      <c r="A706" s="223" t="s">
        <v>420</v>
      </c>
      <c r="B706" s="217" t="s">
        <v>255</v>
      </c>
      <c r="C706" s="228" t="s">
        <v>296</v>
      </c>
      <c r="D706" s="229" t="s">
        <v>61</v>
      </c>
      <c r="E706" s="255"/>
      <c r="F706" s="256" t="s">
        <v>273</v>
      </c>
      <c r="G706" s="256" t="s">
        <v>271</v>
      </c>
      <c r="H706" s="257" t="str">
        <f>IF(BASE_DATOS[[#This Row],[N-R]]="N",BASE_DATOS[[#This Row],[Diseño]],"Reencauche")</f>
        <v>XMULTI2D</v>
      </c>
      <c r="I706" s="256" t="s">
        <v>299</v>
      </c>
      <c r="J706" s="243" t="s">
        <v>72</v>
      </c>
      <c r="K706" s="258">
        <v>21.4</v>
      </c>
      <c r="L706" s="241">
        <v>110</v>
      </c>
      <c r="M706" s="259"/>
      <c r="N706" s="260"/>
      <c r="O706" s="277"/>
      <c r="P706" s="278"/>
      <c r="Q706" s="279"/>
      <c r="R706" s="309" t="s">
        <v>105</v>
      </c>
      <c r="S706" s="310">
        <v>45385</v>
      </c>
      <c r="T706" s="311"/>
      <c r="U706" s="312"/>
      <c r="V706" s="227">
        <v>12</v>
      </c>
      <c r="W706" s="281"/>
      <c r="X706" s="282">
        <v>12</v>
      </c>
      <c r="Y706" s="293">
        <f t="shared" si="30"/>
        <v>12</v>
      </c>
      <c r="Z706" s="161" t="s">
        <v>85</v>
      </c>
      <c r="AA706" s="342">
        <f>IFERROR(BASE_DATOS[[#This Row],[NSK Original]]-BASE_DATOS[[#This Row],[NSK]]," ")</f>
        <v>9.3999999999999986</v>
      </c>
      <c r="AB706" s="343">
        <f>'NSK-TRACTO'!$A$2</f>
        <v>6</v>
      </c>
      <c r="AC706" s="343">
        <f>IF(BASE_DATOS[[#This Row],[NSK]]&gt;=BASE_DATOS[[#This Row],[NSK Reen]],BASE_DATOS[[#This Row],[NSK Reen]],BASE_DATOS[[#This Row],[NSK]])</f>
        <v>6</v>
      </c>
      <c r="AD706" s="344">
        <f>IFERROR(100%-(BASE_DATOS[[#This Row],[NSK Reen]]/BASE_DATOS[[#This Row],[NSK Original]]),"")</f>
        <v>0.71962616822429903</v>
      </c>
      <c r="AE706" s="344">
        <f>IFERROR(100%-BASE_DATOS[[#This Row],[NSK]]/BASE_DATOS[[#This Row],[NSK Original]],"")</f>
        <v>0.43925233644859807</v>
      </c>
      <c r="AF706" s="344">
        <f>IFERROR(BASE_DATOS[[#This Row],[% Max Des.]]-BASE_DATOS[[#This Row],[% Des]],"")</f>
        <v>0.28037383177570097</v>
      </c>
      <c r="AG706" s="287"/>
      <c r="AH706" s="273"/>
      <c r="AI706" s="363" t="str">
        <f>IF(OR(BASE_DATOS[[#This Row],[Hr.]]="",BASE_DATOS[[#This Row],[Hr. Actual]]=""),"",BASE_DATOS[[#This Row],[Hr. Actual]]-BASE_DATOS[[#This Row],[Hr.]]+BASE_DATOS[[#This Row],[Horas Acumuladas]])</f>
        <v/>
      </c>
      <c r="AJ706" s="364" t="str">
        <f>IFERROR(BASE_DATOS[[#This Row],[Precio US$]]/BASE_DATOS[[#This Row],[Horas Rodadas]],"")</f>
        <v/>
      </c>
      <c r="AK706" s="365" t="str">
        <f>IFERROR(BASE_DATOS[[#This Row],[Horas Rodadas]]/(BASE_DATOS[[#This Row],[NSK Original]]-BASE_DATOS[[#This Row],[NSK]]),"")</f>
        <v/>
      </c>
      <c r="AL70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06" s="366" t="str">
        <f>IFERROR(BASE_DATOS[[#This Row],[Precio US$]]/BASE_DATOS[[#This Row],[Horas Proy.]],"")</f>
        <v/>
      </c>
      <c r="AN706" s="176" t="str">
        <f>IF(OR(BASE_DATOS[[#This Row],[Km.]]="",BASE_DATOS[[#This Row],[Km. Actual]]=""),"",BASE_DATOS[[#This Row],[Km. Actual]]-BASE_DATOS[[#This Row],[Km.]]+BASE_DATOS[[#This Row],[Kilómetros Acumulados]])</f>
        <v/>
      </c>
      <c r="AO706" s="177" t="str">
        <f>IFERROR(BASE_DATOS[[#This Row],[Precio US$]]/BASE_DATOS[[#This Row],[Kilómetros Rodados]],"")</f>
        <v/>
      </c>
      <c r="AP706" s="176" t="str">
        <f>IFERROR(BASE_DATOS[[#This Row],[Kilómetros Rodados]]/(BASE_DATOS[[#This Row],[NSK Original]]-BASE_DATOS[[#This Row],[NSK]]),"")</f>
        <v/>
      </c>
      <c r="AQ70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06" s="177" t="str">
        <f>IFERROR(BASE_DATOS[[#This Row],[Precio US$]]/BASE_DATOS[[#This Row],[Kilómetros Proy.]],"")</f>
        <v/>
      </c>
      <c r="AS706" s="167" t="s">
        <v>62</v>
      </c>
      <c r="AT706" s="167"/>
      <c r="AU706" s="167"/>
      <c r="AV706" s="167"/>
      <c r="AW706" s="179"/>
      <c r="AX706" s="179"/>
      <c r="AY706" s="179" t="str">
        <f>CONCATENATE(BASE_DATOS[[#This Row],[Código_U]]&amp;BASE_DATOS[[#This Row],[Pos.]]&amp;BASE_DATOS[[#This Row],[Situación Actual]])</f>
        <v>TC-2588Rodando</v>
      </c>
    </row>
    <row r="707" spans="1:51" ht="12" x14ac:dyDescent="0.25">
      <c r="A707" s="223" t="s">
        <v>420</v>
      </c>
      <c r="B707" s="217" t="s">
        <v>255</v>
      </c>
      <c r="C707" s="228" t="s">
        <v>296</v>
      </c>
      <c r="D707" s="229" t="s">
        <v>61</v>
      </c>
      <c r="E707" s="255"/>
      <c r="F707" s="256" t="s">
        <v>273</v>
      </c>
      <c r="G707" s="256" t="s">
        <v>271</v>
      </c>
      <c r="H707" s="257" t="str">
        <f>IF(BASE_DATOS[[#This Row],[N-R]]="N",BASE_DATOS[[#This Row],[Diseño]],"Reencauche")</f>
        <v>XMULTI2D</v>
      </c>
      <c r="I707" s="256" t="s">
        <v>299</v>
      </c>
      <c r="J707" s="243" t="s">
        <v>72</v>
      </c>
      <c r="K707" s="258">
        <v>21.4</v>
      </c>
      <c r="L707" s="241">
        <v>110</v>
      </c>
      <c r="M707" s="259"/>
      <c r="N707" s="260"/>
      <c r="O707" s="277"/>
      <c r="P707" s="278"/>
      <c r="Q707" s="279"/>
      <c r="R707" s="309" t="s">
        <v>106</v>
      </c>
      <c r="S707" s="310">
        <v>45385</v>
      </c>
      <c r="T707" s="311"/>
      <c r="U707" s="312"/>
      <c r="V707" s="227">
        <v>10</v>
      </c>
      <c r="W707" s="281"/>
      <c r="X707" s="282">
        <v>11</v>
      </c>
      <c r="Y707" s="293">
        <f t="shared" si="30"/>
        <v>10</v>
      </c>
      <c r="Z707" s="175" t="s">
        <v>85</v>
      </c>
      <c r="AA707" s="342">
        <f>IFERROR(BASE_DATOS[[#This Row],[NSK Original]]-BASE_DATOS[[#This Row],[NSK]]," ")</f>
        <v>11.399999999999999</v>
      </c>
      <c r="AB707" s="343">
        <f>'NSK-TRACTO'!$A$2</f>
        <v>6</v>
      </c>
      <c r="AC707" s="343">
        <f>IF(BASE_DATOS[[#This Row],[NSK]]&gt;=BASE_DATOS[[#This Row],[NSK Reen]],BASE_DATOS[[#This Row],[NSK Reen]],BASE_DATOS[[#This Row],[NSK]])</f>
        <v>6</v>
      </c>
      <c r="AD707" s="344">
        <f>IFERROR(100%-(BASE_DATOS[[#This Row],[NSK Reen]]/BASE_DATOS[[#This Row],[NSK Original]]),"")</f>
        <v>0.71962616822429903</v>
      </c>
      <c r="AE707" s="344">
        <f>IFERROR(100%-BASE_DATOS[[#This Row],[NSK]]/BASE_DATOS[[#This Row],[NSK Original]],"")</f>
        <v>0.53271028037383172</v>
      </c>
      <c r="AF707" s="344">
        <f>IFERROR(BASE_DATOS[[#This Row],[% Max Des.]]-BASE_DATOS[[#This Row],[% Des]],"")</f>
        <v>0.18691588785046731</v>
      </c>
      <c r="AG707" s="287"/>
      <c r="AH707" s="273"/>
      <c r="AI707" s="363" t="str">
        <f>IF(OR(BASE_DATOS[[#This Row],[Hr.]]="",BASE_DATOS[[#This Row],[Hr. Actual]]=""),"",BASE_DATOS[[#This Row],[Hr. Actual]]-BASE_DATOS[[#This Row],[Hr.]]+BASE_DATOS[[#This Row],[Horas Acumuladas]])</f>
        <v/>
      </c>
      <c r="AJ707" s="364" t="str">
        <f>IFERROR(BASE_DATOS[[#This Row],[Precio US$]]/BASE_DATOS[[#This Row],[Horas Rodadas]],"")</f>
        <v/>
      </c>
      <c r="AK707" s="365" t="str">
        <f>IFERROR(BASE_DATOS[[#This Row],[Horas Rodadas]]/(BASE_DATOS[[#This Row],[NSK Original]]-BASE_DATOS[[#This Row],[NSK]]),"")</f>
        <v/>
      </c>
      <c r="AL70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07" s="366" t="str">
        <f>IFERROR(BASE_DATOS[[#This Row],[Precio US$]]/BASE_DATOS[[#This Row],[Horas Proy.]],"")</f>
        <v/>
      </c>
      <c r="AN707" s="176" t="str">
        <f>IF(OR(BASE_DATOS[[#This Row],[Km.]]="",BASE_DATOS[[#This Row],[Km. Actual]]=""),"",BASE_DATOS[[#This Row],[Km. Actual]]-BASE_DATOS[[#This Row],[Km.]]+BASE_DATOS[[#This Row],[Kilómetros Acumulados]])</f>
        <v/>
      </c>
      <c r="AO707" s="177" t="str">
        <f>IFERROR(BASE_DATOS[[#This Row],[Precio US$]]/BASE_DATOS[[#This Row],[Kilómetros Rodados]],"")</f>
        <v/>
      </c>
      <c r="AP707" s="176" t="str">
        <f>IFERROR(BASE_DATOS[[#This Row],[Kilómetros Rodados]]/(BASE_DATOS[[#This Row],[NSK Original]]-BASE_DATOS[[#This Row],[NSK]]),"")</f>
        <v/>
      </c>
      <c r="AQ70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07" s="177" t="str">
        <f>IFERROR(BASE_DATOS[[#This Row],[Precio US$]]/BASE_DATOS[[#This Row],[Kilómetros Proy.]],"")</f>
        <v/>
      </c>
      <c r="AS707" s="167" t="s">
        <v>62</v>
      </c>
      <c r="AT707" s="167"/>
      <c r="AU707" s="167"/>
      <c r="AV707" s="167"/>
      <c r="AW707" s="179"/>
      <c r="AX707" s="179"/>
      <c r="AY707" s="179" t="str">
        <f>CONCATENATE(BASE_DATOS[[#This Row],[Código_U]]&amp;BASE_DATOS[[#This Row],[Pos.]]&amp;BASE_DATOS[[#This Row],[Situación Actual]])</f>
        <v>TC-2589Rodando</v>
      </c>
    </row>
    <row r="708" spans="1:51" ht="12" x14ac:dyDescent="0.25">
      <c r="A708" s="223" t="s">
        <v>420</v>
      </c>
      <c r="B708" s="217" t="s">
        <v>255</v>
      </c>
      <c r="C708" s="228" t="s">
        <v>296</v>
      </c>
      <c r="D708" s="229" t="s">
        <v>61</v>
      </c>
      <c r="E708" s="255"/>
      <c r="F708" s="256" t="s">
        <v>273</v>
      </c>
      <c r="G708" s="256" t="s">
        <v>271</v>
      </c>
      <c r="H708" s="257" t="str">
        <f>IF(BASE_DATOS[[#This Row],[N-R]]="N",BASE_DATOS[[#This Row],[Diseño]],"Reencauche")</f>
        <v>XMULTI2D</v>
      </c>
      <c r="I708" s="256" t="s">
        <v>299</v>
      </c>
      <c r="J708" s="243" t="s">
        <v>72</v>
      </c>
      <c r="K708" s="258">
        <v>21.4</v>
      </c>
      <c r="L708" s="241">
        <v>110</v>
      </c>
      <c r="M708" s="259"/>
      <c r="N708" s="260"/>
      <c r="O708" s="277"/>
      <c r="P708" s="278"/>
      <c r="Q708" s="279"/>
      <c r="R708" s="309" t="s">
        <v>107</v>
      </c>
      <c r="S708" s="310">
        <v>45385</v>
      </c>
      <c r="T708" s="311"/>
      <c r="U708" s="312"/>
      <c r="V708" s="227">
        <v>10</v>
      </c>
      <c r="W708" s="281"/>
      <c r="X708" s="282">
        <v>11</v>
      </c>
      <c r="Y708" s="293">
        <f t="shared" si="30"/>
        <v>10</v>
      </c>
      <c r="Z708" s="161" t="s">
        <v>73</v>
      </c>
      <c r="AA708" s="342">
        <f>IFERROR(BASE_DATOS[[#This Row],[NSK Original]]-BASE_DATOS[[#This Row],[NSK]]," ")</f>
        <v>11.399999999999999</v>
      </c>
      <c r="AB708" s="343">
        <f>'NSK-TRACTO'!$A$2</f>
        <v>6</v>
      </c>
      <c r="AC708" s="343">
        <f>IF(BASE_DATOS[[#This Row],[NSK]]&gt;=BASE_DATOS[[#This Row],[NSK Reen]],BASE_DATOS[[#This Row],[NSK Reen]],BASE_DATOS[[#This Row],[NSK]])</f>
        <v>6</v>
      </c>
      <c r="AD708" s="344">
        <f>IFERROR(100%-(BASE_DATOS[[#This Row],[NSK Reen]]/BASE_DATOS[[#This Row],[NSK Original]]),"")</f>
        <v>0.71962616822429903</v>
      </c>
      <c r="AE708" s="344">
        <f>IFERROR(100%-BASE_DATOS[[#This Row],[NSK]]/BASE_DATOS[[#This Row],[NSK Original]],"")</f>
        <v>0.53271028037383172</v>
      </c>
      <c r="AF708" s="344">
        <f>IFERROR(BASE_DATOS[[#This Row],[% Max Des.]]-BASE_DATOS[[#This Row],[% Des]],"")</f>
        <v>0.18691588785046731</v>
      </c>
      <c r="AG708" s="287"/>
      <c r="AH708" s="273"/>
      <c r="AI708" s="363" t="str">
        <f>IF(OR(BASE_DATOS[[#This Row],[Hr.]]="",BASE_DATOS[[#This Row],[Hr. Actual]]=""),"",BASE_DATOS[[#This Row],[Hr. Actual]]-BASE_DATOS[[#This Row],[Hr.]]+BASE_DATOS[[#This Row],[Horas Acumuladas]])</f>
        <v/>
      </c>
      <c r="AJ708" s="364" t="str">
        <f>IFERROR(BASE_DATOS[[#This Row],[Precio US$]]/BASE_DATOS[[#This Row],[Horas Rodadas]],"")</f>
        <v/>
      </c>
      <c r="AK708" s="365" t="str">
        <f>IFERROR(BASE_DATOS[[#This Row],[Horas Rodadas]]/(BASE_DATOS[[#This Row],[NSK Original]]-BASE_DATOS[[#This Row],[NSK]]),"")</f>
        <v/>
      </c>
      <c r="AL70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08" s="366" t="str">
        <f>IFERROR(BASE_DATOS[[#This Row],[Precio US$]]/BASE_DATOS[[#This Row],[Horas Proy.]],"")</f>
        <v/>
      </c>
      <c r="AN708" s="176" t="str">
        <f>IF(OR(BASE_DATOS[[#This Row],[Km.]]="",BASE_DATOS[[#This Row],[Km. Actual]]=""),"",BASE_DATOS[[#This Row],[Km. Actual]]-BASE_DATOS[[#This Row],[Km.]]+BASE_DATOS[[#This Row],[Kilómetros Acumulados]])</f>
        <v/>
      </c>
      <c r="AO708" s="177" t="str">
        <f>IFERROR(BASE_DATOS[[#This Row],[Precio US$]]/BASE_DATOS[[#This Row],[Kilómetros Rodados]],"")</f>
        <v/>
      </c>
      <c r="AP708" s="176" t="str">
        <f>IFERROR(BASE_DATOS[[#This Row],[Kilómetros Rodados]]/(BASE_DATOS[[#This Row],[NSK Original]]-BASE_DATOS[[#This Row],[NSK]]),"")</f>
        <v/>
      </c>
      <c r="AQ70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08" s="177" t="str">
        <f>IFERROR(BASE_DATOS[[#This Row],[Precio US$]]/BASE_DATOS[[#This Row],[Kilómetros Proy.]],"")</f>
        <v/>
      </c>
      <c r="AS708" s="167" t="s">
        <v>62</v>
      </c>
      <c r="AT708" s="167"/>
      <c r="AU708" s="167"/>
      <c r="AV708" s="167"/>
      <c r="AW708" s="179"/>
      <c r="AX708" s="179"/>
      <c r="AY708" s="179" t="str">
        <f>CONCATENATE(BASE_DATOS[[#This Row],[Código_U]]&amp;BASE_DATOS[[#This Row],[Pos.]]&amp;BASE_DATOS[[#This Row],[Situación Actual]])</f>
        <v>TC-25810Rodando</v>
      </c>
    </row>
    <row r="709" spans="1:51" ht="12" x14ac:dyDescent="0.25">
      <c r="A709" s="222" t="s">
        <v>404</v>
      </c>
      <c r="B709" s="213" t="s">
        <v>256</v>
      </c>
      <c r="C709" s="225" t="s">
        <v>296</v>
      </c>
      <c r="D709" s="226" t="s">
        <v>86</v>
      </c>
      <c r="E709" s="249"/>
      <c r="F709" s="250" t="s">
        <v>273</v>
      </c>
      <c r="G709" s="250" t="s">
        <v>271</v>
      </c>
      <c r="H709" s="251" t="str">
        <f>IF(BASE_DATOS[[#This Row],[N-R]]="N",BASE_DATOS[[#This Row],[Diseño]],"Reencauche")</f>
        <v>XMULTI+Z</v>
      </c>
      <c r="I709" s="250" t="s">
        <v>297</v>
      </c>
      <c r="J709" s="235" t="s">
        <v>72</v>
      </c>
      <c r="K709" s="252">
        <v>16</v>
      </c>
      <c r="L709" s="233">
        <v>100</v>
      </c>
      <c r="M709" s="253"/>
      <c r="N709" s="254"/>
      <c r="O709" s="274"/>
      <c r="P709" s="275"/>
      <c r="Q709" s="276"/>
      <c r="R709" s="305" t="s">
        <v>98</v>
      </c>
      <c r="S709" s="306">
        <v>45384</v>
      </c>
      <c r="T709" s="307"/>
      <c r="U709" s="308"/>
      <c r="V709" s="224">
        <v>10</v>
      </c>
      <c r="W709" s="325">
        <v>10</v>
      </c>
      <c r="X709" s="326">
        <v>10</v>
      </c>
      <c r="Y709" s="292">
        <f t="shared" si="30"/>
        <v>10</v>
      </c>
      <c r="Z709" s="194" t="s">
        <v>85</v>
      </c>
      <c r="AA709" s="339">
        <f>IFERROR(BASE_DATOS[[#This Row],[NSK Original]]-BASE_DATOS[[#This Row],[NSK]]," ")</f>
        <v>6</v>
      </c>
      <c r="AB709" s="340">
        <f>'NSK-TRACTO'!$A$2</f>
        <v>6</v>
      </c>
      <c r="AC709" s="340">
        <f>IF(BASE_DATOS[[#This Row],[NSK]]&gt;=BASE_DATOS[[#This Row],[NSK Reen]],BASE_DATOS[[#This Row],[NSK Reen]],BASE_DATOS[[#This Row],[NSK]])</f>
        <v>6</v>
      </c>
      <c r="AD709" s="341">
        <f>IFERROR(100%-(BASE_DATOS[[#This Row],[NSK Reen]]/BASE_DATOS[[#This Row],[NSK Original]]),"")</f>
        <v>0.625</v>
      </c>
      <c r="AE709" s="341">
        <f>IFERROR(100%-BASE_DATOS[[#This Row],[NSK]]/BASE_DATOS[[#This Row],[NSK Original]],"")</f>
        <v>0.375</v>
      </c>
      <c r="AF709" s="341">
        <f>IFERROR(BASE_DATOS[[#This Row],[% Max Des.]]-BASE_DATOS[[#This Row],[% Des]],"")</f>
        <v>0.25</v>
      </c>
      <c r="AG709" s="284"/>
      <c r="AH709" s="335"/>
      <c r="AI709" s="359" t="str">
        <f>IF(OR(BASE_DATOS[[#This Row],[Hr.]]="",BASE_DATOS[[#This Row],[Hr. Actual]]=""),"",BASE_DATOS[[#This Row],[Hr. Actual]]-BASE_DATOS[[#This Row],[Hr.]]+BASE_DATOS[[#This Row],[Horas Acumuladas]])</f>
        <v/>
      </c>
      <c r="AJ709" s="360" t="str">
        <f>IFERROR(BASE_DATOS[[#This Row],[Precio US$]]/BASE_DATOS[[#This Row],[Horas Rodadas]],"")</f>
        <v/>
      </c>
      <c r="AK709" s="361" t="str">
        <f>IFERROR(BASE_DATOS[[#This Row],[Horas Rodadas]]/(BASE_DATOS[[#This Row],[NSK Original]]-BASE_DATOS[[#This Row],[NSK]]),"")</f>
        <v/>
      </c>
      <c r="AL709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09" s="362" t="str">
        <f>IFERROR(BASE_DATOS[[#This Row],[Precio US$]]/BASE_DATOS[[#This Row],[Horas Proy.]],"")</f>
        <v/>
      </c>
      <c r="AN709" s="195" t="str">
        <f>IF(OR(BASE_DATOS[[#This Row],[Km.]]="",BASE_DATOS[[#This Row],[Km. Actual]]=""),"",BASE_DATOS[[#This Row],[Km. Actual]]-BASE_DATOS[[#This Row],[Km.]]+BASE_DATOS[[#This Row],[Kilómetros Acumulados]])</f>
        <v/>
      </c>
      <c r="AO709" s="196" t="str">
        <f>IFERROR(BASE_DATOS[[#This Row],[Precio US$]]/BASE_DATOS[[#This Row],[Kilómetros Rodados]],"")</f>
        <v/>
      </c>
      <c r="AP709" s="195" t="str">
        <f>IFERROR(BASE_DATOS[[#This Row],[Kilómetros Rodados]]/(BASE_DATOS[[#This Row],[NSK Original]]-BASE_DATOS[[#This Row],[NSK]]),"")</f>
        <v/>
      </c>
      <c r="AQ709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09" s="196" t="str">
        <f>IFERROR(BASE_DATOS[[#This Row],[Precio US$]]/BASE_DATOS[[#This Row],[Kilómetros Proy.]],"")</f>
        <v/>
      </c>
      <c r="AS709" s="191" t="s">
        <v>62</v>
      </c>
      <c r="AT709" s="191"/>
      <c r="AU709" s="191"/>
      <c r="AV709" s="191"/>
      <c r="AW709" s="198"/>
      <c r="AX709" s="198"/>
      <c r="AY709" s="198" t="str">
        <f>CONCATENATE(BASE_DATOS[[#This Row],[Código_U]]&amp;BASE_DATOS[[#This Row],[Pos.]]&amp;BASE_DATOS[[#This Row],[Situación Actual]])</f>
        <v>TC-2541Rodando</v>
      </c>
    </row>
    <row r="710" spans="1:51" ht="12" x14ac:dyDescent="0.25">
      <c r="A710" s="223" t="s">
        <v>404</v>
      </c>
      <c r="B710" s="217" t="s">
        <v>256</v>
      </c>
      <c r="C710" s="228" t="s">
        <v>296</v>
      </c>
      <c r="D710" s="229" t="s">
        <v>86</v>
      </c>
      <c r="E710" s="255"/>
      <c r="F710" s="256" t="s">
        <v>273</v>
      </c>
      <c r="G710" s="256" t="s">
        <v>271</v>
      </c>
      <c r="H710" s="257" t="str">
        <f>IF(BASE_DATOS[[#This Row],[N-R]]="N",BASE_DATOS[[#This Row],[Diseño]],"Reencauche")</f>
        <v>XMULTI+Z</v>
      </c>
      <c r="I710" s="256" t="s">
        <v>297</v>
      </c>
      <c r="J710" s="243" t="s">
        <v>72</v>
      </c>
      <c r="K710" s="258">
        <v>16</v>
      </c>
      <c r="L710" s="241">
        <v>100</v>
      </c>
      <c r="M710" s="259"/>
      <c r="N710" s="260"/>
      <c r="O710" s="277"/>
      <c r="P710" s="278"/>
      <c r="Q710" s="279"/>
      <c r="R710" s="309" t="s">
        <v>99</v>
      </c>
      <c r="S710" s="310">
        <v>45384</v>
      </c>
      <c r="T710" s="311"/>
      <c r="U710" s="312"/>
      <c r="V710" s="227">
        <v>7</v>
      </c>
      <c r="W710" s="281">
        <v>9</v>
      </c>
      <c r="X710" s="282">
        <v>10</v>
      </c>
      <c r="Y710" s="293">
        <f t="shared" si="30"/>
        <v>7</v>
      </c>
      <c r="Z710" s="175" t="s">
        <v>85</v>
      </c>
      <c r="AA710" s="342">
        <f>IFERROR(BASE_DATOS[[#This Row],[NSK Original]]-BASE_DATOS[[#This Row],[NSK]]," ")</f>
        <v>9</v>
      </c>
      <c r="AB710" s="343">
        <f>'NSK-TRACTO'!$A$2</f>
        <v>6</v>
      </c>
      <c r="AC710" s="343">
        <f>IF(BASE_DATOS[[#This Row],[NSK]]&gt;=BASE_DATOS[[#This Row],[NSK Reen]],BASE_DATOS[[#This Row],[NSK Reen]],BASE_DATOS[[#This Row],[NSK]])</f>
        <v>6</v>
      </c>
      <c r="AD710" s="344">
        <f>IFERROR(100%-(BASE_DATOS[[#This Row],[NSK Reen]]/BASE_DATOS[[#This Row],[NSK Original]]),"")</f>
        <v>0.625</v>
      </c>
      <c r="AE710" s="344">
        <f>IFERROR(100%-BASE_DATOS[[#This Row],[NSK]]/BASE_DATOS[[#This Row],[NSK Original]],"")</f>
        <v>0.5625</v>
      </c>
      <c r="AF710" s="344">
        <f>IFERROR(BASE_DATOS[[#This Row],[% Max Des.]]-BASE_DATOS[[#This Row],[% Des]],"")</f>
        <v>6.25E-2</v>
      </c>
      <c r="AG710" s="287"/>
      <c r="AH710" s="273"/>
      <c r="AI710" s="363" t="str">
        <f>IF(OR(BASE_DATOS[[#This Row],[Hr.]]="",BASE_DATOS[[#This Row],[Hr. Actual]]=""),"",BASE_DATOS[[#This Row],[Hr. Actual]]-BASE_DATOS[[#This Row],[Hr.]]+BASE_DATOS[[#This Row],[Horas Acumuladas]])</f>
        <v/>
      </c>
      <c r="AJ710" s="364" t="str">
        <f>IFERROR(BASE_DATOS[[#This Row],[Precio US$]]/BASE_DATOS[[#This Row],[Horas Rodadas]],"")</f>
        <v/>
      </c>
      <c r="AK710" s="365" t="str">
        <f>IFERROR(BASE_DATOS[[#This Row],[Horas Rodadas]]/(BASE_DATOS[[#This Row],[NSK Original]]-BASE_DATOS[[#This Row],[NSK]]),"")</f>
        <v/>
      </c>
      <c r="AL71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10" s="366" t="str">
        <f>IFERROR(BASE_DATOS[[#This Row],[Precio US$]]/BASE_DATOS[[#This Row],[Horas Proy.]],"")</f>
        <v/>
      </c>
      <c r="AN710" s="176" t="str">
        <f>IF(OR(BASE_DATOS[[#This Row],[Km.]]="",BASE_DATOS[[#This Row],[Km. Actual]]=""),"",BASE_DATOS[[#This Row],[Km. Actual]]-BASE_DATOS[[#This Row],[Km.]]+BASE_DATOS[[#This Row],[Kilómetros Acumulados]])</f>
        <v/>
      </c>
      <c r="AO710" s="177" t="str">
        <f>IFERROR(BASE_DATOS[[#This Row],[Precio US$]]/BASE_DATOS[[#This Row],[Kilómetros Rodados]],"")</f>
        <v/>
      </c>
      <c r="AP710" s="176" t="str">
        <f>IFERROR(BASE_DATOS[[#This Row],[Kilómetros Rodados]]/(BASE_DATOS[[#This Row],[NSK Original]]-BASE_DATOS[[#This Row],[NSK]]),"")</f>
        <v/>
      </c>
      <c r="AQ71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10" s="177" t="str">
        <f>IFERROR(BASE_DATOS[[#This Row],[Precio US$]]/BASE_DATOS[[#This Row],[Kilómetros Proy.]],"")</f>
        <v/>
      </c>
      <c r="AS710" s="167" t="s">
        <v>62</v>
      </c>
      <c r="AT710" s="167"/>
      <c r="AU710" s="167" t="s">
        <v>515</v>
      </c>
      <c r="AV710" s="167"/>
      <c r="AW710" s="179"/>
      <c r="AX710" s="169" t="s">
        <v>371</v>
      </c>
      <c r="AY710" s="169" t="str">
        <f>CONCATENATE(BASE_DATOS[[#This Row],[Código_U]]&amp;BASE_DATOS[[#This Row],[Pos.]]&amp;BASE_DATOS[[#This Row],[Situación Actual]])</f>
        <v>TC-2542Rodando</v>
      </c>
    </row>
    <row r="711" spans="1:51" ht="12" x14ac:dyDescent="0.25">
      <c r="A711" s="223" t="s">
        <v>404</v>
      </c>
      <c r="B711" s="217" t="s">
        <v>256</v>
      </c>
      <c r="C711" s="228" t="s">
        <v>296</v>
      </c>
      <c r="D711" s="229" t="s">
        <v>61</v>
      </c>
      <c r="E711" s="255"/>
      <c r="F711" s="256" t="s">
        <v>273</v>
      </c>
      <c r="G711" s="256" t="s">
        <v>271</v>
      </c>
      <c r="H711" s="257" t="str">
        <f>IF(BASE_DATOS[[#This Row],[N-R]]="N",BASE_DATOS[[#This Row],[Diseño]],"Reencauche")</f>
        <v>XMULTI2D</v>
      </c>
      <c r="I711" s="256" t="s">
        <v>299</v>
      </c>
      <c r="J711" s="243" t="s">
        <v>72</v>
      </c>
      <c r="K711" s="258">
        <v>21.4</v>
      </c>
      <c r="L711" s="241">
        <v>110</v>
      </c>
      <c r="M711" s="259"/>
      <c r="N711" s="260"/>
      <c r="O711" s="277"/>
      <c r="P711" s="278"/>
      <c r="Q711" s="279"/>
      <c r="R711" s="309" t="s">
        <v>100</v>
      </c>
      <c r="S711" s="310">
        <v>45384</v>
      </c>
      <c r="T711" s="311"/>
      <c r="U711" s="312"/>
      <c r="V711" s="227">
        <v>14</v>
      </c>
      <c r="W711" s="281"/>
      <c r="X711" s="282">
        <v>14</v>
      </c>
      <c r="Y711" s="293">
        <f t="shared" si="30"/>
        <v>14</v>
      </c>
      <c r="Z711" s="161" t="s">
        <v>73</v>
      </c>
      <c r="AA711" s="342">
        <f>IFERROR(BASE_DATOS[[#This Row],[NSK Original]]-BASE_DATOS[[#This Row],[NSK]]," ")</f>
        <v>7.3999999999999986</v>
      </c>
      <c r="AB711" s="343">
        <f>'NSK-TRACTO'!$A$2</f>
        <v>6</v>
      </c>
      <c r="AC711" s="343">
        <f>IF(BASE_DATOS[[#This Row],[NSK]]&gt;=BASE_DATOS[[#This Row],[NSK Reen]],BASE_DATOS[[#This Row],[NSK Reen]],BASE_DATOS[[#This Row],[NSK]])</f>
        <v>6</v>
      </c>
      <c r="AD711" s="344">
        <f>IFERROR(100%-(BASE_DATOS[[#This Row],[NSK Reen]]/BASE_DATOS[[#This Row],[NSK Original]]),"")</f>
        <v>0.71962616822429903</v>
      </c>
      <c r="AE711" s="344">
        <f>IFERROR(100%-BASE_DATOS[[#This Row],[NSK]]/BASE_DATOS[[#This Row],[NSK Original]],"")</f>
        <v>0.34579439252336441</v>
      </c>
      <c r="AF711" s="344">
        <f>IFERROR(BASE_DATOS[[#This Row],[% Max Des.]]-BASE_DATOS[[#This Row],[% Des]],"")</f>
        <v>0.37383177570093462</v>
      </c>
      <c r="AG711" s="287"/>
      <c r="AH711" s="273"/>
      <c r="AI711" s="363" t="str">
        <f>IF(OR(BASE_DATOS[[#This Row],[Hr.]]="",BASE_DATOS[[#This Row],[Hr. Actual]]=""),"",BASE_DATOS[[#This Row],[Hr. Actual]]-BASE_DATOS[[#This Row],[Hr.]]+BASE_DATOS[[#This Row],[Horas Acumuladas]])</f>
        <v/>
      </c>
      <c r="AJ711" s="364" t="str">
        <f>IFERROR(BASE_DATOS[[#This Row],[Precio US$]]/BASE_DATOS[[#This Row],[Horas Rodadas]],"")</f>
        <v/>
      </c>
      <c r="AK711" s="365" t="str">
        <f>IFERROR(BASE_DATOS[[#This Row],[Horas Rodadas]]/(BASE_DATOS[[#This Row],[NSK Original]]-BASE_DATOS[[#This Row],[NSK]]),"")</f>
        <v/>
      </c>
      <c r="AL71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11" s="366" t="str">
        <f>IFERROR(BASE_DATOS[[#This Row],[Precio US$]]/BASE_DATOS[[#This Row],[Horas Proy.]],"")</f>
        <v/>
      </c>
      <c r="AN711" s="176" t="str">
        <f>IF(OR(BASE_DATOS[[#This Row],[Km.]]="",BASE_DATOS[[#This Row],[Km. Actual]]=""),"",BASE_DATOS[[#This Row],[Km. Actual]]-BASE_DATOS[[#This Row],[Km.]]+BASE_DATOS[[#This Row],[Kilómetros Acumulados]])</f>
        <v/>
      </c>
      <c r="AO711" s="177" t="str">
        <f>IFERROR(BASE_DATOS[[#This Row],[Precio US$]]/BASE_DATOS[[#This Row],[Kilómetros Rodados]],"")</f>
        <v/>
      </c>
      <c r="AP711" s="176" t="str">
        <f>IFERROR(BASE_DATOS[[#This Row],[Kilómetros Rodados]]/(BASE_DATOS[[#This Row],[NSK Original]]-BASE_DATOS[[#This Row],[NSK]]),"")</f>
        <v/>
      </c>
      <c r="AQ71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11" s="177" t="str">
        <f>IFERROR(BASE_DATOS[[#This Row],[Precio US$]]/BASE_DATOS[[#This Row],[Kilómetros Proy.]],"")</f>
        <v/>
      </c>
      <c r="AS711" s="167" t="s">
        <v>62</v>
      </c>
      <c r="AT711" s="167"/>
      <c r="AU711" s="167"/>
      <c r="AV711" s="167"/>
      <c r="AW711" s="179"/>
      <c r="AX711" s="179"/>
      <c r="AY711" s="179" t="str">
        <f>CONCATENATE(BASE_DATOS[[#This Row],[Código_U]]&amp;BASE_DATOS[[#This Row],[Pos.]]&amp;BASE_DATOS[[#This Row],[Situación Actual]])</f>
        <v>TC-2543Rodando</v>
      </c>
    </row>
    <row r="712" spans="1:51" ht="12" x14ac:dyDescent="0.25">
      <c r="A712" s="223" t="s">
        <v>404</v>
      </c>
      <c r="B712" s="217" t="s">
        <v>256</v>
      </c>
      <c r="C712" s="228" t="s">
        <v>296</v>
      </c>
      <c r="D712" s="229" t="s">
        <v>61</v>
      </c>
      <c r="E712" s="255"/>
      <c r="F712" s="256" t="s">
        <v>273</v>
      </c>
      <c r="G712" s="256" t="s">
        <v>271</v>
      </c>
      <c r="H712" s="257" t="str">
        <f>IF(BASE_DATOS[[#This Row],[N-R]]="N",BASE_DATOS[[#This Row],[Diseño]],"Reencauche")</f>
        <v>XMULTI2D</v>
      </c>
      <c r="I712" s="256" t="s">
        <v>299</v>
      </c>
      <c r="J712" s="243" t="s">
        <v>72</v>
      </c>
      <c r="K712" s="258">
        <v>21.4</v>
      </c>
      <c r="L712" s="241">
        <v>110</v>
      </c>
      <c r="M712" s="259"/>
      <c r="N712" s="260"/>
      <c r="O712" s="277"/>
      <c r="P712" s="278"/>
      <c r="Q712" s="279"/>
      <c r="R712" s="309" t="s">
        <v>101</v>
      </c>
      <c r="S712" s="310">
        <v>45384</v>
      </c>
      <c r="T712" s="311"/>
      <c r="U712" s="312"/>
      <c r="V712" s="227">
        <v>14</v>
      </c>
      <c r="W712" s="281"/>
      <c r="X712" s="282">
        <v>13</v>
      </c>
      <c r="Y712" s="293">
        <f t="shared" si="30"/>
        <v>13</v>
      </c>
      <c r="Z712" s="175" t="s">
        <v>85</v>
      </c>
      <c r="AA712" s="342">
        <f>IFERROR(BASE_DATOS[[#This Row],[NSK Original]]-BASE_DATOS[[#This Row],[NSK]]," ")</f>
        <v>8.3999999999999986</v>
      </c>
      <c r="AB712" s="343">
        <f>'NSK-TRACTO'!$A$2</f>
        <v>6</v>
      </c>
      <c r="AC712" s="343">
        <f>IF(BASE_DATOS[[#This Row],[NSK]]&gt;=BASE_DATOS[[#This Row],[NSK Reen]],BASE_DATOS[[#This Row],[NSK Reen]],BASE_DATOS[[#This Row],[NSK]])</f>
        <v>6</v>
      </c>
      <c r="AD712" s="344">
        <f>IFERROR(100%-(BASE_DATOS[[#This Row],[NSK Reen]]/BASE_DATOS[[#This Row],[NSK Original]]),"")</f>
        <v>0.71962616822429903</v>
      </c>
      <c r="AE712" s="344">
        <f>IFERROR(100%-BASE_DATOS[[#This Row],[NSK]]/BASE_DATOS[[#This Row],[NSK Original]],"")</f>
        <v>0.39252336448598124</v>
      </c>
      <c r="AF712" s="344">
        <f>IFERROR(BASE_DATOS[[#This Row],[% Max Des.]]-BASE_DATOS[[#This Row],[% Des]],"")</f>
        <v>0.32710280373831779</v>
      </c>
      <c r="AG712" s="287"/>
      <c r="AH712" s="273"/>
      <c r="AI712" s="363" t="str">
        <f>IF(OR(BASE_DATOS[[#This Row],[Hr.]]="",BASE_DATOS[[#This Row],[Hr. Actual]]=""),"",BASE_DATOS[[#This Row],[Hr. Actual]]-BASE_DATOS[[#This Row],[Hr.]]+BASE_DATOS[[#This Row],[Horas Acumuladas]])</f>
        <v/>
      </c>
      <c r="AJ712" s="364" t="str">
        <f>IFERROR(BASE_DATOS[[#This Row],[Precio US$]]/BASE_DATOS[[#This Row],[Horas Rodadas]],"")</f>
        <v/>
      </c>
      <c r="AK712" s="365" t="str">
        <f>IFERROR(BASE_DATOS[[#This Row],[Horas Rodadas]]/(BASE_DATOS[[#This Row],[NSK Original]]-BASE_DATOS[[#This Row],[NSK]]),"")</f>
        <v/>
      </c>
      <c r="AL71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12" s="366" t="str">
        <f>IFERROR(BASE_DATOS[[#This Row],[Precio US$]]/BASE_DATOS[[#This Row],[Horas Proy.]],"")</f>
        <v/>
      </c>
      <c r="AN712" s="176" t="str">
        <f>IF(OR(BASE_DATOS[[#This Row],[Km.]]="",BASE_DATOS[[#This Row],[Km. Actual]]=""),"",BASE_DATOS[[#This Row],[Km. Actual]]-BASE_DATOS[[#This Row],[Km.]]+BASE_DATOS[[#This Row],[Kilómetros Acumulados]])</f>
        <v/>
      </c>
      <c r="AO712" s="177" t="str">
        <f>IFERROR(BASE_DATOS[[#This Row],[Precio US$]]/BASE_DATOS[[#This Row],[Kilómetros Rodados]],"")</f>
        <v/>
      </c>
      <c r="AP712" s="176" t="str">
        <f>IFERROR(BASE_DATOS[[#This Row],[Kilómetros Rodados]]/(BASE_DATOS[[#This Row],[NSK Original]]-BASE_DATOS[[#This Row],[NSK]]),"")</f>
        <v/>
      </c>
      <c r="AQ71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12" s="177" t="str">
        <f>IFERROR(BASE_DATOS[[#This Row],[Precio US$]]/BASE_DATOS[[#This Row],[Kilómetros Proy.]],"")</f>
        <v/>
      </c>
      <c r="AS712" s="167" t="s">
        <v>62</v>
      </c>
      <c r="AT712" s="167"/>
      <c r="AU712" s="167"/>
      <c r="AV712" s="167"/>
      <c r="AW712" s="179"/>
      <c r="AX712" s="179"/>
      <c r="AY712" s="179" t="str">
        <f>CONCATENATE(BASE_DATOS[[#This Row],[Código_U]]&amp;BASE_DATOS[[#This Row],[Pos.]]&amp;BASE_DATOS[[#This Row],[Situación Actual]])</f>
        <v>TC-2544Rodando</v>
      </c>
    </row>
    <row r="713" spans="1:51" ht="12" x14ac:dyDescent="0.25">
      <c r="A713" s="223" t="s">
        <v>404</v>
      </c>
      <c r="B713" s="217" t="s">
        <v>256</v>
      </c>
      <c r="C713" s="228" t="s">
        <v>296</v>
      </c>
      <c r="D713" s="229" t="s">
        <v>61</v>
      </c>
      <c r="E713" s="255"/>
      <c r="F713" s="256" t="s">
        <v>273</v>
      </c>
      <c r="G713" s="256" t="s">
        <v>271</v>
      </c>
      <c r="H713" s="257" t="str">
        <f>IF(BASE_DATOS[[#This Row],[N-R]]="N",BASE_DATOS[[#This Row],[Diseño]],"Reencauche")</f>
        <v>XMULTI2D</v>
      </c>
      <c r="I713" s="256" t="s">
        <v>299</v>
      </c>
      <c r="J713" s="243" t="s">
        <v>72</v>
      </c>
      <c r="K713" s="258">
        <v>21.4</v>
      </c>
      <c r="L713" s="241">
        <v>110</v>
      </c>
      <c r="M713" s="259"/>
      <c r="N713" s="260"/>
      <c r="O713" s="277"/>
      <c r="P713" s="278"/>
      <c r="Q713" s="279"/>
      <c r="R713" s="309" t="s">
        <v>102</v>
      </c>
      <c r="S713" s="310">
        <v>45384</v>
      </c>
      <c r="T713" s="311"/>
      <c r="U713" s="312"/>
      <c r="V713" s="227">
        <v>14</v>
      </c>
      <c r="W713" s="281"/>
      <c r="X713" s="282">
        <v>13</v>
      </c>
      <c r="Y713" s="293">
        <f t="shared" si="30"/>
        <v>13</v>
      </c>
      <c r="Z713" s="175" t="s">
        <v>85</v>
      </c>
      <c r="AA713" s="342">
        <f>IFERROR(BASE_DATOS[[#This Row],[NSK Original]]-BASE_DATOS[[#This Row],[NSK]]," ")</f>
        <v>8.3999999999999986</v>
      </c>
      <c r="AB713" s="343">
        <f>'NSK-TRACTO'!$A$2</f>
        <v>6</v>
      </c>
      <c r="AC713" s="343">
        <f>IF(BASE_DATOS[[#This Row],[NSK]]&gt;=BASE_DATOS[[#This Row],[NSK Reen]],BASE_DATOS[[#This Row],[NSK Reen]],BASE_DATOS[[#This Row],[NSK]])</f>
        <v>6</v>
      </c>
      <c r="AD713" s="344">
        <f>IFERROR(100%-(BASE_DATOS[[#This Row],[NSK Reen]]/BASE_DATOS[[#This Row],[NSK Original]]),"")</f>
        <v>0.71962616822429903</v>
      </c>
      <c r="AE713" s="344">
        <f>IFERROR(100%-BASE_DATOS[[#This Row],[NSK]]/BASE_DATOS[[#This Row],[NSK Original]],"")</f>
        <v>0.39252336448598124</v>
      </c>
      <c r="AF713" s="344">
        <f>IFERROR(BASE_DATOS[[#This Row],[% Max Des.]]-BASE_DATOS[[#This Row],[% Des]],"")</f>
        <v>0.32710280373831779</v>
      </c>
      <c r="AG713" s="287"/>
      <c r="AH713" s="273"/>
      <c r="AI713" s="363" t="str">
        <f>IF(OR(BASE_DATOS[[#This Row],[Hr.]]="",BASE_DATOS[[#This Row],[Hr. Actual]]=""),"",BASE_DATOS[[#This Row],[Hr. Actual]]-BASE_DATOS[[#This Row],[Hr.]]+BASE_DATOS[[#This Row],[Horas Acumuladas]])</f>
        <v/>
      </c>
      <c r="AJ713" s="364" t="str">
        <f>IFERROR(BASE_DATOS[[#This Row],[Precio US$]]/BASE_DATOS[[#This Row],[Horas Rodadas]],"")</f>
        <v/>
      </c>
      <c r="AK713" s="365" t="str">
        <f>IFERROR(BASE_DATOS[[#This Row],[Horas Rodadas]]/(BASE_DATOS[[#This Row],[NSK Original]]-BASE_DATOS[[#This Row],[NSK]]),"")</f>
        <v/>
      </c>
      <c r="AL71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13" s="366" t="str">
        <f>IFERROR(BASE_DATOS[[#This Row],[Precio US$]]/BASE_DATOS[[#This Row],[Horas Proy.]],"")</f>
        <v/>
      </c>
      <c r="AN713" s="176" t="str">
        <f>IF(OR(BASE_DATOS[[#This Row],[Km.]]="",BASE_DATOS[[#This Row],[Km. Actual]]=""),"",BASE_DATOS[[#This Row],[Km. Actual]]-BASE_DATOS[[#This Row],[Km.]]+BASE_DATOS[[#This Row],[Kilómetros Acumulados]])</f>
        <v/>
      </c>
      <c r="AO713" s="177" t="str">
        <f>IFERROR(BASE_DATOS[[#This Row],[Precio US$]]/BASE_DATOS[[#This Row],[Kilómetros Rodados]],"")</f>
        <v/>
      </c>
      <c r="AP713" s="176" t="str">
        <f>IFERROR(BASE_DATOS[[#This Row],[Kilómetros Rodados]]/(BASE_DATOS[[#This Row],[NSK Original]]-BASE_DATOS[[#This Row],[NSK]]),"")</f>
        <v/>
      </c>
      <c r="AQ71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13" s="177" t="str">
        <f>IFERROR(BASE_DATOS[[#This Row],[Precio US$]]/BASE_DATOS[[#This Row],[Kilómetros Proy.]],"")</f>
        <v/>
      </c>
      <c r="AS713" s="167" t="s">
        <v>62</v>
      </c>
      <c r="AT713" s="167"/>
      <c r="AU713" s="167"/>
      <c r="AV713" s="167"/>
      <c r="AW713" s="179"/>
      <c r="AX713" s="179"/>
      <c r="AY713" s="179" t="str">
        <f>CONCATENATE(BASE_DATOS[[#This Row],[Código_U]]&amp;BASE_DATOS[[#This Row],[Pos.]]&amp;BASE_DATOS[[#This Row],[Situación Actual]])</f>
        <v>TC-2545Rodando</v>
      </c>
    </row>
    <row r="714" spans="1:51" ht="12" x14ac:dyDescent="0.25">
      <c r="A714" s="223" t="s">
        <v>404</v>
      </c>
      <c r="B714" s="217" t="s">
        <v>256</v>
      </c>
      <c r="C714" s="228" t="s">
        <v>296</v>
      </c>
      <c r="D714" s="229" t="s">
        <v>61</v>
      </c>
      <c r="E714" s="255"/>
      <c r="F714" s="256" t="s">
        <v>273</v>
      </c>
      <c r="G714" s="256" t="s">
        <v>271</v>
      </c>
      <c r="H714" s="257" t="str">
        <f>IF(BASE_DATOS[[#This Row],[N-R]]="N",BASE_DATOS[[#This Row],[Diseño]],"Reencauche")</f>
        <v>XMULTI2D</v>
      </c>
      <c r="I714" s="256" t="s">
        <v>299</v>
      </c>
      <c r="J714" s="243" t="s">
        <v>72</v>
      </c>
      <c r="K714" s="258">
        <v>21.4</v>
      </c>
      <c r="L714" s="241">
        <v>110</v>
      </c>
      <c r="M714" s="259"/>
      <c r="N714" s="260"/>
      <c r="O714" s="277"/>
      <c r="P714" s="278"/>
      <c r="Q714" s="279"/>
      <c r="R714" s="309" t="s">
        <v>103</v>
      </c>
      <c r="S714" s="310">
        <v>45384</v>
      </c>
      <c r="T714" s="311"/>
      <c r="U714" s="312"/>
      <c r="V714" s="227">
        <v>14</v>
      </c>
      <c r="W714" s="281"/>
      <c r="X714" s="282">
        <v>13</v>
      </c>
      <c r="Y714" s="293">
        <f t="shared" si="30"/>
        <v>13</v>
      </c>
      <c r="Z714" s="161" t="s">
        <v>73</v>
      </c>
      <c r="AA714" s="342">
        <f>IFERROR(BASE_DATOS[[#This Row],[NSK Original]]-BASE_DATOS[[#This Row],[NSK]]," ")</f>
        <v>8.3999999999999986</v>
      </c>
      <c r="AB714" s="343">
        <f>'NSK-TRACTO'!$A$2</f>
        <v>6</v>
      </c>
      <c r="AC714" s="343">
        <f>IF(BASE_DATOS[[#This Row],[NSK]]&gt;=BASE_DATOS[[#This Row],[NSK Reen]],BASE_DATOS[[#This Row],[NSK Reen]],BASE_DATOS[[#This Row],[NSK]])</f>
        <v>6</v>
      </c>
      <c r="AD714" s="344">
        <f>IFERROR(100%-(BASE_DATOS[[#This Row],[NSK Reen]]/BASE_DATOS[[#This Row],[NSK Original]]),"")</f>
        <v>0.71962616822429903</v>
      </c>
      <c r="AE714" s="344">
        <f>IFERROR(100%-BASE_DATOS[[#This Row],[NSK]]/BASE_DATOS[[#This Row],[NSK Original]],"")</f>
        <v>0.39252336448598124</v>
      </c>
      <c r="AF714" s="344">
        <f>IFERROR(BASE_DATOS[[#This Row],[% Max Des.]]-BASE_DATOS[[#This Row],[% Des]],"")</f>
        <v>0.32710280373831779</v>
      </c>
      <c r="AG714" s="287"/>
      <c r="AH714" s="273"/>
      <c r="AI714" s="363" t="str">
        <f>IF(OR(BASE_DATOS[[#This Row],[Hr.]]="",BASE_DATOS[[#This Row],[Hr. Actual]]=""),"",BASE_DATOS[[#This Row],[Hr. Actual]]-BASE_DATOS[[#This Row],[Hr.]]+BASE_DATOS[[#This Row],[Horas Acumuladas]])</f>
        <v/>
      </c>
      <c r="AJ714" s="364" t="str">
        <f>IFERROR(BASE_DATOS[[#This Row],[Precio US$]]/BASE_DATOS[[#This Row],[Horas Rodadas]],"")</f>
        <v/>
      </c>
      <c r="AK714" s="365" t="str">
        <f>IFERROR(BASE_DATOS[[#This Row],[Horas Rodadas]]/(BASE_DATOS[[#This Row],[NSK Original]]-BASE_DATOS[[#This Row],[NSK]]),"")</f>
        <v/>
      </c>
      <c r="AL71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14" s="366" t="str">
        <f>IFERROR(BASE_DATOS[[#This Row],[Precio US$]]/BASE_DATOS[[#This Row],[Horas Proy.]],"")</f>
        <v/>
      </c>
      <c r="AN714" s="176" t="str">
        <f>IF(OR(BASE_DATOS[[#This Row],[Km.]]="",BASE_DATOS[[#This Row],[Km. Actual]]=""),"",BASE_DATOS[[#This Row],[Km. Actual]]-BASE_DATOS[[#This Row],[Km.]]+BASE_DATOS[[#This Row],[Kilómetros Acumulados]])</f>
        <v/>
      </c>
      <c r="AO714" s="177" t="str">
        <f>IFERROR(BASE_DATOS[[#This Row],[Precio US$]]/BASE_DATOS[[#This Row],[Kilómetros Rodados]],"")</f>
        <v/>
      </c>
      <c r="AP714" s="176" t="str">
        <f>IFERROR(BASE_DATOS[[#This Row],[Kilómetros Rodados]]/(BASE_DATOS[[#This Row],[NSK Original]]-BASE_DATOS[[#This Row],[NSK]]),"")</f>
        <v/>
      </c>
      <c r="AQ71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14" s="177" t="str">
        <f>IFERROR(BASE_DATOS[[#This Row],[Precio US$]]/BASE_DATOS[[#This Row],[Kilómetros Proy.]],"")</f>
        <v/>
      </c>
      <c r="AS714" s="167" t="s">
        <v>62</v>
      </c>
      <c r="AT714" s="167"/>
      <c r="AU714" s="167"/>
      <c r="AV714" s="167"/>
      <c r="AW714" s="179"/>
      <c r="AX714" s="179"/>
      <c r="AY714" s="179" t="str">
        <f>CONCATENATE(BASE_DATOS[[#This Row],[Código_U]]&amp;BASE_DATOS[[#This Row],[Pos.]]&amp;BASE_DATOS[[#This Row],[Situación Actual]])</f>
        <v>TC-2546Rodando</v>
      </c>
    </row>
    <row r="715" spans="1:51" ht="12" x14ac:dyDescent="0.25">
      <c r="A715" s="223" t="s">
        <v>404</v>
      </c>
      <c r="B715" s="217" t="s">
        <v>256</v>
      </c>
      <c r="C715" s="228" t="s">
        <v>296</v>
      </c>
      <c r="D715" s="229" t="s">
        <v>61</v>
      </c>
      <c r="E715" s="255"/>
      <c r="F715" s="256" t="s">
        <v>273</v>
      </c>
      <c r="G715" s="256" t="s">
        <v>271</v>
      </c>
      <c r="H715" s="257" t="str">
        <f>IF(BASE_DATOS[[#This Row],[N-R]]="N",BASE_DATOS[[#This Row],[Diseño]],"Reencauche")</f>
        <v>XMULTI2D</v>
      </c>
      <c r="I715" s="256" t="s">
        <v>299</v>
      </c>
      <c r="J715" s="243" t="s">
        <v>72</v>
      </c>
      <c r="K715" s="258">
        <v>21.4</v>
      </c>
      <c r="L715" s="241">
        <v>110</v>
      </c>
      <c r="M715" s="259"/>
      <c r="N715" s="260"/>
      <c r="O715" s="277"/>
      <c r="P715" s="278"/>
      <c r="Q715" s="279"/>
      <c r="R715" s="309" t="s">
        <v>104</v>
      </c>
      <c r="S715" s="310">
        <v>45384</v>
      </c>
      <c r="T715" s="311"/>
      <c r="U715" s="312"/>
      <c r="V715" s="227">
        <v>13</v>
      </c>
      <c r="W715" s="281"/>
      <c r="X715" s="282">
        <v>13</v>
      </c>
      <c r="Y715" s="293">
        <f t="shared" si="30"/>
        <v>13</v>
      </c>
      <c r="Z715" s="161" t="s">
        <v>385</v>
      </c>
      <c r="AA715" s="342">
        <f>IFERROR(BASE_DATOS[[#This Row],[NSK Original]]-BASE_DATOS[[#This Row],[NSK]]," ")</f>
        <v>8.3999999999999986</v>
      </c>
      <c r="AB715" s="343">
        <f>'NSK-TRACTO'!$A$2</f>
        <v>6</v>
      </c>
      <c r="AC715" s="343">
        <f>IF(BASE_DATOS[[#This Row],[NSK]]&gt;=BASE_DATOS[[#This Row],[NSK Reen]],BASE_DATOS[[#This Row],[NSK Reen]],BASE_DATOS[[#This Row],[NSK]])</f>
        <v>6</v>
      </c>
      <c r="AD715" s="344">
        <f>IFERROR(100%-(BASE_DATOS[[#This Row],[NSK Reen]]/BASE_DATOS[[#This Row],[NSK Original]]),"")</f>
        <v>0.71962616822429903</v>
      </c>
      <c r="AE715" s="344">
        <f>IFERROR(100%-BASE_DATOS[[#This Row],[NSK]]/BASE_DATOS[[#This Row],[NSK Original]],"")</f>
        <v>0.39252336448598124</v>
      </c>
      <c r="AF715" s="344">
        <f>IFERROR(BASE_DATOS[[#This Row],[% Max Des.]]-BASE_DATOS[[#This Row],[% Des]],"")</f>
        <v>0.32710280373831779</v>
      </c>
      <c r="AG715" s="287"/>
      <c r="AH715" s="273"/>
      <c r="AI715" s="363" t="str">
        <f>IF(OR(BASE_DATOS[[#This Row],[Hr.]]="",BASE_DATOS[[#This Row],[Hr. Actual]]=""),"",BASE_DATOS[[#This Row],[Hr. Actual]]-BASE_DATOS[[#This Row],[Hr.]]+BASE_DATOS[[#This Row],[Horas Acumuladas]])</f>
        <v/>
      </c>
      <c r="AJ715" s="364" t="str">
        <f>IFERROR(BASE_DATOS[[#This Row],[Precio US$]]/BASE_DATOS[[#This Row],[Horas Rodadas]],"")</f>
        <v/>
      </c>
      <c r="AK715" s="365" t="str">
        <f>IFERROR(BASE_DATOS[[#This Row],[Horas Rodadas]]/(BASE_DATOS[[#This Row],[NSK Original]]-BASE_DATOS[[#This Row],[NSK]]),"")</f>
        <v/>
      </c>
      <c r="AL71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15" s="366" t="str">
        <f>IFERROR(BASE_DATOS[[#This Row],[Precio US$]]/BASE_DATOS[[#This Row],[Horas Proy.]],"")</f>
        <v/>
      </c>
      <c r="AN715" s="176" t="str">
        <f>IF(OR(BASE_DATOS[[#This Row],[Km.]]="",BASE_DATOS[[#This Row],[Km. Actual]]=""),"",BASE_DATOS[[#This Row],[Km. Actual]]-BASE_DATOS[[#This Row],[Km.]]+BASE_DATOS[[#This Row],[Kilómetros Acumulados]])</f>
        <v/>
      </c>
      <c r="AO715" s="177" t="str">
        <f>IFERROR(BASE_DATOS[[#This Row],[Precio US$]]/BASE_DATOS[[#This Row],[Kilómetros Rodados]],"")</f>
        <v/>
      </c>
      <c r="AP715" s="176" t="str">
        <f>IFERROR(BASE_DATOS[[#This Row],[Kilómetros Rodados]]/(BASE_DATOS[[#This Row],[NSK Original]]-BASE_DATOS[[#This Row],[NSK]]),"")</f>
        <v/>
      </c>
      <c r="AQ71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15" s="177" t="str">
        <f>IFERROR(BASE_DATOS[[#This Row],[Precio US$]]/BASE_DATOS[[#This Row],[Kilómetros Proy.]],"")</f>
        <v/>
      </c>
      <c r="AS715" s="167" t="s">
        <v>62</v>
      </c>
      <c r="AT715" s="167"/>
      <c r="AU715" s="167"/>
      <c r="AV715" s="167"/>
      <c r="AW715" s="179"/>
      <c r="AX715" s="179"/>
      <c r="AY715" s="179" t="str">
        <f>CONCATENATE(BASE_DATOS[[#This Row],[Código_U]]&amp;BASE_DATOS[[#This Row],[Pos.]]&amp;BASE_DATOS[[#This Row],[Situación Actual]])</f>
        <v>TC-2547Rodando</v>
      </c>
    </row>
    <row r="716" spans="1:51" ht="12" x14ac:dyDescent="0.25">
      <c r="A716" s="223" t="s">
        <v>404</v>
      </c>
      <c r="B716" s="217" t="s">
        <v>256</v>
      </c>
      <c r="C716" s="228" t="s">
        <v>296</v>
      </c>
      <c r="D716" s="229" t="s">
        <v>61</v>
      </c>
      <c r="E716" s="255"/>
      <c r="F716" s="256" t="s">
        <v>273</v>
      </c>
      <c r="G716" s="256" t="s">
        <v>271</v>
      </c>
      <c r="H716" s="257" t="str">
        <f>IF(BASE_DATOS[[#This Row],[N-R]]="N",BASE_DATOS[[#This Row],[Diseño]],"Reencauche")</f>
        <v>XMULTI2D</v>
      </c>
      <c r="I716" s="256" t="s">
        <v>299</v>
      </c>
      <c r="J716" s="243" t="s">
        <v>72</v>
      </c>
      <c r="K716" s="258">
        <v>21.4</v>
      </c>
      <c r="L716" s="241">
        <v>110</v>
      </c>
      <c r="M716" s="259"/>
      <c r="N716" s="260"/>
      <c r="O716" s="277"/>
      <c r="P716" s="278"/>
      <c r="Q716" s="279"/>
      <c r="R716" s="309" t="s">
        <v>105</v>
      </c>
      <c r="S716" s="310">
        <v>45384</v>
      </c>
      <c r="T716" s="311"/>
      <c r="U716" s="312"/>
      <c r="V716" s="227">
        <v>13</v>
      </c>
      <c r="W716" s="281"/>
      <c r="X716" s="282">
        <v>13</v>
      </c>
      <c r="Y716" s="293">
        <f t="shared" si="30"/>
        <v>13</v>
      </c>
      <c r="Z716" s="175" t="s">
        <v>85</v>
      </c>
      <c r="AA716" s="342">
        <f>IFERROR(BASE_DATOS[[#This Row],[NSK Original]]-BASE_DATOS[[#This Row],[NSK]]," ")</f>
        <v>8.3999999999999986</v>
      </c>
      <c r="AB716" s="343">
        <f>'NSK-TRACTO'!$A$2</f>
        <v>6</v>
      </c>
      <c r="AC716" s="343">
        <f>IF(BASE_DATOS[[#This Row],[NSK]]&gt;=BASE_DATOS[[#This Row],[NSK Reen]],BASE_DATOS[[#This Row],[NSK Reen]],BASE_DATOS[[#This Row],[NSK]])</f>
        <v>6</v>
      </c>
      <c r="AD716" s="344">
        <f>IFERROR(100%-(BASE_DATOS[[#This Row],[NSK Reen]]/BASE_DATOS[[#This Row],[NSK Original]]),"")</f>
        <v>0.71962616822429903</v>
      </c>
      <c r="AE716" s="344">
        <f>IFERROR(100%-BASE_DATOS[[#This Row],[NSK]]/BASE_DATOS[[#This Row],[NSK Original]],"")</f>
        <v>0.39252336448598124</v>
      </c>
      <c r="AF716" s="344">
        <f>IFERROR(BASE_DATOS[[#This Row],[% Max Des.]]-BASE_DATOS[[#This Row],[% Des]],"")</f>
        <v>0.32710280373831779</v>
      </c>
      <c r="AG716" s="287"/>
      <c r="AH716" s="273"/>
      <c r="AI716" s="363" t="str">
        <f>IF(OR(BASE_DATOS[[#This Row],[Hr.]]="",BASE_DATOS[[#This Row],[Hr. Actual]]=""),"",BASE_DATOS[[#This Row],[Hr. Actual]]-BASE_DATOS[[#This Row],[Hr.]]+BASE_DATOS[[#This Row],[Horas Acumuladas]])</f>
        <v/>
      </c>
      <c r="AJ716" s="364" t="str">
        <f>IFERROR(BASE_DATOS[[#This Row],[Precio US$]]/BASE_DATOS[[#This Row],[Horas Rodadas]],"")</f>
        <v/>
      </c>
      <c r="AK716" s="365" t="str">
        <f>IFERROR(BASE_DATOS[[#This Row],[Horas Rodadas]]/(BASE_DATOS[[#This Row],[NSK Original]]-BASE_DATOS[[#This Row],[NSK]]),"")</f>
        <v/>
      </c>
      <c r="AL71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16" s="366" t="str">
        <f>IFERROR(BASE_DATOS[[#This Row],[Precio US$]]/BASE_DATOS[[#This Row],[Horas Proy.]],"")</f>
        <v/>
      </c>
      <c r="AN716" s="176" t="str">
        <f>IF(OR(BASE_DATOS[[#This Row],[Km.]]="",BASE_DATOS[[#This Row],[Km. Actual]]=""),"",BASE_DATOS[[#This Row],[Km. Actual]]-BASE_DATOS[[#This Row],[Km.]]+BASE_DATOS[[#This Row],[Kilómetros Acumulados]])</f>
        <v/>
      </c>
      <c r="AO716" s="177" t="str">
        <f>IFERROR(BASE_DATOS[[#This Row],[Precio US$]]/BASE_DATOS[[#This Row],[Kilómetros Rodados]],"")</f>
        <v/>
      </c>
      <c r="AP716" s="176" t="str">
        <f>IFERROR(BASE_DATOS[[#This Row],[Kilómetros Rodados]]/(BASE_DATOS[[#This Row],[NSK Original]]-BASE_DATOS[[#This Row],[NSK]]),"")</f>
        <v/>
      </c>
      <c r="AQ71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16" s="177" t="str">
        <f>IFERROR(BASE_DATOS[[#This Row],[Precio US$]]/BASE_DATOS[[#This Row],[Kilómetros Proy.]],"")</f>
        <v/>
      </c>
      <c r="AS716" s="167" t="s">
        <v>62</v>
      </c>
      <c r="AT716" s="167"/>
      <c r="AU716" s="167"/>
      <c r="AV716" s="167"/>
      <c r="AW716" s="179"/>
      <c r="AX716" s="179"/>
      <c r="AY716" s="179" t="str">
        <f>CONCATENATE(BASE_DATOS[[#This Row],[Código_U]]&amp;BASE_DATOS[[#This Row],[Pos.]]&amp;BASE_DATOS[[#This Row],[Situación Actual]])</f>
        <v>TC-2548Rodando</v>
      </c>
    </row>
    <row r="717" spans="1:51" ht="12" x14ac:dyDescent="0.25">
      <c r="A717" s="223" t="s">
        <v>404</v>
      </c>
      <c r="B717" s="217" t="s">
        <v>256</v>
      </c>
      <c r="C717" s="228" t="s">
        <v>296</v>
      </c>
      <c r="D717" s="229" t="s">
        <v>61</v>
      </c>
      <c r="E717" s="255"/>
      <c r="F717" s="256" t="s">
        <v>273</v>
      </c>
      <c r="G717" s="256" t="s">
        <v>271</v>
      </c>
      <c r="H717" s="257" t="str">
        <f>IF(BASE_DATOS[[#This Row],[N-R]]="N",BASE_DATOS[[#This Row],[Diseño]],"Reencauche")</f>
        <v>XMULTI2D</v>
      </c>
      <c r="I717" s="256" t="s">
        <v>299</v>
      </c>
      <c r="J717" s="243" t="s">
        <v>72</v>
      </c>
      <c r="K717" s="258">
        <v>21.4</v>
      </c>
      <c r="L717" s="241">
        <v>110</v>
      </c>
      <c r="M717" s="259"/>
      <c r="N717" s="260"/>
      <c r="O717" s="277"/>
      <c r="P717" s="278"/>
      <c r="Q717" s="279"/>
      <c r="R717" s="309" t="s">
        <v>106</v>
      </c>
      <c r="S717" s="310">
        <v>45384</v>
      </c>
      <c r="T717" s="311"/>
      <c r="U717" s="312"/>
      <c r="V717" s="227">
        <v>14</v>
      </c>
      <c r="W717" s="281"/>
      <c r="X717" s="282">
        <v>13</v>
      </c>
      <c r="Y717" s="293">
        <f t="shared" si="30"/>
        <v>13</v>
      </c>
      <c r="Z717" s="175" t="s">
        <v>85</v>
      </c>
      <c r="AA717" s="342">
        <f>IFERROR(BASE_DATOS[[#This Row],[NSK Original]]-BASE_DATOS[[#This Row],[NSK]]," ")</f>
        <v>8.3999999999999986</v>
      </c>
      <c r="AB717" s="343">
        <f>'NSK-TRACTO'!$A$2</f>
        <v>6</v>
      </c>
      <c r="AC717" s="343">
        <f>IF(BASE_DATOS[[#This Row],[NSK]]&gt;=BASE_DATOS[[#This Row],[NSK Reen]],BASE_DATOS[[#This Row],[NSK Reen]],BASE_DATOS[[#This Row],[NSK]])</f>
        <v>6</v>
      </c>
      <c r="AD717" s="344">
        <f>IFERROR(100%-(BASE_DATOS[[#This Row],[NSK Reen]]/BASE_DATOS[[#This Row],[NSK Original]]),"")</f>
        <v>0.71962616822429903</v>
      </c>
      <c r="AE717" s="344">
        <f>IFERROR(100%-BASE_DATOS[[#This Row],[NSK]]/BASE_DATOS[[#This Row],[NSK Original]],"")</f>
        <v>0.39252336448598124</v>
      </c>
      <c r="AF717" s="344">
        <f>IFERROR(BASE_DATOS[[#This Row],[% Max Des.]]-BASE_DATOS[[#This Row],[% Des]],"")</f>
        <v>0.32710280373831779</v>
      </c>
      <c r="AG717" s="287"/>
      <c r="AH717" s="273"/>
      <c r="AI717" s="363" t="str">
        <f>IF(OR(BASE_DATOS[[#This Row],[Hr.]]="",BASE_DATOS[[#This Row],[Hr. Actual]]=""),"",BASE_DATOS[[#This Row],[Hr. Actual]]-BASE_DATOS[[#This Row],[Hr.]]+BASE_DATOS[[#This Row],[Horas Acumuladas]])</f>
        <v/>
      </c>
      <c r="AJ717" s="364" t="str">
        <f>IFERROR(BASE_DATOS[[#This Row],[Precio US$]]/BASE_DATOS[[#This Row],[Horas Rodadas]],"")</f>
        <v/>
      </c>
      <c r="AK717" s="365" t="str">
        <f>IFERROR(BASE_DATOS[[#This Row],[Horas Rodadas]]/(BASE_DATOS[[#This Row],[NSK Original]]-BASE_DATOS[[#This Row],[NSK]]),"")</f>
        <v/>
      </c>
      <c r="AL71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17" s="366" t="str">
        <f>IFERROR(BASE_DATOS[[#This Row],[Precio US$]]/BASE_DATOS[[#This Row],[Horas Proy.]],"")</f>
        <v/>
      </c>
      <c r="AN717" s="176" t="str">
        <f>IF(OR(BASE_DATOS[[#This Row],[Km.]]="",BASE_DATOS[[#This Row],[Km. Actual]]=""),"",BASE_DATOS[[#This Row],[Km. Actual]]-BASE_DATOS[[#This Row],[Km.]]+BASE_DATOS[[#This Row],[Kilómetros Acumulados]])</f>
        <v/>
      </c>
      <c r="AO717" s="177" t="str">
        <f>IFERROR(BASE_DATOS[[#This Row],[Precio US$]]/BASE_DATOS[[#This Row],[Kilómetros Rodados]],"")</f>
        <v/>
      </c>
      <c r="AP717" s="176" t="str">
        <f>IFERROR(BASE_DATOS[[#This Row],[Kilómetros Rodados]]/(BASE_DATOS[[#This Row],[NSK Original]]-BASE_DATOS[[#This Row],[NSK]]),"")</f>
        <v/>
      </c>
      <c r="AQ71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17" s="177" t="str">
        <f>IFERROR(BASE_DATOS[[#This Row],[Precio US$]]/BASE_DATOS[[#This Row],[Kilómetros Proy.]],"")</f>
        <v/>
      </c>
      <c r="AS717" s="167" t="s">
        <v>62</v>
      </c>
      <c r="AT717" s="167"/>
      <c r="AU717" s="167"/>
      <c r="AV717" s="167"/>
      <c r="AW717" s="179"/>
      <c r="AX717" s="179"/>
      <c r="AY717" s="179" t="str">
        <f>CONCATENATE(BASE_DATOS[[#This Row],[Código_U]]&amp;BASE_DATOS[[#This Row],[Pos.]]&amp;BASE_DATOS[[#This Row],[Situación Actual]])</f>
        <v>TC-2549Rodando</v>
      </c>
    </row>
    <row r="718" spans="1:51" ht="12" x14ac:dyDescent="0.25">
      <c r="A718" s="223" t="s">
        <v>404</v>
      </c>
      <c r="B718" s="217" t="s">
        <v>256</v>
      </c>
      <c r="C718" s="228" t="s">
        <v>296</v>
      </c>
      <c r="D718" s="229" t="s">
        <v>61</v>
      </c>
      <c r="E718" s="255"/>
      <c r="F718" s="256" t="s">
        <v>273</v>
      </c>
      <c r="G718" s="256" t="s">
        <v>271</v>
      </c>
      <c r="H718" s="257" t="str">
        <f>IF(BASE_DATOS[[#This Row],[N-R]]="N",BASE_DATOS[[#This Row],[Diseño]],"Reencauche")</f>
        <v>XMULTI2D</v>
      </c>
      <c r="I718" s="256" t="s">
        <v>299</v>
      </c>
      <c r="J718" s="243" t="s">
        <v>72</v>
      </c>
      <c r="K718" s="258">
        <v>21.4</v>
      </c>
      <c r="L718" s="241">
        <v>110</v>
      </c>
      <c r="M718" s="259"/>
      <c r="N718" s="260"/>
      <c r="O718" s="277"/>
      <c r="P718" s="278"/>
      <c r="Q718" s="279"/>
      <c r="R718" s="309" t="s">
        <v>107</v>
      </c>
      <c r="S718" s="310">
        <v>45384</v>
      </c>
      <c r="T718" s="311"/>
      <c r="U718" s="312"/>
      <c r="V718" s="227">
        <v>14</v>
      </c>
      <c r="W718" s="281"/>
      <c r="X718" s="282">
        <v>13</v>
      </c>
      <c r="Y718" s="293">
        <f t="shared" si="30"/>
        <v>13</v>
      </c>
      <c r="Z718" s="161" t="s">
        <v>73</v>
      </c>
      <c r="AA718" s="342">
        <f>IFERROR(BASE_DATOS[[#This Row],[NSK Original]]-BASE_DATOS[[#This Row],[NSK]]," ")</f>
        <v>8.3999999999999986</v>
      </c>
      <c r="AB718" s="343">
        <f>'NSK-TRACTO'!$A$2</f>
        <v>6</v>
      </c>
      <c r="AC718" s="343">
        <f>IF(BASE_DATOS[[#This Row],[NSK]]&gt;=BASE_DATOS[[#This Row],[NSK Reen]],BASE_DATOS[[#This Row],[NSK Reen]],BASE_DATOS[[#This Row],[NSK]])</f>
        <v>6</v>
      </c>
      <c r="AD718" s="344">
        <f>IFERROR(100%-(BASE_DATOS[[#This Row],[NSK Reen]]/BASE_DATOS[[#This Row],[NSK Original]]),"")</f>
        <v>0.71962616822429903</v>
      </c>
      <c r="AE718" s="344">
        <f>IFERROR(100%-BASE_DATOS[[#This Row],[NSK]]/BASE_DATOS[[#This Row],[NSK Original]],"")</f>
        <v>0.39252336448598124</v>
      </c>
      <c r="AF718" s="344">
        <f>IFERROR(BASE_DATOS[[#This Row],[% Max Des.]]-BASE_DATOS[[#This Row],[% Des]],"")</f>
        <v>0.32710280373831779</v>
      </c>
      <c r="AG718" s="287"/>
      <c r="AH718" s="273"/>
      <c r="AI718" s="363" t="str">
        <f>IF(OR(BASE_DATOS[[#This Row],[Hr.]]="",BASE_DATOS[[#This Row],[Hr. Actual]]=""),"",BASE_DATOS[[#This Row],[Hr. Actual]]-BASE_DATOS[[#This Row],[Hr.]]+BASE_DATOS[[#This Row],[Horas Acumuladas]])</f>
        <v/>
      </c>
      <c r="AJ718" s="364" t="str">
        <f>IFERROR(BASE_DATOS[[#This Row],[Precio US$]]/BASE_DATOS[[#This Row],[Horas Rodadas]],"")</f>
        <v/>
      </c>
      <c r="AK718" s="365" t="str">
        <f>IFERROR(BASE_DATOS[[#This Row],[Horas Rodadas]]/(BASE_DATOS[[#This Row],[NSK Original]]-BASE_DATOS[[#This Row],[NSK]]),"")</f>
        <v/>
      </c>
      <c r="AL71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18" s="366" t="str">
        <f>IFERROR(BASE_DATOS[[#This Row],[Precio US$]]/BASE_DATOS[[#This Row],[Horas Proy.]],"")</f>
        <v/>
      </c>
      <c r="AN718" s="176" t="str">
        <f>IF(OR(BASE_DATOS[[#This Row],[Km.]]="",BASE_DATOS[[#This Row],[Km. Actual]]=""),"",BASE_DATOS[[#This Row],[Km. Actual]]-BASE_DATOS[[#This Row],[Km.]]+BASE_DATOS[[#This Row],[Kilómetros Acumulados]])</f>
        <v/>
      </c>
      <c r="AO718" s="177" t="str">
        <f>IFERROR(BASE_DATOS[[#This Row],[Precio US$]]/BASE_DATOS[[#This Row],[Kilómetros Rodados]],"")</f>
        <v/>
      </c>
      <c r="AP718" s="176" t="str">
        <f>IFERROR(BASE_DATOS[[#This Row],[Kilómetros Rodados]]/(BASE_DATOS[[#This Row],[NSK Original]]-BASE_DATOS[[#This Row],[NSK]]),"")</f>
        <v/>
      </c>
      <c r="AQ71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18" s="177" t="str">
        <f>IFERROR(BASE_DATOS[[#This Row],[Precio US$]]/BASE_DATOS[[#This Row],[Kilómetros Proy.]],"")</f>
        <v/>
      </c>
      <c r="AS718" s="167" t="s">
        <v>62</v>
      </c>
      <c r="AT718" s="167"/>
      <c r="AU718" s="167"/>
      <c r="AV718" s="167"/>
      <c r="AW718" s="179"/>
      <c r="AX718" s="179"/>
      <c r="AY718" s="179" t="str">
        <f>CONCATENATE(BASE_DATOS[[#This Row],[Código_U]]&amp;BASE_DATOS[[#This Row],[Pos.]]&amp;BASE_DATOS[[#This Row],[Situación Actual]])</f>
        <v>TC-25410Rodando</v>
      </c>
    </row>
    <row r="719" spans="1:51" ht="12" x14ac:dyDescent="0.25">
      <c r="A719" s="222" t="s">
        <v>419</v>
      </c>
      <c r="B719" s="213" t="s">
        <v>257</v>
      </c>
      <c r="C719" s="225" t="s">
        <v>296</v>
      </c>
      <c r="D719" s="226" t="s">
        <v>86</v>
      </c>
      <c r="E719" s="249"/>
      <c r="F719" s="250" t="s">
        <v>273</v>
      </c>
      <c r="G719" s="250" t="s">
        <v>271</v>
      </c>
      <c r="H719" s="251" t="str">
        <f>IF(BASE_DATOS[[#This Row],[N-R]]="N",BASE_DATOS[[#This Row],[Diseño]],"Reencauche")</f>
        <v>XMULTI+Z</v>
      </c>
      <c r="I719" s="250" t="s">
        <v>297</v>
      </c>
      <c r="J719" s="235" t="s">
        <v>72</v>
      </c>
      <c r="K719" s="252">
        <v>16</v>
      </c>
      <c r="L719" s="233">
        <v>100</v>
      </c>
      <c r="M719" s="253"/>
      <c r="N719" s="254"/>
      <c r="O719" s="274"/>
      <c r="P719" s="275"/>
      <c r="Q719" s="276"/>
      <c r="R719" s="305" t="s">
        <v>98</v>
      </c>
      <c r="S719" s="306">
        <v>45385</v>
      </c>
      <c r="T719" s="307"/>
      <c r="U719" s="308"/>
      <c r="V719" s="224">
        <v>8</v>
      </c>
      <c r="W719" s="325">
        <v>8</v>
      </c>
      <c r="X719" s="326">
        <v>9</v>
      </c>
      <c r="Y719" s="292">
        <f t="shared" ref="Y719:Y762" si="31">IFERROR(MIN(V719:X719),"")</f>
        <v>8</v>
      </c>
      <c r="Z719" s="194" t="s">
        <v>85</v>
      </c>
      <c r="AA719" s="339">
        <f>IFERROR(BASE_DATOS[[#This Row],[NSK Original]]-BASE_DATOS[[#This Row],[NSK]]," ")</f>
        <v>8</v>
      </c>
      <c r="AB719" s="340">
        <f>'NSK-TRACTO'!$A$2</f>
        <v>6</v>
      </c>
      <c r="AC719" s="340">
        <f>IF(BASE_DATOS[[#This Row],[NSK]]&gt;=BASE_DATOS[[#This Row],[NSK Reen]],BASE_DATOS[[#This Row],[NSK Reen]],BASE_DATOS[[#This Row],[NSK]])</f>
        <v>6</v>
      </c>
      <c r="AD719" s="341">
        <f>IFERROR(100%-(BASE_DATOS[[#This Row],[NSK Reen]]/BASE_DATOS[[#This Row],[NSK Original]]),"")</f>
        <v>0.625</v>
      </c>
      <c r="AE719" s="341">
        <f>IFERROR(100%-BASE_DATOS[[#This Row],[NSK]]/BASE_DATOS[[#This Row],[NSK Original]],"")</f>
        <v>0.5</v>
      </c>
      <c r="AF719" s="341">
        <f>IFERROR(BASE_DATOS[[#This Row],[% Max Des.]]-BASE_DATOS[[#This Row],[% Des]],"")</f>
        <v>0.125</v>
      </c>
      <c r="AG719" s="284"/>
      <c r="AH719" s="335"/>
      <c r="AI719" s="359" t="str">
        <f>IF(OR(BASE_DATOS[[#This Row],[Hr.]]="",BASE_DATOS[[#This Row],[Hr. Actual]]=""),"",BASE_DATOS[[#This Row],[Hr. Actual]]-BASE_DATOS[[#This Row],[Hr.]]+BASE_DATOS[[#This Row],[Horas Acumuladas]])</f>
        <v/>
      </c>
      <c r="AJ719" s="360" t="str">
        <f>IFERROR(BASE_DATOS[[#This Row],[Precio US$]]/BASE_DATOS[[#This Row],[Horas Rodadas]],"")</f>
        <v/>
      </c>
      <c r="AK719" s="361" t="str">
        <f>IFERROR(BASE_DATOS[[#This Row],[Horas Rodadas]]/(BASE_DATOS[[#This Row],[NSK Original]]-BASE_DATOS[[#This Row],[NSK]]),"")</f>
        <v/>
      </c>
      <c r="AL719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19" s="362" t="str">
        <f>IFERROR(BASE_DATOS[[#This Row],[Precio US$]]/BASE_DATOS[[#This Row],[Horas Proy.]],"")</f>
        <v/>
      </c>
      <c r="AN719" s="195" t="str">
        <f>IF(OR(BASE_DATOS[[#This Row],[Km.]]="",BASE_DATOS[[#This Row],[Km. Actual]]=""),"",BASE_DATOS[[#This Row],[Km. Actual]]-BASE_DATOS[[#This Row],[Km.]]+BASE_DATOS[[#This Row],[Kilómetros Acumulados]])</f>
        <v/>
      </c>
      <c r="AO719" s="196" t="str">
        <f>IFERROR(BASE_DATOS[[#This Row],[Precio US$]]/BASE_DATOS[[#This Row],[Kilómetros Rodados]],"")</f>
        <v/>
      </c>
      <c r="AP719" s="195" t="str">
        <f>IFERROR(BASE_DATOS[[#This Row],[Kilómetros Rodados]]/(BASE_DATOS[[#This Row],[NSK Original]]-BASE_DATOS[[#This Row],[NSK]]),"")</f>
        <v/>
      </c>
      <c r="AQ719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19" s="196" t="str">
        <f>IFERROR(BASE_DATOS[[#This Row],[Precio US$]]/BASE_DATOS[[#This Row],[Kilómetros Proy.]],"")</f>
        <v/>
      </c>
      <c r="AS719" s="191" t="s">
        <v>62</v>
      </c>
      <c r="AT719" s="191"/>
      <c r="AU719" s="191"/>
      <c r="AV719" s="191"/>
      <c r="AW719" s="198"/>
      <c r="AX719" s="198"/>
      <c r="AY719" s="198" t="str">
        <f>CONCATENATE(BASE_DATOS[[#This Row],[Código_U]]&amp;BASE_DATOS[[#This Row],[Pos.]]&amp;BASE_DATOS[[#This Row],[Situación Actual]])</f>
        <v>TC-2481Rodando</v>
      </c>
    </row>
    <row r="720" spans="1:51" ht="12" x14ac:dyDescent="0.25">
      <c r="A720" s="223" t="s">
        <v>419</v>
      </c>
      <c r="B720" s="217" t="s">
        <v>257</v>
      </c>
      <c r="C720" s="228" t="s">
        <v>296</v>
      </c>
      <c r="D720" s="229" t="s">
        <v>86</v>
      </c>
      <c r="E720" s="255"/>
      <c r="F720" s="256" t="s">
        <v>273</v>
      </c>
      <c r="G720" s="256" t="s">
        <v>271</v>
      </c>
      <c r="H720" s="257" t="str">
        <f>IF(BASE_DATOS[[#This Row],[N-R]]="N",BASE_DATOS[[#This Row],[Diseño]],"Reencauche")</f>
        <v>XMULTI+Z</v>
      </c>
      <c r="I720" s="256" t="s">
        <v>297</v>
      </c>
      <c r="J720" s="243" t="s">
        <v>72</v>
      </c>
      <c r="K720" s="258">
        <v>16</v>
      </c>
      <c r="L720" s="241">
        <v>100</v>
      </c>
      <c r="M720" s="259"/>
      <c r="N720" s="260"/>
      <c r="O720" s="277"/>
      <c r="P720" s="278"/>
      <c r="Q720" s="279"/>
      <c r="R720" s="309" t="s">
        <v>99</v>
      </c>
      <c r="S720" s="310">
        <v>45385</v>
      </c>
      <c r="T720" s="311"/>
      <c r="U720" s="312"/>
      <c r="V720" s="227">
        <v>6</v>
      </c>
      <c r="W720" s="281">
        <v>7</v>
      </c>
      <c r="X720" s="282">
        <v>8</v>
      </c>
      <c r="Y720" s="293">
        <f t="shared" si="31"/>
        <v>6</v>
      </c>
      <c r="Z720" s="175" t="s">
        <v>85</v>
      </c>
      <c r="AA720" s="342">
        <f>IFERROR(BASE_DATOS[[#This Row],[NSK Original]]-BASE_DATOS[[#This Row],[NSK]]," ")</f>
        <v>10</v>
      </c>
      <c r="AB720" s="343">
        <f>'NSK-TRACTO'!$A$2</f>
        <v>6</v>
      </c>
      <c r="AC720" s="343">
        <f>IF(BASE_DATOS[[#This Row],[NSK]]&gt;=BASE_DATOS[[#This Row],[NSK Reen]],BASE_DATOS[[#This Row],[NSK Reen]],BASE_DATOS[[#This Row],[NSK]])</f>
        <v>6</v>
      </c>
      <c r="AD720" s="344">
        <f>IFERROR(100%-(BASE_DATOS[[#This Row],[NSK Reen]]/BASE_DATOS[[#This Row],[NSK Original]]),"")</f>
        <v>0.625</v>
      </c>
      <c r="AE720" s="344">
        <f>IFERROR(100%-BASE_DATOS[[#This Row],[NSK]]/BASE_DATOS[[#This Row],[NSK Original]],"")</f>
        <v>0.625</v>
      </c>
      <c r="AF720" s="344">
        <f>IFERROR(BASE_DATOS[[#This Row],[% Max Des.]]-BASE_DATOS[[#This Row],[% Des]],"")</f>
        <v>0</v>
      </c>
      <c r="AG720" s="287"/>
      <c r="AH720" s="273"/>
      <c r="AI720" s="363" t="str">
        <f>IF(OR(BASE_DATOS[[#This Row],[Hr.]]="",BASE_DATOS[[#This Row],[Hr. Actual]]=""),"",BASE_DATOS[[#This Row],[Hr. Actual]]-BASE_DATOS[[#This Row],[Hr.]]+BASE_DATOS[[#This Row],[Horas Acumuladas]])</f>
        <v/>
      </c>
      <c r="AJ720" s="364" t="str">
        <f>IFERROR(BASE_DATOS[[#This Row],[Precio US$]]/BASE_DATOS[[#This Row],[Horas Rodadas]],"")</f>
        <v/>
      </c>
      <c r="AK720" s="365" t="str">
        <f>IFERROR(BASE_DATOS[[#This Row],[Horas Rodadas]]/(BASE_DATOS[[#This Row],[NSK Original]]-BASE_DATOS[[#This Row],[NSK]]),"")</f>
        <v/>
      </c>
      <c r="AL72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20" s="366" t="str">
        <f>IFERROR(BASE_DATOS[[#This Row],[Precio US$]]/BASE_DATOS[[#This Row],[Horas Proy.]],"")</f>
        <v/>
      </c>
      <c r="AN720" s="176" t="str">
        <f>IF(OR(BASE_DATOS[[#This Row],[Km.]]="",BASE_DATOS[[#This Row],[Km. Actual]]=""),"",BASE_DATOS[[#This Row],[Km. Actual]]-BASE_DATOS[[#This Row],[Km.]]+BASE_DATOS[[#This Row],[Kilómetros Acumulados]])</f>
        <v/>
      </c>
      <c r="AO720" s="177" t="str">
        <f>IFERROR(BASE_DATOS[[#This Row],[Precio US$]]/BASE_DATOS[[#This Row],[Kilómetros Rodados]],"")</f>
        <v/>
      </c>
      <c r="AP720" s="176" t="str">
        <f>IFERROR(BASE_DATOS[[#This Row],[Kilómetros Rodados]]/(BASE_DATOS[[#This Row],[NSK Original]]-BASE_DATOS[[#This Row],[NSK]]),"")</f>
        <v/>
      </c>
      <c r="AQ72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20" s="177" t="str">
        <f>IFERROR(BASE_DATOS[[#This Row],[Precio US$]]/BASE_DATOS[[#This Row],[Kilómetros Proy.]],"")</f>
        <v/>
      </c>
      <c r="AS720" s="167" t="s">
        <v>62</v>
      </c>
      <c r="AT720" s="167"/>
      <c r="AU720" s="167" t="s">
        <v>515</v>
      </c>
      <c r="AV720" s="167"/>
      <c r="AW720" s="179"/>
      <c r="AX720" s="169" t="s">
        <v>371</v>
      </c>
      <c r="AY720" s="169" t="str">
        <f>CONCATENATE(BASE_DATOS[[#This Row],[Código_U]]&amp;BASE_DATOS[[#This Row],[Pos.]]&amp;BASE_DATOS[[#This Row],[Situación Actual]])</f>
        <v>TC-2482Rodando</v>
      </c>
    </row>
    <row r="721" spans="1:51" ht="12" x14ac:dyDescent="0.25">
      <c r="A721" s="223" t="s">
        <v>419</v>
      </c>
      <c r="B721" s="217" t="s">
        <v>257</v>
      </c>
      <c r="C721" s="228" t="s">
        <v>296</v>
      </c>
      <c r="D721" s="229" t="s">
        <v>61</v>
      </c>
      <c r="E721" s="255"/>
      <c r="F721" s="256" t="s">
        <v>273</v>
      </c>
      <c r="G721" s="256" t="s">
        <v>271</v>
      </c>
      <c r="H721" s="257" t="str">
        <f>IF(BASE_DATOS[[#This Row],[N-R]]="N",BASE_DATOS[[#This Row],[Diseño]],"Reencauche")</f>
        <v>XMULTI2D</v>
      </c>
      <c r="I721" s="256" t="s">
        <v>299</v>
      </c>
      <c r="J721" s="243" t="s">
        <v>72</v>
      </c>
      <c r="K721" s="258">
        <v>21.4</v>
      </c>
      <c r="L721" s="241">
        <v>110</v>
      </c>
      <c r="M721" s="259"/>
      <c r="N721" s="260"/>
      <c r="O721" s="277"/>
      <c r="P721" s="278"/>
      <c r="Q721" s="279"/>
      <c r="R721" s="309" t="s">
        <v>100</v>
      </c>
      <c r="S721" s="310">
        <v>45385</v>
      </c>
      <c r="T721" s="311"/>
      <c r="U721" s="312"/>
      <c r="V721" s="227">
        <v>11</v>
      </c>
      <c r="W721" s="281"/>
      <c r="X721" s="282">
        <v>12</v>
      </c>
      <c r="Y721" s="293">
        <f t="shared" si="31"/>
        <v>11</v>
      </c>
      <c r="Z721" s="175" t="s">
        <v>85</v>
      </c>
      <c r="AA721" s="342">
        <f>IFERROR(BASE_DATOS[[#This Row],[NSK Original]]-BASE_DATOS[[#This Row],[NSK]]," ")</f>
        <v>10.399999999999999</v>
      </c>
      <c r="AB721" s="343">
        <f>'NSK-TRACTO'!$A$2</f>
        <v>6</v>
      </c>
      <c r="AC721" s="343">
        <f>IF(BASE_DATOS[[#This Row],[NSK]]&gt;=BASE_DATOS[[#This Row],[NSK Reen]],BASE_DATOS[[#This Row],[NSK Reen]],BASE_DATOS[[#This Row],[NSK]])</f>
        <v>6</v>
      </c>
      <c r="AD721" s="344">
        <f>IFERROR(100%-(BASE_DATOS[[#This Row],[NSK Reen]]/BASE_DATOS[[#This Row],[NSK Original]]),"")</f>
        <v>0.71962616822429903</v>
      </c>
      <c r="AE721" s="344">
        <f>IFERROR(100%-BASE_DATOS[[#This Row],[NSK]]/BASE_DATOS[[#This Row],[NSK Original]],"")</f>
        <v>0.4859813084112149</v>
      </c>
      <c r="AF721" s="344">
        <f>IFERROR(BASE_DATOS[[#This Row],[% Max Des.]]-BASE_DATOS[[#This Row],[% Des]],"")</f>
        <v>0.23364485981308414</v>
      </c>
      <c r="AG721" s="287"/>
      <c r="AH721" s="273"/>
      <c r="AI721" s="363" t="str">
        <f>IF(OR(BASE_DATOS[[#This Row],[Hr.]]="",BASE_DATOS[[#This Row],[Hr. Actual]]=""),"",BASE_DATOS[[#This Row],[Hr. Actual]]-BASE_DATOS[[#This Row],[Hr.]]+BASE_DATOS[[#This Row],[Horas Acumuladas]])</f>
        <v/>
      </c>
      <c r="AJ721" s="364" t="str">
        <f>IFERROR(BASE_DATOS[[#This Row],[Precio US$]]/BASE_DATOS[[#This Row],[Horas Rodadas]],"")</f>
        <v/>
      </c>
      <c r="AK721" s="365" t="str">
        <f>IFERROR(BASE_DATOS[[#This Row],[Horas Rodadas]]/(BASE_DATOS[[#This Row],[NSK Original]]-BASE_DATOS[[#This Row],[NSK]]),"")</f>
        <v/>
      </c>
      <c r="AL72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21" s="366" t="str">
        <f>IFERROR(BASE_DATOS[[#This Row],[Precio US$]]/BASE_DATOS[[#This Row],[Horas Proy.]],"")</f>
        <v/>
      </c>
      <c r="AN721" s="176" t="str">
        <f>IF(OR(BASE_DATOS[[#This Row],[Km.]]="",BASE_DATOS[[#This Row],[Km. Actual]]=""),"",BASE_DATOS[[#This Row],[Km. Actual]]-BASE_DATOS[[#This Row],[Km.]]+BASE_DATOS[[#This Row],[Kilómetros Acumulados]])</f>
        <v/>
      </c>
      <c r="AO721" s="177" t="str">
        <f>IFERROR(BASE_DATOS[[#This Row],[Precio US$]]/BASE_DATOS[[#This Row],[Kilómetros Rodados]],"")</f>
        <v/>
      </c>
      <c r="AP721" s="176" t="str">
        <f>IFERROR(BASE_DATOS[[#This Row],[Kilómetros Rodados]]/(BASE_DATOS[[#This Row],[NSK Original]]-BASE_DATOS[[#This Row],[NSK]]),"")</f>
        <v/>
      </c>
      <c r="AQ72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21" s="177" t="str">
        <f>IFERROR(BASE_DATOS[[#This Row],[Precio US$]]/BASE_DATOS[[#This Row],[Kilómetros Proy.]],"")</f>
        <v/>
      </c>
      <c r="AS721" s="167" t="s">
        <v>62</v>
      </c>
      <c r="AT721" s="167"/>
      <c r="AU721" s="167"/>
      <c r="AV721" s="167"/>
      <c r="AW721" s="179"/>
      <c r="AX721" s="179"/>
      <c r="AY721" s="179" t="str">
        <f>CONCATENATE(BASE_DATOS[[#This Row],[Código_U]]&amp;BASE_DATOS[[#This Row],[Pos.]]&amp;BASE_DATOS[[#This Row],[Situación Actual]])</f>
        <v>TC-2483Rodando</v>
      </c>
    </row>
    <row r="722" spans="1:51" ht="12" x14ac:dyDescent="0.25">
      <c r="A722" s="223" t="s">
        <v>419</v>
      </c>
      <c r="B722" s="217" t="s">
        <v>257</v>
      </c>
      <c r="C722" s="228" t="s">
        <v>296</v>
      </c>
      <c r="D722" s="229" t="s">
        <v>61</v>
      </c>
      <c r="E722" s="255"/>
      <c r="F722" s="256" t="s">
        <v>273</v>
      </c>
      <c r="G722" s="256" t="s">
        <v>271</v>
      </c>
      <c r="H722" s="257" t="str">
        <f>IF(BASE_DATOS[[#This Row],[N-R]]="N",BASE_DATOS[[#This Row],[Diseño]],"Reencauche")</f>
        <v>XMULTI2D</v>
      </c>
      <c r="I722" s="256" t="s">
        <v>299</v>
      </c>
      <c r="J722" s="243" t="s">
        <v>72</v>
      </c>
      <c r="K722" s="258">
        <v>21.4</v>
      </c>
      <c r="L722" s="241">
        <v>110</v>
      </c>
      <c r="M722" s="259"/>
      <c r="N722" s="260"/>
      <c r="O722" s="277"/>
      <c r="P722" s="278"/>
      <c r="Q722" s="279"/>
      <c r="R722" s="309" t="s">
        <v>101</v>
      </c>
      <c r="S722" s="310">
        <v>45385</v>
      </c>
      <c r="T722" s="311"/>
      <c r="U722" s="312"/>
      <c r="V722" s="227">
        <v>12</v>
      </c>
      <c r="W722" s="281"/>
      <c r="X722" s="282">
        <v>11</v>
      </c>
      <c r="Y722" s="293">
        <f t="shared" si="31"/>
        <v>11</v>
      </c>
      <c r="Z722" s="175" t="s">
        <v>85</v>
      </c>
      <c r="AA722" s="342">
        <f>IFERROR(BASE_DATOS[[#This Row],[NSK Original]]-BASE_DATOS[[#This Row],[NSK]]," ")</f>
        <v>10.399999999999999</v>
      </c>
      <c r="AB722" s="343">
        <f>'NSK-TRACTO'!$A$2</f>
        <v>6</v>
      </c>
      <c r="AC722" s="343">
        <f>IF(BASE_DATOS[[#This Row],[NSK]]&gt;=BASE_DATOS[[#This Row],[NSK Reen]],BASE_DATOS[[#This Row],[NSK Reen]],BASE_DATOS[[#This Row],[NSK]])</f>
        <v>6</v>
      </c>
      <c r="AD722" s="344">
        <f>IFERROR(100%-(BASE_DATOS[[#This Row],[NSK Reen]]/BASE_DATOS[[#This Row],[NSK Original]]),"")</f>
        <v>0.71962616822429903</v>
      </c>
      <c r="AE722" s="344">
        <f>IFERROR(100%-BASE_DATOS[[#This Row],[NSK]]/BASE_DATOS[[#This Row],[NSK Original]],"")</f>
        <v>0.4859813084112149</v>
      </c>
      <c r="AF722" s="344">
        <f>IFERROR(BASE_DATOS[[#This Row],[% Max Des.]]-BASE_DATOS[[#This Row],[% Des]],"")</f>
        <v>0.23364485981308414</v>
      </c>
      <c r="AG722" s="287"/>
      <c r="AH722" s="273"/>
      <c r="AI722" s="363" t="str">
        <f>IF(OR(BASE_DATOS[[#This Row],[Hr.]]="",BASE_DATOS[[#This Row],[Hr. Actual]]=""),"",BASE_DATOS[[#This Row],[Hr. Actual]]-BASE_DATOS[[#This Row],[Hr.]]+BASE_DATOS[[#This Row],[Horas Acumuladas]])</f>
        <v/>
      </c>
      <c r="AJ722" s="364" t="str">
        <f>IFERROR(BASE_DATOS[[#This Row],[Precio US$]]/BASE_DATOS[[#This Row],[Horas Rodadas]],"")</f>
        <v/>
      </c>
      <c r="AK722" s="365" t="str">
        <f>IFERROR(BASE_DATOS[[#This Row],[Horas Rodadas]]/(BASE_DATOS[[#This Row],[NSK Original]]-BASE_DATOS[[#This Row],[NSK]]),"")</f>
        <v/>
      </c>
      <c r="AL72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22" s="366" t="str">
        <f>IFERROR(BASE_DATOS[[#This Row],[Precio US$]]/BASE_DATOS[[#This Row],[Horas Proy.]],"")</f>
        <v/>
      </c>
      <c r="AN722" s="176" t="str">
        <f>IF(OR(BASE_DATOS[[#This Row],[Km.]]="",BASE_DATOS[[#This Row],[Km. Actual]]=""),"",BASE_DATOS[[#This Row],[Km. Actual]]-BASE_DATOS[[#This Row],[Km.]]+BASE_DATOS[[#This Row],[Kilómetros Acumulados]])</f>
        <v/>
      </c>
      <c r="AO722" s="177" t="str">
        <f>IFERROR(BASE_DATOS[[#This Row],[Precio US$]]/BASE_DATOS[[#This Row],[Kilómetros Rodados]],"")</f>
        <v/>
      </c>
      <c r="AP722" s="176" t="str">
        <f>IFERROR(BASE_DATOS[[#This Row],[Kilómetros Rodados]]/(BASE_DATOS[[#This Row],[NSK Original]]-BASE_DATOS[[#This Row],[NSK]]),"")</f>
        <v/>
      </c>
      <c r="AQ72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22" s="177" t="str">
        <f>IFERROR(BASE_DATOS[[#This Row],[Precio US$]]/BASE_DATOS[[#This Row],[Kilómetros Proy.]],"")</f>
        <v/>
      </c>
      <c r="AS722" s="167" t="s">
        <v>62</v>
      </c>
      <c r="AT722" s="167"/>
      <c r="AU722" s="167"/>
      <c r="AV722" s="167"/>
      <c r="AW722" s="179"/>
      <c r="AX722" s="179"/>
      <c r="AY722" s="179" t="str">
        <f>CONCATENATE(BASE_DATOS[[#This Row],[Código_U]]&amp;BASE_DATOS[[#This Row],[Pos.]]&amp;BASE_DATOS[[#This Row],[Situación Actual]])</f>
        <v>TC-2484Rodando</v>
      </c>
    </row>
    <row r="723" spans="1:51" ht="12" x14ac:dyDescent="0.25">
      <c r="A723" s="223" t="s">
        <v>419</v>
      </c>
      <c r="B723" s="217" t="s">
        <v>257</v>
      </c>
      <c r="C723" s="228" t="s">
        <v>296</v>
      </c>
      <c r="D723" s="229" t="s">
        <v>61</v>
      </c>
      <c r="E723" s="255"/>
      <c r="F723" s="256" t="s">
        <v>273</v>
      </c>
      <c r="G723" s="256" t="s">
        <v>271</v>
      </c>
      <c r="H723" s="257" t="str">
        <f>IF(BASE_DATOS[[#This Row],[N-R]]="N",BASE_DATOS[[#This Row],[Diseño]],"Reencauche")</f>
        <v>XMULTI2D</v>
      </c>
      <c r="I723" s="256" t="s">
        <v>299</v>
      </c>
      <c r="J723" s="243" t="s">
        <v>72</v>
      </c>
      <c r="K723" s="258">
        <v>21.4</v>
      </c>
      <c r="L723" s="241">
        <v>110</v>
      </c>
      <c r="M723" s="259"/>
      <c r="N723" s="260"/>
      <c r="O723" s="277"/>
      <c r="P723" s="278"/>
      <c r="Q723" s="279"/>
      <c r="R723" s="309" t="s">
        <v>102</v>
      </c>
      <c r="S723" s="310">
        <v>45385</v>
      </c>
      <c r="T723" s="311"/>
      <c r="U723" s="312"/>
      <c r="V723" s="227">
        <v>12</v>
      </c>
      <c r="W723" s="281"/>
      <c r="X723" s="282">
        <v>11</v>
      </c>
      <c r="Y723" s="293">
        <f t="shared" si="31"/>
        <v>11</v>
      </c>
      <c r="Z723" s="175" t="s">
        <v>85</v>
      </c>
      <c r="AA723" s="342">
        <f>IFERROR(BASE_DATOS[[#This Row],[NSK Original]]-BASE_DATOS[[#This Row],[NSK]]," ")</f>
        <v>10.399999999999999</v>
      </c>
      <c r="AB723" s="343">
        <f>'NSK-TRACTO'!$A$2</f>
        <v>6</v>
      </c>
      <c r="AC723" s="343">
        <f>IF(BASE_DATOS[[#This Row],[NSK]]&gt;=BASE_DATOS[[#This Row],[NSK Reen]],BASE_DATOS[[#This Row],[NSK Reen]],BASE_DATOS[[#This Row],[NSK]])</f>
        <v>6</v>
      </c>
      <c r="AD723" s="344">
        <f>IFERROR(100%-(BASE_DATOS[[#This Row],[NSK Reen]]/BASE_DATOS[[#This Row],[NSK Original]]),"")</f>
        <v>0.71962616822429903</v>
      </c>
      <c r="AE723" s="344">
        <f>IFERROR(100%-BASE_DATOS[[#This Row],[NSK]]/BASE_DATOS[[#This Row],[NSK Original]],"")</f>
        <v>0.4859813084112149</v>
      </c>
      <c r="AF723" s="344">
        <f>IFERROR(BASE_DATOS[[#This Row],[% Max Des.]]-BASE_DATOS[[#This Row],[% Des]],"")</f>
        <v>0.23364485981308414</v>
      </c>
      <c r="AG723" s="287"/>
      <c r="AH723" s="273"/>
      <c r="AI723" s="363" t="str">
        <f>IF(OR(BASE_DATOS[[#This Row],[Hr.]]="",BASE_DATOS[[#This Row],[Hr. Actual]]=""),"",BASE_DATOS[[#This Row],[Hr. Actual]]-BASE_DATOS[[#This Row],[Hr.]]+BASE_DATOS[[#This Row],[Horas Acumuladas]])</f>
        <v/>
      </c>
      <c r="AJ723" s="364" t="str">
        <f>IFERROR(BASE_DATOS[[#This Row],[Precio US$]]/BASE_DATOS[[#This Row],[Horas Rodadas]],"")</f>
        <v/>
      </c>
      <c r="AK723" s="365" t="str">
        <f>IFERROR(BASE_DATOS[[#This Row],[Horas Rodadas]]/(BASE_DATOS[[#This Row],[NSK Original]]-BASE_DATOS[[#This Row],[NSK]]),"")</f>
        <v/>
      </c>
      <c r="AL72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23" s="366" t="str">
        <f>IFERROR(BASE_DATOS[[#This Row],[Precio US$]]/BASE_DATOS[[#This Row],[Horas Proy.]],"")</f>
        <v/>
      </c>
      <c r="AN723" s="176" t="str">
        <f>IF(OR(BASE_DATOS[[#This Row],[Km.]]="",BASE_DATOS[[#This Row],[Km. Actual]]=""),"",BASE_DATOS[[#This Row],[Km. Actual]]-BASE_DATOS[[#This Row],[Km.]]+BASE_DATOS[[#This Row],[Kilómetros Acumulados]])</f>
        <v/>
      </c>
      <c r="AO723" s="177" t="str">
        <f>IFERROR(BASE_DATOS[[#This Row],[Precio US$]]/BASE_DATOS[[#This Row],[Kilómetros Rodados]],"")</f>
        <v/>
      </c>
      <c r="AP723" s="176" t="str">
        <f>IFERROR(BASE_DATOS[[#This Row],[Kilómetros Rodados]]/(BASE_DATOS[[#This Row],[NSK Original]]-BASE_DATOS[[#This Row],[NSK]]),"")</f>
        <v/>
      </c>
      <c r="AQ72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23" s="177" t="str">
        <f>IFERROR(BASE_DATOS[[#This Row],[Precio US$]]/BASE_DATOS[[#This Row],[Kilómetros Proy.]],"")</f>
        <v/>
      </c>
      <c r="AS723" s="167" t="s">
        <v>62</v>
      </c>
      <c r="AT723" s="167"/>
      <c r="AU723" s="167"/>
      <c r="AV723" s="167"/>
      <c r="AW723" s="179"/>
      <c r="AX723" s="179"/>
      <c r="AY723" s="179" t="str">
        <f>CONCATENATE(BASE_DATOS[[#This Row],[Código_U]]&amp;BASE_DATOS[[#This Row],[Pos.]]&amp;BASE_DATOS[[#This Row],[Situación Actual]])</f>
        <v>TC-2485Rodando</v>
      </c>
    </row>
    <row r="724" spans="1:51" ht="12" x14ac:dyDescent="0.25">
      <c r="A724" s="223" t="s">
        <v>419</v>
      </c>
      <c r="B724" s="217" t="s">
        <v>257</v>
      </c>
      <c r="C724" s="228" t="s">
        <v>296</v>
      </c>
      <c r="D724" s="229" t="s">
        <v>61</v>
      </c>
      <c r="E724" s="255"/>
      <c r="F724" s="256" t="s">
        <v>273</v>
      </c>
      <c r="G724" s="256" t="s">
        <v>271</v>
      </c>
      <c r="H724" s="257" t="str">
        <f>IF(BASE_DATOS[[#This Row],[N-R]]="N",BASE_DATOS[[#This Row],[Diseño]],"Reencauche")</f>
        <v>XMULTI2D</v>
      </c>
      <c r="I724" s="256" t="s">
        <v>299</v>
      </c>
      <c r="J724" s="243" t="s">
        <v>72</v>
      </c>
      <c r="K724" s="258">
        <v>21.4</v>
      </c>
      <c r="L724" s="241">
        <v>110</v>
      </c>
      <c r="M724" s="259"/>
      <c r="N724" s="260"/>
      <c r="O724" s="277"/>
      <c r="P724" s="278"/>
      <c r="Q724" s="279"/>
      <c r="R724" s="309" t="s">
        <v>103</v>
      </c>
      <c r="S724" s="310">
        <v>45385</v>
      </c>
      <c r="T724" s="311"/>
      <c r="U724" s="312"/>
      <c r="V724" s="227">
        <v>12</v>
      </c>
      <c r="W724" s="281"/>
      <c r="X724" s="282">
        <v>12</v>
      </c>
      <c r="Y724" s="293">
        <f t="shared" si="31"/>
        <v>12</v>
      </c>
      <c r="Z724" s="175" t="s">
        <v>85</v>
      </c>
      <c r="AA724" s="342">
        <f>IFERROR(BASE_DATOS[[#This Row],[NSK Original]]-BASE_DATOS[[#This Row],[NSK]]," ")</f>
        <v>9.3999999999999986</v>
      </c>
      <c r="AB724" s="343">
        <f>'NSK-TRACTO'!$A$2</f>
        <v>6</v>
      </c>
      <c r="AC724" s="343">
        <f>IF(BASE_DATOS[[#This Row],[NSK]]&gt;=BASE_DATOS[[#This Row],[NSK Reen]],BASE_DATOS[[#This Row],[NSK Reen]],BASE_DATOS[[#This Row],[NSK]])</f>
        <v>6</v>
      </c>
      <c r="AD724" s="344">
        <f>IFERROR(100%-(BASE_DATOS[[#This Row],[NSK Reen]]/BASE_DATOS[[#This Row],[NSK Original]]),"")</f>
        <v>0.71962616822429903</v>
      </c>
      <c r="AE724" s="344">
        <f>IFERROR(100%-BASE_DATOS[[#This Row],[NSK]]/BASE_DATOS[[#This Row],[NSK Original]],"")</f>
        <v>0.43925233644859807</v>
      </c>
      <c r="AF724" s="344">
        <f>IFERROR(BASE_DATOS[[#This Row],[% Max Des.]]-BASE_DATOS[[#This Row],[% Des]],"")</f>
        <v>0.28037383177570097</v>
      </c>
      <c r="AG724" s="287"/>
      <c r="AH724" s="273"/>
      <c r="AI724" s="363" t="str">
        <f>IF(OR(BASE_DATOS[[#This Row],[Hr.]]="",BASE_DATOS[[#This Row],[Hr. Actual]]=""),"",BASE_DATOS[[#This Row],[Hr. Actual]]-BASE_DATOS[[#This Row],[Hr.]]+BASE_DATOS[[#This Row],[Horas Acumuladas]])</f>
        <v/>
      </c>
      <c r="AJ724" s="364" t="str">
        <f>IFERROR(BASE_DATOS[[#This Row],[Precio US$]]/BASE_DATOS[[#This Row],[Horas Rodadas]],"")</f>
        <v/>
      </c>
      <c r="AK724" s="365" t="str">
        <f>IFERROR(BASE_DATOS[[#This Row],[Horas Rodadas]]/(BASE_DATOS[[#This Row],[NSK Original]]-BASE_DATOS[[#This Row],[NSK]]),"")</f>
        <v/>
      </c>
      <c r="AL72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24" s="366" t="str">
        <f>IFERROR(BASE_DATOS[[#This Row],[Precio US$]]/BASE_DATOS[[#This Row],[Horas Proy.]],"")</f>
        <v/>
      </c>
      <c r="AN724" s="176" t="str">
        <f>IF(OR(BASE_DATOS[[#This Row],[Km.]]="",BASE_DATOS[[#This Row],[Km. Actual]]=""),"",BASE_DATOS[[#This Row],[Km. Actual]]-BASE_DATOS[[#This Row],[Km.]]+BASE_DATOS[[#This Row],[Kilómetros Acumulados]])</f>
        <v/>
      </c>
      <c r="AO724" s="177" t="str">
        <f>IFERROR(BASE_DATOS[[#This Row],[Precio US$]]/BASE_DATOS[[#This Row],[Kilómetros Rodados]],"")</f>
        <v/>
      </c>
      <c r="AP724" s="176" t="str">
        <f>IFERROR(BASE_DATOS[[#This Row],[Kilómetros Rodados]]/(BASE_DATOS[[#This Row],[NSK Original]]-BASE_DATOS[[#This Row],[NSK]]),"")</f>
        <v/>
      </c>
      <c r="AQ72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24" s="177" t="str">
        <f>IFERROR(BASE_DATOS[[#This Row],[Precio US$]]/BASE_DATOS[[#This Row],[Kilómetros Proy.]],"")</f>
        <v/>
      </c>
      <c r="AS724" s="167" t="s">
        <v>62</v>
      </c>
      <c r="AT724" s="167"/>
      <c r="AU724" s="167"/>
      <c r="AV724" s="167"/>
      <c r="AW724" s="179"/>
      <c r="AX724" s="179"/>
      <c r="AY724" s="179" t="str">
        <f>CONCATENATE(BASE_DATOS[[#This Row],[Código_U]]&amp;BASE_DATOS[[#This Row],[Pos.]]&amp;BASE_DATOS[[#This Row],[Situación Actual]])</f>
        <v>TC-2486Rodando</v>
      </c>
    </row>
    <row r="725" spans="1:51" ht="12" x14ac:dyDescent="0.25">
      <c r="A725" s="223" t="s">
        <v>419</v>
      </c>
      <c r="B725" s="217" t="s">
        <v>257</v>
      </c>
      <c r="C725" s="228" t="s">
        <v>296</v>
      </c>
      <c r="D725" s="229" t="s">
        <v>61</v>
      </c>
      <c r="E725" s="255"/>
      <c r="F725" s="256" t="s">
        <v>273</v>
      </c>
      <c r="G725" s="256" t="s">
        <v>271</v>
      </c>
      <c r="H725" s="257" t="str">
        <f>IF(BASE_DATOS[[#This Row],[N-R]]="N",BASE_DATOS[[#This Row],[Diseño]],"Reencauche")</f>
        <v>XMULTI2D</v>
      </c>
      <c r="I725" s="256" t="s">
        <v>299</v>
      </c>
      <c r="J725" s="243" t="s">
        <v>72</v>
      </c>
      <c r="K725" s="258">
        <v>21.4</v>
      </c>
      <c r="L725" s="241">
        <v>110</v>
      </c>
      <c r="M725" s="259"/>
      <c r="N725" s="260"/>
      <c r="O725" s="277"/>
      <c r="P725" s="278"/>
      <c r="Q725" s="279"/>
      <c r="R725" s="309" t="s">
        <v>104</v>
      </c>
      <c r="S725" s="310">
        <v>45385</v>
      </c>
      <c r="T725" s="311"/>
      <c r="U725" s="312"/>
      <c r="V725" s="227">
        <v>11</v>
      </c>
      <c r="W725" s="281"/>
      <c r="X725" s="282">
        <v>12</v>
      </c>
      <c r="Y725" s="293">
        <f t="shared" si="31"/>
        <v>11</v>
      </c>
      <c r="Z725" s="175" t="s">
        <v>85</v>
      </c>
      <c r="AA725" s="342">
        <f>IFERROR(BASE_DATOS[[#This Row],[NSK Original]]-BASE_DATOS[[#This Row],[NSK]]," ")</f>
        <v>10.399999999999999</v>
      </c>
      <c r="AB725" s="343">
        <f>'NSK-TRACTO'!$A$2</f>
        <v>6</v>
      </c>
      <c r="AC725" s="343">
        <f>IF(BASE_DATOS[[#This Row],[NSK]]&gt;=BASE_DATOS[[#This Row],[NSK Reen]],BASE_DATOS[[#This Row],[NSK Reen]],BASE_DATOS[[#This Row],[NSK]])</f>
        <v>6</v>
      </c>
      <c r="AD725" s="344">
        <f>IFERROR(100%-(BASE_DATOS[[#This Row],[NSK Reen]]/BASE_DATOS[[#This Row],[NSK Original]]),"")</f>
        <v>0.71962616822429903</v>
      </c>
      <c r="AE725" s="344">
        <f>IFERROR(100%-BASE_DATOS[[#This Row],[NSK]]/BASE_DATOS[[#This Row],[NSK Original]],"")</f>
        <v>0.4859813084112149</v>
      </c>
      <c r="AF725" s="344">
        <f>IFERROR(BASE_DATOS[[#This Row],[% Max Des.]]-BASE_DATOS[[#This Row],[% Des]],"")</f>
        <v>0.23364485981308414</v>
      </c>
      <c r="AG725" s="287"/>
      <c r="AH725" s="273"/>
      <c r="AI725" s="363" t="str">
        <f>IF(OR(BASE_DATOS[[#This Row],[Hr.]]="",BASE_DATOS[[#This Row],[Hr. Actual]]=""),"",BASE_DATOS[[#This Row],[Hr. Actual]]-BASE_DATOS[[#This Row],[Hr.]]+BASE_DATOS[[#This Row],[Horas Acumuladas]])</f>
        <v/>
      </c>
      <c r="AJ725" s="364" t="str">
        <f>IFERROR(BASE_DATOS[[#This Row],[Precio US$]]/BASE_DATOS[[#This Row],[Horas Rodadas]],"")</f>
        <v/>
      </c>
      <c r="AK725" s="365" t="str">
        <f>IFERROR(BASE_DATOS[[#This Row],[Horas Rodadas]]/(BASE_DATOS[[#This Row],[NSK Original]]-BASE_DATOS[[#This Row],[NSK]]),"")</f>
        <v/>
      </c>
      <c r="AL72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25" s="366" t="str">
        <f>IFERROR(BASE_DATOS[[#This Row],[Precio US$]]/BASE_DATOS[[#This Row],[Horas Proy.]],"")</f>
        <v/>
      </c>
      <c r="AN725" s="176" t="str">
        <f>IF(OR(BASE_DATOS[[#This Row],[Km.]]="",BASE_DATOS[[#This Row],[Km. Actual]]=""),"",BASE_DATOS[[#This Row],[Km. Actual]]-BASE_DATOS[[#This Row],[Km.]]+BASE_DATOS[[#This Row],[Kilómetros Acumulados]])</f>
        <v/>
      </c>
      <c r="AO725" s="177" t="str">
        <f>IFERROR(BASE_DATOS[[#This Row],[Precio US$]]/BASE_DATOS[[#This Row],[Kilómetros Rodados]],"")</f>
        <v/>
      </c>
      <c r="AP725" s="176" t="str">
        <f>IFERROR(BASE_DATOS[[#This Row],[Kilómetros Rodados]]/(BASE_DATOS[[#This Row],[NSK Original]]-BASE_DATOS[[#This Row],[NSK]]),"")</f>
        <v/>
      </c>
      <c r="AQ72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25" s="177" t="str">
        <f>IFERROR(BASE_DATOS[[#This Row],[Precio US$]]/BASE_DATOS[[#This Row],[Kilómetros Proy.]],"")</f>
        <v/>
      </c>
      <c r="AS725" s="167" t="s">
        <v>62</v>
      </c>
      <c r="AT725" s="167"/>
      <c r="AU725" s="167"/>
      <c r="AV725" s="167"/>
      <c r="AW725" s="179"/>
      <c r="AX725" s="179"/>
      <c r="AY725" s="179" t="str">
        <f>CONCATENATE(BASE_DATOS[[#This Row],[Código_U]]&amp;BASE_DATOS[[#This Row],[Pos.]]&amp;BASE_DATOS[[#This Row],[Situación Actual]])</f>
        <v>TC-2487Rodando</v>
      </c>
    </row>
    <row r="726" spans="1:51" ht="12" x14ac:dyDescent="0.25">
      <c r="A726" s="223" t="s">
        <v>419</v>
      </c>
      <c r="B726" s="217" t="s">
        <v>257</v>
      </c>
      <c r="C726" s="228" t="s">
        <v>296</v>
      </c>
      <c r="D726" s="229" t="s">
        <v>61</v>
      </c>
      <c r="E726" s="255"/>
      <c r="F726" s="256" t="s">
        <v>273</v>
      </c>
      <c r="G726" s="256" t="s">
        <v>271</v>
      </c>
      <c r="H726" s="257" t="str">
        <f>IF(BASE_DATOS[[#This Row],[N-R]]="N",BASE_DATOS[[#This Row],[Diseño]],"Reencauche")</f>
        <v>XMULTI2D</v>
      </c>
      <c r="I726" s="256" t="s">
        <v>299</v>
      </c>
      <c r="J726" s="243" t="s">
        <v>72</v>
      </c>
      <c r="K726" s="258">
        <v>21.4</v>
      </c>
      <c r="L726" s="241">
        <v>110</v>
      </c>
      <c r="M726" s="259"/>
      <c r="N726" s="260"/>
      <c r="O726" s="277"/>
      <c r="P726" s="278"/>
      <c r="Q726" s="279"/>
      <c r="R726" s="309" t="s">
        <v>105</v>
      </c>
      <c r="S726" s="310">
        <v>45385</v>
      </c>
      <c r="T726" s="311"/>
      <c r="U726" s="312"/>
      <c r="V726" s="227">
        <v>12</v>
      </c>
      <c r="W726" s="281"/>
      <c r="X726" s="282">
        <v>11</v>
      </c>
      <c r="Y726" s="293">
        <f t="shared" si="31"/>
        <v>11</v>
      </c>
      <c r="Z726" s="175" t="s">
        <v>85</v>
      </c>
      <c r="AA726" s="342">
        <f>IFERROR(BASE_DATOS[[#This Row],[NSK Original]]-BASE_DATOS[[#This Row],[NSK]]," ")</f>
        <v>10.399999999999999</v>
      </c>
      <c r="AB726" s="343">
        <f>'NSK-TRACTO'!$A$2</f>
        <v>6</v>
      </c>
      <c r="AC726" s="343">
        <f>IF(BASE_DATOS[[#This Row],[NSK]]&gt;=BASE_DATOS[[#This Row],[NSK Reen]],BASE_DATOS[[#This Row],[NSK Reen]],BASE_DATOS[[#This Row],[NSK]])</f>
        <v>6</v>
      </c>
      <c r="AD726" s="344">
        <f>IFERROR(100%-(BASE_DATOS[[#This Row],[NSK Reen]]/BASE_DATOS[[#This Row],[NSK Original]]),"")</f>
        <v>0.71962616822429903</v>
      </c>
      <c r="AE726" s="344">
        <f>IFERROR(100%-BASE_DATOS[[#This Row],[NSK]]/BASE_DATOS[[#This Row],[NSK Original]],"")</f>
        <v>0.4859813084112149</v>
      </c>
      <c r="AF726" s="344">
        <f>IFERROR(BASE_DATOS[[#This Row],[% Max Des.]]-BASE_DATOS[[#This Row],[% Des]],"")</f>
        <v>0.23364485981308414</v>
      </c>
      <c r="AG726" s="287"/>
      <c r="AH726" s="273"/>
      <c r="AI726" s="363" t="str">
        <f>IF(OR(BASE_DATOS[[#This Row],[Hr.]]="",BASE_DATOS[[#This Row],[Hr. Actual]]=""),"",BASE_DATOS[[#This Row],[Hr. Actual]]-BASE_DATOS[[#This Row],[Hr.]]+BASE_DATOS[[#This Row],[Horas Acumuladas]])</f>
        <v/>
      </c>
      <c r="AJ726" s="364" t="str">
        <f>IFERROR(BASE_DATOS[[#This Row],[Precio US$]]/BASE_DATOS[[#This Row],[Horas Rodadas]],"")</f>
        <v/>
      </c>
      <c r="AK726" s="365" t="str">
        <f>IFERROR(BASE_DATOS[[#This Row],[Horas Rodadas]]/(BASE_DATOS[[#This Row],[NSK Original]]-BASE_DATOS[[#This Row],[NSK]]),"")</f>
        <v/>
      </c>
      <c r="AL72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26" s="366" t="str">
        <f>IFERROR(BASE_DATOS[[#This Row],[Precio US$]]/BASE_DATOS[[#This Row],[Horas Proy.]],"")</f>
        <v/>
      </c>
      <c r="AN726" s="176" t="str">
        <f>IF(OR(BASE_DATOS[[#This Row],[Km.]]="",BASE_DATOS[[#This Row],[Km. Actual]]=""),"",BASE_DATOS[[#This Row],[Km. Actual]]-BASE_DATOS[[#This Row],[Km.]]+BASE_DATOS[[#This Row],[Kilómetros Acumulados]])</f>
        <v/>
      </c>
      <c r="AO726" s="177" t="str">
        <f>IFERROR(BASE_DATOS[[#This Row],[Precio US$]]/BASE_DATOS[[#This Row],[Kilómetros Rodados]],"")</f>
        <v/>
      </c>
      <c r="AP726" s="176" t="str">
        <f>IFERROR(BASE_DATOS[[#This Row],[Kilómetros Rodados]]/(BASE_DATOS[[#This Row],[NSK Original]]-BASE_DATOS[[#This Row],[NSK]]),"")</f>
        <v/>
      </c>
      <c r="AQ72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26" s="177" t="str">
        <f>IFERROR(BASE_DATOS[[#This Row],[Precio US$]]/BASE_DATOS[[#This Row],[Kilómetros Proy.]],"")</f>
        <v/>
      </c>
      <c r="AS726" s="167" t="s">
        <v>62</v>
      </c>
      <c r="AT726" s="167"/>
      <c r="AU726" s="167"/>
      <c r="AV726" s="167"/>
      <c r="AW726" s="179"/>
      <c r="AX726" s="179"/>
      <c r="AY726" s="179" t="str">
        <f>CONCATENATE(BASE_DATOS[[#This Row],[Código_U]]&amp;BASE_DATOS[[#This Row],[Pos.]]&amp;BASE_DATOS[[#This Row],[Situación Actual]])</f>
        <v>TC-2488Rodando</v>
      </c>
    </row>
    <row r="727" spans="1:51" ht="12" x14ac:dyDescent="0.25">
      <c r="A727" s="223" t="s">
        <v>419</v>
      </c>
      <c r="B727" s="217" t="s">
        <v>257</v>
      </c>
      <c r="C727" s="228" t="s">
        <v>296</v>
      </c>
      <c r="D727" s="229" t="s">
        <v>61</v>
      </c>
      <c r="E727" s="255"/>
      <c r="F727" s="256" t="s">
        <v>273</v>
      </c>
      <c r="G727" s="256" t="s">
        <v>271</v>
      </c>
      <c r="H727" s="257" t="str">
        <f>IF(BASE_DATOS[[#This Row],[N-R]]="N",BASE_DATOS[[#This Row],[Diseño]],"Reencauche")</f>
        <v>XMULTI2D</v>
      </c>
      <c r="I727" s="256" t="s">
        <v>299</v>
      </c>
      <c r="J727" s="243" t="s">
        <v>72</v>
      </c>
      <c r="K727" s="258">
        <v>21.4</v>
      </c>
      <c r="L727" s="241">
        <v>110</v>
      </c>
      <c r="M727" s="259"/>
      <c r="N727" s="260"/>
      <c r="O727" s="277"/>
      <c r="P727" s="278"/>
      <c r="Q727" s="279"/>
      <c r="R727" s="309" t="s">
        <v>106</v>
      </c>
      <c r="S727" s="310">
        <v>45385</v>
      </c>
      <c r="T727" s="311"/>
      <c r="U727" s="312"/>
      <c r="V727" s="227">
        <v>8</v>
      </c>
      <c r="W727" s="281"/>
      <c r="X727" s="282">
        <v>9</v>
      </c>
      <c r="Y727" s="293">
        <f t="shared" si="31"/>
        <v>8</v>
      </c>
      <c r="Z727" s="175" t="s">
        <v>85</v>
      </c>
      <c r="AA727" s="342">
        <f>IFERROR(BASE_DATOS[[#This Row],[NSK Original]]-BASE_DATOS[[#This Row],[NSK]]," ")</f>
        <v>13.399999999999999</v>
      </c>
      <c r="AB727" s="343">
        <f>'NSK-TRACTO'!$A$2</f>
        <v>6</v>
      </c>
      <c r="AC727" s="343">
        <f>IF(BASE_DATOS[[#This Row],[NSK]]&gt;=BASE_DATOS[[#This Row],[NSK Reen]],BASE_DATOS[[#This Row],[NSK Reen]],BASE_DATOS[[#This Row],[NSK]])</f>
        <v>6</v>
      </c>
      <c r="AD727" s="344">
        <f>IFERROR(100%-(BASE_DATOS[[#This Row],[NSK Reen]]/BASE_DATOS[[#This Row],[NSK Original]]),"")</f>
        <v>0.71962616822429903</v>
      </c>
      <c r="AE727" s="344">
        <f>IFERROR(100%-BASE_DATOS[[#This Row],[NSK]]/BASE_DATOS[[#This Row],[NSK Original]],"")</f>
        <v>0.62616822429906538</v>
      </c>
      <c r="AF727" s="344">
        <f>IFERROR(BASE_DATOS[[#This Row],[% Max Des.]]-BASE_DATOS[[#This Row],[% Des]],"")</f>
        <v>9.3457943925233655E-2</v>
      </c>
      <c r="AG727" s="287"/>
      <c r="AH727" s="273"/>
      <c r="AI727" s="363" t="str">
        <f>IF(OR(BASE_DATOS[[#This Row],[Hr.]]="",BASE_DATOS[[#This Row],[Hr. Actual]]=""),"",BASE_DATOS[[#This Row],[Hr. Actual]]-BASE_DATOS[[#This Row],[Hr.]]+BASE_DATOS[[#This Row],[Horas Acumuladas]])</f>
        <v/>
      </c>
      <c r="AJ727" s="364" t="str">
        <f>IFERROR(BASE_DATOS[[#This Row],[Precio US$]]/BASE_DATOS[[#This Row],[Horas Rodadas]],"")</f>
        <v/>
      </c>
      <c r="AK727" s="365" t="str">
        <f>IFERROR(BASE_DATOS[[#This Row],[Horas Rodadas]]/(BASE_DATOS[[#This Row],[NSK Original]]-BASE_DATOS[[#This Row],[NSK]]),"")</f>
        <v/>
      </c>
      <c r="AL72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27" s="366" t="str">
        <f>IFERROR(BASE_DATOS[[#This Row],[Precio US$]]/BASE_DATOS[[#This Row],[Horas Proy.]],"")</f>
        <v/>
      </c>
      <c r="AN727" s="176" t="str">
        <f>IF(OR(BASE_DATOS[[#This Row],[Km.]]="",BASE_DATOS[[#This Row],[Km. Actual]]=""),"",BASE_DATOS[[#This Row],[Km. Actual]]-BASE_DATOS[[#This Row],[Km.]]+BASE_DATOS[[#This Row],[Kilómetros Acumulados]])</f>
        <v/>
      </c>
      <c r="AO727" s="177" t="str">
        <f>IFERROR(BASE_DATOS[[#This Row],[Precio US$]]/BASE_DATOS[[#This Row],[Kilómetros Rodados]],"")</f>
        <v/>
      </c>
      <c r="AP727" s="176" t="str">
        <f>IFERROR(BASE_DATOS[[#This Row],[Kilómetros Rodados]]/(BASE_DATOS[[#This Row],[NSK Original]]-BASE_DATOS[[#This Row],[NSK]]),"")</f>
        <v/>
      </c>
      <c r="AQ72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27" s="177" t="str">
        <f>IFERROR(BASE_DATOS[[#This Row],[Precio US$]]/BASE_DATOS[[#This Row],[Kilómetros Proy.]],"")</f>
        <v/>
      </c>
      <c r="AS727" s="167" t="s">
        <v>62</v>
      </c>
      <c r="AT727" s="167"/>
      <c r="AU727" s="167"/>
      <c r="AV727" s="167"/>
      <c r="AW727" s="179"/>
      <c r="AX727" s="179"/>
      <c r="AY727" s="179" t="str">
        <f>CONCATENATE(BASE_DATOS[[#This Row],[Código_U]]&amp;BASE_DATOS[[#This Row],[Pos.]]&amp;BASE_DATOS[[#This Row],[Situación Actual]])</f>
        <v>TC-2489Rodando</v>
      </c>
    </row>
    <row r="728" spans="1:51" ht="12" x14ac:dyDescent="0.25">
      <c r="A728" s="223" t="s">
        <v>419</v>
      </c>
      <c r="B728" s="217" t="s">
        <v>257</v>
      </c>
      <c r="C728" s="228" t="s">
        <v>296</v>
      </c>
      <c r="D728" s="229" t="s">
        <v>61</v>
      </c>
      <c r="E728" s="255"/>
      <c r="F728" s="256" t="s">
        <v>273</v>
      </c>
      <c r="G728" s="256" t="s">
        <v>271</v>
      </c>
      <c r="H728" s="257" t="str">
        <f>IF(BASE_DATOS[[#This Row],[N-R]]="N",BASE_DATOS[[#This Row],[Diseño]],"Reencauche")</f>
        <v>XMULTI2D</v>
      </c>
      <c r="I728" s="256" t="s">
        <v>299</v>
      </c>
      <c r="J728" s="243" t="s">
        <v>72</v>
      </c>
      <c r="K728" s="258">
        <v>21.4</v>
      </c>
      <c r="L728" s="241">
        <v>110</v>
      </c>
      <c r="M728" s="259"/>
      <c r="N728" s="260"/>
      <c r="O728" s="277"/>
      <c r="P728" s="278"/>
      <c r="Q728" s="279"/>
      <c r="R728" s="309" t="s">
        <v>107</v>
      </c>
      <c r="S728" s="310">
        <v>45385</v>
      </c>
      <c r="T728" s="311"/>
      <c r="U728" s="312"/>
      <c r="V728" s="227">
        <v>8</v>
      </c>
      <c r="W728" s="281"/>
      <c r="X728" s="282">
        <v>9</v>
      </c>
      <c r="Y728" s="293">
        <f t="shared" si="31"/>
        <v>8</v>
      </c>
      <c r="Z728" s="175" t="s">
        <v>85</v>
      </c>
      <c r="AA728" s="342">
        <f>IFERROR(BASE_DATOS[[#This Row],[NSK Original]]-BASE_DATOS[[#This Row],[NSK]]," ")</f>
        <v>13.399999999999999</v>
      </c>
      <c r="AB728" s="343">
        <f>'NSK-TRACTO'!$A$2</f>
        <v>6</v>
      </c>
      <c r="AC728" s="343">
        <f>IF(BASE_DATOS[[#This Row],[NSK]]&gt;=BASE_DATOS[[#This Row],[NSK Reen]],BASE_DATOS[[#This Row],[NSK Reen]],BASE_DATOS[[#This Row],[NSK]])</f>
        <v>6</v>
      </c>
      <c r="AD728" s="344">
        <f>IFERROR(100%-(BASE_DATOS[[#This Row],[NSK Reen]]/BASE_DATOS[[#This Row],[NSK Original]]),"")</f>
        <v>0.71962616822429903</v>
      </c>
      <c r="AE728" s="344">
        <f>IFERROR(100%-BASE_DATOS[[#This Row],[NSK]]/BASE_DATOS[[#This Row],[NSK Original]],"")</f>
        <v>0.62616822429906538</v>
      </c>
      <c r="AF728" s="344">
        <f>IFERROR(BASE_DATOS[[#This Row],[% Max Des.]]-BASE_DATOS[[#This Row],[% Des]],"")</f>
        <v>9.3457943925233655E-2</v>
      </c>
      <c r="AG728" s="287"/>
      <c r="AH728" s="273"/>
      <c r="AI728" s="363" t="str">
        <f>IF(OR(BASE_DATOS[[#This Row],[Hr.]]="",BASE_DATOS[[#This Row],[Hr. Actual]]=""),"",BASE_DATOS[[#This Row],[Hr. Actual]]-BASE_DATOS[[#This Row],[Hr.]]+BASE_DATOS[[#This Row],[Horas Acumuladas]])</f>
        <v/>
      </c>
      <c r="AJ728" s="364" t="str">
        <f>IFERROR(BASE_DATOS[[#This Row],[Precio US$]]/BASE_DATOS[[#This Row],[Horas Rodadas]],"")</f>
        <v/>
      </c>
      <c r="AK728" s="365" t="str">
        <f>IFERROR(BASE_DATOS[[#This Row],[Horas Rodadas]]/(BASE_DATOS[[#This Row],[NSK Original]]-BASE_DATOS[[#This Row],[NSK]]),"")</f>
        <v/>
      </c>
      <c r="AL72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28" s="366" t="str">
        <f>IFERROR(BASE_DATOS[[#This Row],[Precio US$]]/BASE_DATOS[[#This Row],[Horas Proy.]],"")</f>
        <v/>
      </c>
      <c r="AN728" s="176" t="str">
        <f>IF(OR(BASE_DATOS[[#This Row],[Km.]]="",BASE_DATOS[[#This Row],[Km. Actual]]=""),"",BASE_DATOS[[#This Row],[Km. Actual]]-BASE_DATOS[[#This Row],[Km.]]+BASE_DATOS[[#This Row],[Kilómetros Acumulados]])</f>
        <v/>
      </c>
      <c r="AO728" s="177" t="str">
        <f>IFERROR(BASE_DATOS[[#This Row],[Precio US$]]/BASE_DATOS[[#This Row],[Kilómetros Rodados]],"")</f>
        <v/>
      </c>
      <c r="AP728" s="176" t="str">
        <f>IFERROR(BASE_DATOS[[#This Row],[Kilómetros Rodados]]/(BASE_DATOS[[#This Row],[NSK Original]]-BASE_DATOS[[#This Row],[NSK]]),"")</f>
        <v/>
      </c>
      <c r="AQ72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28" s="177" t="str">
        <f>IFERROR(BASE_DATOS[[#This Row],[Precio US$]]/BASE_DATOS[[#This Row],[Kilómetros Proy.]],"")</f>
        <v/>
      </c>
      <c r="AS728" s="167" t="s">
        <v>62</v>
      </c>
      <c r="AT728" s="167"/>
      <c r="AU728" s="167"/>
      <c r="AV728" s="167"/>
      <c r="AW728" s="179"/>
      <c r="AX728" s="179"/>
      <c r="AY728" s="179" t="str">
        <f>CONCATENATE(BASE_DATOS[[#This Row],[Código_U]]&amp;BASE_DATOS[[#This Row],[Pos.]]&amp;BASE_DATOS[[#This Row],[Situación Actual]])</f>
        <v>TC-24810Rodando</v>
      </c>
    </row>
    <row r="729" spans="1:51" ht="12" x14ac:dyDescent="0.25">
      <c r="A729" s="222" t="s">
        <v>403</v>
      </c>
      <c r="B729" s="213" t="s">
        <v>258</v>
      </c>
      <c r="C729" s="225" t="s">
        <v>295</v>
      </c>
      <c r="D729" s="226" t="s">
        <v>87</v>
      </c>
      <c r="E729" s="249"/>
      <c r="F729" s="250" t="s">
        <v>97</v>
      </c>
      <c r="G729" s="250" t="s">
        <v>269</v>
      </c>
      <c r="H729" s="251" t="str">
        <f>IF(BASE_DATOS[[#This Row],[N-R]]="N",BASE_DATOS[[#This Row],[Diseño]],"Reencauche")</f>
        <v>Reencauche</v>
      </c>
      <c r="I729" s="250" t="s">
        <v>275</v>
      </c>
      <c r="J729" s="235" t="s">
        <v>82</v>
      </c>
      <c r="K729" s="252">
        <v>20</v>
      </c>
      <c r="L729" s="250">
        <v>110</v>
      </c>
      <c r="M729" s="253"/>
      <c r="N729" s="254"/>
      <c r="O729" s="274"/>
      <c r="P729" s="275"/>
      <c r="Q729" s="276"/>
      <c r="R729" s="305" t="s">
        <v>98</v>
      </c>
      <c r="S729" s="306">
        <v>45384</v>
      </c>
      <c r="T729" s="314"/>
      <c r="U729" s="276"/>
      <c r="V729" s="224">
        <v>20</v>
      </c>
      <c r="W729" s="325">
        <v>20</v>
      </c>
      <c r="X729" s="326">
        <v>20</v>
      </c>
      <c r="Y729" s="292">
        <f t="shared" si="31"/>
        <v>20</v>
      </c>
      <c r="Z729" s="194" t="s">
        <v>85</v>
      </c>
      <c r="AA729" s="339">
        <f>IFERROR(BASE_DATOS[[#This Row],[NSK Original]]-BASE_DATOS[[#This Row],[NSK]]," ")</f>
        <v>0</v>
      </c>
      <c r="AB729" s="340">
        <f>'NSK-TRACTO'!$A$2</f>
        <v>6</v>
      </c>
      <c r="AC729" s="340">
        <f>IF(BASE_DATOS[[#This Row],[NSK]]&gt;=BASE_DATOS[[#This Row],[NSK Reen]],BASE_DATOS[[#This Row],[NSK Reen]],BASE_DATOS[[#This Row],[NSK]])</f>
        <v>6</v>
      </c>
      <c r="AD729" s="341">
        <f>IFERROR(100%-(BASE_DATOS[[#This Row],[NSK Reen]]/BASE_DATOS[[#This Row],[NSK Original]]),"")</f>
        <v>0.7</v>
      </c>
      <c r="AE729" s="341">
        <f>IFERROR(100%-BASE_DATOS[[#This Row],[NSK]]/BASE_DATOS[[#This Row],[NSK Original]],"")</f>
        <v>0</v>
      </c>
      <c r="AF729" s="341">
        <f>IFERROR(BASE_DATOS[[#This Row],[% Max Des.]]-BASE_DATOS[[#This Row],[% Des]],"")</f>
        <v>0.7</v>
      </c>
      <c r="AG729" s="284"/>
      <c r="AH729" s="335"/>
      <c r="AI729" s="359" t="str">
        <f>IF(OR(BASE_DATOS[[#This Row],[Hr.]]="",BASE_DATOS[[#This Row],[Hr. Actual]]=""),"",BASE_DATOS[[#This Row],[Hr. Actual]]-BASE_DATOS[[#This Row],[Hr.]]+BASE_DATOS[[#This Row],[Horas Acumuladas]])</f>
        <v/>
      </c>
      <c r="AJ729" s="360" t="str">
        <f>IFERROR(BASE_DATOS[[#This Row],[Precio US$]]/BASE_DATOS[[#This Row],[Horas Rodadas]],"")</f>
        <v/>
      </c>
      <c r="AK729" s="361" t="str">
        <f>IFERROR(BASE_DATOS[[#This Row],[Horas Rodadas]]/(BASE_DATOS[[#This Row],[NSK Original]]-BASE_DATOS[[#This Row],[NSK]]),"")</f>
        <v/>
      </c>
      <c r="AL729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29" s="362" t="str">
        <f>IFERROR(BASE_DATOS[[#This Row],[Precio US$]]/BASE_DATOS[[#This Row],[Horas Proy.]],"")</f>
        <v/>
      </c>
      <c r="AN729" s="195" t="str">
        <f>IF(OR(BASE_DATOS[[#This Row],[Km.]]="",BASE_DATOS[[#This Row],[Km. Actual]]=""),"",BASE_DATOS[[#This Row],[Km. Actual]]-BASE_DATOS[[#This Row],[Km.]]+BASE_DATOS[[#This Row],[Kilómetros Acumulados]])</f>
        <v/>
      </c>
      <c r="AO729" s="196" t="str">
        <f>IFERROR(BASE_DATOS[[#This Row],[Precio US$]]/BASE_DATOS[[#This Row],[Kilómetros Rodados]],"")</f>
        <v/>
      </c>
      <c r="AP729" s="195" t="str">
        <f>IFERROR(BASE_DATOS[[#This Row],[Kilómetros Rodados]]/(BASE_DATOS[[#This Row],[NSK Original]]-BASE_DATOS[[#This Row],[NSK]]),"")</f>
        <v/>
      </c>
      <c r="AQ729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29" s="196" t="str">
        <f>IFERROR(BASE_DATOS[[#This Row],[Precio US$]]/BASE_DATOS[[#This Row],[Kilómetros Proy.]],"")</f>
        <v/>
      </c>
      <c r="AS729" s="191" t="s">
        <v>62</v>
      </c>
      <c r="AT729" s="191"/>
      <c r="AU729" s="191"/>
      <c r="AV729" s="191"/>
      <c r="AW729" s="198"/>
      <c r="AX729" s="198"/>
      <c r="AY729" s="198" t="str">
        <f>CONCATENATE(BASE_DATOS[[#This Row],[Código_U]]&amp;BASE_DATOS[[#This Row],[Pos.]]&amp;BASE_DATOS[[#This Row],[Situación Actual]])</f>
        <v>SR-2401Rodando</v>
      </c>
    </row>
    <row r="730" spans="1:51" ht="12" x14ac:dyDescent="0.25">
      <c r="A730" s="223" t="s">
        <v>403</v>
      </c>
      <c r="B730" s="217" t="s">
        <v>258</v>
      </c>
      <c r="C730" s="228" t="s">
        <v>295</v>
      </c>
      <c r="D730" s="229" t="s">
        <v>87</v>
      </c>
      <c r="E730" s="255"/>
      <c r="F730" s="256" t="s">
        <v>97</v>
      </c>
      <c r="G730" s="256" t="s">
        <v>269</v>
      </c>
      <c r="H730" s="257" t="str">
        <f>IF(BASE_DATOS[[#This Row],[N-R]]="N",BASE_DATOS[[#This Row],[Diseño]],"Reencauche")</f>
        <v>Reencauche</v>
      </c>
      <c r="I730" s="256" t="s">
        <v>275</v>
      </c>
      <c r="J730" s="243" t="s">
        <v>82</v>
      </c>
      <c r="K730" s="258">
        <v>20</v>
      </c>
      <c r="L730" s="256">
        <v>110</v>
      </c>
      <c r="M730" s="259"/>
      <c r="N730" s="260"/>
      <c r="O730" s="277"/>
      <c r="P730" s="278"/>
      <c r="Q730" s="279"/>
      <c r="R730" s="309" t="s">
        <v>99</v>
      </c>
      <c r="S730" s="310">
        <v>45384</v>
      </c>
      <c r="T730" s="313"/>
      <c r="U730" s="279"/>
      <c r="V730" s="227">
        <v>19</v>
      </c>
      <c r="W730" s="281">
        <v>19</v>
      </c>
      <c r="X730" s="282">
        <v>19</v>
      </c>
      <c r="Y730" s="293">
        <f t="shared" si="31"/>
        <v>19</v>
      </c>
      <c r="Z730" s="175" t="s">
        <v>85</v>
      </c>
      <c r="AA730" s="342">
        <f>IFERROR(BASE_DATOS[[#This Row],[NSK Original]]-BASE_DATOS[[#This Row],[NSK]]," ")</f>
        <v>1</v>
      </c>
      <c r="AB730" s="343">
        <f>'NSK-TRACTO'!$A$2</f>
        <v>6</v>
      </c>
      <c r="AC730" s="343">
        <f>IF(BASE_DATOS[[#This Row],[NSK]]&gt;=BASE_DATOS[[#This Row],[NSK Reen]],BASE_DATOS[[#This Row],[NSK Reen]],BASE_DATOS[[#This Row],[NSK]])</f>
        <v>6</v>
      </c>
      <c r="AD730" s="344">
        <f>IFERROR(100%-(BASE_DATOS[[#This Row],[NSK Reen]]/BASE_DATOS[[#This Row],[NSK Original]]),"")</f>
        <v>0.7</v>
      </c>
      <c r="AE730" s="344">
        <f>IFERROR(100%-BASE_DATOS[[#This Row],[NSK]]/BASE_DATOS[[#This Row],[NSK Original]],"")</f>
        <v>5.0000000000000044E-2</v>
      </c>
      <c r="AF730" s="344">
        <f>IFERROR(BASE_DATOS[[#This Row],[% Max Des.]]-BASE_DATOS[[#This Row],[% Des]],"")</f>
        <v>0.64999999999999991</v>
      </c>
      <c r="AG730" s="287"/>
      <c r="AH730" s="273"/>
      <c r="AI730" s="363" t="str">
        <f>IF(OR(BASE_DATOS[[#This Row],[Hr.]]="",BASE_DATOS[[#This Row],[Hr. Actual]]=""),"",BASE_DATOS[[#This Row],[Hr. Actual]]-BASE_DATOS[[#This Row],[Hr.]]+BASE_DATOS[[#This Row],[Horas Acumuladas]])</f>
        <v/>
      </c>
      <c r="AJ730" s="364" t="str">
        <f>IFERROR(BASE_DATOS[[#This Row],[Precio US$]]/BASE_DATOS[[#This Row],[Horas Rodadas]],"")</f>
        <v/>
      </c>
      <c r="AK730" s="365" t="str">
        <f>IFERROR(BASE_DATOS[[#This Row],[Horas Rodadas]]/(BASE_DATOS[[#This Row],[NSK Original]]-BASE_DATOS[[#This Row],[NSK]]),"")</f>
        <v/>
      </c>
      <c r="AL73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30" s="366" t="str">
        <f>IFERROR(BASE_DATOS[[#This Row],[Precio US$]]/BASE_DATOS[[#This Row],[Horas Proy.]],"")</f>
        <v/>
      </c>
      <c r="AN730" s="176" t="str">
        <f>IF(OR(BASE_DATOS[[#This Row],[Km.]]="",BASE_DATOS[[#This Row],[Km. Actual]]=""),"",BASE_DATOS[[#This Row],[Km. Actual]]-BASE_DATOS[[#This Row],[Km.]]+BASE_DATOS[[#This Row],[Kilómetros Acumulados]])</f>
        <v/>
      </c>
      <c r="AO730" s="177" t="str">
        <f>IFERROR(BASE_DATOS[[#This Row],[Precio US$]]/BASE_DATOS[[#This Row],[Kilómetros Rodados]],"")</f>
        <v/>
      </c>
      <c r="AP730" s="176" t="str">
        <f>IFERROR(BASE_DATOS[[#This Row],[Kilómetros Rodados]]/(BASE_DATOS[[#This Row],[NSK Original]]-BASE_DATOS[[#This Row],[NSK]]),"")</f>
        <v/>
      </c>
      <c r="AQ73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30" s="177" t="str">
        <f>IFERROR(BASE_DATOS[[#This Row],[Precio US$]]/BASE_DATOS[[#This Row],[Kilómetros Proy.]],"")</f>
        <v/>
      </c>
      <c r="AS730" s="167" t="s">
        <v>62</v>
      </c>
      <c r="AT730" s="167"/>
      <c r="AU730" s="167"/>
      <c r="AV730" s="167"/>
      <c r="AW730" s="179"/>
      <c r="AX730" s="179"/>
      <c r="AY730" s="179" t="str">
        <f>CONCATENATE(BASE_DATOS[[#This Row],[Código_U]]&amp;BASE_DATOS[[#This Row],[Pos.]]&amp;BASE_DATOS[[#This Row],[Situación Actual]])</f>
        <v>SR-2402Rodando</v>
      </c>
    </row>
    <row r="731" spans="1:51" ht="12" x14ac:dyDescent="0.25">
      <c r="A731" s="223" t="s">
        <v>403</v>
      </c>
      <c r="B731" s="217" t="s">
        <v>258</v>
      </c>
      <c r="C731" s="228" t="s">
        <v>295</v>
      </c>
      <c r="D731" s="229" t="s">
        <v>87</v>
      </c>
      <c r="E731" s="255"/>
      <c r="F731" s="256" t="s">
        <v>97</v>
      </c>
      <c r="G731" s="256" t="s">
        <v>269</v>
      </c>
      <c r="H731" s="257" t="str">
        <f>IF(BASE_DATOS[[#This Row],[N-R]]="N",BASE_DATOS[[#This Row],[Diseño]],"Reencauche")</f>
        <v>AGC28</v>
      </c>
      <c r="I731" s="256" t="s">
        <v>270</v>
      </c>
      <c r="J731" s="243" t="s">
        <v>72</v>
      </c>
      <c r="K731" s="258">
        <v>16.5</v>
      </c>
      <c r="L731" s="256">
        <v>110</v>
      </c>
      <c r="M731" s="259"/>
      <c r="N731" s="260"/>
      <c r="O731" s="277"/>
      <c r="P731" s="278"/>
      <c r="Q731" s="279"/>
      <c r="R731" s="309" t="s">
        <v>100</v>
      </c>
      <c r="S731" s="310">
        <v>45384</v>
      </c>
      <c r="T731" s="313"/>
      <c r="U731" s="279"/>
      <c r="V731" s="227">
        <v>10</v>
      </c>
      <c r="W731" s="281">
        <v>9</v>
      </c>
      <c r="X731" s="282">
        <v>10</v>
      </c>
      <c r="Y731" s="293">
        <f t="shared" si="31"/>
        <v>9</v>
      </c>
      <c r="Z731" s="175" t="s">
        <v>85</v>
      </c>
      <c r="AA731" s="342">
        <f>IFERROR(BASE_DATOS[[#This Row],[NSK Original]]-BASE_DATOS[[#This Row],[NSK]]," ")</f>
        <v>7.5</v>
      </c>
      <c r="AB731" s="343">
        <f>'NSK-TRACTO'!$A$2</f>
        <v>6</v>
      </c>
      <c r="AC731" s="343">
        <f>IF(BASE_DATOS[[#This Row],[NSK]]&gt;=BASE_DATOS[[#This Row],[NSK Reen]],BASE_DATOS[[#This Row],[NSK Reen]],BASE_DATOS[[#This Row],[NSK]])</f>
        <v>6</v>
      </c>
      <c r="AD731" s="344">
        <f>IFERROR(100%-(BASE_DATOS[[#This Row],[NSK Reen]]/BASE_DATOS[[#This Row],[NSK Original]]),"")</f>
        <v>0.63636363636363635</v>
      </c>
      <c r="AE731" s="344">
        <f>IFERROR(100%-BASE_DATOS[[#This Row],[NSK]]/BASE_DATOS[[#This Row],[NSK Original]],"")</f>
        <v>0.45454545454545459</v>
      </c>
      <c r="AF731" s="344">
        <f>IFERROR(BASE_DATOS[[#This Row],[% Max Des.]]-BASE_DATOS[[#This Row],[% Des]],"")</f>
        <v>0.18181818181818177</v>
      </c>
      <c r="AG731" s="287"/>
      <c r="AH731" s="273"/>
      <c r="AI731" s="363" t="str">
        <f>IF(OR(BASE_DATOS[[#This Row],[Hr.]]="",BASE_DATOS[[#This Row],[Hr. Actual]]=""),"",BASE_DATOS[[#This Row],[Hr. Actual]]-BASE_DATOS[[#This Row],[Hr.]]+BASE_DATOS[[#This Row],[Horas Acumuladas]])</f>
        <v/>
      </c>
      <c r="AJ731" s="364" t="str">
        <f>IFERROR(BASE_DATOS[[#This Row],[Precio US$]]/BASE_DATOS[[#This Row],[Horas Rodadas]],"")</f>
        <v/>
      </c>
      <c r="AK731" s="365" t="str">
        <f>IFERROR(BASE_DATOS[[#This Row],[Horas Rodadas]]/(BASE_DATOS[[#This Row],[NSK Original]]-BASE_DATOS[[#This Row],[NSK]]),"")</f>
        <v/>
      </c>
      <c r="AL73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31" s="366" t="str">
        <f>IFERROR(BASE_DATOS[[#This Row],[Precio US$]]/BASE_DATOS[[#This Row],[Horas Proy.]],"")</f>
        <v/>
      </c>
      <c r="AN731" s="176" t="str">
        <f>IF(OR(BASE_DATOS[[#This Row],[Km.]]="",BASE_DATOS[[#This Row],[Km. Actual]]=""),"",BASE_DATOS[[#This Row],[Km. Actual]]-BASE_DATOS[[#This Row],[Km.]]+BASE_DATOS[[#This Row],[Kilómetros Acumulados]])</f>
        <v/>
      </c>
      <c r="AO731" s="177" t="str">
        <f>IFERROR(BASE_DATOS[[#This Row],[Precio US$]]/BASE_DATOS[[#This Row],[Kilómetros Rodados]],"")</f>
        <v/>
      </c>
      <c r="AP731" s="176" t="str">
        <f>IFERROR(BASE_DATOS[[#This Row],[Kilómetros Rodados]]/(BASE_DATOS[[#This Row],[NSK Original]]-BASE_DATOS[[#This Row],[NSK]]),"")</f>
        <v/>
      </c>
      <c r="AQ73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31" s="177" t="str">
        <f>IFERROR(BASE_DATOS[[#This Row],[Precio US$]]/BASE_DATOS[[#This Row],[Kilómetros Proy.]],"")</f>
        <v/>
      </c>
      <c r="AS731" s="167" t="s">
        <v>62</v>
      </c>
      <c r="AT731" s="167"/>
      <c r="AU731" s="167"/>
      <c r="AV731" s="167"/>
      <c r="AW731" s="179"/>
      <c r="AX731" s="179"/>
      <c r="AY731" s="179" t="str">
        <f>CONCATENATE(BASE_DATOS[[#This Row],[Código_U]]&amp;BASE_DATOS[[#This Row],[Pos.]]&amp;BASE_DATOS[[#This Row],[Situación Actual]])</f>
        <v>SR-2403Rodando</v>
      </c>
    </row>
    <row r="732" spans="1:51" ht="12" x14ac:dyDescent="0.25">
      <c r="A732" s="223" t="s">
        <v>403</v>
      </c>
      <c r="B732" s="217" t="s">
        <v>258</v>
      </c>
      <c r="C732" s="228" t="s">
        <v>295</v>
      </c>
      <c r="D732" s="229" t="s">
        <v>87</v>
      </c>
      <c r="E732" s="255"/>
      <c r="F732" s="256" t="s">
        <v>97</v>
      </c>
      <c r="G732" s="256" t="s">
        <v>269</v>
      </c>
      <c r="H732" s="257" t="str">
        <f>IF(BASE_DATOS[[#This Row],[N-R]]="N",BASE_DATOS[[#This Row],[Diseño]],"Reencauche")</f>
        <v>AGC28</v>
      </c>
      <c r="I732" s="256" t="s">
        <v>270</v>
      </c>
      <c r="J732" s="243" t="s">
        <v>72</v>
      </c>
      <c r="K732" s="258">
        <v>16.5</v>
      </c>
      <c r="L732" s="256">
        <v>110</v>
      </c>
      <c r="M732" s="259"/>
      <c r="N732" s="260"/>
      <c r="O732" s="277"/>
      <c r="P732" s="278"/>
      <c r="Q732" s="279"/>
      <c r="R732" s="309" t="s">
        <v>101</v>
      </c>
      <c r="S732" s="310">
        <v>45384</v>
      </c>
      <c r="T732" s="313"/>
      <c r="U732" s="279"/>
      <c r="V732" s="227">
        <v>10</v>
      </c>
      <c r="W732" s="281">
        <v>10</v>
      </c>
      <c r="X732" s="282">
        <v>11</v>
      </c>
      <c r="Y732" s="293">
        <f t="shared" si="31"/>
        <v>10</v>
      </c>
      <c r="Z732" s="175" t="s">
        <v>85</v>
      </c>
      <c r="AA732" s="342">
        <f>IFERROR(BASE_DATOS[[#This Row],[NSK Original]]-BASE_DATOS[[#This Row],[NSK]]," ")</f>
        <v>6.5</v>
      </c>
      <c r="AB732" s="343">
        <f>'NSK-TRACTO'!$A$2</f>
        <v>6</v>
      </c>
      <c r="AC732" s="343">
        <f>IF(BASE_DATOS[[#This Row],[NSK]]&gt;=BASE_DATOS[[#This Row],[NSK Reen]],BASE_DATOS[[#This Row],[NSK Reen]],BASE_DATOS[[#This Row],[NSK]])</f>
        <v>6</v>
      </c>
      <c r="AD732" s="344">
        <f>IFERROR(100%-(BASE_DATOS[[#This Row],[NSK Reen]]/BASE_DATOS[[#This Row],[NSK Original]]),"")</f>
        <v>0.63636363636363635</v>
      </c>
      <c r="AE732" s="344">
        <f>IFERROR(100%-BASE_DATOS[[#This Row],[NSK]]/BASE_DATOS[[#This Row],[NSK Original]],"")</f>
        <v>0.39393939393939392</v>
      </c>
      <c r="AF732" s="344">
        <f>IFERROR(BASE_DATOS[[#This Row],[% Max Des.]]-BASE_DATOS[[#This Row],[% Des]],"")</f>
        <v>0.24242424242424243</v>
      </c>
      <c r="AG732" s="287"/>
      <c r="AH732" s="273"/>
      <c r="AI732" s="363" t="str">
        <f>IF(OR(BASE_DATOS[[#This Row],[Hr.]]="",BASE_DATOS[[#This Row],[Hr. Actual]]=""),"",BASE_DATOS[[#This Row],[Hr. Actual]]-BASE_DATOS[[#This Row],[Hr.]]+BASE_DATOS[[#This Row],[Horas Acumuladas]])</f>
        <v/>
      </c>
      <c r="AJ732" s="364" t="str">
        <f>IFERROR(BASE_DATOS[[#This Row],[Precio US$]]/BASE_DATOS[[#This Row],[Horas Rodadas]],"")</f>
        <v/>
      </c>
      <c r="AK732" s="365" t="str">
        <f>IFERROR(BASE_DATOS[[#This Row],[Horas Rodadas]]/(BASE_DATOS[[#This Row],[NSK Original]]-BASE_DATOS[[#This Row],[NSK]]),"")</f>
        <v/>
      </c>
      <c r="AL73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32" s="366" t="str">
        <f>IFERROR(BASE_DATOS[[#This Row],[Precio US$]]/BASE_DATOS[[#This Row],[Horas Proy.]],"")</f>
        <v/>
      </c>
      <c r="AN732" s="176" t="str">
        <f>IF(OR(BASE_DATOS[[#This Row],[Km.]]="",BASE_DATOS[[#This Row],[Km. Actual]]=""),"",BASE_DATOS[[#This Row],[Km. Actual]]-BASE_DATOS[[#This Row],[Km.]]+BASE_DATOS[[#This Row],[Kilómetros Acumulados]])</f>
        <v/>
      </c>
      <c r="AO732" s="177" t="str">
        <f>IFERROR(BASE_DATOS[[#This Row],[Precio US$]]/BASE_DATOS[[#This Row],[Kilómetros Rodados]],"")</f>
        <v/>
      </c>
      <c r="AP732" s="176" t="str">
        <f>IFERROR(BASE_DATOS[[#This Row],[Kilómetros Rodados]]/(BASE_DATOS[[#This Row],[NSK Original]]-BASE_DATOS[[#This Row],[NSK]]),"")</f>
        <v/>
      </c>
      <c r="AQ73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32" s="177" t="str">
        <f>IFERROR(BASE_DATOS[[#This Row],[Precio US$]]/BASE_DATOS[[#This Row],[Kilómetros Proy.]],"")</f>
        <v/>
      </c>
      <c r="AS732" s="167" t="s">
        <v>62</v>
      </c>
      <c r="AT732" s="167"/>
      <c r="AU732" s="167"/>
      <c r="AV732" s="167"/>
      <c r="AW732" s="179"/>
      <c r="AX732" s="179"/>
      <c r="AY732" s="179" t="str">
        <f>CONCATENATE(BASE_DATOS[[#This Row],[Código_U]]&amp;BASE_DATOS[[#This Row],[Pos.]]&amp;BASE_DATOS[[#This Row],[Situación Actual]])</f>
        <v>SR-2404Rodando</v>
      </c>
    </row>
    <row r="733" spans="1:51" ht="12" x14ac:dyDescent="0.25">
      <c r="A733" s="223" t="s">
        <v>403</v>
      </c>
      <c r="B733" s="217" t="s">
        <v>258</v>
      </c>
      <c r="C733" s="228" t="s">
        <v>295</v>
      </c>
      <c r="D733" s="229" t="s">
        <v>87</v>
      </c>
      <c r="E733" s="255"/>
      <c r="F733" s="256" t="s">
        <v>97</v>
      </c>
      <c r="G733" s="256" t="s">
        <v>269</v>
      </c>
      <c r="H733" s="257" t="str">
        <f>IF(BASE_DATOS[[#This Row],[N-R]]="N",BASE_DATOS[[#This Row],[Diseño]],"Reencauche")</f>
        <v>AGC28</v>
      </c>
      <c r="I733" s="256" t="s">
        <v>270</v>
      </c>
      <c r="J733" s="243" t="s">
        <v>72</v>
      </c>
      <c r="K733" s="258">
        <v>16.5</v>
      </c>
      <c r="L733" s="256">
        <v>110</v>
      </c>
      <c r="M733" s="259"/>
      <c r="N733" s="260"/>
      <c r="O733" s="277"/>
      <c r="P733" s="278"/>
      <c r="Q733" s="279"/>
      <c r="R733" s="309" t="s">
        <v>102</v>
      </c>
      <c r="S733" s="310">
        <v>45384</v>
      </c>
      <c r="T733" s="313"/>
      <c r="U733" s="279"/>
      <c r="V733" s="227">
        <v>14</v>
      </c>
      <c r="W733" s="281">
        <v>13</v>
      </c>
      <c r="X733" s="282">
        <v>13</v>
      </c>
      <c r="Y733" s="293">
        <f t="shared" si="31"/>
        <v>13</v>
      </c>
      <c r="Z733" s="175" t="s">
        <v>85</v>
      </c>
      <c r="AA733" s="342">
        <f>IFERROR(BASE_DATOS[[#This Row],[NSK Original]]-BASE_DATOS[[#This Row],[NSK]]," ")</f>
        <v>3.5</v>
      </c>
      <c r="AB733" s="343">
        <f>'NSK-TRACTO'!$A$2</f>
        <v>6</v>
      </c>
      <c r="AC733" s="343">
        <f>IF(BASE_DATOS[[#This Row],[NSK]]&gt;=BASE_DATOS[[#This Row],[NSK Reen]],BASE_DATOS[[#This Row],[NSK Reen]],BASE_DATOS[[#This Row],[NSK]])</f>
        <v>6</v>
      </c>
      <c r="AD733" s="344">
        <f>IFERROR(100%-(BASE_DATOS[[#This Row],[NSK Reen]]/BASE_DATOS[[#This Row],[NSK Original]]),"")</f>
        <v>0.63636363636363635</v>
      </c>
      <c r="AE733" s="344">
        <f>IFERROR(100%-BASE_DATOS[[#This Row],[NSK]]/BASE_DATOS[[#This Row],[NSK Original]],"")</f>
        <v>0.21212121212121215</v>
      </c>
      <c r="AF733" s="344">
        <f>IFERROR(BASE_DATOS[[#This Row],[% Max Des.]]-BASE_DATOS[[#This Row],[% Des]],"")</f>
        <v>0.4242424242424242</v>
      </c>
      <c r="AG733" s="287"/>
      <c r="AH733" s="273"/>
      <c r="AI733" s="363" t="str">
        <f>IF(OR(BASE_DATOS[[#This Row],[Hr.]]="",BASE_DATOS[[#This Row],[Hr. Actual]]=""),"",BASE_DATOS[[#This Row],[Hr. Actual]]-BASE_DATOS[[#This Row],[Hr.]]+BASE_DATOS[[#This Row],[Horas Acumuladas]])</f>
        <v/>
      </c>
      <c r="AJ733" s="364" t="str">
        <f>IFERROR(BASE_DATOS[[#This Row],[Precio US$]]/BASE_DATOS[[#This Row],[Horas Rodadas]],"")</f>
        <v/>
      </c>
      <c r="AK733" s="365" t="str">
        <f>IFERROR(BASE_DATOS[[#This Row],[Horas Rodadas]]/(BASE_DATOS[[#This Row],[NSK Original]]-BASE_DATOS[[#This Row],[NSK]]),"")</f>
        <v/>
      </c>
      <c r="AL73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33" s="366" t="str">
        <f>IFERROR(BASE_DATOS[[#This Row],[Precio US$]]/BASE_DATOS[[#This Row],[Horas Proy.]],"")</f>
        <v/>
      </c>
      <c r="AN733" s="176" t="str">
        <f>IF(OR(BASE_DATOS[[#This Row],[Km.]]="",BASE_DATOS[[#This Row],[Km. Actual]]=""),"",BASE_DATOS[[#This Row],[Km. Actual]]-BASE_DATOS[[#This Row],[Km.]]+BASE_DATOS[[#This Row],[Kilómetros Acumulados]])</f>
        <v/>
      </c>
      <c r="AO733" s="177" t="str">
        <f>IFERROR(BASE_DATOS[[#This Row],[Precio US$]]/BASE_DATOS[[#This Row],[Kilómetros Rodados]],"")</f>
        <v/>
      </c>
      <c r="AP733" s="176" t="str">
        <f>IFERROR(BASE_DATOS[[#This Row],[Kilómetros Rodados]]/(BASE_DATOS[[#This Row],[NSK Original]]-BASE_DATOS[[#This Row],[NSK]]),"")</f>
        <v/>
      </c>
      <c r="AQ73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33" s="177" t="str">
        <f>IFERROR(BASE_DATOS[[#This Row],[Precio US$]]/BASE_DATOS[[#This Row],[Kilómetros Proy.]],"")</f>
        <v/>
      </c>
      <c r="AS733" s="167" t="s">
        <v>62</v>
      </c>
      <c r="AT733" s="167"/>
      <c r="AU733" s="167"/>
      <c r="AV733" s="167"/>
      <c r="AW733" s="179"/>
      <c r="AX733" s="179"/>
      <c r="AY733" s="179" t="str">
        <f>CONCATENATE(BASE_DATOS[[#This Row],[Código_U]]&amp;BASE_DATOS[[#This Row],[Pos.]]&amp;BASE_DATOS[[#This Row],[Situación Actual]])</f>
        <v>SR-2405Rodando</v>
      </c>
    </row>
    <row r="734" spans="1:51" ht="12" x14ac:dyDescent="0.25">
      <c r="A734" s="223" t="s">
        <v>403</v>
      </c>
      <c r="B734" s="217" t="s">
        <v>258</v>
      </c>
      <c r="C734" s="228" t="s">
        <v>295</v>
      </c>
      <c r="D734" s="229" t="s">
        <v>87</v>
      </c>
      <c r="E734" s="255"/>
      <c r="F734" s="256" t="s">
        <v>97</v>
      </c>
      <c r="G734" s="256" t="s">
        <v>269</v>
      </c>
      <c r="H734" s="257" t="str">
        <f>IF(BASE_DATOS[[#This Row],[N-R]]="N",BASE_DATOS[[#This Row],[Diseño]],"Reencauche")</f>
        <v>AGC28</v>
      </c>
      <c r="I734" s="256" t="s">
        <v>270</v>
      </c>
      <c r="J734" s="243" t="s">
        <v>72</v>
      </c>
      <c r="K734" s="258">
        <v>16.5</v>
      </c>
      <c r="L734" s="256">
        <v>110</v>
      </c>
      <c r="M734" s="259"/>
      <c r="N734" s="260"/>
      <c r="O734" s="277"/>
      <c r="P734" s="278"/>
      <c r="Q734" s="279"/>
      <c r="R734" s="309" t="s">
        <v>103</v>
      </c>
      <c r="S734" s="310">
        <v>45384</v>
      </c>
      <c r="T734" s="313"/>
      <c r="U734" s="279"/>
      <c r="V734" s="227">
        <v>14</v>
      </c>
      <c r="W734" s="281">
        <v>14</v>
      </c>
      <c r="X734" s="282">
        <v>14</v>
      </c>
      <c r="Y734" s="293">
        <f t="shared" si="31"/>
        <v>14</v>
      </c>
      <c r="Z734" s="175" t="s">
        <v>85</v>
      </c>
      <c r="AA734" s="342">
        <f>IFERROR(BASE_DATOS[[#This Row],[NSK Original]]-BASE_DATOS[[#This Row],[NSK]]," ")</f>
        <v>2.5</v>
      </c>
      <c r="AB734" s="343">
        <f>'NSK-TRACTO'!$A$2</f>
        <v>6</v>
      </c>
      <c r="AC734" s="343">
        <f>IF(BASE_DATOS[[#This Row],[NSK]]&gt;=BASE_DATOS[[#This Row],[NSK Reen]],BASE_DATOS[[#This Row],[NSK Reen]],BASE_DATOS[[#This Row],[NSK]])</f>
        <v>6</v>
      </c>
      <c r="AD734" s="344">
        <f>IFERROR(100%-(BASE_DATOS[[#This Row],[NSK Reen]]/BASE_DATOS[[#This Row],[NSK Original]]),"")</f>
        <v>0.63636363636363635</v>
      </c>
      <c r="AE734" s="344">
        <f>IFERROR(100%-BASE_DATOS[[#This Row],[NSK]]/BASE_DATOS[[#This Row],[NSK Original]],"")</f>
        <v>0.15151515151515149</v>
      </c>
      <c r="AF734" s="344">
        <f>IFERROR(BASE_DATOS[[#This Row],[% Max Des.]]-BASE_DATOS[[#This Row],[% Des]],"")</f>
        <v>0.48484848484848486</v>
      </c>
      <c r="AG734" s="287"/>
      <c r="AH734" s="273"/>
      <c r="AI734" s="363" t="str">
        <f>IF(OR(BASE_DATOS[[#This Row],[Hr.]]="",BASE_DATOS[[#This Row],[Hr. Actual]]=""),"",BASE_DATOS[[#This Row],[Hr. Actual]]-BASE_DATOS[[#This Row],[Hr.]]+BASE_DATOS[[#This Row],[Horas Acumuladas]])</f>
        <v/>
      </c>
      <c r="AJ734" s="364" t="str">
        <f>IFERROR(BASE_DATOS[[#This Row],[Precio US$]]/BASE_DATOS[[#This Row],[Horas Rodadas]],"")</f>
        <v/>
      </c>
      <c r="AK734" s="365" t="str">
        <f>IFERROR(BASE_DATOS[[#This Row],[Horas Rodadas]]/(BASE_DATOS[[#This Row],[NSK Original]]-BASE_DATOS[[#This Row],[NSK]]),"")</f>
        <v/>
      </c>
      <c r="AL73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34" s="366" t="str">
        <f>IFERROR(BASE_DATOS[[#This Row],[Precio US$]]/BASE_DATOS[[#This Row],[Horas Proy.]],"")</f>
        <v/>
      </c>
      <c r="AN734" s="176" t="str">
        <f>IF(OR(BASE_DATOS[[#This Row],[Km.]]="",BASE_DATOS[[#This Row],[Km. Actual]]=""),"",BASE_DATOS[[#This Row],[Km. Actual]]-BASE_DATOS[[#This Row],[Km.]]+BASE_DATOS[[#This Row],[Kilómetros Acumulados]])</f>
        <v/>
      </c>
      <c r="AO734" s="177" t="str">
        <f>IFERROR(BASE_DATOS[[#This Row],[Precio US$]]/BASE_DATOS[[#This Row],[Kilómetros Rodados]],"")</f>
        <v/>
      </c>
      <c r="AP734" s="176" t="str">
        <f>IFERROR(BASE_DATOS[[#This Row],[Kilómetros Rodados]]/(BASE_DATOS[[#This Row],[NSK Original]]-BASE_DATOS[[#This Row],[NSK]]),"")</f>
        <v/>
      </c>
      <c r="AQ73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34" s="177" t="str">
        <f>IFERROR(BASE_DATOS[[#This Row],[Precio US$]]/BASE_DATOS[[#This Row],[Kilómetros Proy.]],"")</f>
        <v/>
      </c>
      <c r="AS734" s="167" t="s">
        <v>62</v>
      </c>
      <c r="AT734" s="167"/>
      <c r="AU734" s="167"/>
      <c r="AV734" s="167"/>
      <c r="AW734" s="179"/>
      <c r="AX734" s="179"/>
      <c r="AY734" s="179" t="str">
        <f>CONCATENATE(BASE_DATOS[[#This Row],[Código_U]]&amp;BASE_DATOS[[#This Row],[Pos.]]&amp;BASE_DATOS[[#This Row],[Situación Actual]])</f>
        <v>SR-2406Rodando</v>
      </c>
    </row>
    <row r="735" spans="1:51" ht="12" x14ac:dyDescent="0.25">
      <c r="A735" s="223" t="s">
        <v>403</v>
      </c>
      <c r="B735" s="217" t="s">
        <v>258</v>
      </c>
      <c r="C735" s="228" t="s">
        <v>295</v>
      </c>
      <c r="D735" s="229" t="s">
        <v>384</v>
      </c>
      <c r="E735" s="255"/>
      <c r="F735" s="256" t="s">
        <v>97</v>
      </c>
      <c r="G735" s="256" t="s">
        <v>269</v>
      </c>
      <c r="H735" s="257" t="str">
        <f>IF(BASE_DATOS[[#This Row],[N-R]]="N",BASE_DATOS[[#This Row],[Diseño]],"Reencauche")</f>
        <v>AGC28</v>
      </c>
      <c r="I735" s="256" t="s">
        <v>270</v>
      </c>
      <c r="J735" s="243" t="s">
        <v>72</v>
      </c>
      <c r="K735" s="258">
        <v>16.5</v>
      </c>
      <c r="L735" s="256">
        <v>110</v>
      </c>
      <c r="M735" s="259"/>
      <c r="N735" s="260"/>
      <c r="O735" s="277"/>
      <c r="P735" s="278"/>
      <c r="Q735" s="279"/>
      <c r="R735" s="304" t="s">
        <v>509</v>
      </c>
      <c r="S735" s="310">
        <v>45384</v>
      </c>
      <c r="T735" s="313"/>
      <c r="U735" s="279"/>
      <c r="V735" s="227">
        <v>15</v>
      </c>
      <c r="W735" s="281">
        <v>15</v>
      </c>
      <c r="X735" s="282">
        <v>15</v>
      </c>
      <c r="Y735" s="293">
        <f t="shared" si="31"/>
        <v>15</v>
      </c>
      <c r="Z735" s="175" t="s">
        <v>85</v>
      </c>
      <c r="AA735" s="342">
        <f>IFERROR(BASE_DATOS[[#This Row],[NSK Original]]-BASE_DATOS[[#This Row],[NSK]]," ")</f>
        <v>1.5</v>
      </c>
      <c r="AB735" s="343">
        <f>'NSK-TRACTO'!$A$2</f>
        <v>6</v>
      </c>
      <c r="AC735" s="343">
        <f>IF(BASE_DATOS[[#This Row],[NSK]]&gt;=BASE_DATOS[[#This Row],[NSK Reen]],BASE_DATOS[[#This Row],[NSK Reen]],BASE_DATOS[[#This Row],[NSK]])</f>
        <v>6</v>
      </c>
      <c r="AD735" s="344">
        <f>IFERROR(100%-(BASE_DATOS[[#This Row],[NSK Reen]]/BASE_DATOS[[#This Row],[NSK Original]]),"")</f>
        <v>0.63636363636363635</v>
      </c>
      <c r="AE735" s="344">
        <f>IFERROR(100%-BASE_DATOS[[#This Row],[NSK]]/BASE_DATOS[[#This Row],[NSK Original]],"")</f>
        <v>9.0909090909090939E-2</v>
      </c>
      <c r="AF735" s="344">
        <f>IFERROR(BASE_DATOS[[#This Row],[% Max Des.]]-BASE_DATOS[[#This Row],[% Des]],"")</f>
        <v>0.54545454545454541</v>
      </c>
      <c r="AG735" s="287"/>
      <c r="AH735" s="273"/>
      <c r="AI735" s="363" t="str">
        <f>IF(OR(BASE_DATOS[[#This Row],[Hr.]]="",BASE_DATOS[[#This Row],[Hr. Actual]]=""),"",BASE_DATOS[[#This Row],[Hr. Actual]]-BASE_DATOS[[#This Row],[Hr.]]+BASE_DATOS[[#This Row],[Horas Acumuladas]])</f>
        <v/>
      </c>
      <c r="AJ735" s="364" t="str">
        <f>IFERROR(BASE_DATOS[[#This Row],[Precio US$]]/BASE_DATOS[[#This Row],[Horas Rodadas]],"")</f>
        <v/>
      </c>
      <c r="AK735" s="365" t="str">
        <f>IFERROR(BASE_DATOS[[#This Row],[Horas Rodadas]]/(BASE_DATOS[[#This Row],[NSK Original]]-BASE_DATOS[[#This Row],[NSK]]),"")</f>
        <v/>
      </c>
      <c r="AL73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35" s="366" t="str">
        <f>IFERROR(BASE_DATOS[[#This Row],[Precio US$]]/BASE_DATOS[[#This Row],[Horas Proy.]],"")</f>
        <v/>
      </c>
      <c r="AN735" s="176" t="str">
        <f>IF(OR(BASE_DATOS[[#This Row],[Km.]]="",BASE_DATOS[[#This Row],[Km. Actual]]=""),"",BASE_DATOS[[#This Row],[Km. Actual]]-BASE_DATOS[[#This Row],[Km.]]+BASE_DATOS[[#This Row],[Kilómetros Acumulados]])</f>
        <v/>
      </c>
      <c r="AO735" s="177" t="str">
        <f>IFERROR(BASE_DATOS[[#This Row],[Precio US$]]/BASE_DATOS[[#This Row],[Kilómetros Rodados]],"")</f>
        <v/>
      </c>
      <c r="AP735" s="176" t="str">
        <f>IFERROR(BASE_DATOS[[#This Row],[Kilómetros Rodados]]/(BASE_DATOS[[#This Row],[NSK Original]]-BASE_DATOS[[#This Row],[NSK]]),"")</f>
        <v/>
      </c>
      <c r="AQ73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35" s="177" t="str">
        <f>IFERROR(BASE_DATOS[[#This Row],[Precio US$]]/BASE_DATOS[[#This Row],[Kilómetros Proy.]],"")</f>
        <v/>
      </c>
      <c r="AS735" s="167" t="s">
        <v>62</v>
      </c>
      <c r="AT735" s="167"/>
      <c r="AU735" s="167"/>
      <c r="AV735" s="167"/>
      <c r="AW735" s="179"/>
      <c r="AX735" s="179"/>
      <c r="AY735" s="179" t="str">
        <f>CONCATENATE(BASE_DATOS[[#This Row],[Código_U]]&amp;BASE_DATOS[[#This Row],[Pos.]]&amp;BASE_DATOS[[#This Row],[Situación Actual]])</f>
        <v>SR-240RERodando</v>
      </c>
    </row>
    <row r="736" spans="1:51" ht="12" x14ac:dyDescent="0.25">
      <c r="A736" s="223" t="s">
        <v>403</v>
      </c>
      <c r="B736" s="217" t="s">
        <v>258</v>
      </c>
      <c r="C736" s="228" t="s">
        <v>295</v>
      </c>
      <c r="D736" s="229" t="s">
        <v>108</v>
      </c>
      <c r="E736" s="255"/>
      <c r="F736" s="256" t="s">
        <v>273</v>
      </c>
      <c r="G736" s="256" t="s">
        <v>271</v>
      </c>
      <c r="H736" s="257" t="str">
        <f>IF(BASE_DATOS[[#This Row],[N-R]]="N",BASE_DATOS[[#This Row],[Diseño]],"Reencauche")</f>
        <v>XMULTI2D</v>
      </c>
      <c r="I736" s="256" t="s">
        <v>299</v>
      </c>
      <c r="J736" s="243" t="s">
        <v>72</v>
      </c>
      <c r="K736" s="258">
        <v>21.4</v>
      </c>
      <c r="L736" s="256">
        <v>110</v>
      </c>
      <c r="M736" s="259"/>
      <c r="N736" s="260"/>
      <c r="O736" s="277"/>
      <c r="P736" s="278"/>
      <c r="Q736" s="279"/>
      <c r="R736" s="304" t="s">
        <v>108</v>
      </c>
      <c r="S736" s="310">
        <v>45384</v>
      </c>
      <c r="T736" s="313"/>
      <c r="U736" s="279"/>
      <c r="V736" s="227">
        <v>20</v>
      </c>
      <c r="W736" s="281"/>
      <c r="X736" s="282">
        <v>20</v>
      </c>
      <c r="Y736" s="293">
        <f t="shared" si="31"/>
        <v>20</v>
      </c>
      <c r="Z736" s="175" t="s">
        <v>85</v>
      </c>
      <c r="AA736" s="342">
        <f>IFERROR(BASE_DATOS[[#This Row],[NSK Original]]-BASE_DATOS[[#This Row],[NSK]]," ")</f>
        <v>1.3999999999999986</v>
      </c>
      <c r="AB736" s="343">
        <f>'NSK-TRACTO'!$A$2</f>
        <v>6</v>
      </c>
      <c r="AC736" s="343">
        <f>IF(BASE_DATOS[[#This Row],[NSK]]&gt;=BASE_DATOS[[#This Row],[NSK Reen]],BASE_DATOS[[#This Row],[NSK Reen]],BASE_DATOS[[#This Row],[NSK]])</f>
        <v>6</v>
      </c>
      <c r="AD736" s="344">
        <f>IFERROR(100%-(BASE_DATOS[[#This Row],[NSK Reen]]/BASE_DATOS[[#This Row],[NSK Original]]),"")</f>
        <v>0.71962616822429903</v>
      </c>
      <c r="AE736" s="344">
        <f>IFERROR(100%-BASE_DATOS[[#This Row],[NSK]]/BASE_DATOS[[#This Row],[NSK Original]],"")</f>
        <v>6.5420560747663448E-2</v>
      </c>
      <c r="AF736" s="344">
        <f>IFERROR(BASE_DATOS[[#This Row],[% Max Des.]]-BASE_DATOS[[#This Row],[% Des]],"")</f>
        <v>0.65420560747663559</v>
      </c>
      <c r="AG736" s="287"/>
      <c r="AH736" s="273"/>
      <c r="AI736" s="363" t="str">
        <f>IF(OR(BASE_DATOS[[#This Row],[Hr.]]="",BASE_DATOS[[#This Row],[Hr. Actual]]=""),"",BASE_DATOS[[#This Row],[Hr. Actual]]-BASE_DATOS[[#This Row],[Hr.]]+BASE_DATOS[[#This Row],[Horas Acumuladas]])</f>
        <v/>
      </c>
      <c r="AJ736" s="364" t="str">
        <f>IFERROR(BASE_DATOS[[#This Row],[Precio US$]]/BASE_DATOS[[#This Row],[Horas Rodadas]],"")</f>
        <v/>
      </c>
      <c r="AK736" s="365" t="str">
        <f>IFERROR(BASE_DATOS[[#This Row],[Horas Rodadas]]/(BASE_DATOS[[#This Row],[NSK Original]]-BASE_DATOS[[#This Row],[NSK]]),"")</f>
        <v/>
      </c>
      <c r="AL73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36" s="366" t="str">
        <f>IFERROR(BASE_DATOS[[#This Row],[Precio US$]]/BASE_DATOS[[#This Row],[Horas Proy.]],"")</f>
        <v/>
      </c>
      <c r="AN736" s="176" t="str">
        <f>IF(OR(BASE_DATOS[[#This Row],[Km.]]="",BASE_DATOS[[#This Row],[Km. Actual]]=""),"",BASE_DATOS[[#This Row],[Km. Actual]]-BASE_DATOS[[#This Row],[Km.]]+BASE_DATOS[[#This Row],[Kilómetros Acumulados]])</f>
        <v/>
      </c>
      <c r="AO736" s="177" t="str">
        <f>IFERROR(BASE_DATOS[[#This Row],[Precio US$]]/BASE_DATOS[[#This Row],[Kilómetros Rodados]],"")</f>
        <v/>
      </c>
      <c r="AP736" s="176" t="str">
        <f>IFERROR(BASE_DATOS[[#This Row],[Kilómetros Rodados]]/(BASE_DATOS[[#This Row],[NSK Original]]-BASE_DATOS[[#This Row],[NSK]]),"")</f>
        <v/>
      </c>
      <c r="AQ73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36" s="177" t="str">
        <f>IFERROR(BASE_DATOS[[#This Row],[Precio US$]]/BASE_DATOS[[#This Row],[Kilómetros Proy.]],"")</f>
        <v/>
      </c>
      <c r="AS736" s="167" t="s">
        <v>62</v>
      </c>
      <c r="AT736" s="167"/>
      <c r="AU736" s="167"/>
      <c r="AV736" s="167"/>
      <c r="AW736" s="179"/>
      <c r="AX736" s="179"/>
      <c r="AY736" s="179" t="str">
        <f>CONCATENATE(BASE_DATOS[[#This Row],[Código_U]]&amp;BASE_DATOS[[#This Row],[Pos.]]&amp;BASE_DATOS[[#This Row],[Situación Actual]])</f>
        <v>SR-240RTRodando</v>
      </c>
    </row>
    <row r="737" spans="1:51" ht="12" x14ac:dyDescent="0.25">
      <c r="A737" s="222" t="s">
        <v>463</v>
      </c>
      <c r="B737" s="213" t="s">
        <v>259</v>
      </c>
      <c r="C737" s="225" t="s">
        <v>296</v>
      </c>
      <c r="D737" s="226" t="s">
        <v>86</v>
      </c>
      <c r="E737" s="249"/>
      <c r="F737" s="250" t="s">
        <v>273</v>
      </c>
      <c r="G737" s="250" t="s">
        <v>271</v>
      </c>
      <c r="H737" s="251" t="str">
        <f>IF(BASE_DATOS[[#This Row],[N-R]]="N",BASE_DATOS[[#This Row],[Diseño]],"Reencauche")</f>
        <v>XMULTI+Z</v>
      </c>
      <c r="I737" s="250" t="s">
        <v>297</v>
      </c>
      <c r="J737" s="235" t="s">
        <v>72</v>
      </c>
      <c r="K737" s="252">
        <v>16</v>
      </c>
      <c r="L737" s="233">
        <v>100</v>
      </c>
      <c r="M737" s="253"/>
      <c r="N737" s="254"/>
      <c r="O737" s="274"/>
      <c r="P737" s="275"/>
      <c r="Q737" s="276"/>
      <c r="R737" s="305" t="s">
        <v>98</v>
      </c>
      <c r="S737" s="306">
        <v>45386</v>
      </c>
      <c r="T737" s="314"/>
      <c r="U737" s="308"/>
      <c r="V737" s="224">
        <v>7</v>
      </c>
      <c r="W737" s="325">
        <v>8</v>
      </c>
      <c r="X737" s="326">
        <v>9</v>
      </c>
      <c r="Y737" s="292">
        <f t="shared" si="31"/>
        <v>7</v>
      </c>
      <c r="Z737" s="185" t="s">
        <v>73</v>
      </c>
      <c r="AA737" s="339">
        <f>IFERROR(BASE_DATOS[[#This Row],[NSK Original]]-BASE_DATOS[[#This Row],[NSK]]," ")</f>
        <v>9</v>
      </c>
      <c r="AB737" s="340">
        <f>'NSK-TRACTO'!$A$2</f>
        <v>6</v>
      </c>
      <c r="AC737" s="340">
        <f>IF(BASE_DATOS[[#This Row],[NSK]]&gt;=BASE_DATOS[[#This Row],[NSK Reen]],BASE_DATOS[[#This Row],[NSK Reen]],BASE_DATOS[[#This Row],[NSK]])</f>
        <v>6</v>
      </c>
      <c r="AD737" s="341">
        <f>IFERROR(100%-(BASE_DATOS[[#This Row],[NSK Reen]]/BASE_DATOS[[#This Row],[NSK Original]]),"")</f>
        <v>0.625</v>
      </c>
      <c r="AE737" s="341">
        <f>IFERROR(100%-BASE_DATOS[[#This Row],[NSK]]/BASE_DATOS[[#This Row],[NSK Original]],"")</f>
        <v>0.5625</v>
      </c>
      <c r="AF737" s="341">
        <f>IFERROR(BASE_DATOS[[#This Row],[% Max Des.]]-BASE_DATOS[[#This Row],[% Des]],"")</f>
        <v>6.25E-2</v>
      </c>
      <c r="AG737" s="284"/>
      <c r="AH737" s="335"/>
      <c r="AI737" s="359" t="str">
        <f>IF(OR(BASE_DATOS[[#This Row],[Hr.]]="",BASE_DATOS[[#This Row],[Hr. Actual]]=""),"",BASE_DATOS[[#This Row],[Hr. Actual]]-BASE_DATOS[[#This Row],[Hr.]]+BASE_DATOS[[#This Row],[Horas Acumuladas]])</f>
        <v/>
      </c>
      <c r="AJ737" s="360" t="str">
        <f>IFERROR(BASE_DATOS[[#This Row],[Precio US$]]/BASE_DATOS[[#This Row],[Horas Rodadas]],"")</f>
        <v/>
      </c>
      <c r="AK737" s="361" t="str">
        <f>IFERROR(BASE_DATOS[[#This Row],[Horas Rodadas]]/(BASE_DATOS[[#This Row],[NSK Original]]-BASE_DATOS[[#This Row],[NSK]]),"")</f>
        <v/>
      </c>
      <c r="AL737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37" s="362" t="str">
        <f>IFERROR(BASE_DATOS[[#This Row],[Precio US$]]/BASE_DATOS[[#This Row],[Horas Proy.]],"")</f>
        <v/>
      </c>
      <c r="AN737" s="195" t="str">
        <f>IF(OR(BASE_DATOS[[#This Row],[Km.]]="",BASE_DATOS[[#This Row],[Km. Actual]]=""),"",BASE_DATOS[[#This Row],[Km. Actual]]-BASE_DATOS[[#This Row],[Km.]]+BASE_DATOS[[#This Row],[Kilómetros Acumulados]])</f>
        <v/>
      </c>
      <c r="AO737" s="196" t="str">
        <f>IFERROR(BASE_DATOS[[#This Row],[Precio US$]]/BASE_DATOS[[#This Row],[Kilómetros Rodados]],"")</f>
        <v/>
      </c>
      <c r="AP737" s="195" t="str">
        <f>IFERROR(BASE_DATOS[[#This Row],[Kilómetros Rodados]]/(BASE_DATOS[[#This Row],[NSK Original]]-BASE_DATOS[[#This Row],[NSK]]),"")</f>
        <v/>
      </c>
      <c r="AQ737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37" s="196" t="str">
        <f>IFERROR(BASE_DATOS[[#This Row],[Precio US$]]/BASE_DATOS[[#This Row],[Kilómetros Proy.]],"")</f>
        <v/>
      </c>
      <c r="AS737" s="191" t="s">
        <v>62</v>
      </c>
      <c r="AT737" s="191"/>
      <c r="AU737" s="191"/>
      <c r="AV737" s="191" t="s">
        <v>515</v>
      </c>
      <c r="AW737" s="198"/>
      <c r="AX737" s="198"/>
      <c r="AY737" s="198" t="str">
        <f>CONCATENATE(BASE_DATOS[[#This Row],[Código_U]]&amp;BASE_DATOS[[#This Row],[Pos.]]&amp;BASE_DATOS[[#This Row],[Situación Actual]])</f>
        <v>TC-2461Rodando</v>
      </c>
    </row>
    <row r="738" spans="1:51" ht="12" x14ac:dyDescent="0.25">
      <c r="A738" s="223" t="s">
        <v>463</v>
      </c>
      <c r="B738" s="217" t="s">
        <v>259</v>
      </c>
      <c r="C738" s="228" t="s">
        <v>296</v>
      </c>
      <c r="D738" s="229" t="s">
        <v>86</v>
      </c>
      <c r="E738" s="255"/>
      <c r="F738" s="256" t="s">
        <v>273</v>
      </c>
      <c r="G738" s="256" t="s">
        <v>271</v>
      </c>
      <c r="H738" s="257" t="str">
        <f>IF(BASE_DATOS[[#This Row],[N-R]]="N",BASE_DATOS[[#This Row],[Diseño]],"Reencauche")</f>
        <v>XMULTI+Z</v>
      </c>
      <c r="I738" s="256" t="s">
        <v>297</v>
      </c>
      <c r="J738" s="243" t="s">
        <v>72</v>
      </c>
      <c r="K738" s="258">
        <v>16</v>
      </c>
      <c r="L738" s="241">
        <v>100</v>
      </c>
      <c r="M738" s="259"/>
      <c r="N738" s="260"/>
      <c r="O738" s="277"/>
      <c r="P738" s="278"/>
      <c r="Q738" s="279"/>
      <c r="R738" s="309" t="s">
        <v>99</v>
      </c>
      <c r="S738" s="310">
        <v>45386</v>
      </c>
      <c r="T738" s="313"/>
      <c r="U738" s="315"/>
      <c r="V738" s="227">
        <v>9</v>
      </c>
      <c r="W738" s="281">
        <v>9</v>
      </c>
      <c r="X738" s="282">
        <v>9</v>
      </c>
      <c r="Y738" s="293">
        <f t="shared" si="31"/>
        <v>9</v>
      </c>
      <c r="Z738" s="161" t="s">
        <v>73</v>
      </c>
      <c r="AA738" s="342">
        <f>IFERROR(BASE_DATOS[[#This Row],[NSK Original]]-BASE_DATOS[[#This Row],[NSK]]," ")</f>
        <v>7</v>
      </c>
      <c r="AB738" s="343">
        <f>'NSK-TRACTO'!$A$2</f>
        <v>6</v>
      </c>
      <c r="AC738" s="343">
        <f>IF(BASE_DATOS[[#This Row],[NSK]]&gt;=BASE_DATOS[[#This Row],[NSK Reen]],BASE_DATOS[[#This Row],[NSK Reen]],BASE_DATOS[[#This Row],[NSK]])</f>
        <v>6</v>
      </c>
      <c r="AD738" s="344">
        <f>IFERROR(100%-(BASE_DATOS[[#This Row],[NSK Reen]]/BASE_DATOS[[#This Row],[NSK Original]]),"")</f>
        <v>0.625</v>
      </c>
      <c r="AE738" s="344">
        <f>IFERROR(100%-BASE_DATOS[[#This Row],[NSK]]/BASE_DATOS[[#This Row],[NSK Original]],"")</f>
        <v>0.4375</v>
      </c>
      <c r="AF738" s="344">
        <f>IFERROR(BASE_DATOS[[#This Row],[% Max Des.]]-BASE_DATOS[[#This Row],[% Des]],"")</f>
        <v>0.1875</v>
      </c>
      <c r="AG738" s="287"/>
      <c r="AH738" s="273"/>
      <c r="AI738" s="363" t="str">
        <f>IF(OR(BASE_DATOS[[#This Row],[Hr.]]="",BASE_DATOS[[#This Row],[Hr. Actual]]=""),"",BASE_DATOS[[#This Row],[Hr. Actual]]-BASE_DATOS[[#This Row],[Hr.]]+BASE_DATOS[[#This Row],[Horas Acumuladas]])</f>
        <v/>
      </c>
      <c r="AJ738" s="364" t="str">
        <f>IFERROR(BASE_DATOS[[#This Row],[Precio US$]]/BASE_DATOS[[#This Row],[Horas Rodadas]],"")</f>
        <v/>
      </c>
      <c r="AK738" s="365" t="str">
        <f>IFERROR(BASE_DATOS[[#This Row],[Horas Rodadas]]/(BASE_DATOS[[#This Row],[NSK Original]]-BASE_DATOS[[#This Row],[NSK]]),"")</f>
        <v/>
      </c>
      <c r="AL73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38" s="366" t="str">
        <f>IFERROR(BASE_DATOS[[#This Row],[Precio US$]]/BASE_DATOS[[#This Row],[Horas Proy.]],"")</f>
        <v/>
      </c>
      <c r="AN738" s="176" t="str">
        <f>IF(OR(BASE_DATOS[[#This Row],[Km.]]="",BASE_DATOS[[#This Row],[Km. Actual]]=""),"",BASE_DATOS[[#This Row],[Km. Actual]]-BASE_DATOS[[#This Row],[Km.]]+BASE_DATOS[[#This Row],[Kilómetros Acumulados]])</f>
        <v/>
      </c>
      <c r="AO738" s="177" t="str">
        <f>IFERROR(BASE_DATOS[[#This Row],[Precio US$]]/BASE_DATOS[[#This Row],[Kilómetros Rodados]],"")</f>
        <v/>
      </c>
      <c r="AP738" s="176" t="str">
        <f>IFERROR(BASE_DATOS[[#This Row],[Kilómetros Rodados]]/(BASE_DATOS[[#This Row],[NSK Original]]-BASE_DATOS[[#This Row],[NSK]]),"")</f>
        <v/>
      </c>
      <c r="AQ73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38" s="177" t="str">
        <f>IFERROR(BASE_DATOS[[#This Row],[Precio US$]]/BASE_DATOS[[#This Row],[Kilómetros Proy.]],"")</f>
        <v/>
      </c>
      <c r="AS738" s="167" t="s">
        <v>62</v>
      </c>
      <c r="AT738" s="167"/>
      <c r="AU738" s="167"/>
      <c r="AV738" s="167" t="s">
        <v>515</v>
      </c>
      <c r="AW738" s="179"/>
      <c r="AX738" s="179"/>
      <c r="AY738" s="179" t="str">
        <f>CONCATENATE(BASE_DATOS[[#This Row],[Código_U]]&amp;BASE_DATOS[[#This Row],[Pos.]]&amp;BASE_DATOS[[#This Row],[Situación Actual]])</f>
        <v>TC-2462Rodando</v>
      </c>
    </row>
    <row r="739" spans="1:51" ht="12" x14ac:dyDescent="0.25">
      <c r="A739" s="223" t="s">
        <v>463</v>
      </c>
      <c r="B739" s="217" t="s">
        <v>259</v>
      </c>
      <c r="C739" s="228" t="s">
        <v>296</v>
      </c>
      <c r="D739" s="229" t="s">
        <v>61</v>
      </c>
      <c r="E739" s="255"/>
      <c r="F739" s="256" t="s">
        <v>273</v>
      </c>
      <c r="G739" s="256" t="s">
        <v>271</v>
      </c>
      <c r="H739" s="257" t="str">
        <f>IF(BASE_DATOS[[#This Row],[N-R]]="N",BASE_DATOS[[#This Row],[Diseño]],"Reencauche")</f>
        <v>XMULTI2D</v>
      </c>
      <c r="I739" s="256" t="s">
        <v>299</v>
      </c>
      <c r="J739" s="243" t="s">
        <v>72</v>
      </c>
      <c r="K739" s="258">
        <v>21.4</v>
      </c>
      <c r="L739" s="241">
        <v>110</v>
      </c>
      <c r="M739" s="259"/>
      <c r="N739" s="260"/>
      <c r="O739" s="277"/>
      <c r="P739" s="278"/>
      <c r="Q739" s="279"/>
      <c r="R739" s="309" t="s">
        <v>100</v>
      </c>
      <c r="S739" s="310">
        <v>45386</v>
      </c>
      <c r="T739" s="313"/>
      <c r="U739" s="315"/>
      <c r="V739" s="227">
        <v>12</v>
      </c>
      <c r="W739" s="281"/>
      <c r="X739" s="282">
        <v>12</v>
      </c>
      <c r="Y739" s="293">
        <f t="shared" si="31"/>
        <v>12</v>
      </c>
      <c r="Z739" s="161" t="s">
        <v>73</v>
      </c>
      <c r="AA739" s="342">
        <f>IFERROR(BASE_DATOS[[#This Row],[NSK Original]]-BASE_DATOS[[#This Row],[NSK]]," ")</f>
        <v>9.3999999999999986</v>
      </c>
      <c r="AB739" s="343">
        <f>'NSK-TRACTO'!$A$2</f>
        <v>6</v>
      </c>
      <c r="AC739" s="343">
        <f>IF(BASE_DATOS[[#This Row],[NSK]]&gt;=BASE_DATOS[[#This Row],[NSK Reen]],BASE_DATOS[[#This Row],[NSK Reen]],BASE_DATOS[[#This Row],[NSK]])</f>
        <v>6</v>
      </c>
      <c r="AD739" s="344">
        <f>IFERROR(100%-(BASE_DATOS[[#This Row],[NSK Reen]]/BASE_DATOS[[#This Row],[NSK Original]]),"")</f>
        <v>0.71962616822429903</v>
      </c>
      <c r="AE739" s="344">
        <f>IFERROR(100%-BASE_DATOS[[#This Row],[NSK]]/BASE_DATOS[[#This Row],[NSK Original]],"")</f>
        <v>0.43925233644859807</v>
      </c>
      <c r="AF739" s="344">
        <f>IFERROR(BASE_DATOS[[#This Row],[% Max Des.]]-BASE_DATOS[[#This Row],[% Des]],"")</f>
        <v>0.28037383177570097</v>
      </c>
      <c r="AG739" s="287"/>
      <c r="AH739" s="273"/>
      <c r="AI739" s="363" t="str">
        <f>IF(OR(BASE_DATOS[[#This Row],[Hr.]]="",BASE_DATOS[[#This Row],[Hr. Actual]]=""),"",BASE_DATOS[[#This Row],[Hr. Actual]]-BASE_DATOS[[#This Row],[Hr.]]+BASE_DATOS[[#This Row],[Horas Acumuladas]])</f>
        <v/>
      </c>
      <c r="AJ739" s="364" t="str">
        <f>IFERROR(BASE_DATOS[[#This Row],[Precio US$]]/BASE_DATOS[[#This Row],[Horas Rodadas]],"")</f>
        <v/>
      </c>
      <c r="AK739" s="365" t="str">
        <f>IFERROR(BASE_DATOS[[#This Row],[Horas Rodadas]]/(BASE_DATOS[[#This Row],[NSK Original]]-BASE_DATOS[[#This Row],[NSK]]),"")</f>
        <v/>
      </c>
      <c r="AL73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39" s="366" t="str">
        <f>IFERROR(BASE_DATOS[[#This Row],[Precio US$]]/BASE_DATOS[[#This Row],[Horas Proy.]],"")</f>
        <v/>
      </c>
      <c r="AN739" s="176" t="str">
        <f>IF(OR(BASE_DATOS[[#This Row],[Km.]]="",BASE_DATOS[[#This Row],[Km. Actual]]=""),"",BASE_DATOS[[#This Row],[Km. Actual]]-BASE_DATOS[[#This Row],[Km.]]+BASE_DATOS[[#This Row],[Kilómetros Acumulados]])</f>
        <v/>
      </c>
      <c r="AO739" s="177" t="str">
        <f>IFERROR(BASE_DATOS[[#This Row],[Precio US$]]/BASE_DATOS[[#This Row],[Kilómetros Rodados]],"")</f>
        <v/>
      </c>
      <c r="AP739" s="176" t="str">
        <f>IFERROR(BASE_DATOS[[#This Row],[Kilómetros Rodados]]/(BASE_DATOS[[#This Row],[NSK Original]]-BASE_DATOS[[#This Row],[NSK]]),"")</f>
        <v/>
      </c>
      <c r="AQ73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39" s="177" t="str">
        <f>IFERROR(BASE_DATOS[[#This Row],[Precio US$]]/BASE_DATOS[[#This Row],[Kilómetros Proy.]],"")</f>
        <v/>
      </c>
      <c r="AS739" s="167" t="s">
        <v>62</v>
      </c>
      <c r="AT739" s="167"/>
      <c r="AU739" s="167"/>
      <c r="AV739" s="167" t="s">
        <v>515</v>
      </c>
      <c r="AW739" s="179"/>
      <c r="AX739" s="179"/>
      <c r="AY739" s="179" t="str">
        <f>CONCATENATE(BASE_DATOS[[#This Row],[Código_U]]&amp;BASE_DATOS[[#This Row],[Pos.]]&amp;BASE_DATOS[[#This Row],[Situación Actual]])</f>
        <v>TC-2463Rodando</v>
      </c>
    </row>
    <row r="740" spans="1:51" ht="12" x14ac:dyDescent="0.25">
      <c r="A740" s="223" t="s">
        <v>463</v>
      </c>
      <c r="B740" s="217" t="s">
        <v>259</v>
      </c>
      <c r="C740" s="228" t="s">
        <v>296</v>
      </c>
      <c r="D740" s="229" t="s">
        <v>61</v>
      </c>
      <c r="E740" s="255"/>
      <c r="F740" s="256" t="s">
        <v>273</v>
      </c>
      <c r="G740" s="256" t="s">
        <v>271</v>
      </c>
      <c r="H740" s="257" t="str">
        <f>IF(BASE_DATOS[[#This Row],[N-R]]="N",BASE_DATOS[[#This Row],[Diseño]],"Reencauche")</f>
        <v>XMULTI2D</v>
      </c>
      <c r="I740" s="256" t="s">
        <v>299</v>
      </c>
      <c r="J740" s="243" t="s">
        <v>72</v>
      </c>
      <c r="K740" s="258">
        <v>21.4</v>
      </c>
      <c r="L740" s="241">
        <v>110</v>
      </c>
      <c r="M740" s="259"/>
      <c r="N740" s="260"/>
      <c r="O740" s="277"/>
      <c r="P740" s="278"/>
      <c r="Q740" s="279"/>
      <c r="R740" s="309" t="s">
        <v>101</v>
      </c>
      <c r="S740" s="310">
        <v>45386</v>
      </c>
      <c r="T740" s="313"/>
      <c r="U740" s="315"/>
      <c r="V740" s="227">
        <v>12</v>
      </c>
      <c r="W740" s="281"/>
      <c r="X740" s="282">
        <v>12</v>
      </c>
      <c r="Y740" s="293">
        <f t="shared" si="31"/>
        <v>12</v>
      </c>
      <c r="Z740" s="161" t="s">
        <v>73</v>
      </c>
      <c r="AA740" s="342">
        <f>IFERROR(BASE_DATOS[[#This Row],[NSK Original]]-BASE_DATOS[[#This Row],[NSK]]," ")</f>
        <v>9.3999999999999986</v>
      </c>
      <c r="AB740" s="343">
        <f>'NSK-TRACTO'!$A$2</f>
        <v>6</v>
      </c>
      <c r="AC740" s="343">
        <f>IF(BASE_DATOS[[#This Row],[NSK]]&gt;=BASE_DATOS[[#This Row],[NSK Reen]],BASE_DATOS[[#This Row],[NSK Reen]],BASE_DATOS[[#This Row],[NSK]])</f>
        <v>6</v>
      </c>
      <c r="AD740" s="344">
        <f>IFERROR(100%-(BASE_DATOS[[#This Row],[NSK Reen]]/BASE_DATOS[[#This Row],[NSK Original]]),"")</f>
        <v>0.71962616822429903</v>
      </c>
      <c r="AE740" s="344">
        <f>IFERROR(100%-BASE_DATOS[[#This Row],[NSK]]/BASE_DATOS[[#This Row],[NSK Original]],"")</f>
        <v>0.43925233644859807</v>
      </c>
      <c r="AF740" s="344">
        <f>IFERROR(BASE_DATOS[[#This Row],[% Max Des.]]-BASE_DATOS[[#This Row],[% Des]],"")</f>
        <v>0.28037383177570097</v>
      </c>
      <c r="AG740" s="287"/>
      <c r="AH740" s="273"/>
      <c r="AI740" s="363" t="str">
        <f>IF(OR(BASE_DATOS[[#This Row],[Hr.]]="",BASE_DATOS[[#This Row],[Hr. Actual]]=""),"",BASE_DATOS[[#This Row],[Hr. Actual]]-BASE_DATOS[[#This Row],[Hr.]]+BASE_DATOS[[#This Row],[Horas Acumuladas]])</f>
        <v/>
      </c>
      <c r="AJ740" s="364" t="str">
        <f>IFERROR(BASE_DATOS[[#This Row],[Precio US$]]/BASE_DATOS[[#This Row],[Horas Rodadas]],"")</f>
        <v/>
      </c>
      <c r="AK740" s="365" t="str">
        <f>IFERROR(BASE_DATOS[[#This Row],[Horas Rodadas]]/(BASE_DATOS[[#This Row],[NSK Original]]-BASE_DATOS[[#This Row],[NSK]]),"")</f>
        <v/>
      </c>
      <c r="AL74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40" s="366" t="str">
        <f>IFERROR(BASE_DATOS[[#This Row],[Precio US$]]/BASE_DATOS[[#This Row],[Horas Proy.]],"")</f>
        <v/>
      </c>
      <c r="AN740" s="176" t="str">
        <f>IF(OR(BASE_DATOS[[#This Row],[Km.]]="",BASE_DATOS[[#This Row],[Km. Actual]]=""),"",BASE_DATOS[[#This Row],[Km. Actual]]-BASE_DATOS[[#This Row],[Km.]]+BASE_DATOS[[#This Row],[Kilómetros Acumulados]])</f>
        <v/>
      </c>
      <c r="AO740" s="177" t="str">
        <f>IFERROR(BASE_DATOS[[#This Row],[Precio US$]]/BASE_DATOS[[#This Row],[Kilómetros Rodados]],"")</f>
        <v/>
      </c>
      <c r="AP740" s="176" t="str">
        <f>IFERROR(BASE_DATOS[[#This Row],[Kilómetros Rodados]]/(BASE_DATOS[[#This Row],[NSK Original]]-BASE_DATOS[[#This Row],[NSK]]),"")</f>
        <v/>
      </c>
      <c r="AQ74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40" s="177" t="str">
        <f>IFERROR(BASE_DATOS[[#This Row],[Precio US$]]/BASE_DATOS[[#This Row],[Kilómetros Proy.]],"")</f>
        <v/>
      </c>
      <c r="AS740" s="167" t="s">
        <v>62</v>
      </c>
      <c r="AT740" s="167"/>
      <c r="AU740" s="167"/>
      <c r="AV740" s="167" t="s">
        <v>515</v>
      </c>
      <c r="AW740" s="179"/>
      <c r="AX740" s="179"/>
      <c r="AY740" s="179" t="str">
        <f>CONCATENATE(BASE_DATOS[[#This Row],[Código_U]]&amp;BASE_DATOS[[#This Row],[Pos.]]&amp;BASE_DATOS[[#This Row],[Situación Actual]])</f>
        <v>TC-2464Rodando</v>
      </c>
    </row>
    <row r="741" spans="1:51" ht="12" x14ac:dyDescent="0.25">
      <c r="A741" s="223" t="s">
        <v>463</v>
      </c>
      <c r="B741" s="217" t="s">
        <v>259</v>
      </c>
      <c r="C741" s="228" t="s">
        <v>296</v>
      </c>
      <c r="D741" s="229" t="s">
        <v>61</v>
      </c>
      <c r="E741" s="255"/>
      <c r="F741" s="256" t="s">
        <v>273</v>
      </c>
      <c r="G741" s="256" t="s">
        <v>271</v>
      </c>
      <c r="H741" s="257" t="str">
        <f>IF(BASE_DATOS[[#This Row],[N-R]]="N",BASE_DATOS[[#This Row],[Diseño]],"Reencauche")</f>
        <v>XMULTI2D</v>
      </c>
      <c r="I741" s="256" t="s">
        <v>299</v>
      </c>
      <c r="J741" s="243" t="s">
        <v>72</v>
      </c>
      <c r="K741" s="258">
        <v>21.4</v>
      </c>
      <c r="L741" s="241">
        <v>110</v>
      </c>
      <c r="M741" s="259"/>
      <c r="N741" s="260"/>
      <c r="O741" s="277"/>
      <c r="P741" s="278"/>
      <c r="Q741" s="279"/>
      <c r="R741" s="309" t="s">
        <v>102</v>
      </c>
      <c r="S741" s="310">
        <v>45386</v>
      </c>
      <c r="T741" s="313"/>
      <c r="U741" s="315"/>
      <c r="V741" s="227">
        <v>12</v>
      </c>
      <c r="W741" s="281"/>
      <c r="X741" s="282">
        <v>12</v>
      </c>
      <c r="Y741" s="293">
        <f t="shared" si="31"/>
        <v>12</v>
      </c>
      <c r="Z741" s="161" t="s">
        <v>85</v>
      </c>
      <c r="AA741" s="342">
        <f>IFERROR(BASE_DATOS[[#This Row],[NSK Original]]-BASE_DATOS[[#This Row],[NSK]]," ")</f>
        <v>9.3999999999999986</v>
      </c>
      <c r="AB741" s="343">
        <f>'NSK-TRACTO'!$A$2</f>
        <v>6</v>
      </c>
      <c r="AC741" s="343">
        <f>IF(BASE_DATOS[[#This Row],[NSK]]&gt;=BASE_DATOS[[#This Row],[NSK Reen]],BASE_DATOS[[#This Row],[NSK Reen]],BASE_DATOS[[#This Row],[NSK]])</f>
        <v>6</v>
      </c>
      <c r="AD741" s="344">
        <f>IFERROR(100%-(BASE_DATOS[[#This Row],[NSK Reen]]/BASE_DATOS[[#This Row],[NSK Original]]),"")</f>
        <v>0.71962616822429903</v>
      </c>
      <c r="AE741" s="344">
        <f>IFERROR(100%-BASE_DATOS[[#This Row],[NSK]]/BASE_DATOS[[#This Row],[NSK Original]],"")</f>
        <v>0.43925233644859807</v>
      </c>
      <c r="AF741" s="344">
        <f>IFERROR(BASE_DATOS[[#This Row],[% Max Des.]]-BASE_DATOS[[#This Row],[% Des]],"")</f>
        <v>0.28037383177570097</v>
      </c>
      <c r="AG741" s="287"/>
      <c r="AH741" s="273"/>
      <c r="AI741" s="363" t="str">
        <f>IF(OR(BASE_DATOS[[#This Row],[Hr.]]="",BASE_DATOS[[#This Row],[Hr. Actual]]=""),"",BASE_DATOS[[#This Row],[Hr. Actual]]-BASE_DATOS[[#This Row],[Hr.]]+BASE_DATOS[[#This Row],[Horas Acumuladas]])</f>
        <v/>
      </c>
      <c r="AJ741" s="364" t="str">
        <f>IFERROR(BASE_DATOS[[#This Row],[Precio US$]]/BASE_DATOS[[#This Row],[Horas Rodadas]],"")</f>
        <v/>
      </c>
      <c r="AK741" s="365" t="str">
        <f>IFERROR(BASE_DATOS[[#This Row],[Horas Rodadas]]/(BASE_DATOS[[#This Row],[NSK Original]]-BASE_DATOS[[#This Row],[NSK]]),"")</f>
        <v/>
      </c>
      <c r="AL74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41" s="366" t="str">
        <f>IFERROR(BASE_DATOS[[#This Row],[Precio US$]]/BASE_DATOS[[#This Row],[Horas Proy.]],"")</f>
        <v/>
      </c>
      <c r="AN741" s="176" t="str">
        <f>IF(OR(BASE_DATOS[[#This Row],[Km.]]="",BASE_DATOS[[#This Row],[Km. Actual]]=""),"",BASE_DATOS[[#This Row],[Km. Actual]]-BASE_DATOS[[#This Row],[Km.]]+BASE_DATOS[[#This Row],[Kilómetros Acumulados]])</f>
        <v/>
      </c>
      <c r="AO741" s="177" t="str">
        <f>IFERROR(BASE_DATOS[[#This Row],[Precio US$]]/BASE_DATOS[[#This Row],[Kilómetros Rodados]],"")</f>
        <v/>
      </c>
      <c r="AP741" s="176" t="str">
        <f>IFERROR(BASE_DATOS[[#This Row],[Kilómetros Rodados]]/(BASE_DATOS[[#This Row],[NSK Original]]-BASE_DATOS[[#This Row],[NSK]]),"")</f>
        <v/>
      </c>
      <c r="AQ74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41" s="177" t="str">
        <f>IFERROR(BASE_DATOS[[#This Row],[Precio US$]]/BASE_DATOS[[#This Row],[Kilómetros Proy.]],"")</f>
        <v/>
      </c>
      <c r="AS741" s="167" t="s">
        <v>62</v>
      </c>
      <c r="AT741" s="167"/>
      <c r="AU741" s="167"/>
      <c r="AV741" s="167" t="s">
        <v>515</v>
      </c>
      <c r="AW741" s="179"/>
      <c r="AX741" s="179"/>
      <c r="AY741" s="179" t="str">
        <f>CONCATENATE(BASE_DATOS[[#This Row],[Código_U]]&amp;BASE_DATOS[[#This Row],[Pos.]]&amp;BASE_DATOS[[#This Row],[Situación Actual]])</f>
        <v>TC-2465Rodando</v>
      </c>
    </row>
    <row r="742" spans="1:51" ht="12" x14ac:dyDescent="0.25">
      <c r="A742" s="223" t="s">
        <v>463</v>
      </c>
      <c r="B742" s="217" t="s">
        <v>259</v>
      </c>
      <c r="C742" s="228" t="s">
        <v>296</v>
      </c>
      <c r="D742" s="229" t="s">
        <v>61</v>
      </c>
      <c r="E742" s="255"/>
      <c r="F742" s="256" t="s">
        <v>273</v>
      </c>
      <c r="G742" s="256" t="s">
        <v>271</v>
      </c>
      <c r="H742" s="257" t="str">
        <f>IF(BASE_DATOS[[#This Row],[N-R]]="N",BASE_DATOS[[#This Row],[Diseño]],"Reencauche")</f>
        <v>XMULTI2D</v>
      </c>
      <c r="I742" s="256" t="s">
        <v>299</v>
      </c>
      <c r="J742" s="243" t="s">
        <v>72</v>
      </c>
      <c r="K742" s="258">
        <v>21.4</v>
      </c>
      <c r="L742" s="241">
        <v>110</v>
      </c>
      <c r="M742" s="259"/>
      <c r="N742" s="260"/>
      <c r="O742" s="277"/>
      <c r="P742" s="278"/>
      <c r="Q742" s="279"/>
      <c r="R742" s="309" t="s">
        <v>103</v>
      </c>
      <c r="S742" s="310">
        <v>45386</v>
      </c>
      <c r="T742" s="313"/>
      <c r="U742" s="315"/>
      <c r="V742" s="227">
        <v>12</v>
      </c>
      <c r="W742" s="281"/>
      <c r="X742" s="282">
        <v>12</v>
      </c>
      <c r="Y742" s="293">
        <f t="shared" si="31"/>
        <v>12</v>
      </c>
      <c r="Z742" s="161" t="s">
        <v>73</v>
      </c>
      <c r="AA742" s="342">
        <f>IFERROR(BASE_DATOS[[#This Row],[NSK Original]]-BASE_DATOS[[#This Row],[NSK]]," ")</f>
        <v>9.3999999999999986</v>
      </c>
      <c r="AB742" s="343">
        <f>'NSK-TRACTO'!$A$2</f>
        <v>6</v>
      </c>
      <c r="AC742" s="343">
        <f>IF(BASE_DATOS[[#This Row],[NSK]]&gt;=BASE_DATOS[[#This Row],[NSK Reen]],BASE_DATOS[[#This Row],[NSK Reen]],BASE_DATOS[[#This Row],[NSK]])</f>
        <v>6</v>
      </c>
      <c r="AD742" s="344">
        <f>IFERROR(100%-(BASE_DATOS[[#This Row],[NSK Reen]]/BASE_DATOS[[#This Row],[NSK Original]]),"")</f>
        <v>0.71962616822429903</v>
      </c>
      <c r="AE742" s="344">
        <f>IFERROR(100%-BASE_DATOS[[#This Row],[NSK]]/BASE_DATOS[[#This Row],[NSK Original]],"")</f>
        <v>0.43925233644859807</v>
      </c>
      <c r="AF742" s="344">
        <f>IFERROR(BASE_DATOS[[#This Row],[% Max Des.]]-BASE_DATOS[[#This Row],[% Des]],"")</f>
        <v>0.28037383177570097</v>
      </c>
      <c r="AG742" s="287"/>
      <c r="AH742" s="273"/>
      <c r="AI742" s="363" t="str">
        <f>IF(OR(BASE_DATOS[[#This Row],[Hr.]]="",BASE_DATOS[[#This Row],[Hr. Actual]]=""),"",BASE_DATOS[[#This Row],[Hr. Actual]]-BASE_DATOS[[#This Row],[Hr.]]+BASE_DATOS[[#This Row],[Horas Acumuladas]])</f>
        <v/>
      </c>
      <c r="AJ742" s="364" t="str">
        <f>IFERROR(BASE_DATOS[[#This Row],[Precio US$]]/BASE_DATOS[[#This Row],[Horas Rodadas]],"")</f>
        <v/>
      </c>
      <c r="AK742" s="365" t="str">
        <f>IFERROR(BASE_DATOS[[#This Row],[Horas Rodadas]]/(BASE_DATOS[[#This Row],[NSK Original]]-BASE_DATOS[[#This Row],[NSK]]),"")</f>
        <v/>
      </c>
      <c r="AL74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42" s="366" t="str">
        <f>IFERROR(BASE_DATOS[[#This Row],[Precio US$]]/BASE_DATOS[[#This Row],[Horas Proy.]],"")</f>
        <v/>
      </c>
      <c r="AN742" s="176" t="str">
        <f>IF(OR(BASE_DATOS[[#This Row],[Km.]]="",BASE_DATOS[[#This Row],[Km. Actual]]=""),"",BASE_DATOS[[#This Row],[Km. Actual]]-BASE_DATOS[[#This Row],[Km.]]+BASE_DATOS[[#This Row],[Kilómetros Acumulados]])</f>
        <v/>
      </c>
      <c r="AO742" s="177" t="str">
        <f>IFERROR(BASE_DATOS[[#This Row],[Precio US$]]/BASE_DATOS[[#This Row],[Kilómetros Rodados]],"")</f>
        <v/>
      </c>
      <c r="AP742" s="176" t="str">
        <f>IFERROR(BASE_DATOS[[#This Row],[Kilómetros Rodados]]/(BASE_DATOS[[#This Row],[NSK Original]]-BASE_DATOS[[#This Row],[NSK]]),"")</f>
        <v/>
      </c>
      <c r="AQ74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42" s="177" t="str">
        <f>IFERROR(BASE_DATOS[[#This Row],[Precio US$]]/BASE_DATOS[[#This Row],[Kilómetros Proy.]],"")</f>
        <v/>
      </c>
      <c r="AS742" s="167" t="s">
        <v>62</v>
      </c>
      <c r="AT742" s="167"/>
      <c r="AU742" s="167"/>
      <c r="AV742" s="167" t="s">
        <v>515</v>
      </c>
      <c r="AW742" s="179"/>
      <c r="AX742" s="179"/>
      <c r="AY742" s="179" t="str">
        <f>CONCATENATE(BASE_DATOS[[#This Row],[Código_U]]&amp;BASE_DATOS[[#This Row],[Pos.]]&amp;BASE_DATOS[[#This Row],[Situación Actual]])</f>
        <v>TC-2466Rodando</v>
      </c>
    </row>
    <row r="743" spans="1:51" ht="12" x14ac:dyDescent="0.25">
      <c r="A743" s="223" t="s">
        <v>463</v>
      </c>
      <c r="B743" s="217" t="s">
        <v>259</v>
      </c>
      <c r="C743" s="228" t="s">
        <v>296</v>
      </c>
      <c r="D743" s="229" t="s">
        <v>61</v>
      </c>
      <c r="E743" s="255"/>
      <c r="F743" s="256" t="s">
        <v>273</v>
      </c>
      <c r="G743" s="256" t="s">
        <v>271</v>
      </c>
      <c r="H743" s="257" t="str">
        <f>IF(BASE_DATOS[[#This Row],[N-R]]="N",BASE_DATOS[[#This Row],[Diseño]],"Reencauche")</f>
        <v>XMULTI2D</v>
      </c>
      <c r="I743" s="256" t="s">
        <v>299</v>
      </c>
      <c r="J743" s="243" t="s">
        <v>72</v>
      </c>
      <c r="K743" s="258">
        <v>21.4</v>
      </c>
      <c r="L743" s="241">
        <v>110</v>
      </c>
      <c r="M743" s="259"/>
      <c r="N743" s="260"/>
      <c r="O743" s="277"/>
      <c r="P743" s="278"/>
      <c r="Q743" s="279"/>
      <c r="R743" s="309" t="s">
        <v>104</v>
      </c>
      <c r="S743" s="310">
        <v>45386</v>
      </c>
      <c r="T743" s="313"/>
      <c r="U743" s="315"/>
      <c r="V743" s="227">
        <v>10</v>
      </c>
      <c r="W743" s="281"/>
      <c r="X743" s="282">
        <v>10</v>
      </c>
      <c r="Y743" s="293">
        <f t="shared" si="31"/>
        <v>10</v>
      </c>
      <c r="Z743" s="161" t="s">
        <v>73</v>
      </c>
      <c r="AA743" s="342">
        <f>IFERROR(BASE_DATOS[[#This Row],[NSK Original]]-BASE_DATOS[[#This Row],[NSK]]," ")</f>
        <v>11.399999999999999</v>
      </c>
      <c r="AB743" s="343">
        <f>'NSK-TRACTO'!$A$2</f>
        <v>6</v>
      </c>
      <c r="AC743" s="343">
        <f>IF(BASE_DATOS[[#This Row],[NSK]]&gt;=BASE_DATOS[[#This Row],[NSK Reen]],BASE_DATOS[[#This Row],[NSK Reen]],BASE_DATOS[[#This Row],[NSK]])</f>
        <v>6</v>
      </c>
      <c r="AD743" s="344">
        <f>IFERROR(100%-(BASE_DATOS[[#This Row],[NSK Reen]]/BASE_DATOS[[#This Row],[NSK Original]]),"")</f>
        <v>0.71962616822429903</v>
      </c>
      <c r="AE743" s="344">
        <f>IFERROR(100%-BASE_DATOS[[#This Row],[NSK]]/BASE_DATOS[[#This Row],[NSK Original]],"")</f>
        <v>0.53271028037383172</v>
      </c>
      <c r="AF743" s="344">
        <f>IFERROR(BASE_DATOS[[#This Row],[% Max Des.]]-BASE_DATOS[[#This Row],[% Des]],"")</f>
        <v>0.18691588785046731</v>
      </c>
      <c r="AG743" s="287"/>
      <c r="AH743" s="273"/>
      <c r="AI743" s="363" t="str">
        <f>IF(OR(BASE_DATOS[[#This Row],[Hr.]]="",BASE_DATOS[[#This Row],[Hr. Actual]]=""),"",BASE_DATOS[[#This Row],[Hr. Actual]]-BASE_DATOS[[#This Row],[Hr.]]+BASE_DATOS[[#This Row],[Horas Acumuladas]])</f>
        <v/>
      </c>
      <c r="AJ743" s="364" t="str">
        <f>IFERROR(BASE_DATOS[[#This Row],[Precio US$]]/BASE_DATOS[[#This Row],[Horas Rodadas]],"")</f>
        <v/>
      </c>
      <c r="AK743" s="365" t="str">
        <f>IFERROR(BASE_DATOS[[#This Row],[Horas Rodadas]]/(BASE_DATOS[[#This Row],[NSK Original]]-BASE_DATOS[[#This Row],[NSK]]),"")</f>
        <v/>
      </c>
      <c r="AL74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43" s="366" t="str">
        <f>IFERROR(BASE_DATOS[[#This Row],[Precio US$]]/BASE_DATOS[[#This Row],[Horas Proy.]],"")</f>
        <v/>
      </c>
      <c r="AN743" s="176" t="str">
        <f>IF(OR(BASE_DATOS[[#This Row],[Km.]]="",BASE_DATOS[[#This Row],[Km. Actual]]=""),"",BASE_DATOS[[#This Row],[Km. Actual]]-BASE_DATOS[[#This Row],[Km.]]+BASE_DATOS[[#This Row],[Kilómetros Acumulados]])</f>
        <v/>
      </c>
      <c r="AO743" s="177" t="str">
        <f>IFERROR(BASE_DATOS[[#This Row],[Precio US$]]/BASE_DATOS[[#This Row],[Kilómetros Rodados]],"")</f>
        <v/>
      </c>
      <c r="AP743" s="176" t="str">
        <f>IFERROR(BASE_DATOS[[#This Row],[Kilómetros Rodados]]/(BASE_DATOS[[#This Row],[NSK Original]]-BASE_DATOS[[#This Row],[NSK]]),"")</f>
        <v/>
      </c>
      <c r="AQ74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43" s="177" t="str">
        <f>IFERROR(BASE_DATOS[[#This Row],[Precio US$]]/BASE_DATOS[[#This Row],[Kilómetros Proy.]],"")</f>
        <v/>
      </c>
      <c r="AS743" s="167" t="s">
        <v>62</v>
      </c>
      <c r="AT743" s="167"/>
      <c r="AU743" s="167"/>
      <c r="AV743" s="167" t="s">
        <v>515</v>
      </c>
      <c r="AW743" s="179"/>
      <c r="AX743" s="179"/>
      <c r="AY743" s="179" t="str">
        <f>CONCATENATE(BASE_DATOS[[#This Row],[Código_U]]&amp;BASE_DATOS[[#This Row],[Pos.]]&amp;BASE_DATOS[[#This Row],[Situación Actual]])</f>
        <v>TC-2467Rodando</v>
      </c>
    </row>
    <row r="744" spans="1:51" ht="12" x14ac:dyDescent="0.25">
      <c r="A744" s="223" t="s">
        <v>463</v>
      </c>
      <c r="B744" s="217" t="s">
        <v>259</v>
      </c>
      <c r="C744" s="228" t="s">
        <v>296</v>
      </c>
      <c r="D744" s="229" t="s">
        <v>61</v>
      </c>
      <c r="E744" s="255"/>
      <c r="F744" s="256" t="s">
        <v>273</v>
      </c>
      <c r="G744" s="256" t="s">
        <v>271</v>
      </c>
      <c r="H744" s="257" t="str">
        <f>IF(BASE_DATOS[[#This Row],[N-R]]="N",BASE_DATOS[[#This Row],[Diseño]],"Reencauche")</f>
        <v>XMULTI2D</v>
      </c>
      <c r="I744" s="256" t="s">
        <v>299</v>
      </c>
      <c r="J744" s="243" t="s">
        <v>72</v>
      </c>
      <c r="K744" s="258">
        <v>21.4</v>
      </c>
      <c r="L744" s="241">
        <v>110</v>
      </c>
      <c r="M744" s="259"/>
      <c r="N744" s="260"/>
      <c r="O744" s="277"/>
      <c r="P744" s="278"/>
      <c r="Q744" s="279"/>
      <c r="R744" s="309" t="s">
        <v>105</v>
      </c>
      <c r="S744" s="310">
        <v>45386</v>
      </c>
      <c r="T744" s="313"/>
      <c r="U744" s="315"/>
      <c r="V744" s="227">
        <v>10</v>
      </c>
      <c r="W744" s="281"/>
      <c r="X744" s="282">
        <v>10</v>
      </c>
      <c r="Y744" s="293">
        <f t="shared" si="31"/>
        <v>10</v>
      </c>
      <c r="Z744" s="161" t="s">
        <v>73</v>
      </c>
      <c r="AA744" s="342">
        <f>IFERROR(BASE_DATOS[[#This Row],[NSK Original]]-BASE_DATOS[[#This Row],[NSK]]," ")</f>
        <v>11.399999999999999</v>
      </c>
      <c r="AB744" s="343">
        <f>'NSK-TRACTO'!$A$2</f>
        <v>6</v>
      </c>
      <c r="AC744" s="343">
        <f>IF(BASE_DATOS[[#This Row],[NSK]]&gt;=BASE_DATOS[[#This Row],[NSK Reen]],BASE_DATOS[[#This Row],[NSK Reen]],BASE_DATOS[[#This Row],[NSK]])</f>
        <v>6</v>
      </c>
      <c r="AD744" s="344">
        <f>IFERROR(100%-(BASE_DATOS[[#This Row],[NSK Reen]]/BASE_DATOS[[#This Row],[NSK Original]]),"")</f>
        <v>0.71962616822429903</v>
      </c>
      <c r="AE744" s="344">
        <f>IFERROR(100%-BASE_DATOS[[#This Row],[NSK]]/BASE_DATOS[[#This Row],[NSK Original]],"")</f>
        <v>0.53271028037383172</v>
      </c>
      <c r="AF744" s="344">
        <f>IFERROR(BASE_DATOS[[#This Row],[% Max Des.]]-BASE_DATOS[[#This Row],[% Des]],"")</f>
        <v>0.18691588785046731</v>
      </c>
      <c r="AG744" s="287"/>
      <c r="AH744" s="273"/>
      <c r="AI744" s="363" t="str">
        <f>IF(OR(BASE_DATOS[[#This Row],[Hr.]]="",BASE_DATOS[[#This Row],[Hr. Actual]]=""),"",BASE_DATOS[[#This Row],[Hr. Actual]]-BASE_DATOS[[#This Row],[Hr.]]+BASE_DATOS[[#This Row],[Horas Acumuladas]])</f>
        <v/>
      </c>
      <c r="AJ744" s="364" t="str">
        <f>IFERROR(BASE_DATOS[[#This Row],[Precio US$]]/BASE_DATOS[[#This Row],[Horas Rodadas]],"")</f>
        <v/>
      </c>
      <c r="AK744" s="365" t="str">
        <f>IFERROR(BASE_DATOS[[#This Row],[Horas Rodadas]]/(BASE_DATOS[[#This Row],[NSK Original]]-BASE_DATOS[[#This Row],[NSK]]),"")</f>
        <v/>
      </c>
      <c r="AL74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44" s="366" t="str">
        <f>IFERROR(BASE_DATOS[[#This Row],[Precio US$]]/BASE_DATOS[[#This Row],[Horas Proy.]],"")</f>
        <v/>
      </c>
      <c r="AN744" s="176" t="str">
        <f>IF(OR(BASE_DATOS[[#This Row],[Km.]]="",BASE_DATOS[[#This Row],[Km. Actual]]=""),"",BASE_DATOS[[#This Row],[Km. Actual]]-BASE_DATOS[[#This Row],[Km.]]+BASE_DATOS[[#This Row],[Kilómetros Acumulados]])</f>
        <v/>
      </c>
      <c r="AO744" s="177" t="str">
        <f>IFERROR(BASE_DATOS[[#This Row],[Precio US$]]/BASE_DATOS[[#This Row],[Kilómetros Rodados]],"")</f>
        <v/>
      </c>
      <c r="AP744" s="176" t="str">
        <f>IFERROR(BASE_DATOS[[#This Row],[Kilómetros Rodados]]/(BASE_DATOS[[#This Row],[NSK Original]]-BASE_DATOS[[#This Row],[NSK]]),"")</f>
        <v/>
      </c>
      <c r="AQ74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44" s="177" t="str">
        <f>IFERROR(BASE_DATOS[[#This Row],[Precio US$]]/BASE_DATOS[[#This Row],[Kilómetros Proy.]],"")</f>
        <v/>
      </c>
      <c r="AS744" s="167" t="s">
        <v>62</v>
      </c>
      <c r="AT744" s="167"/>
      <c r="AU744" s="167"/>
      <c r="AV744" s="167" t="s">
        <v>515</v>
      </c>
      <c r="AW744" s="179"/>
      <c r="AX744" s="179"/>
      <c r="AY744" s="179" t="str">
        <f>CONCATENATE(BASE_DATOS[[#This Row],[Código_U]]&amp;BASE_DATOS[[#This Row],[Pos.]]&amp;BASE_DATOS[[#This Row],[Situación Actual]])</f>
        <v>TC-2468Rodando</v>
      </c>
    </row>
    <row r="745" spans="1:51" ht="12" x14ac:dyDescent="0.25">
      <c r="A745" s="223" t="s">
        <v>463</v>
      </c>
      <c r="B745" s="217" t="s">
        <v>259</v>
      </c>
      <c r="C745" s="228" t="s">
        <v>296</v>
      </c>
      <c r="D745" s="229" t="s">
        <v>61</v>
      </c>
      <c r="E745" s="255"/>
      <c r="F745" s="256" t="s">
        <v>273</v>
      </c>
      <c r="G745" s="256" t="s">
        <v>271</v>
      </c>
      <c r="H745" s="257" t="str">
        <f>IF(BASE_DATOS[[#This Row],[N-R]]="N",BASE_DATOS[[#This Row],[Diseño]],"Reencauche")</f>
        <v>XMULTI2D</v>
      </c>
      <c r="I745" s="256" t="s">
        <v>299</v>
      </c>
      <c r="J745" s="243" t="s">
        <v>72</v>
      </c>
      <c r="K745" s="258">
        <v>21.4</v>
      </c>
      <c r="L745" s="241">
        <v>110</v>
      </c>
      <c r="M745" s="259"/>
      <c r="N745" s="260"/>
      <c r="O745" s="277"/>
      <c r="P745" s="278"/>
      <c r="Q745" s="279"/>
      <c r="R745" s="309" t="s">
        <v>106</v>
      </c>
      <c r="S745" s="310">
        <v>45386</v>
      </c>
      <c r="T745" s="313"/>
      <c r="U745" s="315"/>
      <c r="V745" s="227">
        <v>10</v>
      </c>
      <c r="W745" s="281"/>
      <c r="X745" s="282">
        <v>10</v>
      </c>
      <c r="Y745" s="293">
        <f t="shared" si="31"/>
        <v>10</v>
      </c>
      <c r="Z745" s="161" t="s">
        <v>73</v>
      </c>
      <c r="AA745" s="342">
        <f>IFERROR(BASE_DATOS[[#This Row],[NSK Original]]-BASE_DATOS[[#This Row],[NSK]]," ")</f>
        <v>11.399999999999999</v>
      </c>
      <c r="AB745" s="343">
        <f>'NSK-TRACTO'!$A$2</f>
        <v>6</v>
      </c>
      <c r="AC745" s="343">
        <f>IF(BASE_DATOS[[#This Row],[NSK]]&gt;=BASE_DATOS[[#This Row],[NSK Reen]],BASE_DATOS[[#This Row],[NSK Reen]],BASE_DATOS[[#This Row],[NSK]])</f>
        <v>6</v>
      </c>
      <c r="AD745" s="344">
        <f>IFERROR(100%-(BASE_DATOS[[#This Row],[NSK Reen]]/BASE_DATOS[[#This Row],[NSK Original]]),"")</f>
        <v>0.71962616822429903</v>
      </c>
      <c r="AE745" s="344">
        <f>IFERROR(100%-BASE_DATOS[[#This Row],[NSK]]/BASE_DATOS[[#This Row],[NSK Original]],"")</f>
        <v>0.53271028037383172</v>
      </c>
      <c r="AF745" s="344">
        <f>IFERROR(BASE_DATOS[[#This Row],[% Max Des.]]-BASE_DATOS[[#This Row],[% Des]],"")</f>
        <v>0.18691588785046731</v>
      </c>
      <c r="AG745" s="287"/>
      <c r="AH745" s="273"/>
      <c r="AI745" s="363" t="str">
        <f>IF(OR(BASE_DATOS[[#This Row],[Hr.]]="",BASE_DATOS[[#This Row],[Hr. Actual]]=""),"",BASE_DATOS[[#This Row],[Hr. Actual]]-BASE_DATOS[[#This Row],[Hr.]]+BASE_DATOS[[#This Row],[Horas Acumuladas]])</f>
        <v/>
      </c>
      <c r="AJ745" s="364" t="str">
        <f>IFERROR(BASE_DATOS[[#This Row],[Precio US$]]/BASE_DATOS[[#This Row],[Horas Rodadas]],"")</f>
        <v/>
      </c>
      <c r="AK745" s="365" t="str">
        <f>IFERROR(BASE_DATOS[[#This Row],[Horas Rodadas]]/(BASE_DATOS[[#This Row],[NSK Original]]-BASE_DATOS[[#This Row],[NSK]]),"")</f>
        <v/>
      </c>
      <c r="AL74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45" s="366" t="str">
        <f>IFERROR(BASE_DATOS[[#This Row],[Precio US$]]/BASE_DATOS[[#This Row],[Horas Proy.]],"")</f>
        <v/>
      </c>
      <c r="AN745" s="176" t="str">
        <f>IF(OR(BASE_DATOS[[#This Row],[Km.]]="",BASE_DATOS[[#This Row],[Km. Actual]]=""),"",BASE_DATOS[[#This Row],[Km. Actual]]-BASE_DATOS[[#This Row],[Km.]]+BASE_DATOS[[#This Row],[Kilómetros Acumulados]])</f>
        <v/>
      </c>
      <c r="AO745" s="177" t="str">
        <f>IFERROR(BASE_DATOS[[#This Row],[Precio US$]]/BASE_DATOS[[#This Row],[Kilómetros Rodados]],"")</f>
        <v/>
      </c>
      <c r="AP745" s="176" t="str">
        <f>IFERROR(BASE_DATOS[[#This Row],[Kilómetros Rodados]]/(BASE_DATOS[[#This Row],[NSK Original]]-BASE_DATOS[[#This Row],[NSK]]),"")</f>
        <v/>
      </c>
      <c r="AQ74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45" s="177" t="str">
        <f>IFERROR(BASE_DATOS[[#This Row],[Precio US$]]/BASE_DATOS[[#This Row],[Kilómetros Proy.]],"")</f>
        <v/>
      </c>
      <c r="AS745" s="167" t="s">
        <v>62</v>
      </c>
      <c r="AT745" s="167"/>
      <c r="AU745" s="167"/>
      <c r="AV745" s="167" t="s">
        <v>515</v>
      </c>
      <c r="AW745" s="179"/>
      <c r="AX745" s="179"/>
      <c r="AY745" s="179" t="str">
        <f>CONCATENATE(BASE_DATOS[[#This Row],[Código_U]]&amp;BASE_DATOS[[#This Row],[Pos.]]&amp;BASE_DATOS[[#This Row],[Situación Actual]])</f>
        <v>TC-2469Rodando</v>
      </c>
    </row>
    <row r="746" spans="1:51" ht="12" x14ac:dyDescent="0.25">
      <c r="A746" s="223" t="s">
        <v>463</v>
      </c>
      <c r="B746" s="217" t="s">
        <v>259</v>
      </c>
      <c r="C746" s="228" t="s">
        <v>296</v>
      </c>
      <c r="D746" s="229" t="s">
        <v>61</v>
      </c>
      <c r="E746" s="255"/>
      <c r="F746" s="256" t="s">
        <v>273</v>
      </c>
      <c r="G746" s="256" t="s">
        <v>271</v>
      </c>
      <c r="H746" s="257" t="str">
        <f>IF(BASE_DATOS[[#This Row],[N-R]]="N",BASE_DATOS[[#This Row],[Diseño]],"Reencauche")</f>
        <v>XMULTI2D</v>
      </c>
      <c r="I746" s="256" t="s">
        <v>299</v>
      </c>
      <c r="J746" s="243" t="s">
        <v>72</v>
      </c>
      <c r="K746" s="258">
        <v>21.4</v>
      </c>
      <c r="L746" s="241">
        <v>110</v>
      </c>
      <c r="M746" s="259"/>
      <c r="N746" s="260"/>
      <c r="O746" s="277"/>
      <c r="P746" s="278"/>
      <c r="Q746" s="279"/>
      <c r="R746" s="309" t="s">
        <v>107</v>
      </c>
      <c r="S746" s="310">
        <v>45386</v>
      </c>
      <c r="T746" s="313"/>
      <c r="U746" s="315"/>
      <c r="V746" s="227">
        <v>10</v>
      </c>
      <c r="W746" s="281"/>
      <c r="X746" s="282">
        <v>10</v>
      </c>
      <c r="Y746" s="293">
        <f t="shared" si="31"/>
        <v>10</v>
      </c>
      <c r="Z746" s="161" t="s">
        <v>73</v>
      </c>
      <c r="AA746" s="342">
        <f>IFERROR(BASE_DATOS[[#This Row],[NSK Original]]-BASE_DATOS[[#This Row],[NSK]]," ")</f>
        <v>11.399999999999999</v>
      </c>
      <c r="AB746" s="343">
        <f>'NSK-TRACTO'!$A$2</f>
        <v>6</v>
      </c>
      <c r="AC746" s="343">
        <f>IF(BASE_DATOS[[#This Row],[NSK]]&gt;=BASE_DATOS[[#This Row],[NSK Reen]],BASE_DATOS[[#This Row],[NSK Reen]],BASE_DATOS[[#This Row],[NSK]])</f>
        <v>6</v>
      </c>
      <c r="AD746" s="344">
        <f>IFERROR(100%-(BASE_DATOS[[#This Row],[NSK Reen]]/BASE_DATOS[[#This Row],[NSK Original]]),"")</f>
        <v>0.71962616822429903</v>
      </c>
      <c r="AE746" s="344">
        <f>IFERROR(100%-BASE_DATOS[[#This Row],[NSK]]/BASE_DATOS[[#This Row],[NSK Original]],"")</f>
        <v>0.53271028037383172</v>
      </c>
      <c r="AF746" s="344">
        <f>IFERROR(BASE_DATOS[[#This Row],[% Max Des.]]-BASE_DATOS[[#This Row],[% Des]],"")</f>
        <v>0.18691588785046731</v>
      </c>
      <c r="AG746" s="287"/>
      <c r="AH746" s="273"/>
      <c r="AI746" s="363" t="str">
        <f>IF(OR(BASE_DATOS[[#This Row],[Hr.]]="",BASE_DATOS[[#This Row],[Hr. Actual]]=""),"",BASE_DATOS[[#This Row],[Hr. Actual]]-BASE_DATOS[[#This Row],[Hr.]]+BASE_DATOS[[#This Row],[Horas Acumuladas]])</f>
        <v/>
      </c>
      <c r="AJ746" s="364" t="str">
        <f>IFERROR(BASE_DATOS[[#This Row],[Precio US$]]/BASE_DATOS[[#This Row],[Horas Rodadas]],"")</f>
        <v/>
      </c>
      <c r="AK746" s="365" t="str">
        <f>IFERROR(BASE_DATOS[[#This Row],[Horas Rodadas]]/(BASE_DATOS[[#This Row],[NSK Original]]-BASE_DATOS[[#This Row],[NSK]]),"")</f>
        <v/>
      </c>
      <c r="AL74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46" s="366" t="str">
        <f>IFERROR(BASE_DATOS[[#This Row],[Precio US$]]/BASE_DATOS[[#This Row],[Horas Proy.]],"")</f>
        <v/>
      </c>
      <c r="AN746" s="176" t="str">
        <f>IF(OR(BASE_DATOS[[#This Row],[Km.]]="",BASE_DATOS[[#This Row],[Km. Actual]]=""),"",BASE_DATOS[[#This Row],[Km. Actual]]-BASE_DATOS[[#This Row],[Km.]]+BASE_DATOS[[#This Row],[Kilómetros Acumulados]])</f>
        <v/>
      </c>
      <c r="AO746" s="177" t="str">
        <f>IFERROR(BASE_DATOS[[#This Row],[Precio US$]]/BASE_DATOS[[#This Row],[Kilómetros Rodados]],"")</f>
        <v/>
      </c>
      <c r="AP746" s="176" t="str">
        <f>IFERROR(BASE_DATOS[[#This Row],[Kilómetros Rodados]]/(BASE_DATOS[[#This Row],[NSK Original]]-BASE_DATOS[[#This Row],[NSK]]),"")</f>
        <v/>
      </c>
      <c r="AQ74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46" s="177" t="str">
        <f>IFERROR(BASE_DATOS[[#This Row],[Precio US$]]/BASE_DATOS[[#This Row],[Kilómetros Proy.]],"")</f>
        <v/>
      </c>
      <c r="AS746" s="167" t="s">
        <v>62</v>
      </c>
      <c r="AT746" s="167"/>
      <c r="AU746" s="167"/>
      <c r="AV746" s="167" t="s">
        <v>515</v>
      </c>
      <c r="AW746" s="179"/>
      <c r="AX746" s="179"/>
      <c r="AY746" s="179" t="str">
        <f>CONCATENATE(BASE_DATOS[[#This Row],[Código_U]]&amp;BASE_DATOS[[#This Row],[Pos.]]&amp;BASE_DATOS[[#This Row],[Situación Actual]])</f>
        <v>TC-24610Rodando</v>
      </c>
    </row>
    <row r="747" spans="1:51" ht="12" x14ac:dyDescent="0.25">
      <c r="A747" s="222" t="s">
        <v>458</v>
      </c>
      <c r="B747" s="213" t="s">
        <v>260</v>
      </c>
      <c r="C747" s="225" t="s">
        <v>295</v>
      </c>
      <c r="D747" s="226" t="s">
        <v>87</v>
      </c>
      <c r="E747" s="249"/>
      <c r="F747" s="250" t="s">
        <v>97</v>
      </c>
      <c r="G747" s="250" t="s">
        <v>269</v>
      </c>
      <c r="H747" s="251" t="str">
        <f>IF(BASE_DATOS[[#This Row],[N-R]]="N",BASE_DATOS[[#This Row],[Diseño]],"Reencauche")</f>
        <v>AGC28</v>
      </c>
      <c r="I747" s="250" t="s">
        <v>270</v>
      </c>
      <c r="J747" s="235" t="s">
        <v>72</v>
      </c>
      <c r="K747" s="252">
        <v>16.5</v>
      </c>
      <c r="L747" s="250">
        <v>110</v>
      </c>
      <c r="M747" s="253"/>
      <c r="N747" s="254"/>
      <c r="O747" s="274"/>
      <c r="P747" s="275"/>
      <c r="Q747" s="276"/>
      <c r="R747" s="305" t="s">
        <v>98</v>
      </c>
      <c r="S747" s="306">
        <v>45385</v>
      </c>
      <c r="T747" s="314"/>
      <c r="U747" s="276"/>
      <c r="V747" s="224">
        <v>12</v>
      </c>
      <c r="W747" s="325">
        <v>12</v>
      </c>
      <c r="X747" s="326">
        <v>12</v>
      </c>
      <c r="Y747" s="292">
        <f t="shared" si="31"/>
        <v>12</v>
      </c>
      <c r="Z747" s="185" t="s">
        <v>73</v>
      </c>
      <c r="AA747" s="339">
        <f>IFERROR(BASE_DATOS[[#This Row],[NSK Original]]-BASE_DATOS[[#This Row],[NSK]]," ")</f>
        <v>4.5</v>
      </c>
      <c r="AB747" s="340">
        <f>'NSK-TRACTO'!$A$2</f>
        <v>6</v>
      </c>
      <c r="AC747" s="340">
        <f>IF(BASE_DATOS[[#This Row],[NSK]]&gt;=BASE_DATOS[[#This Row],[NSK Reen]],BASE_DATOS[[#This Row],[NSK Reen]],BASE_DATOS[[#This Row],[NSK]])</f>
        <v>6</v>
      </c>
      <c r="AD747" s="341">
        <f>IFERROR(100%-(BASE_DATOS[[#This Row],[NSK Reen]]/BASE_DATOS[[#This Row],[NSK Original]]),"")</f>
        <v>0.63636363636363635</v>
      </c>
      <c r="AE747" s="341">
        <f>IFERROR(100%-BASE_DATOS[[#This Row],[NSK]]/BASE_DATOS[[#This Row],[NSK Original]],"")</f>
        <v>0.27272727272727271</v>
      </c>
      <c r="AF747" s="341">
        <f>IFERROR(BASE_DATOS[[#This Row],[% Max Des.]]-BASE_DATOS[[#This Row],[% Des]],"")</f>
        <v>0.36363636363636365</v>
      </c>
      <c r="AG747" s="284"/>
      <c r="AH747" s="335"/>
      <c r="AI747" s="359" t="str">
        <f>IF(OR(BASE_DATOS[[#This Row],[Hr.]]="",BASE_DATOS[[#This Row],[Hr. Actual]]=""),"",BASE_DATOS[[#This Row],[Hr. Actual]]-BASE_DATOS[[#This Row],[Hr.]]+BASE_DATOS[[#This Row],[Horas Acumuladas]])</f>
        <v/>
      </c>
      <c r="AJ747" s="360" t="str">
        <f>IFERROR(BASE_DATOS[[#This Row],[Precio US$]]/BASE_DATOS[[#This Row],[Horas Rodadas]],"")</f>
        <v/>
      </c>
      <c r="AK747" s="361" t="str">
        <f>IFERROR(BASE_DATOS[[#This Row],[Horas Rodadas]]/(BASE_DATOS[[#This Row],[NSK Original]]-BASE_DATOS[[#This Row],[NSK]]),"")</f>
        <v/>
      </c>
      <c r="AL747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47" s="362" t="str">
        <f>IFERROR(BASE_DATOS[[#This Row],[Precio US$]]/BASE_DATOS[[#This Row],[Horas Proy.]],"")</f>
        <v/>
      </c>
      <c r="AN747" s="195" t="str">
        <f>IF(OR(BASE_DATOS[[#This Row],[Km.]]="",BASE_DATOS[[#This Row],[Km. Actual]]=""),"",BASE_DATOS[[#This Row],[Km. Actual]]-BASE_DATOS[[#This Row],[Km.]]+BASE_DATOS[[#This Row],[Kilómetros Acumulados]])</f>
        <v/>
      </c>
      <c r="AO747" s="196" t="str">
        <f>IFERROR(BASE_DATOS[[#This Row],[Precio US$]]/BASE_DATOS[[#This Row],[Kilómetros Rodados]],"")</f>
        <v/>
      </c>
      <c r="AP747" s="195" t="str">
        <f>IFERROR(BASE_DATOS[[#This Row],[Kilómetros Rodados]]/(BASE_DATOS[[#This Row],[NSK Original]]-BASE_DATOS[[#This Row],[NSK]]),"")</f>
        <v/>
      </c>
      <c r="AQ747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47" s="196" t="str">
        <f>IFERROR(BASE_DATOS[[#This Row],[Precio US$]]/BASE_DATOS[[#This Row],[Kilómetros Proy.]],"")</f>
        <v/>
      </c>
      <c r="AS747" s="191" t="s">
        <v>62</v>
      </c>
      <c r="AT747" s="191"/>
      <c r="AU747" s="191"/>
      <c r="AV747" s="191"/>
      <c r="AW747" s="198"/>
      <c r="AX747" s="198"/>
      <c r="AY747" s="198" t="str">
        <f>CONCATENATE(BASE_DATOS[[#This Row],[Código_U]]&amp;BASE_DATOS[[#This Row],[Pos.]]&amp;BASE_DATOS[[#This Row],[Situación Actual]])</f>
        <v>SR-2441Rodando</v>
      </c>
    </row>
    <row r="748" spans="1:51" ht="12" x14ac:dyDescent="0.25">
      <c r="A748" s="223" t="s">
        <v>458</v>
      </c>
      <c r="B748" s="217" t="s">
        <v>260</v>
      </c>
      <c r="C748" s="228" t="s">
        <v>295</v>
      </c>
      <c r="D748" s="229" t="s">
        <v>87</v>
      </c>
      <c r="E748" s="255"/>
      <c r="F748" s="256" t="s">
        <v>97</v>
      </c>
      <c r="G748" s="256" t="s">
        <v>269</v>
      </c>
      <c r="H748" s="257" t="str">
        <f>IF(BASE_DATOS[[#This Row],[N-R]]="N",BASE_DATOS[[#This Row],[Diseño]],"Reencauche")</f>
        <v>AGC28</v>
      </c>
      <c r="I748" s="256" t="s">
        <v>270</v>
      </c>
      <c r="J748" s="243" t="s">
        <v>72</v>
      </c>
      <c r="K748" s="258">
        <v>16.5</v>
      </c>
      <c r="L748" s="256">
        <v>110</v>
      </c>
      <c r="M748" s="259"/>
      <c r="N748" s="260"/>
      <c r="O748" s="277"/>
      <c r="P748" s="278"/>
      <c r="Q748" s="279"/>
      <c r="R748" s="309" t="s">
        <v>99</v>
      </c>
      <c r="S748" s="310">
        <v>45385</v>
      </c>
      <c r="T748" s="313"/>
      <c r="U748" s="279"/>
      <c r="V748" s="227">
        <v>12</v>
      </c>
      <c r="W748" s="281">
        <v>12</v>
      </c>
      <c r="X748" s="282">
        <v>12</v>
      </c>
      <c r="Y748" s="293">
        <f t="shared" si="31"/>
        <v>12</v>
      </c>
      <c r="Z748" s="161" t="s">
        <v>73</v>
      </c>
      <c r="AA748" s="342">
        <f>IFERROR(BASE_DATOS[[#This Row],[NSK Original]]-BASE_DATOS[[#This Row],[NSK]]," ")</f>
        <v>4.5</v>
      </c>
      <c r="AB748" s="343">
        <f>'NSK-TRACTO'!$A$2</f>
        <v>6</v>
      </c>
      <c r="AC748" s="343">
        <f>IF(BASE_DATOS[[#This Row],[NSK]]&gt;=BASE_DATOS[[#This Row],[NSK Reen]],BASE_DATOS[[#This Row],[NSK Reen]],BASE_DATOS[[#This Row],[NSK]])</f>
        <v>6</v>
      </c>
      <c r="AD748" s="344">
        <f>IFERROR(100%-(BASE_DATOS[[#This Row],[NSK Reen]]/BASE_DATOS[[#This Row],[NSK Original]]),"")</f>
        <v>0.63636363636363635</v>
      </c>
      <c r="AE748" s="344">
        <f>IFERROR(100%-BASE_DATOS[[#This Row],[NSK]]/BASE_DATOS[[#This Row],[NSK Original]],"")</f>
        <v>0.27272727272727271</v>
      </c>
      <c r="AF748" s="344">
        <f>IFERROR(BASE_DATOS[[#This Row],[% Max Des.]]-BASE_DATOS[[#This Row],[% Des]],"")</f>
        <v>0.36363636363636365</v>
      </c>
      <c r="AG748" s="287"/>
      <c r="AH748" s="273"/>
      <c r="AI748" s="363" t="str">
        <f>IF(OR(BASE_DATOS[[#This Row],[Hr.]]="",BASE_DATOS[[#This Row],[Hr. Actual]]=""),"",BASE_DATOS[[#This Row],[Hr. Actual]]-BASE_DATOS[[#This Row],[Hr.]]+BASE_DATOS[[#This Row],[Horas Acumuladas]])</f>
        <v/>
      </c>
      <c r="AJ748" s="364" t="str">
        <f>IFERROR(BASE_DATOS[[#This Row],[Precio US$]]/BASE_DATOS[[#This Row],[Horas Rodadas]],"")</f>
        <v/>
      </c>
      <c r="AK748" s="365" t="str">
        <f>IFERROR(BASE_DATOS[[#This Row],[Horas Rodadas]]/(BASE_DATOS[[#This Row],[NSK Original]]-BASE_DATOS[[#This Row],[NSK]]),"")</f>
        <v/>
      </c>
      <c r="AL74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48" s="366" t="str">
        <f>IFERROR(BASE_DATOS[[#This Row],[Precio US$]]/BASE_DATOS[[#This Row],[Horas Proy.]],"")</f>
        <v/>
      </c>
      <c r="AN748" s="176" t="str">
        <f>IF(OR(BASE_DATOS[[#This Row],[Km.]]="",BASE_DATOS[[#This Row],[Km. Actual]]=""),"",BASE_DATOS[[#This Row],[Km. Actual]]-BASE_DATOS[[#This Row],[Km.]]+BASE_DATOS[[#This Row],[Kilómetros Acumulados]])</f>
        <v/>
      </c>
      <c r="AO748" s="177" t="str">
        <f>IFERROR(BASE_DATOS[[#This Row],[Precio US$]]/BASE_DATOS[[#This Row],[Kilómetros Rodados]],"")</f>
        <v/>
      </c>
      <c r="AP748" s="176" t="str">
        <f>IFERROR(BASE_DATOS[[#This Row],[Kilómetros Rodados]]/(BASE_DATOS[[#This Row],[NSK Original]]-BASE_DATOS[[#This Row],[NSK]]),"")</f>
        <v/>
      </c>
      <c r="AQ74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48" s="177" t="str">
        <f>IFERROR(BASE_DATOS[[#This Row],[Precio US$]]/BASE_DATOS[[#This Row],[Kilómetros Proy.]],"")</f>
        <v/>
      </c>
      <c r="AS748" s="167" t="s">
        <v>62</v>
      </c>
      <c r="AT748" s="167"/>
      <c r="AU748" s="167"/>
      <c r="AV748" s="167"/>
      <c r="AW748" s="179"/>
      <c r="AX748" s="179"/>
      <c r="AY748" s="179" t="str">
        <f>CONCATENATE(BASE_DATOS[[#This Row],[Código_U]]&amp;BASE_DATOS[[#This Row],[Pos.]]&amp;BASE_DATOS[[#This Row],[Situación Actual]])</f>
        <v>SR-2442Rodando</v>
      </c>
    </row>
    <row r="749" spans="1:51" ht="12" x14ac:dyDescent="0.25">
      <c r="A749" s="223" t="s">
        <v>458</v>
      </c>
      <c r="B749" s="217" t="s">
        <v>260</v>
      </c>
      <c r="C749" s="228" t="s">
        <v>295</v>
      </c>
      <c r="D749" s="229" t="s">
        <v>87</v>
      </c>
      <c r="E749" s="255"/>
      <c r="F749" s="256" t="s">
        <v>97</v>
      </c>
      <c r="G749" s="256" t="s">
        <v>269</v>
      </c>
      <c r="H749" s="257" t="str">
        <f>IF(BASE_DATOS[[#This Row],[N-R]]="N",BASE_DATOS[[#This Row],[Diseño]],"Reencauche")</f>
        <v>AGC28</v>
      </c>
      <c r="I749" s="256" t="s">
        <v>270</v>
      </c>
      <c r="J749" s="243" t="s">
        <v>72</v>
      </c>
      <c r="K749" s="258">
        <v>16.5</v>
      </c>
      <c r="L749" s="256">
        <v>110</v>
      </c>
      <c r="M749" s="259"/>
      <c r="N749" s="260"/>
      <c r="O749" s="277"/>
      <c r="P749" s="278"/>
      <c r="Q749" s="279"/>
      <c r="R749" s="309" t="s">
        <v>100</v>
      </c>
      <c r="S749" s="310">
        <v>45385</v>
      </c>
      <c r="T749" s="313"/>
      <c r="U749" s="279"/>
      <c r="V749" s="227">
        <v>12</v>
      </c>
      <c r="W749" s="281">
        <v>12</v>
      </c>
      <c r="X749" s="282">
        <v>12</v>
      </c>
      <c r="Y749" s="293">
        <f t="shared" si="31"/>
        <v>12</v>
      </c>
      <c r="Z749" s="161" t="s">
        <v>73</v>
      </c>
      <c r="AA749" s="342">
        <f>IFERROR(BASE_DATOS[[#This Row],[NSK Original]]-BASE_DATOS[[#This Row],[NSK]]," ")</f>
        <v>4.5</v>
      </c>
      <c r="AB749" s="343">
        <f>'NSK-TRACTO'!$A$2</f>
        <v>6</v>
      </c>
      <c r="AC749" s="343">
        <f>IF(BASE_DATOS[[#This Row],[NSK]]&gt;=BASE_DATOS[[#This Row],[NSK Reen]],BASE_DATOS[[#This Row],[NSK Reen]],BASE_DATOS[[#This Row],[NSK]])</f>
        <v>6</v>
      </c>
      <c r="AD749" s="344">
        <f>IFERROR(100%-(BASE_DATOS[[#This Row],[NSK Reen]]/BASE_DATOS[[#This Row],[NSK Original]]),"")</f>
        <v>0.63636363636363635</v>
      </c>
      <c r="AE749" s="344">
        <f>IFERROR(100%-BASE_DATOS[[#This Row],[NSK]]/BASE_DATOS[[#This Row],[NSK Original]],"")</f>
        <v>0.27272727272727271</v>
      </c>
      <c r="AF749" s="344">
        <f>IFERROR(BASE_DATOS[[#This Row],[% Max Des.]]-BASE_DATOS[[#This Row],[% Des]],"")</f>
        <v>0.36363636363636365</v>
      </c>
      <c r="AG749" s="287"/>
      <c r="AH749" s="273"/>
      <c r="AI749" s="363" t="str">
        <f>IF(OR(BASE_DATOS[[#This Row],[Hr.]]="",BASE_DATOS[[#This Row],[Hr. Actual]]=""),"",BASE_DATOS[[#This Row],[Hr. Actual]]-BASE_DATOS[[#This Row],[Hr.]]+BASE_DATOS[[#This Row],[Horas Acumuladas]])</f>
        <v/>
      </c>
      <c r="AJ749" s="364" t="str">
        <f>IFERROR(BASE_DATOS[[#This Row],[Precio US$]]/BASE_DATOS[[#This Row],[Horas Rodadas]],"")</f>
        <v/>
      </c>
      <c r="AK749" s="365" t="str">
        <f>IFERROR(BASE_DATOS[[#This Row],[Horas Rodadas]]/(BASE_DATOS[[#This Row],[NSK Original]]-BASE_DATOS[[#This Row],[NSK]]),"")</f>
        <v/>
      </c>
      <c r="AL74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49" s="366" t="str">
        <f>IFERROR(BASE_DATOS[[#This Row],[Precio US$]]/BASE_DATOS[[#This Row],[Horas Proy.]],"")</f>
        <v/>
      </c>
      <c r="AN749" s="176" t="str">
        <f>IF(OR(BASE_DATOS[[#This Row],[Km.]]="",BASE_DATOS[[#This Row],[Km. Actual]]=""),"",BASE_DATOS[[#This Row],[Km. Actual]]-BASE_DATOS[[#This Row],[Km.]]+BASE_DATOS[[#This Row],[Kilómetros Acumulados]])</f>
        <v/>
      </c>
      <c r="AO749" s="177" t="str">
        <f>IFERROR(BASE_DATOS[[#This Row],[Precio US$]]/BASE_DATOS[[#This Row],[Kilómetros Rodados]],"")</f>
        <v/>
      </c>
      <c r="AP749" s="176" t="str">
        <f>IFERROR(BASE_DATOS[[#This Row],[Kilómetros Rodados]]/(BASE_DATOS[[#This Row],[NSK Original]]-BASE_DATOS[[#This Row],[NSK]]),"")</f>
        <v/>
      </c>
      <c r="AQ74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49" s="177" t="str">
        <f>IFERROR(BASE_DATOS[[#This Row],[Precio US$]]/BASE_DATOS[[#This Row],[Kilómetros Proy.]],"")</f>
        <v/>
      </c>
      <c r="AS749" s="167" t="s">
        <v>62</v>
      </c>
      <c r="AT749" s="167"/>
      <c r="AU749" s="167"/>
      <c r="AV749" s="167"/>
      <c r="AW749" s="179"/>
      <c r="AX749" s="179"/>
      <c r="AY749" s="179" t="str">
        <f>CONCATENATE(BASE_DATOS[[#This Row],[Código_U]]&amp;BASE_DATOS[[#This Row],[Pos.]]&amp;BASE_DATOS[[#This Row],[Situación Actual]])</f>
        <v>SR-2443Rodando</v>
      </c>
    </row>
    <row r="750" spans="1:51" ht="12" x14ac:dyDescent="0.25">
      <c r="A750" s="223" t="s">
        <v>458</v>
      </c>
      <c r="B750" s="217" t="s">
        <v>260</v>
      </c>
      <c r="C750" s="228" t="s">
        <v>295</v>
      </c>
      <c r="D750" s="229" t="s">
        <v>87</v>
      </c>
      <c r="E750" s="255"/>
      <c r="F750" s="256" t="s">
        <v>97</v>
      </c>
      <c r="G750" s="256" t="s">
        <v>269</v>
      </c>
      <c r="H750" s="257" t="str">
        <f>IF(BASE_DATOS[[#This Row],[N-R]]="N",BASE_DATOS[[#This Row],[Diseño]],"Reencauche")</f>
        <v>AGC28</v>
      </c>
      <c r="I750" s="256" t="s">
        <v>270</v>
      </c>
      <c r="J750" s="243" t="s">
        <v>72</v>
      </c>
      <c r="K750" s="258">
        <v>16.5</v>
      </c>
      <c r="L750" s="256">
        <v>110</v>
      </c>
      <c r="M750" s="259"/>
      <c r="N750" s="260"/>
      <c r="O750" s="277"/>
      <c r="P750" s="278"/>
      <c r="Q750" s="279"/>
      <c r="R750" s="309" t="s">
        <v>101</v>
      </c>
      <c r="S750" s="310">
        <v>45385</v>
      </c>
      <c r="T750" s="313"/>
      <c r="U750" s="279"/>
      <c r="V750" s="227">
        <v>10</v>
      </c>
      <c r="W750" s="281">
        <v>10</v>
      </c>
      <c r="X750" s="282">
        <v>10</v>
      </c>
      <c r="Y750" s="293">
        <f t="shared" si="31"/>
        <v>10</v>
      </c>
      <c r="Z750" s="161" t="s">
        <v>73</v>
      </c>
      <c r="AA750" s="342">
        <f>IFERROR(BASE_DATOS[[#This Row],[NSK Original]]-BASE_DATOS[[#This Row],[NSK]]," ")</f>
        <v>6.5</v>
      </c>
      <c r="AB750" s="343">
        <f>'NSK-TRACTO'!$A$2</f>
        <v>6</v>
      </c>
      <c r="AC750" s="343">
        <f>IF(BASE_DATOS[[#This Row],[NSK]]&gt;=BASE_DATOS[[#This Row],[NSK Reen]],BASE_DATOS[[#This Row],[NSK Reen]],BASE_DATOS[[#This Row],[NSK]])</f>
        <v>6</v>
      </c>
      <c r="AD750" s="344">
        <f>IFERROR(100%-(BASE_DATOS[[#This Row],[NSK Reen]]/BASE_DATOS[[#This Row],[NSK Original]]),"")</f>
        <v>0.63636363636363635</v>
      </c>
      <c r="AE750" s="344">
        <f>IFERROR(100%-BASE_DATOS[[#This Row],[NSK]]/BASE_DATOS[[#This Row],[NSK Original]],"")</f>
        <v>0.39393939393939392</v>
      </c>
      <c r="AF750" s="344">
        <f>IFERROR(BASE_DATOS[[#This Row],[% Max Des.]]-BASE_DATOS[[#This Row],[% Des]],"")</f>
        <v>0.24242424242424243</v>
      </c>
      <c r="AG750" s="287"/>
      <c r="AH750" s="273"/>
      <c r="AI750" s="363" t="str">
        <f>IF(OR(BASE_DATOS[[#This Row],[Hr.]]="",BASE_DATOS[[#This Row],[Hr. Actual]]=""),"",BASE_DATOS[[#This Row],[Hr. Actual]]-BASE_DATOS[[#This Row],[Hr.]]+BASE_DATOS[[#This Row],[Horas Acumuladas]])</f>
        <v/>
      </c>
      <c r="AJ750" s="364" t="str">
        <f>IFERROR(BASE_DATOS[[#This Row],[Precio US$]]/BASE_DATOS[[#This Row],[Horas Rodadas]],"")</f>
        <v/>
      </c>
      <c r="AK750" s="365" t="str">
        <f>IFERROR(BASE_DATOS[[#This Row],[Horas Rodadas]]/(BASE_DATOS[[#This Row],[NSK Original]]-BASE_DATOS[[#This Row],[NSK]]),"")</f>
        <v/>
      </c>
      <c r="AL75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50" s="366" t="str">
        <f>IFERROR(BASE_DATOS[[#This Row],[Precio US$]]/BASE_DATOS[[#This Row],[Horas Proy.]],"")</f>
        <v/>
      </c>
      <c r="AN750" s="176" t="str">
        <f>IF(OR(BASE_DATOS[[#This Row],[Km.]]="",BASE_DATOS[[#This Row],[Km. Actual]]=""),"",BASE_DATOS[[#This Row],[Km. Actual]]-BASE_DATOS[[#This Row],[Km.]]+BASE_DATOS[[#This Row],[Kilómetros Acumulados]])</f>
        <v/>
      </c>
      <c r="AO750" s="177" t="str">
        <f>IFERROR(BASE_DATOS[[#This Row],[Precio US$]]/BASE_DATOS[[#This Row],[Kilómetros Rodados]],"")</f>
        <v/>
      </c>
      <c r="AP750" s="176" t="str">
        <f>IFERROR(BASE_DATOS[[#This Row],[Kilómetros Rodados]]/(BASE_DATOS[[#This Row],[NSK Original]]-BASE_DATOS[[#This Row],[NSK]]),"")</f>
        <v/>
      </c>
      <c r="AQ75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50" s="177" t="str">
        <f>IFERROR(BASE_DATOS[[#This Row],[Precio US$]]/BASE_DATOS[[#This Row],[Kilómetros Proy.]],"")</f>
        <v/>
      </c>
      <c r="AS750" s="167" t="s">
        <v>62</v>
      </c>
      <c r="AT750" s="167"/>
      <c r="AU750" s="167"/>
      <c r="AV750" s="167"/>
      <c r="AW750" s="179"/>
      <c r="AX750" s="179"/>
      <c r="AY750" s="179" t="str">
        <f>CONCATENATE(BASE_DATOS[[#This Row],[Código_U]]&amp;BASE_DATOS[[#This Row],[Pos.]]&amp;BASE_DATOS[[#This Row],[Situación Actual]])</f>
        <v>SR-2444Rodando</v>
      </c>
    </row>
    <row r="751" spans="1:51" ht="12" x14ac:dyDescent="0.25">
      <c r="A751" s="223" t="s">
        <v>458</v>
      </c>
      <c r="B751" s="217" t="s">
        <v>260</v>
      </c>
      <c r="C751" s="228" t="s">
        <v>295</v>
      </c>
      <c r="D751" s="229" t="s">
        <v>87</v>
      </c>
      <c r="E751" s="255"/>
      <c r="F751" s="256" t="s">
        <v>97</v>
      </c>
      <c r="G751" s="256" t="s">
        <v>269</v>
      </c>
      <c r="H751" s="257" t="str">
        <f>IF(BASE_DATOS[[#This Row],[N-R]]="N",BASE_DATOS[[#This Row],[Diseño]],"Reencauche")</f>
        <v>AGC28</v>
      </c>
      <c r="I751" s="256" t="s">
        <v>270</v>
      </c>
      <c r="J751" s="243" t="s">
        <v>72</v>
      </c>
      <c r="K751" s="258">
        <v>16.5</v>
      </c>
      <c r="L751" s="256">
        <v>110</v>
      </c>
      <c r="M751" s="259"/>
      <c r="N751" s="260"/>
      <c r="O751" s="277"/>
      <c r="P751" s="278"/>
      <c r="Q751" s="279"/>
      <c r="R751" s="309" t="s">
        <v>102</v>
      </c>
      <c r="S751" s="310">
        <v>45385</v>
      </c>
      <c r="T751" s="313"/>
      <c r="U751" s="279"/>
      <c r="V751" s="227">
        <v>15</v>
      </c>
      <c r="W751" s="281">
        <v>15</v>
      </c>
      <c r="X751" s="282">
        <v>15</v>
      </c>
      <c r="Y751" s="293">
        <f t="shared" si="31"/>
        <v>15</v>
      </c>
      <c r="Z751" s="161" t="s">
        <v>73</v>
      </c>
      <c r="AA751" s="342">
        <f>IFERROR(BASE_DATOS[[#This Row],[NSK Original]]-BASE_DATOS[[#This Row],[NSK]]," ")</f>
        <v>1.5</v>
      </c>
      <c r="AB751" s="343">
        <f>'NSK-TRACTO'!$A$2</f>
        <v>6</v>
      </c>
      <c r="AC751" s="343">
        <f>IF(BASE_DATOS[[#This Row],[NSK]]&gt;=BASE_DATOS[[#This Row],[NSK Reen]],BASE_DATOS[[#This Row],[NSK Reen]],BASE_DATOS[[#This Row],[NSK]])</f>
        <v>6</v>
      </c>
      <c r="AD751" s="344">
        <f>IFERROR(100%-(BASE_DATOS[[#This Row],[NSK Reen]]/BASE_DATOS[[#This Row],[NSK Original]]),"")</f>
        <v>0.63636363636363635</v>
      </c>
      <c r="AE751" s="344">
        <f>IFERROR(100%-BASE_DATOS[[#This Row],[NSK]]/BASE_DATOS[[#This Row],[NSK Original]],"")</f>
        <v>9.0909090909090939E-2</v>
      </c>
      <c r="AF751" s="344">
        <f>IFERROR(BASE_DATOS[[#This Row],[% Max Des.]]-BASE_DATOS[[#This Row],[% Des]],"")</f>
        <v>0.54545454545454541</v>
      </c>
      <c r="AG751" s="287"/>
      <c r="AH751" s="273"/>
      <c r="AI751" s="363" t="str">
        <f>IF(OR(BASE_DATOS[[#This Row],[Hr.]]="",BASE_DATOS[[#This Row],[Hr. Actual]]=""),"",BASE_DATOS[[#This Row],[Hr. Actual]]-BASE_DATOS[[#This Row],[Hr.]]+BASE_DATOS[[#This Row],[Horas Acumuladas]])</f>
        <v/>
      </c>
      <c r="AJ751" s="364" t="str">
        <f>IFERROR(BASE_DATOS[[#This Row],[Precio US$]]/BASE_DATOS[[#This Row],[Horas Rodadas]],"")</f>
        <v/>
      </c>
      <c r="AK751" s="365" t="str">
        <f>IFERROR(BASE_DATOS[[#This Row],[Horas Rodadas]]/(BASE_DATOS[[#This Row],[NSK Original]]-BASE_DATOS[[#This Row],[NSK]]),"")</f>
        <v/>
      </c>
      <c r="AL75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51" s="366" t="str">
        <f>IFERROR(BASE_DATOS[[#This Row],[Precio US$]]/BASE_DATOS[[#This Row],[Horas Proy.]],"")</f>
        <v/>
      </c>
      <c r="AN751" s="176" t="str">
        <f>IF(OR(BASE_DATOS[[#This Row],[Km.]]="",BASE_DATOS[[#This Row],[Km. Actual]]=""),"",BASE_DATOS[[#This Row],[Km. Actual]]-BASE_DATOS[[#This Row],[Km.]]+BASE_DATOS[[#This Row],[Kilómetros Acumulados]])</f>
        <v/>
      </c>
      <c r="AO751" s="177" t="str">
        <f>IFERROR(BASE_DATOS[[#This Row],[Precio US$]]/BASE_DATOS[[#This Row],[Kilómetros Rodados]],"")</f>
        <v/>
      </c>
      <c r="AP751" s="176" t="str">
        <f>IFERROR(BASE_DATOS[[#This Row],[Kilómetros Rodados]]/(BASE_DATOS[[#This Row],[NSK Original]]-BASE_DATOS[[#This Row],[NSK]]),"")</f>
        <v/>
      </c>
      <c r="AQ75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51" s="177" t="str">
        <f>IFERROR(BASE_DATOS[[#This Row],[Precio US$]]/BASE_DATOS[[#This Row],[Kilómetros Proy.]],"")</f>
        <v/>
      </c>
      <c r="AS751" s="167" t="s">
        <v>62</v>
      </c>
      <c r="AT751" s="167"/>
      <c r="AU751" s="167"/>
      <c r="AV751" s="167"/>
      <c r="AW751" s="179"/>
      <c r="AX751" s="179"/>
      <c r="AY751" s="179" t="str">
        <f>CONCATENATE(BASE_DATOS[[#This Row],[Código_U]]&amp;BASE_DATOS[[#This Row],[Pos.]]&amp;BASE_DATOS[[#This Row],[Situación Actual]])</f>
        <v>SR-2445Rodando</v>
      </c>
    </row>
    <row r="752" spans="1:51" ht="12" x14ac:dyDescent="0.25">
      <c r="A752" s="223" t="s">
        <v>458</v>
      </c>
      <c r="B752" s="217" t="s">
        <v>260</v>
      </c>
      <c r="C752" s="228" t="s">
        <v>295</v>
      </c>
      <c r="D752" s="229" t="s">
        <v>87</v>
      </c>
      <c r="E752" s="255"/>
      <c r="F752" s="256" t="s">
        <v>97</v>
      </c>
      <c r="G752" s="256" t="s">
        <v>269</v>
      </c>
      <c r="H752" s="257" t="str">
        <f>IF(BASE_DATOS[[#This Row],[N-R]]="N",BASE_DATOS[[#This Row],[Diseño]],"Reencauche")</f>
        <v>AGC28</v>
      </c>
      <c r="I752" s="256" t="s">
        <v>270</v>
      </c>
      <c r="J752" s="243" t="s">
        <v>72</v>
      </c>
      <c r="K752" s="258">
        <v>16.5</v>
      </c>
      <c r="L752" s="256">
        <v>110</v>
      </c>
      <c r="M752" s="259"/>
      <c r="N752" s="260"/>
      <c r="O752" s="277"/>
      <c r="P752" s="278"/>
      <c r="Q752" s="279"/>
      <c r="R752" s="309" t="s">
        <v>103</v>
      </c>
      <c r="S752" s="310">
        <v>45385</v>
      </c>
      <c r="T752" s="313"/>
      <c r="U752" s="279"/>
      <c r="V752" s="227">
        <v>15</v>
      </c>
      <c r="W752" s="281">
        <v>15</v>
      </c>
      <c r="X752" s="282">
        <v>15</v>
      </c>
      <c r="Y752" s="293">
        <f t="shared" si="31"/>
        <v>15</v>
      </c>
      <c r="Z752" s="161" t="s">
        <v>73</v>
      </c>
      <c r="AA752" s="342">
        <f>IFERROR(BASE_DATOS[[#This Row],[NSK Original]]-BASE_DATOS[[#This Row],[NSK]]," ")</f>
        <v>1.5</v>
      </c>
      <c r="AB752" s="343">
        <f>'NSK-TRACTO'!$A$2</f>
        <v>6</v>
      </c>
      <c r="AC752" s="343">
        <f>IF(BASE_DATOS[[#This Row],[NSK]]&gt;=BASE_DATOS[[#This Row],[NSK Reen]],BASE_DATOS[[#This Row],[NSK Reen]],BASE_DATOS[[#This Row],[NSK]])</f>
        <v>6</v>
      </c>
      <c r="AD752" s="344">
        <f>IFERROR(100%-(BASE_DATOS[[#This Row],[NSK Reen]]/BASE_DATOS[[#This Row],[NSK Original]]),"")</f>
        <v>0.63636363636363635</v>
      </c>
      <c r="AE752" s="344">
        <f>IFERROR(100%-BASE_DATOS[[#This Row],[NSK]]/BASE_DATOS[[#This Row],[NSK Original]],"")</f>
        <v>9.0909090909090939E-2</v>
      </c>
      <c r="AF752" s="344">
        <f>IFERROR(BASE_DATOS[[#This Row],[% Max Des.]]-BASE_DATOS[[#This Row],[% Des]],"")</f>
        <v>0.54545454545454541</v>
      </c>
      <c r="AG752" s="287"/>
      <c r="AH752" s="273"/>
      <c r="AI752" s="363" t="str">
        <f>IF(OR(BASE_DATOS[[#This Row],[Hr.]]="",BASE_DATOS[[#This Row],[Hr. Actual]]=""),"",BASE_DATOS[[#This Row],[Hr. Actual]]-BASE_DATOS[[#This Row],[Hr.]]+BASE_DATOS[[#This Row],[Horas Acumuladas]])</f>
        <v/>
      </c>
      <c r="AJ752" s="364" t="str">
        <f>IFERROR(BASE_DATOS[[#This Row],[Precio US$]]/BASE_DATOS[[#This Row],[Horas Rodadas]],"")</f>
        <v/>
      </c>
      <c r="AK752" s="365" t="str">
        <f>IFERROR(BASE_DATOS[[#This Row],[Horas Rodadas]]/(BASE_DATOS[[#This Row],[NSK Original]]-BASE_DATOS[[#This Row],[NSK]]),"")</f>
        <v/>
      </c>
      <c r="AL75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52" s="366" t="str">
        <f>IFERROR(BASE_DATOS[[#This Row],[Precio US$]]/BASE_DATOS[[#This Row],[Horas Proy.]],"")</f>
        <v/>
      </c>
      <c r="AN752" s="176" t="str">
        <f>IF(OR(BASE_DATOS[[#This Row],[Km.]]="",BASE_DATOS[[#This Row],[Km. Actual]]=""),"",BASE_DATOS[[#This Row],[Km. Actual]]-BASE_DATOS[[#This Row],[Km.]]+BASE_DATOS[[#This Row],[Kilómetros Acumulados]])</f>
        <v/>
      </c>
      <c r="AO752" s="177" t="str">
        <f>IFERROR(BASE_DATOS[[#This Row],[Precio US$]]/BASE_DATOS[[#This Row],[Kilómetros Rodados]],"")</f>
        <v/>
      </c>
      <c r="AP752" s="176" t="str">
        <f>IFERROR(BASE_DATOS[[#This Row],[Kilómetros Rodados]]/(BASE_DATOS[[#This Row],[NSK Original]]-BASE_DATOS[[#This Row],[NSK]]),"")</f>
        <v/>
      </c>
      <c r="AQ75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52" s="177" t="str">
        <f>IFERROR(BASE_DATOS[[#This Row],[Precio US$]]/BASE_DATOS[[#This Row],[Kilómetros Proy.]],"")</f>
        <v/>
      </c>
      <c r="AS752" s="167" t="s">
        <v>62</v>
      </c>
      <c r="AT752" s="167"/>
      <c r="AU752" s="167"/>
      <c r="AV752" s="167"/>
      <c r="AW752" s="179"/>
      <c r="AX752" s="179"/>
      <c r="AY752" s="179" t="str">
        <f>CONCATENATE(BASE_DATOS[[#This Row],[Código_U]]&amp;BASE_DATOS[[#This Row],[Pos.]]&amp;BASE_DATOS[[#This Row],[Situación Actual]])</f>
        <v>SR-2446Rodando</v>
      </c>
    </row>
    <row r="753" spans="1:51" ht="12" x14ac:dyDescent="0.25">
      <c r="A753" s="223" t="s">
        <v>458</v>
      </c>
      <c r="B753" s="217" t="s">
        <v>260</v>
      </c>
      <c r="C753" s="228" t="s">
        <v>295</v>
      </c>
      <c r="D753" s="229" t="s">
        <v>384</v>
      </c>
      <c r="E753" s="255"/>
      <c r="F753" s="256" t="s">
        <v>97</v>
      </c>
      <c r="G753" s="256" t="s">
        <v>269</v>
      </c>
      <c r="H753" s="257" t="str">
        <f>IF(BASE_DATOS[[#This Row],[N-R]]="N",BASE_DATOS[[#This Row],[Diseño]],"Reencauche")</f>
        <v>AGC28</v>
      </c>
      <c r="I753" s="256" t="s">
        <v>270</v>
      </c>
      <c r="J753" s="243" t="s">
        <v>72</v>
      </c>
      <c r="K753" s="258">
        <v>16.5</v>
      </c>
      <c r="L753" s="256">
        <v>110</v>
      </c>
      <c r="M753" s="259"/>
      <c r="N753" s="260"/>
      <c r="O753" s="277"/>
      <c r="P753" s="278"/>
      <c r="Q753" s="279"/>
      <c r="R753" s="309" t="s">
        <v>509</v>
      </c>
      <c r="S753" s="310">
        <v>45385</v>
      </c>
      <c r="T753" s="313"/>
      <c r="U753" s="279"/>
      <c r="V753" s="227">
        <v>16</v>
      </c>
      <c r="W753" s="281">
        <v>16</v>
      </c>
      <c r="X753" s="282">
        <v>16</v>
      </c>
      <c r="Y753" s="293">
        <f t="shared" si="31"/>
        <v>16</v>
      </c>
      <c r="Z753" s="161" t="s">
        <v>73</v>
      </c>
      <c r="AA753" s="342">
        <f>IFERROR(BASE_DATOS[[#This Row],[NSK Original]]-BASE_DATOS[[#This Row],[NSK]]," ")</f>
        <v>0.5</v>
      </c>
      <c r="AB753" s="343">
        <f>'NSK-TRACTO'!$A$2</f>
        <v>6</v>
      </c>
      <c r="AC753" s="343">
        <f>IF(BASE_DATOS[[#This Row],[NSK]]&gt;=BASE_DATOS[[#This Row],[NSK Reen]],BASE_DATOS[[#This Row],[NSK Reen]],BASE_DATOS[[#This Row],[NSK]])</f>
        <v>6</v>
      </c>
      <c r="AD753" s="344">
        <f>IFERROR(100%-(BASE_DATOS[[#This Row],[NSK Reen]]/BASE_DATOS[[#This Row],[NSK Original]]),"")</f>
        <v>0.63636363636363635</v>
      </c>
      <c r="AE753" s="344">
        <f>IFERROR(100%-BASE_DATOS[[#This Row],[NSK]]/BASE_DATOS[[#This Row],[NSK Original]],"")</f>
        <v>3.0303030303030276E-2</v>
      </c>
      <c r="AF753" s="344">
        <f>IFERROR(BASE_DATOS[[#This Row],[% Max Des.]]-BASE_DATOS[[#This Row],[% Des]],"")</f>
        <v>0.60606060606060608</v>
      </c>
      <c r="AG753" s="287"/>
      <c r="AH753" s="273"/>
      <c r="AI753" s="363" t="str">
        <f>IF(OR(BASE_DATOS[[#This Row],[Hr.]]="",BASE_DATOS[[#This Row],[Hr. Actual]]=""),"",BASE_DATOS[[#This Row],[Hr. Actual]]-BASE_DATOS[[#This Row],[Hr.]]+BASE_DATOS[[#This Row],[Horas Acumuladas]])</f>
        <v/>
      </c>
      <c r="AJ753" s="364" t="str">
        <f>IFERROR(BASE_DATOS[[#This Row],[Precio US$]]/BASE_DATOS[[#This Row],[Horas Rodadas]],"")</f>
        <v/>
      </c>
      <c r="AK753" s="365" t="str">
        <f>IFERROR(BASE_DATOS[[#This Row],[Horas Rodadas]]/(BASE_DATOS[[#This Row],[NSK Original]]-BASE_DATOS[[#This Row],[NSK]]),"")</f>
        <v/>
      </c>
      <c r="AL75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53" s="366" t="str">
        <f>IFERROR(BASE_DATOS[[#This Row],[Precio US$]]/BASE_DATOS[[#This Row],[Horas Proy.]],"")</f>
        <v/>
      </c>
      <c r="AN753" s="176" t="str">
        <f>IF(OR(BASE_DATOS[[#This Row],[Km.]]="",BASE_DATOS[[#This Row],[Km. Actual]]=""),"",BASE_DATOS[[#This Row],[Km. Actual]]-BASE_DATOS[[#This Row],[Km.]]+BASE_DATOS[[#This Row],[Kilómetros Acumulados]])</f>
        <v/>
      </c>
      <c r="AO753" s="177" t="str">
        <f>IFERROR(BASE_DATOS[[#This Row],[Precio US$]]/BASE_DATOS[[#This Row],[Kilómetros Rodados]],"")</f>
        <v/>
      </c>
      <c r="AP753" s="176" t="str">
        <f>IFERROR(BASE_DATOS[[#This Row],[Kilómetros Rodados]]/(BASE_DATOS[[#This Row],[NSK Original]]-BASE_DATOS[[#This Row],[NSK]]),"")</f>
        <v/>
      </c>
      <c r="AQ75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53" s="177" t="str">
        <f>IFERROR(BASE_DATOS[[#This Row],[Precio US$]]/BASE_DATOS[[#This Row],[Kilómetros Proy.]],"")</f>
        <v/>
      </c>
      <c r="AS753" s="167" t="s">
        <v>62</v>
      </c>
      <c r="AT753" s="167"/>
      <c r="AU753" s="167"/>
      <c r="AV753" s="167"/>
      <c r="AW753" s="179"/>
      <c r="AX753" s="179"/>
      <c r="AY753" s="179" t="str">
        <f>CONCATENATE(BASE_DATOS[[#This Row],[Código_U]]&amp;BASE_DATOS[[#This Row],[Pos.]]&amp;BASE_DATOS[[#This Row],[Situación Actual]])</f>
        <v>SR-244RERodando</v>
      </c>
    </row>
    <row r="754" spans="1:51" ht="12" x14ac:dyDescent="0.25">
      <c r="A754" s="223" t="s">
        <v>458</v>
      </c>
      <c r="B754" s="217" t="s">
        <v>260</v>
      </c>
      <c r="C754" s="228" t="s">
        <v>295</v>
      </c>
      <c r="D754" s="229" t="s">
        <v>108</v>
      </c>
      <c r="E754" s="255"/>
      <c r="F754" s="256" t="s">
        <v>273</v>
      </c>
      <c r="G754" s="256" t="s">
        <v>271</v>
      </c>
      <c r="H754" s="257" t="str">
        <f>IF(BASE_DATOS[[#This Row],[N-R]]="N",BASE_DATOS[[#This Row],[Diseño]],"Reencauche")</f>
        <v>XMULTI2D</v>
      </c>
      <c r="I754" s="256" t="s">
        <v>299</v>
      </c>
      <c r="J754" s="243" t="s">
        <v>72</v>
      </c>
      <c r="K754" s="258">
        <v>21.4</v>
      </c>
      <c r="L754" s="256">
        <v>110</v>
      </c>
      <c r="M754" s="259"/>
      <c r="N754" s="260"/>
      <c r="O754" s="277"/>
      <c r="P754" s="278"/>
      <c r="Q754" s="279"/>
      <c r="R754" s="309" t="s">
        <v>108</v>
      </c>
      <c r="S754" s="310">
        <v>45385</v>
      </c>
      <c r="T754" s="313"/>
      <c r="U754" s="279"/>
      <c r="V754" s="227">
        <v>20</v>
      </c>
      <c r="W754" s="281"/>
      <c r="X754" s="282">
        <v>20</v>
      </c>
      <c r="Y754" s="293">
        <f t="shared" si="31"/>
        <v>20</v>
      </c>
      <c r="Z754" s="175" t="s">
        <v>85</v>
      </c>
      <c r="AA754" s="342">
        <f>IFERROR(BASE_DATOS[[#This Row],[NSK Original]]-BASE_DATOS[[#This Row],[NSK]]," ")</f>
        <v>1.3999999999999986</v>
      </c>
      <c r="AB754" s="343">
        <f>'NSK-TRACTO'!$A$2</f>
        <v>6</v>
      </c>
      <c r="AC754" s="343">
        <f>IF(BASE_DATOS[[#This Row],[NSK]]&gt;=BASE_DATOS[[#This Row],[NSK Reen]],BASE_DATOS[[#This Row],[NSK Reen]],BASE_DATOS[[#This Row],[NSK]])</f>
        <v>6</v>
      </c>
      <c r="AD754" s="344">
        <f>IFERROR(100%-(BASE_DATOS[[#This Row],[NSK Reen]]/BASE_DATOS[[#This Row],[NSK Original]]),"")</f>
        <v>0.71962616822429903</v>
      </c>
      <c r="AE754" s="344">
        <f>IFERROR(100%-BASE_DATOS[[#This Row],[NSK]]/BASE_DATOS[[#This Row],[NSK Original]],"")</f>
        <v>6.5420560747663448E-2</v>
      </c>
      <c r="AF754" s="344">
        <f>IFERROR(BASE_DATOS[[#This Row],[% Max Des.]]-BASE_DATOS[[#This Row],[% Des]],"")</f>
        <v>0.65420560747663559</v>
      </c>
      <c r="AG754" s="287"/>
      <c r="AH754" s="273"/>
      <c r="AI754" s="363" t="str">
        <f>IF(OR(BASE_DATOS[[#This Row],[Hr.]]="",BASE_DATOS[[#This Row],[Hr. Actual]]=""),"",BASE_DATOS[[#This Row],[Hr. Actual]]-BASE_DATOS[[#This Row],[Hr.]]+BASE_DATOS[[#This Row],[Horas Acumuladas]])</f>
        <v/>
      </c>
      <c r="AJ754" s="364" t="str">
        <f>IFERROR(BASE_DATOS[[#This Row],[Precio US$]]/BASE_DATOS[[#This Row],[Horas Rodadas]],"")</f>
        <v/>
      </c>
      <c r="AK754" s="365" t="str">
        <f>IFERROR(BASE_DATOS[[#This Row],[Horas Rodadas]]/(BASE_DATOS[[#This Row],[NSK Original]]-BASE_DATOS[[#This Row],[NSK]]),"")</f>
        <v/>
      </c>
      <c r="AL75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54" s="366" t="str">
        <f>IFERROR(BASE_DATOS[[#This Row],[Precio US$]]/BASE_DATOS[[#This Row],[Horas Proy.]],"")</f>
        <v/>
      </c>
      <c r="AN754" s="176" t="str">
        <f>IF(OR(BASE_DATOS[[#This Row],[Km.]]="",BASE_DATOS[[#This Row],[Km. Actual]]=""),"",BASE_DATOS[[#This Row],[Km. Actual]]-BASE_DATOS[[#This Row],[Km.]]+BASE_DATOS[[#This Row],[Kilómetros Acumulados]])</f>
        <v/>
      </c>
      <c r="AO754" s="177" t="str">
        <f>IFERROR(BASE_DATOS[[#This Row],[Precio US$]]/BASE_DATOS[[#This Row],[Kilómetros Rodados]],"")</f>
        <v/>
      </c>
      <c r="AP754" s="176" t="str">
        <f>IFERROR(BASE_DATOS[[#This Row],[Kilómetros Rodados]]/(BASE_DATOS[[#This Row],[NSK Original]]-BASE_DATOS[[#This Row],[NSK]]),"")</f>
        <v/>
      </c>
      <c r="AQ75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54" s="177" t="str">
        <f>IFERROR(BASE_DATOS[[#This Row],[Precio US$]]/BASE_DATOS[[#This Row],[Kilómetros Proy.]],"")</f>
        <v/>
      </c>
      <c r="AS754" s="167" t="s">
        <v>62</v>
      </c>
      <c r="AT754" s="167"/>
      <c r="AU754" s="167"/>
      <c r="AV754" s="167"/>
      <c r="AW754" s="179"/>
      <c r="AX754" s="179"/>
      <c r="AY754" s="179" t="str">
        <f>CONCATENATE(BASE_DATOS[[#This Row],[Código_U]]&amp;BASE_DATOS[[#This Row],[Pos.]]&amp;BASE_DATOS[[#This Row],[Situación Actual]])</f>
        <v>SR-244RTRodando</v>
      </c>
    </row>
    <row r="755" spans="1:51" ht="12" x14ac:dyDescent="0.25">
      <c r="A755" s="222" t="s">
        <v>475</v>
      </c>
      <c r="B755" s="213" t="s">
        <v>261</v>
      </c>
      <c r="C755" s="225" t="s">
        <v>295</v>
      </c>
      <c r="D755" s="226" t="s">
        <v>87</v>
      </c>
      <c r="E755" s="249"/>
      <c r="F755" s="250" t="s">
        <v>97</v>
      </c>
      <c r="G755" s="250" t="s">
        <v>269</v>
      </c>
      <c r="H755" s="251" t="str">
        <f>IF(BASE_DATOS[[#This Row],[N-R]]="N",BASE_DATOS[[#This Row],[Diseño]],"Reencauche")</f>
        <v>AGC28</v>
      </c>
      <c r="I755" s="250" t="s">
        <v>270</v>
      </c>
      <c r="J755" s="235" t="s">
        <v>72</v>
      </c>
      <c r="K755" s="252">
        <v>16.5</v>
      </c>
      <c r="L755" s="250">
        <v>110</v>
      </c>
      <c r="M755" s="253"/>
      <c r="N755" s="254"/>
      <c r="O755" s="274"/>
      <c r="P755" s="275"/>
      <c r="Q755" s="276"/>
      <c r="R755" s="305" t="s">
        <v>98</v>
      </c>
      <c r="S755" s="306">
        <v>45386</v>
      </c>
      <c r="T755" s="314"/>
      <c r="U755" s="276"/>
      <c r="V755" s="224">
        <v>16</v>
      </c>
      <c r="W755" s="325">
        <v>16</v>
      </c>
      <c r="X755" s="326">
        <v>16</v>
      </c>
      <c r="Y755" s="292">
        <f t="shared" si="31"/>
        <v>16</v>
      </c>
      <c r="Z755" s="194" t="s">
        <v>85</v>
      </c>
      <c r="AA755" s="339">
        <f>IFERROR(BASE_DATOS[[#This Row],[NSK Original]]-BASE_DATOS[[#This Row],[NSK]]," ")</f>
        <v>0.5</v>
      </c>
      <c r="AB755" s="340">
        <f>'NSK-TRACTO'!$A$2</f>
        <v>6</v>
      </c>
      <c r="AC755" s="340">
        <f>IF(BASE_DATOS[[#This Row],[NSK]]&gt;=BASE_DATOS[[#This Row],[NSK Reen]],BASE_DATOS[[#This Row],[NSK Reen]],BASE_DATOS[[#This Row],[NSK]])</f>
        <v>6</v>
      </c>
      <c r="AD755" s="341">
        <f>IFERROR(100%-(BASE_DATOS[[#This Row],[NSK Reen]]/BASE_DATOS[[#This Row],[NSK Original]]),"")</f>
        <v>0.63636363636363635</v>
      </c>
      <c r="AE755" s="341">
        <f>IFERROR(100%-BASE_DATOS[[#This Row],[NSK]]/BASE_DATOS[[#This Row],[NSK Original]],"")</f>
        <v>3.0303030303030276E-2</v>
      </c>
      <c r="AF755" s="341">
        <f>IFERROR(BASE_DATOS[[#This Row],[% Max Des.]]-BASE_DATOS[[#This Row],[% Des]],"")</f>
        <v>0.60606060606060608</v>
      </c>
      <c r="AG755" s="284"/>
      <c r="AH755" s="335"/>
      <c r="AI755" s="359" t="str">
        <f>IF(OR(BASE_DATOS[[#This Row],[Hr.]]="",BASE_DATOS[[#This Row],[Hr. Actual]]=""),"",BASE_DATOS[[#This Row],[Hr. Actual]]-BASE_DATOS[[#This Row],[Hr.]]+BASE_DATOS[[#This Row],[Horas Acumuladas]])</f>
        <v/>
      </c>
      <c r="AJ755" s="360" t="str">
        <f>IFERROR(BASE_DATOS[[#This Row],[Precio US$]]/BASE_DATOS[[#This Row],[Horas Rodadas]],"")</f>
        <v/>
      </c>
      <c r="AK755" s="361" t="str">
        <f>IFERROR(BASE_DATOS[[#This Row],[Horas Rodadas]]/(BASE_DATOS[[#This Row],[NSK Original]]-BASE_DATOS[[#This Row],[NSK]]),"")</f>
        <v/>
      </c>
      <c r="AL755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55" s="362" t="str">
        <f>IFERROR(BASE_DATOS[[#This Row],[Precio US$]]/BASE_DATOS[[#This Row],[Horas Proy.]],"")</f>
        <v/>
      </c>
      <c r="AN755" s="195" t="str">
        <f>IF(OR(BASE_DATOS[[#This Row],[Km.]]="",BASE_DATOS[[#This Row],[Km. Actual]]=""),"",BASE_DATOS[[#This Row],[Km. Actual]]-BASE_DATOS[[#This Row],[Km.]]+BASE_DATOS[[#This Row],[Kilómetros Acumulados]])</f>
        <v/>
      </c>
      <c r="AO755" s="196" t="str">
        <f>IFERROR(BASE_DATOS[[#This Row],[Precio US$]]/BASE_DATOS[[#This Row],[Kilómetros Rodados]],"")</f>
        <v/>
      </c>
      <c r="AP755" s="195" t="str">
        <f>IFERROR(BASE_DATOS[[#This Row],[Kilómetros Rodados]]/(BASE_DATOS[[#This Row],[NSK Original]]-BASE_DATOS[[#This Row],[NSK]]),"")</f>
        <v/>
      </c>
      <c r="AQ755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55" s="196" t="str">
        <f>IFERROR(BASE_DATOS[[#This Row],[Precio US$]]/BASE_DATOS[[#This Row],[Kilómetros Proy.]],"")</f>
        <v/>
      </c>
      <c r="AS755" s="191" t="s">
        <v>62</v>
      </c>
      <c r="AT755" s="191"/>
      <c r="AU755" s="191"/>
      <c r="AV755" s="191"/>
      <c r="AW755" s="198"/>
      <c r="AX755" s="198"/>
      <c r="AY755" s="198" t="str">
        <f>CONCATENATE(BASE_DATOS[[#This Row],[Código_U]]&amp;BASE_DATOS[[#This Row],[Pos.]]&amp;BASE_DATOS[[#This Row],[Situación Actual]])</f>
        <v>SR-2261Rodando</v>
      </c>
    </row>
    <row r="756" spans="1:51" ht="12" x14ac:dyDescent="0.25">
      <c r="A756" s="223" t="s">
        <v>475</v>
      </c>
      <c r="B756" s="217" t="s">
        <v>261</v>
      </c>
      <c r="C756" s="228" t="s">
        <v>295</v>
      </c>
      <c r="D756" s="229" t="s">
        <v>87</v>
      </c>
      <c r="E756" s="255"/>
      <c r="F756" s="256" t="s">
        <v>97</v>
      </c>
      <c r="G756" s="256" t="s">
        <v>269</v>
      </c>
      <c r="H756" s="257" t="str">
        <f>IF(BASE_DATOS[[#This Row],[N-R]]="N",BASE_DATOS[[#This Row],[Diseño]],"Reencauche")</f>
        <v>AGC28</v>
      </c>
      <c r="I756" s="256" t="s">
        <v>270</v>
      </c>
      <c r="J756" s="243" t="s">
        <v>72</v>
      </c>
      <c r="K756" s="258">
        <v>16.5</v>
      </c>
      <c r="L756" s="256">
        <v>110</v>
      </c>
      <c r="M756" s="259"/>
      <c r="N756" s="260"/>
      <c r="O756" s="277"/>
      <c r="P756" s="278"/>
      <c r="Q756" s="279"/>
      <c r="R756" s="309" t="s">
        <v>99</v>
      </c>
      <c r="S756" s="310">
        <v>45386</v>
      </c>
      <c r="T756" s="313"/>
      <c r="U756" s="279"/>
      <c r="V756" s="227">
        <v>15</v>
      </c>
      <c r="W756" s="281">
        <v>15</v>
      </c>
      <c r="X756" s="282">
        <v>15</v>
      </c>
      <c r="Y756" s="293">
        <f t="shared" si="31"/>
        <v>15</v>
      </c>
      <c r="Z756" s="175" t="s">
        <v>85</v>
      </c>
      <c r="AA756" s="342">
        <f>IFERROR(BASE_DATOS[[#This Row],[NSK Original]]-BASE_DATOS[[#This Row],[NSK]]," ")</f>
        <v>1.5</v>
      </c>
      <c r="AB756" s="343">
        <f>'NSK-TRACTO'!$A$2</f>
        <v>6</v>
      </c>
      <c r="AC756" s="343">
        <f>IF(BASE_DATOS[[#This Row],[NSK]]&gt;=BASE_DATOS[[#This Row],[NSK Reen]],BASE_DATOS[[#This Row],[NSK Reen]],BASE_DATOS[[#This Row],[NSK]])</f>
        <v>6</v>
      </c>
      <c r="AD756" s="344">
        <f>IFERROR(100%-(BASE_DATOS[[#This Row],[NSK Reen]]/BASE_DATOS[[#This Row],[NSK Original]]),"")</f>
        <v>0.63636363636363635</v>
      </c>
      <c r="AE756" s="344">
        <f>IFERROR(100%-BASE_DATOS[[#This Row],[NSK]]/BASE_DATOS[[#This Row],[NSK Original]],"")</f>
        <v>9.0909090909090939E-2</v>
      </c>
      <c r="AF756" s="344">
        <f>IFERROR(BASE_DATOS[[#This Row],[% Max Des.]]-BASE_DATOS[[#This Row],[% Des]],"")</f>
        <v>0.54545454545454541</v>
      </c>
      <c r="AG756" s="287"/>
      <c r="AH756" s="273"/>
      <c r="AI756" s="363" t="str">
        <f>IF(OR(BASE_DATOS[[#This Row],[Hr.]]="",BASE_DATOS[[#This Row],[Hr. Actual]]=""),"",BASE_DATOS[[#This Row],[Hr. Actual]]-BASE_DATOS[[#This Row],[Hr.]]+BASE_DATOS[[#This Row],[Horas Acumuladas]])</f>
        <v/>
      </c>
      <c r="AJ756" s="364" t="str">
        <f>IFERROR(BASE_DATOS[[#This Row],[Precio US$]]/BASE_DATOS[[#This Row],[Horas Rodadas]],"")</f>
        <v/>
      </c>
      <c r="AK756" s="365" t="str">
        <f>IFERROR(BASE_DATOS[[#This Row],[Horas Rodadas]]/(BASE_DATOS[[#This Row],[NSK Original]]-BASE_DATOS[[#This Row],[NSK]]),"")</f>
        <v/>
      </c>
      <c r="AL75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56" s="366" t="str">
        <f>IFERROR(BASE_DATOS[[#This Row],[Precio US$]]/BASE_DATOS[[#This Row],[Horas Proy.]],"")</f>
        <v/>
      </c>
      <c r="AN756" s="176" t="str">
        <f>IF(OR(BASE_DATOS[[#This Row],[Km.]]="",BASE_DATOS[[#This Row],[Km. Actual]]=""),"",BASE_DATOS[[#This Row],[Km. Actual]]-BASE_DATOS[[#This Row],[Km.]]+BASE_DATOS[[#This Row],[Kilómetros Acumulados]])</f>
        <v/>
      </c>
      <c r="AO756" s="177" t="str">
        <f>IFERROR(BASE_DATOS[[#This Row],[Precio US$]]/BASE_DATOS[[#This Row],[Kilómetros Rodados]],"")</f>
        <v/>
      </c>
      <c r="AP756" s="176" t="str">
        <f>IFERROR(BASE_DATOS[[#This Row],[Kilómetros Rodados]]/(BASE_DATOS[[#This Row],[NSK Original]]-BASE_DATOS[[#This Row],[NSK]]),"")</f>
        <v/>
      </c>
      <c r="AQ75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56" s="177" t="str">
        <f>IFERROR(BASE_DATOS[[#This Row],[Precio US$]]/BASE_DATOS[[#This Row],[Kilómetros Proy.]],"")</f>
        <v/>
      </c>
      <c r="AS756" s="167" t="s">
        <v>62</v>
      </c>
      <c r="AT756" s="167"/>
      <c r="AU756" s="167"/>
      <c r="AV756" s="167"/>
      <c r="AW756" s="179"/>
      <c r="AX756" s="179"/>
      <c r="AY756" s="179" t="str">
        <f>CONCATENATE(BASE_DATOS[[#This Row],[Código_U]]&amp;BASE_DATOS[[#This Row],[Pos.]]&amp;BASE_DATOS[[#This Row],[Situación Actual]])</f>
        <v>SR-2262Rodando</v>
      </c>
    </row>
    <row r="757" spans="1:51" ht="12" x14ac:dyDescent="0.25">
      <c r="A757" s="223" t="s">
        <v>475</v>
      </c>
      <c r="B757" s="217" t="s">
        <v>261</v>
      </c>
      <c r="C757" s="228" t="s">
        <v>295</v>
      </c>
      <c r="D757" s="229" t="s">
        <v>87</v>
      </c>
      <c r="E757" s="255"/>
      <c r="F757" s="256" t="s">
        <v>97</v>
      </c>
      <c r="G757" s="256" t="s">
        <v>269</v>
      </c>
      <c r="H757" s="257" t="str">
        <f>IF(BASE_DATOS[[#This Row],[N-R]]="N",BASE_DATOS[[#This Row],[Diseño]],"Reencauche")</f>
        <v>AGC28</v>
      </c>
      <c r="I757" s="256" t="s">
        <v>270</v>
      </c>
      <c r="J757" s="243" t="s">
        <v>72</v>
      </c>
      <c r="K757" s="258">
        <v>16.5</v>
      </c>
      <c r="L757" s="256">
        <v>110</v>
      </c>
      <c r="M757" s="259"/>
      <c r="N757" s="260"/>
      <c r="O757" s="277"/>
      <c r="P757" s="278"/>
      <c r="Q757" s="279"/>
      <c r="R757" s="309" t="s">
        <v>100</v>
      </c>
      <c r="S757" s="310">
        <v>45386</v>
      </c>
      <c r="T757" s="313"/>
      <c r="U757" s="279"/>
      <c r="V757" s="227">
        <v>12</v>
      </c>
      <c r="W757" s="281">
        <v>12</v>
      </c>
      <c r="X757" s="282">
        <v>12</v>
      </c>
      <c r="Y757" s="293">
        <f t="shared" si="31"/>
        <v>12</v>
      </c>
      <c r="Z757" s="161" t="s">
        <v>73</v>
      </c>
      <c r="AA757" s="342">
        <f>IFERROR(BASE_DATOS[[#This Row],[NSK Original]]-BASE_DATOS[[#This Row],[NSK]]," ")</f>
        <v>4.5</v>
      </c>
      <c r="AB757" s="343">
        <f>'NSK-TRACTO'!$A$2</f>
        <v>6</v>
      </c>
      <c r="AC757" s="343">
        <f>IF(BASE_DATOS[[#This Row],[NSK]]&gt;=BASE_DATOS[[#This Row],[NSK Reen]],BASE_DATOS[[#This Row],[NSK Reen]],BASE_DATOS[[#This Row],[NSK]])</f>
        <v>6</v>
      </c>
      <c r="AD757" s="344">
        <f>IFERROR(100%-(BASE_DATOS[[#This Row],[NSK Reen]]/BASE_DATOS[[#This Row],[NSK Original]]),"")</f>
        <v>0.63636363636363635</v>
      </c>
      <c r="AE757" s="344">
        <f>IFERROR(100%-BASE_DATOS[[#This Row],[NSK]]/BASE_DATOS[[#This Row],[NSK Original]],"")</f>
        <v>0.27272727272727271</v>
      </c>
      <c r="AF757" s="344">
        <f>IFERROR(BASE_DATOS[[#This Row],[% Max Des.]]-BASE_DATOS[[#This Row],[% Des]],"")</f>
        <v>0.36363636363636365</v>
      </c>
      <c r="AG757" s="287"/>
      <c r="AH757" s="273"/>
      <c r="AI757" s="363" t="str">
        <f>IF(OR(BASE_DATOS[[#This Row],[Hr.]]="",BASE_DATOS[[#This Row],[Hr. Actual]]=""),"",BASE_DATOS[[#This Row],[Hr. Actual]]-BASE_DATOS[[#This Row],[Hr.]]+BASE_DATOS[[#This Row],[Horas Acumuladas]])</f>
        <v/>
      </c>
      <c r="AJ757" s="364" t="str">
        <f>IFERROR(BASE_DATOS[[#This Row],[Precio US$]]/BASE_DATOS[[#This Row],[Horas Rodadas]],"")</f>
        <v/>
      </c>
      <c r="AK757" s="365" t="str">
        <f>IFERROR(BASE_DATOS[[#This Row],[Horas Rodadas]]/(BASE_DATOS[[#This Row],[NSK Original]]-BASE_DATOS[[#This Row],[NSK]]),"")</f>
        <v/>
      </c>
      <c r="AL75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57" s="366" t="str">
        <f>IFERROR(BASE_DATOS[[#This Row],[Precio US$]]/BASE_DATOS[[#This Row],[Horas Proy.]],"")</f>
        <v/>
      </c>
      <c r="AN757" s="176" t="str">
        <f>IF(OR(BASE_DATOS[[#This Row],[Km.]]="",BASE_DATOS[[#This Row],[Km. Actual]]=""),"",BASE_DATOS[[#This Row],[Km. Actual]]-BASE_DATOS[[#This Row],[Km.]]+BASE_DATOS[[#This Row],[Kilómetros Acumulados]])</f>
        <v/>
      </c>
      <c r="AO757" s="177" t="str">
        <f>IFERROR(BASE_DATOS[[#This Row],[Precio US$]]/BASE_DATOS[[#This Row],[Kilómetros Rodados]],"")</f>
        <v/>
      </c>
      <c r="AP757" s="176" t="str">
        <f>IFERROR(BASE_DATOS[[#This Row],[Kilómetros Rodados]]/(BASE_DATOS[[#This Row],[NSK Original]]-BASE_DATOS[[#This Row],[NSK]]),"")</f>
        <v/>
      </c>
      <c r="AQ75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57" s="177" t="str">
        <f>IFERROR(BASE_DATOS[[#This Row],[Precio US$]]/BASE_DATOS[[#This Row],[Kilómetros Proy.]],"")</f>
        <v/>
      </c>
      <c r="AS757" s="167" t="s">
        <v>62</v>
      </c>
      <c r="AT757" s="167"/>
      <c r="AU757" s="167"/>
      <c r="AV757" s="167"/>
      <c r="AW757" s="179"/>
      <c r="AX757" s="179"/>
      <c r="AY757" s="179" t="str">
        <f>CONCATENATE(BASE_DATOS[[#This Row],[Código_U]]&amp;BASE_DATOS[[#This Row],[Pos.]]&amp;BASE_DATOS[[#This Row],[Situación Actual]])</f>
        <v>SR-2263Rodando</v>
      </c>
    </row>
    <row r="758" spans="1:51" ht="12" x14ac:dyDescent="0.25">
      <c r="A758" s="223" t="s">
        <v>475</v>
      </c>
      <c r="B758" s="217" t="s">
        <v>261</v>
      </c>
      <c r="C758" s="228" t="s">
        <v>295</v>
      </c>
      <c r="D758" s="229" t="s">
        <v>87</v>
      </c>
      <c r="E758" s="255"/>
      <c r="F758" s="256" t="s">
        <v>97</v>
      </c>
      <c r="G758" s="256" t="s">
        <v>269</v>
      </c>
      <c r="H758" s="257" t="str">
        <f>IF(BASE_DATOS[[#This Row],[N-R]]="N",BASE_DATOS[[#This Row],[Diseño]],"Reencauche")</f>
        <v>AGC28</v>
      </c>
      <c r="I758" s="256" t="s">
        <v>270</v>
      </c>
      <c r="J758" s="243" t="s">
        <v>72</v>
      </c>
      <c r="K758" s="258">
        <v>16.5</v>
      </c>
      <c r="L758" s="256">
        <v>110</v>
      </c>
      <c r="M758" s="259"/>
      <c r="N758" s="260"/>
      <c r="O758" s="277"/>
      <c r="P758" s="278"/>
      <c r="Q758" s="279"/>
      <c r="R758" s="309" t="s">
        <v>101</v>
      </c>
      <c r="S758" s="310">
        <v>45386</v>
      </c>
      <c r="T758" s="313"/>
      <c r="U758" s="279"/>
      <c r="V758" s="227">
        <v>11</v>
      </c>
      <c r="W758" s="281">
        <v>11</v>
      </c>
      <c r="X758" s="282">
        <v>11</v>
      </c>
      <c r="Y758" s="293">
        <f t="shared" si="31"/>
        <v>11</v>
      </c>
      <c r="Z758" s="175" t="s">
        <v>85</v>
      </c>
      <c r="AA758" s="342">
        <f>IFERROR(BASE_DATOS[[#This Row],[NSK Original]]-BASE_DATOS[[#This Row],[NSK]]," ")</f>
        <v>5.5</v>
      </c>
      <c r="AB758" s="343">
        <f>'NSK-TRACTO'!$A$2</f>
        <v>6</v>
      </c>
      <c r="AC758" s="343">
        <f>IF(BASE_DATOS[[#This Row],[NSK]]&gt;=BASE_DATOS[[#This Row],[NSK Reen]],BASE_DATOS[[#This Row],[NSK Reen]],BASE_DATOS[[#This Row],[NSK]])</f>
        <v>6</v>
      </c>
      <c r="AD758" s="344">
        <f>IFERROR(100%-(BASE_DATOS[[#This Row],[NSK Reen]]/BASE_DATOS[[#This Row],[NSK Original]]),"")</f>
        <v>0.63636363636363635</v>
      </c>
      <c r="AE758" s="344">
        <f>IFERROR(100%-BASE_DATOS[[#This Row],[NSK]]/BASE_DATOS[[#This Row],[NSK Original]],"")</f>
        <v>0.33333333333333337</v>
      </c>
      <c r="AF758" s="344">
        <f>IFERROR(BASE_DATOS[[#This Row],[% Max Des.]]-BASE_DATOS[[#This Row],[% Des]],"")</f>
        <v>0.30303030303030298</v>
      </c>
      <c r="AG758" s="287"/>
      <c r="AH758" s="273"/>
      <c r="AI758" s="363" t="str">
        <f>IF(OR(BASE_DATOS[[#This Row],[Hr.]]="",BASE_DATOS[[#This Row],[Hr. Actual]]=""),"",BASE_DATOS[[#This Row],[Hr. Actual]]-BASE_DATOS[[#This Row],[Hr.]]+BASE_DATOS[[#This Row],[Horas Acumuladas]])</f>
        <v/>
      </c>
      <c r="AJ758" s="364" t="str">
        <f>IFERROR(BASE_DATOS[[#This Row],[Precio US$]]/BASE_DATOS[[#This Row],[Horas Rodadas]],"")</f>
        <v/>
      </c>
      <c r="AK758" s="365" t="str">
        <f>IFERROR(BASE_DATOS[[#This Row],[Horas Rodadas]]/(BASE_DATOS[[#This Row],[NSK Original]]-BASE_DATOS[[#This Row],[NSK]]),"")</f>
        <v/>
      </c>
      <c r="AL75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58" s="366" t="str">
        <f>IFERROR(BASE_DATOS[[#This Row],[Precio US$]]/BASE_DATOS[[#This Row],[Horas Proy.]],"")</f>
        <v/>
      </c>
      <c r="AN758" s="176" t="str">
        <f>IF(OR(BASE_DATOS[[#This Row],[Km.]]="",BASE_DATOS[[#This Row],[Km. Actual]]=""),"",BASE_DATOS[[#This Row],[Km. Actual]]-BASE_DATOS[[#This Row],[Km.]]+BASE_DATOS[[#This Row],[Kilómetros Acumulados]])</f>
        <v/>
      </c>
      <c r="AO758" s="177" t="str">
        <f>IFERROR(BASE_DATOS[[#This Row],[Precio US$]]/BASE_DATOS[[#This Row],[Kilómetros Rodados]],"")</f>
        <v/>
      </c>
      <c r="AP758" s="176" t="str">
        <f>IFERROR(BASE_DATOS[[#This Row],[Kilómetros Rodados]]/(BASE_DATOS[[#This Row],[NSK Original]]-BASE_DATOS[[#This Row],[NSK]]),"")</f>
        <v/>
      </c>
      <c r="AQ75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58" s="177" t="str">
        <f>IFERROR(BASE_DATOS[[#This Row],[Precio US$]]/BASE_DATOS[[#This Row],[Kilómetros Proy.]],"")</f>
        <v/>
      </c>
      <c r="AS758" s="167" t="s">
        <v>62</v>
      </c>
      <c r="AT758" s="167"/>
      <c r="AU758" s="167"/>
      <c r="AV758" s="167"/>
      <c r="AW758" s="179"/>
      <c r="AX758" s="179"/>
      <c r="AY758" s="179" t="str">
        <f>CONCATENATE(BASE_DATOS[[#This Row],[Código_U]]&amp;BASE_DATOS[[#This Row],[Pos.]]&amp;BASE_DATOS[[#This Row],[Situación Actual]])</f>
        <v>SR-2264Rodando</v>
      </c>
    </row>
    <row r="759" spans="1:51" ht="12" x14ac:dyDescent="0.25">
      <c r="A759" s="223" t="s">
        <v>475</v>
      </c>
      <c r="B759" s="217" t="s">
        <v>261</v>
      </c>
      <c r="C759" s="228" t="s">
        <v>295</v>
      </c>
      <c r="D759" s="229" t="s">
        <v>87</v>
      </c>
      <c r="E759" s="255"/>
      <c r="F759" s="256" t="s">
        <v>278</v>
      </c>
      <c r="G759" s="256" t="s">
        <v>269</v>
      </c>
      <c r="H759" s="257" t="str">
        <f>IF(BASE_DATOS[[#This Row],[N-R]]="N",BASE_DATOS[[#This Row],[Diseño]],"Reencauche")</f>
        <v>HTC1</v>
      </c>
      <c r="I759" s="256" t="s">
        <v>358</v>
      </c>
      <c r="J759" s="243" t="s">
        <v>72</v>
      </c>
      <c r="K759" s="258">
        <v>18</v>
      </c>
      <c r="L759" s="256">
        <v>110</v>
      </c>
      <c r="M759" s="259"/>
      <c r="N759" s="260"/>
      <c r="O759" s="277"/>
      <c r="P759" s="278"/>
      <c r="Q759" s="279"/>
      <c r="R759" s="309" t="s">
        <v>102</v>
      </c>
      <c r="S759" s="310">
        <v>45386</v>
      </c>
      <c r="T759" s="313"/>
      <c r="U759" s="279"/>
      <c r="V759" s="227">
        <v>14</v>
      </c>
      <c r="W759" s="281">
        <v>16</v>
      </c>
      <c r="X759" s="282">
        <v>14</v>
      </c>
      <c r="Y759" s="293">
        <f t="shared" si="31"/>
        <v>14</v>
      </c>
      <c r="Z759" s="175" t="s">
        <v>85</v>
      </c>
      <c r="AA759" s="342">
        <f>IFERROR(BASE_DATOS[[#This Row],[NSK Original]]-BASE_DATOS[[#This Row],[NSK]]," ")</f>
        <v>4</v>
      </c>
      <c r="AB759" s="343">
        <f>'NSK-TRACTO'!$A$2</f>
        <v>6</v>
      </c>
      <c r="AC759" s="343">
        <f>IF(BASE_DATOS[[#This Row],[NSK]]&gt;=BASE_DATOS[[#This Row],[NSK Reen]],BASE_DATOS[[#This Row],[NSK Reen]],BASE_DATOS[[#This Row],[NSK]])</f>
        <v>6</v>
      </c>
      <c r="AD759" s="344">
        <f>IFERROR(100%-(BASE_DATOS[[#This Row],[NSK Reen]]/BASE_DATOS[[#This Row],[NSK Original]]),"")</f>
        <v>0.66666666666666674</v>
      </c>
      <c r="AE759" s="344">
        <f>IFERROR(100%-BASE_DATOS[[#This Row],[NSK]]/BASE_DATOS[[#This Row],[NSK Original]],"")</f>
        <v>0.22222222222222221</v>
      </c>
      <c r="AF759" s="344">
        <f>IFERROR(BASE_DATOS[[#This Row],[% Max Des.]]-BASE_DATOS[[#This Row],[% Des]],"")</f>
        <v>0.44444444444444453</v>
      </c>
      <c r="AG759" s="287"/>
      <c r="AH759" s="273"/>
      <c r="AI759" s="363" t="str">
        <f>IF(OR(BASE_DATOS[[#This Row],[Hr.]]="",BASE_DATOS[[#This Row],[Hr. Actual]]=""),"",BASE_DATOS[[#This Row],[Hr. Actual]]-BASE_DATOS[[#This Row],[Hr.]]+BASE_DATOS[[#This Row],[Horas Acumuladas]])</f>
        <v/>
      </c>
      <c r="AJ759" s="364" t="str">
        <f>IFERROR(BASE_DATOS[[#This Row],[Precio US$]]/BASE_DATOS[[#This Row],[Horas Rodadas]],"")</f>
        <v/>
      </c>
      <c r="AK759" s="365" t="str">
        <f>IFERROR(BASE_DATOS[[#This Row],[Horas Rodadas]]/(BASE_DATOS[[#This Row],[NSK Original]]-BASE_DATOS[[#This Row],[NSK]]),"")</f>
        <v/>
      </c>
      <c r="AL75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59" s="366" t="str">
        <f>IFERROR(BASE_DATOS[[#This Row],[Precio US$]]/BASE_DATOS[[#This Row],[Horas Proy.]],"")</f>
        <v/>
      </c>
      <c r="AN759" s="176" t="str">
        <f>IF(OR(BASE_DATOS[[#This Row],[Km.]]="",BASE_DATOS[[#This Row],[Km. Actual]]=""),"",BASE_DATOS[[#This Row],[Km. Actual]]-BASE_DATOS[[#This Row],[Km.]]+BASE_DATOS[[#This Row],[Kilómetros Acumulados]])</f>
        <v/>
      </c>
      <c r="AO759" s="177" t="str">
        <f>IFERROR(BASE_DATOS[[#This Row],[Precio US$]]/BASE_DATOS[[#This Row],[Kilómetros Rodados]],"")</f>
        <v/>
      </c>
      <c r="AP759" s="176" t="str">
        <f>IFERROR(BASE_DATOS[[#This Row],[Kilómetros Rodados]]/(BASE_DATOS[[#This Row],[NSK Original]]-BASE_DATOS[[#This Row],[NSK]]),"")</f>
        <v/>
      </c>
      <c r="AQ75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59" s="177" t="str">
        <f>IFERROR(BASE_DATOS[[#This Row],[Precio US$]]/BASE_DATOS[[#This Row],[Kilómetros Proy.]],"")</f>
        <v/>
      </c>
      <c r="AS759" s="167" t="s">
        <v>62</v>
      </c>
      <c r="AT759" s="167"/>
      <c r="AU759" s="167"/>
      <c r="AV759" s="167"/>
      <c r="AW759" s="179"/>
      <c r="AX759" s="179"/>
      <c r="AY759" s="179" t="str">
        <f>CONCATENATE(BASE_DATOS[[#This Row],[Código_U]]&amp;BASE_DATOS[[#This Row],[Pos.]]&amp;BASE_DATOS[[#This Row],[Situación Actual]])</f>
        <v>SR-2265Rodando</v>
      </c>
    </row>
    <row r="760" spans="1:51" ht="12" x14ac:dyDescent="0.25">
      <c r="A760" s="223" t="s">
        <v>475</v>
      </c>
      <c r="B760" s="217" t="s">
        <v>261</v>
      </c>
      <c r="C760" s="228" t="s">
        <v>295</v>
      </c>
      <c r="D760" s="229" t="s">
        <v>87</v>
      </c>
      <c r="E760" s="255"/>
      <c r="F760" s="256" t="s">
        <v>278</v>
      </c>
      <c r="G760" s="256" t="s">
        <v>269</v>
      </c>
      <c r="H760" s="257" t="str">
        <f>IF(BASE_DATOS[[#This Row],[N-R]]="N",BASE_DATOS[[#This Row],[Diseño]],"Reencauche")</f>
        <v>HTC1</v>
      </c>
      <c r="I760" s="256" t="s">
        <v>358</v>
      </c>
      <c r="J760" s="243" t="s">
        <v>72</v>
      </c>
      <c r="K760" s="258">
        <v>18</v>
      </c>
      <c r="L760" s="256">
        <v>110</v>
      </c>
      <c r="M760" s="259"/>
      <c r="N760" s="260"/>
      <c r="O760" s="277"/>
      <c r="P760" s="278"/>
      <c r="Q760" s="279"/>
      <c r="R760" s="309" t="s">
        <v>103</v>
      </c>
      <c r="S760" s="310">
        <v>45386</v>
      </c>
      <c r="T760" s="313"/>
      <c r="U760" s="279"/>
      <c r="V760" s="227">
        <v>15</v>
      </c>
      <c r="W760" s="281">
        <v>16</v>
      </c>
      <c r="X760" s="282">
        <v>15</v>
      </c>
      <c r="Y760" s="293">
        <f t="shared" si="31"/>
        <v>15</v>
      </c>
      <c r="Z760" s="175" t="s">
        <v>85</v>
      </c>
      <c r="AA760" s="342">
        <f>IFERROR(BASE_DATOS[[#This Row],[NSK Original]]-BASE_DATOS[[#This Row],[NSK]]," ")</f>
        <v>3</v>
      </c>
      <c r="AB760" s="343">
        <f>'NSK-TRACTO'!$A$2</f>
        <v>6</v>
      </c>
      <c r="AC760" s="343">
        <f>IF(BASE_DATOS[[#This Row],[NSK]]&gt;=BASE_DATOS[[#This Row],[NSK Reen]],BASE_DATOS[[#This Row],[NSK Reen]],BASE_DATOS[[#This Row],[NSK]])</f>
        <v>6</v>
      </c>
      <c r="AD760" s="344">
        <f>IFERROR(100%-(BASE_DATOS[[#This Row],[NSK Reen]]/BASE_DATOS[[#This Row],[NSK Original]]),"")</f>
        <v>0.66666666666666674</v>
      </c>
      <c r="AE760" s="344">
        <f>IFERROR(100%-BASE_DATOS[[#This Row],[NSK]]/BASE_DATOS[[#This Row],[NSK Original]],"")</f>
        <v>0.16666666666666663</v>
      </c>
      <c r="AF760" s="344">
        <f>IFERROR(BASE_DATOS[[#This Row],[% Max Des.]]-BASE_DATOS[[#This Row],[% Des]],"")</f>
        <v>0.50000000000000011</v>
      </c>
      <c r="AG760" s="287"/>
      <c r="AH760" s="273"/>
      <c r="AI760" s="363" t="str">
        <f>IF(OR(BASE_DATOS[[#This Row],[Hr.]]="",BASE_DATOS[[#This Row],[Hr. Actual]]=""),"",BASE_DATOS[[#This Row],[Hr. Actual]]-BASE_DATOS[[#This Row],[Hr.]]+BASE_DATOS[[#This Row],[Horas Acumuladas]])</f>
        <v/>
      </c>
      <c r="AJ760" s="364" t="str">
        <f>IFERROR(BASE_DATOS[[#This Row],[Precio US$]]/BASE_DATOS[[#This Row],[Horas Rodadas]],"")</f>
        <v/>
      </c>
      <c r="AK760" s="365" t="str">
        <f>IFERROR(BASE_DATOS[[#This Row],[Horas Rodadas]]/(BASE_DATOS[[#This Row],[NSK Original]]-BASE_DATOS[[#This Row],[NSK]]),"")</f>
        <v/>
      </c>
      <c r="AL76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60" s="366" t="str">
        <f>IFERROR(BASE_DATOS[[#This Row],[Precio US$]]/BASE_DATOS[[#This Row],[Horas Proy.]],"")</f>
        <v/>
      </c>
      <c r="AN760" s="176" t="str">
        <f>IF(OR(BASE_DATOS[[#This Row],[Km.]]="",BASE_DATOS[[#This Row],[Km. Actual]]=""),"",BASE_DATOS[[#This Row],[Km. Actual]]-BASE_DATOS[[#This Row],[Km.]]+BASE_DATOS[[#This Row],[Kilómetros Acumulados]])</f>
        <v/>
      </c>
      <c r="AO760" s="177" t="str">
        <f>IFERROR(BASE_DATOS[[#This Row],[Precio US$]]/BASE_DATOS[[#This Row],[Kilómetros Rodados]],"")</f>
        <v/>
      </c>
      <c r="AP760" s="176" t="str">
        <f>IFERROR(BASE_DATOS[[#This Row],[Kilómetros Rodados]]/(BASE_DATOS[[#This Row],[NSK Original]]-BASE_DATOS[[#This Row],[NSK]]),"")</f>
        <v/>
      </c>
      <c r="AQ76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60" s="177" t="str">
        <f>IFERROR(BASE_DATOS[[#This Row],[Precio US$]]/BASE_DATOS[[#This Row],[Kilómetros Proy.]],"")</f>
        <v/>
      </c>
      <c r="AS760" s="167" t="s">
        <v>62</v>
      </c>
      <c r="AT760" s="167"/>
      <c r="AU760" s="167"/>
      <c r="AV760" s="167"/>
      <c r="AW760" s="179"/>
      <c r="AX760" s="179"/>
      <c r="AY760" s="179" t="str">
        <f>CONCATENATE(BASE_DATOS[[#This Row],[Código_U]]&amp;BASE_DATOS[[#This Row],[Pos.]]&amp;BASE_DATOS[[#This Row],[Situación Actual]])</f>
        <v>SR-2266Rodando</v>
      </c>
    </row>
    <row r="761" spans="1:51" ht="12" x14ac:dyDescent="0.25">
      <c r="A761" s="223" t="s">
        <v>475</v>
      </c>
      <c r="B761" s="217" t="s">
        <v>261</v>
      </c>
      <c r="C761" s="228" t="s">
        <v>295</v>
      </c>
      <c r="D761" s="229" t="s">
        <v>384</v>
      </c>
      <c r="E761" s="255"/>
      <c r="F761" s="256" t="s">
        <v>97</v>
      </c>
      <c r="G761" s="256" t="s">
        <v>269</v>
      </c>
      <c r="H761" s="257" t="str">
        <f>IF(BASE_DATOS[[#This Row],[N-R]]="N",BASE_DATOS[[#This Row],[Diseño]],"Reencauche")</f>
        <v>AGC28</v>
      </c>
      <c r="I761" s="256" t="s">
        <v>270</v>
      </c>
      <c r="J761" s="243" t="s">
        <v>72</v>
      </c>
      <c r="K761" s="258">
        <v>16.5</v>
      </c>
      <c r="L761" s="256">
        <v>110</v>
      </c>
      <c r="M761" s="259"/>
      <c r="N761" s="260"/>
      <c r="O761" s="277"/>
      <c r="P761" s="278"/>
      <c r="Q761" s="279"/>
      <c r="R761" s="309" t="s">
        <v>509</v>
      </c>
      <c r="S761" s="310">
        <v>45386</v>
      </c>
      <c r="T761" s="313"/>
      <c r="U761" s="279"/>
      <c r="V761" s="227">
        <v>13</v>
      </c>
      <c r="W761" s="281">
        <v>13</v>
      </c>
      <c r="X761" s="282">
        <v>13</v>
      </c>
      <c r="Y761" s="293">
        <f t="shared" si="31"/>
        <v>13</v>
      </c>
      <c r="Z761" s="175" t="s">
        <v>85</v>
      </c>
      <c r="AA761" s="342">
        <f>IFERROR(BASE_DATOS[[#This Row],[NSK Original]]-BASE_DATOS[[#This Row],[NSK]]," ")</f>
        <v>3.5</v>
      </c>
      <c r="AB761" s="343">
        <f>'NSK-TRACTO'!$A$2</f>
        <v>6</v>
      </c>
      <c r="AC761" s="343">
        <f>IF(BASE_DATOS[[#This Row],[NSK]]&gt;=BASE_DATOS[[#This Row],[NSK Reen]],BASE_DATOS[[#This Row],[NSK Reen]],BASE_DATOS[[#This Row],[NSK]])</f>
        <v>6</v>
      </c>
      <c r="AD761" s="344">
        <f>IFERROR(100%-(BASE_DATOS[[#This Row],[NSK Reen]]/BASE_DATOS[[#This Row],[NSK Original]]),"")</f>
        <v>0.63636363636363635</v>
      </c>
      <c r="AE761" s="344">
        <f>IFERROR(100%-BASE_DATOS[[#This Row],[NSK]]/BASE_DATOS[[#This Row],[NSK Original]],"")</f>
        <v>0.21212121212121215</v>
      </c>
      <c r="AF761" s="344">
        <f>IFERROR(BASE_DATOS[[#This Row],[% Max Des.]]-BASE_DATOS[[#This Row],[% Des]],"")</f>
        <v>0.4242424242424242</v>
      </c>
      <c r="AG761" s="287"/>
      <c r="AH761" s="273"/>
      <c r="AI761" s="363" t="str">
        <f>IF(OR(BASE_DATOS[[#This Row],[Hr.]]="",BASE_DATOS[[#This Row],[Hr. Actual]]=""),"",BASE_DATOS[[#This Row],[Hr. Actual]]-BASE_DATOS[[#This Row],[Hr.]]+BASE_DATOS[[#This Row],[Horas Acumuladas]])</f>
        <v/>
      </c>
      <c r="AJ761" s="364" t="str">
        <f>IFERROR(BASE_DATOS[[#This Row],[Precio US$]]/BASE_DATOS[[#This Row],[Horas Rodadas]],"")</f>
        <v/>
      </c>
      <c r="AK761" s="365" t="str">
        <f>IFERROR(BASE_DATOS[[#This Row],[Horas Rodadas]]/(BASE_DATOS[[#This Row],[NSK Original]]-BASE_DATOS[[#This Row],[NSK]]),"")</f>
        <v/>
      </c>
      <c r="AL76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61" s="366" t="str">
        <f>IFERROR(BASE_DATOS[[#This Row],[Precio US$]]/BASE_DATOS[[#This Row],[Horas Proy.]],"")</f>
        <v/>
      </c>
      <c r="AN761" s="176" t="str">
        <f>IF(OR(BASE_DATOS[[#This Row],[Km.]]="",BASE_DATOS[[#This Row],[Km. Actual]]=""),"",BASE_DATOS[[#This Row],[Km. Actual]]-BASE_DATOS[[#This Row],[Km.]]+BASE_DATOS[[#This Row],[Kilómetros Acumulados]])</f>
        <v/>
      </c>
      <c r="AO761" s="177" t="str">
        <f>IFERROR(BASE_DATOS[[#This Row],[Precio US$]]/BASE_DATOS[[#This Row],[Kilómetros Rodados]],"")</f>
        <v/>
      </c>
      <c r="AP761" s="176" t="str">
        <f>IFERROR(BASE_DATOS[[#This Row],[Kilómetros Rodados]]/(BASE_DATOS[[#This Row],[NSK Original]]-BASE_DATOS[[#This Row],[NSK]]),"")</f>
        <v/>
      </c>
      <c r="AQ76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61" s="177" t="str">
        <f>IFERROR(BASE_DATOS[[#This Row],[Precio US$]]/BASE_DATOS[[#This Row],[Kilómetros Proy.]],"")</f>
        <v/>
      </c>
      <c r="AS761" s="167" t="s">
        <v>62</v>
      </c>
      <c r="AT761" s="167"/>
      <c r="AU761" s="167"/>
      <c r="AV761" s="167"/>
      <c r="AW761" s="179"/>
      <c r="AX761" s="179"/>
      <c r="AY761" s="179" t="str">
        <f>CONCATENATE(BASE_DATOS[[#This Row],[Código_U]]&amp;BASE_DATOS[[#This Row],[Pos.]]&amp;BASE_DATOS[[#This Row],[Situación Actual]])</f>
        <v>SR-226RERodando</v>
      </c>
    </row>
    <row r="762" spans="1:51" ht="12" x14ac:dyDescent="0.25">
      <c r="A762" s="223" t="s">
        <v>475</v>
      </c>
      <c r="B762" s="217" t="s">
        <v>261</v>
      </c>
      <c r="C762" s="228" t="s">
        <v>295</v>
      </c>
      <c r="D762" s="229" t="s">
        <v>108</v>
      </c>
      <c r="E762" s="255"/>
      <c r="F762" s="256" t="s">
        <v>273</v>
      </c>
      <c r="G762" s="256" t="s">
        <v>271</v>
      </c>
      <c r="H762" s="257" t="str">
        <f>IF(BASE_DATOS[[#This Row],[N-R]]="N",BASE_DATOS[[#This Row],[Diseño]],"Reencauche")</f>
        <v>XMULTI2D</v>
      </c>
      <c r="I762" s="256" t="s">
        <v>299</v>
      </c>
      <c r="J762" s="243" t="s">
        <v>72</v>
      </c>
      <c r="K762" s="258">
        <v>21.4</v>
      </c>
      <c r="L762" s="256">
        <v>110</v>
      </c>
      <c r="M762" s="259"/>
      <c r="N762" s="260"/>
      <c r="O762" s="277"/>
      <c r="P762" s="278"/>
      <c r="Q762" s="279"/>
      <c r="R762" s="309" t="s">
        <v>108</v>
      </c>
      <c r="S762" s="310">
        <v>45386</v>
      </c>
      <c r="T762" s="313"/>
      <c r="U762" s="279"/>
      <c r="V762" s="227">
        <v>20</v>
      </c>
      <c r="W762" s="281"/>
      <c r="X762" s="282">
        <v>20</v>
      </c>
      <c r="Y762" s="293">
        <f t="shared" si="31"/>
        <v>20</v>
      </c>
      <c r="Z762" s="175" t="s">
        <v>85</v>
      </c>
      <c r="AA762" s="342">
        <f>IFERROR(BASE_DATOS[[#This Row],[NSK Original]]-BASE_DATOS[[#This Row],[NSK]]," ")</f>
        <v>1.3999999999999986</v>
      </c>
      <c r="AB762" s="343">
        <f>'NSK-TRACTO'!$A$2</f>
        <v>6</v>
      </c>
      <c r="AC762" s="343">
        <f>IF(BASE_DATOS[[#This Row],[NSK]]&gt;=BASE_DATOS[[#This Row],[NSK Reen]],BASE_DATOS[[#This Row],[NSK Reen]],BASE_DATOS[[#This Row],[NSK]])</f>
        <v>6</v>
      </c>
      <c r="AD762" s="344">
        <f>IFERROR(100%-(BASE_DATOS[[#This Row],[NSK Reen]]/BASE_DATOS[[#This Row],[NSK Original]]),"")</f>
        <v>0.71962616822429903</v>
      </c>
      <c r="AE762" s="344">
        <f>IFERROR(100%-BASE_DATOS[[#This Row],[NSK]]/BASE_DATOS[[#This Row],[NSK Original]],"")</f>
        <v>6.5420560747663448E-2</v>
      </c>
      <c r="AF762" s="344">
        <f>IFERROR(BASE_DATOS[[#This Row],[% Max Des.]]-BASE_DATOS[[#This Row],[% Des]],"")</f>
        <v>0.65420560747663559</v>
      </c>
      <c r="AG762" s="287"/>
      <c r="AH762" s="273"/>
      <c r="AI762" s="363" t="str">
        <f>IF(OR(BASE_DATOS[[#This Row],[Hr.]]="",BASE_DATOS[[#This Row],[Hr. Actual]]=""),"",BASE_DATOS[[#This Row],[Hr. Actual]]-BASE_DATOS[[#This Row],[Hr.]]+BASE_DATOS[[#This Row],[Horas Acumuladas]])</f>
        <v/>
      </c>
      <c r="AJ762" s="364" t="str">
        <f>IFERROR(BASE_DATOS[[#This Row],[Precio US$]]/BASE_DATOS[[#This Row],[Horas Rodadas]],"")</f>
        <v/>
      </c>
      <c r="AK762" s="365" t="str">
        <f>IFERROR(BASE_DATOS[[#This Row],[Horas Rodadas]]/(BASE_DATOS[[#This Row],[NSK Original]]-BASE_DATOS[[#This Row],[NSK]]),"")</f>
        <v/>
      </c>
      <c r="AL76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62" s="366" t="str">
        <f>IFERROR(BASE_DATOS[[#This Row],[Precio US$]]/BASE_DATOS[[#This Row],[Horas Proy.]],"")</f>
        <v/>
      </c>
      <c r="AN762" s="176" t="str">
        <f>IF(OR(BASE_DATOS[[#This Row],[Km.]]="",BASE_DATOS[[#This Row],[Km. Actual]]=""),"",BASE_DATOS[[#This Row],[Km. Actual]]-BASE_DATOS[[#This Row],[Km.]]+BASE_DATOS[[#This Row],[Kilómetros Acumulados]])</f>
        <v/>
      </c>
      <c r="AO762" s="177" t="str">
        <f>IFERROR(BASE_DATOS[[#This Row],[Precio US$]]/BASE_DATOS[[#This Row],[Kilómetros Rodados]],"")</f>
        <v/>
      </c>
      <c r="AP762" s="176" t="str">
        <f>IFERROR(BASE_DATOS[[#This Row],[Kilómetros Rodados]]/(BASE_DATOS[[#This Row],[NSK Original]]-BASE_DATOS[[#This Row],[NSK]]),"")</f>
        <v/>
      </c>
      <c r="AQ76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62" s="177" t="str">
        <f>IFERROR(BASE_DATOS[[#This Row],[Precio US$]]/BASE_DATOS[[#This Row],[Kilómetros Proy.]],"")</f>
        <v/>
      </c>
      <c r="AS762" s="167" t="s">
        <v>62</v>
      </c>
      <c r="AT762" s="167"/>
      <c r="AU762" s="167"/>
      <c r="AV762" s="167"/>
      <c r="AW762" s="179"/>
      <c r="AX762" s="179"/>
      <c r="AY762" s="179" t="str">
        <f>CONCATENATE(BASE_DATOS[[#This Row],[Código_U]]&amp;BASE_DATOS[[#This Row],[Pos.]]&amp;BASE_DATOS[[#This Row],[Situación Actual]])</f>
        <v>SR-226RTRodando</v>
      </c>
    </row>
    <row r="763" spans="1:51" ht="12" x14ac:dyDescent="0.25">
      <c r="A763" s="222" t="s">
        <v>464</v>
      </c>
      <c r="B763" s="213" t="s">
        <v>262</v>
      </c>
      <c r="C763" s="225" t="s">
        <v>295</v>
      </c>
      <c r="D763" s="226" t="s">
        <v>87</v>
      </c>
      <c r="E763" s="249"/>
      <c r="F763" s="250" t="s">
        <v>97</v>
      </c>
      <c r="G763" s="250" t="s">
        <v>269</v>
      </c>
      <c r="H763" s="251" t="str">
        <f>IF(BASE_DATOS[[#This Row],[N-R]]="N",BASE_DATOS[[#This Row],[Diseño]],"Reencauche")</f>
        <v>AGC28</v>
      </c>
      <c r="I763" s="250" t="s">
        <v>270</v>
      </c>
      <c r="J763" s="235" t="s">
        <v>72</v>
      </c>
      <c r="K763" s="252">
        <v>16.5</v>
      </c>
      <c r="L763" s="250">
        <v>110</v>
      </c>
      <c r="M763" s="253"/>
      <c r="N763" s="254"/>
      <c r="O763" s="274"/>
      <c r="P763" s="275"/>
      <c r="Q763" s="276"/>
      <c r="R763" s="305" t="s">
        <v>98</v>
      </c>
      <c r="S763" s="306">
        <v>45386</v>
      </c>
      <c r="T763" s="314"/>
      <c r="U763" s="276"/>
      <c r="V763" s="224">
        <v>12</v>
      </c>
      <c r="W763" s="325">
        <v>12</v>
      </c>
      <c r="X763" s="326">
        <v>12</v>
      </c>
      <c r="Y763" s="292">
        <f t="shared" ref="Y763:Y794" si="32">IFERROR(MIN(V763:X763),"")</f>
        <v>12</v>
      </c>
      <c r="Z763" s="185" t="s">
        <v>73</v>
      </c>
      <c r="AA763" s="339">
        <f>IFERROR(BASE_DATOS[[#This Row],[NSK Original]]-BASE_DATOS[[#This Row],[NSK]]," ")</f>
        <v>4.5</v>
      </c>
      <c r="AB763" s="340">
        <f>'NSK-TRACTO'!$A$2</f>
        <v>6</v>
      </c>
      <c r="AC763" s="340">
        <f>IF(BASE_DATOS[[#This Row],[NSK]]&gt;=BASE_DATOS[[#This Row],[NSK Reen]],BASE_DATOS[[#This Row],[NSK Reen]],BASE_DATOS[[#This Row],[NSK]])</f>
        <v>6</v>
      </c>
      <c r="AD763" s="341">
        <f>IFERROR(100%-(BASE_DATOS[[#This Row],[NSK Reen]]/BASE_DATOS[[#This Row],[NSK Original]]),"")</f>
        <v>0.63636363636363635</v>
      </c>
      <c r="AE763" s="341">
        <f>IFERROR(100%-BASE_DATOS[[#This Row],[NSK]]/BASE_DATOS[[#This Row],[NSK Original]],"")</f>
        <v>0.27272727272727271</v>
      </c>
      <c r="AF763" s="341">
        <f>IFERROR(BASE_DATOS[[#This Row],[% Max Des.]]-BASE_DATOS[[#This Row],[% Des]],"")</f>
        <v>0.36363636363636365</v>
      </c>
      <c r="AG763" s="284"/>
      <c r="AH763" s="335"/>
      <c r="AI763" s="359" t="str">
        <f>IF(OR(BASE_DATOS[[#This Row],[Hr.]]="",BASE_DATOS[[#This Row],[Hr. Actual]]=""),"",BASE_DATOS[[#This Row],[Hr. Actual]]-BASE_DATOS[[#This Row],[Hr.]]+BASE_DATOS[[#This Row],[Horas Acumuladas]])</f>
        <v/>
      </c>
      <c r="AJ763" s="360" t="str">
        <f>IFERROR(BASE_DATOS[[#This Row],[Precio US$]]/BASE_DATOS[[#This Row],[Horas Rodadas]],"")</f>
        <v/>
      </c>
      <c r="AK763" s="361" t="str">
        <f>IFERROR(BASE_DATOS[[#This Row],[Horas Rodadas]]/(BASE_DATOS[[#This Row],[NSK Original]]-BASE_DATOS[[#This Row],[NSK]]),"")</f>
        <v/>
      </c>
      <c r="AL763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63" s="362" t="str">
        <f>IFERROR(BASE_DATOS[[#This Row],[Precio US$]]/BASE_DATOS[[#This Row],[Horas Proy.]],"")</f>
        <v/>
      </c>
      <c r="AN763" s="195" t="str">
        <f>IF(OR(BASE_DATOS[[#This Row],[Km.]]="",BASE_DATOS[[#This Row],[Km. Actual]]=""),"",BASE_DATOS[[#This Row],[Km. Actual]]-BASE_DATOS[[#This Row],[Km.]]+BASE_DATOS[[#This Row],[Kilómetros Acumulados]])</f>
        <v/>
      </c>
      <c r="AO763" s="196" t="str">
        <f>IFERROR(BASE_DATOS[[#This Row],[Precio US$]]/BASE_DATOS[[#This Row],[Kilómetros Rodados]],"")</f>
        <v/>
      </c>
      <c r="AP763" s="195" t="str">
        <f>IFERROR(BASE_DATOS[[#This Row],[Kilómetros Rodados]]/(BASE_DATOS[[#This Row],[NSK Original]]-BASE_DATOS[[#This Row],[NSK]]),"")</f>
        <v/>
      </c>
      <c r="AQ763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63" s="196" t="str">
        <f>IFERROR(BASE_DATOS[[#This Row],[Precio US$]]/BASE_DATOS[[#This Row],[Kilómetros Proy.]],"")</f>
        <v/>
      </c>
      <c r="AS763" s="191" t="s">
        <v>62</v>
      </c>
      <c r="AT763" s="191"/>
      <c r="AU763" s="191"/>
      <c r="AV763" s="191"/>
      <c r="AW763" s="198"/>
      <c r="AX763" s="198"/>
      <c r="AY763" s="198" t="str">
        <f>CONCATENATE(BASE_DATOS[[#This Row],[Código_U]]&amp;BASE_DATOS[[#This Row],[Pos.]]&amp;BASE_DATOS[[#This Row],[Situación Actual]])</f>
        <v>SR-2321Rodando</v>
      </c>
    </row>
    <row r="764" spans="1:51" ht="12" x14ac:dyDescent="0.25">
      <c r="A764" s="223" t="s">
        <v>464</v>
      </c>
      <c r="B764" s="217" t="s">
        <v>262</v>
      </c>
      <c r="C764" s="228" t="s">
        <v>295</v>
      </c>
      <c r="D764" s="229" t="s">
        <v>87</v>
      </c>
      <c r="E764" s="255"/>
      <c r="F764" s="256" t="s">
        <v>97</v>
      </c>
      <c r="G764" s="256" t="s">
        <v>269</v>
      </c>
      <c r="H764" s="257" t="str">
        <f>IF(BASE_DATOS[[#This Row],[N-R]]="N",BASE_DATOS[[#This Row],[Diseño]],"Reencauche")</f>
        <v>AGC28</v>
      </c>
      <c r="I764" s="256" t="s">
        <v>270</v>
      </c>
      <c r="J764" s="243" t="s">
        <v>72</v>
      </c>
      <c r="K764" s="258">
        <v>16.5</v>
      </c>
      <c r="L764" s="256">
        <v>110</v>
      </c>
      <c r="M764" s="259"/>
      <c r="N764" s="260"/>
      <c r="O764" s="277"/>
      <c r="P764" s="278"/>
      <c r="Q764" s="279"/>
      <c r="R764" s="309" t="s">
        <v>99</v>
      </c>
      <c r="S764" s="310">
        <v>45386</v>
      </c>
      <c r="T764" s="313"/>
      <c r="U764" s="279"/>
      <c r="V764" s="227">
        <v>13</v>
      </c>
      <c r="W764" s="281">
        <v>13</v>
      </c>
      <c r="X764" s="282">
        <v>13</v>
      </c>
      <c r="Y764" s="293">
        <f t="shared" si="32"/>
        <v>13</v>
      </c>
      <c r="Z764" s="161" t="s">
        <v>73</v>
      </c>
      <c r="AA764" s="342">
        <f>IFERROR(BASE_DATOS[[#This Row],[NSK Original]]-BASE_DATOS[[#This Row],[NSK]]," ")</f>
        <v>3.5</v>
      </c>
      <c r="AB764" s="343">
        <f>'NSK-TRACTO'!$A$2</f>
        <v>6</v>
      </c>
      <c r="AC764" s="343">
        <f>IF(BASE_DATOS[[#This Row],[NSK]]&gt;=BASE_DATOS[[#This Row],[NSK Reen]],BASE_DATOS[[#This Row],[NSK Reen]],BASE_DATOS[[#This Row],[NSK]])</f>
        <v>6</v>
      </c>
      <c r="AD764" s="344">
        <f>IFERROR(100%-(BASE_DATOS[[#This Row],[NSK Reen]]/BASE_DATOS[[#This Row],[NSK Original]]),"")</f>
        <v>0.63636363636363635</v>
      </c>
      <c r="AE764" s="344">
        <f>IFERROR(100%-BASE_DATOS[[#This Row],[NSK]]/BASE_DATOS[[#This Row],[NSK Original]],"")</f>
        <v>0.21212121212121215</v>
      </c>
      <c r="AF764" s="344">
        <f>IFERROR(BASE_DATOS[[#This Row],[% Max Des.]]-BASE_DATOS[[#This Row],[% Des]],"")</f>
        <v>0.4242424242424242</v>
      </c>
      <c r="AG764" s="287"/>
      <c r="AH764" s="273"/>
      <c r="AI764" s="363" t="str">
        <f>IF(OR(BASE_DATOS[[#This Row],[Hr.]]="",BASE_DATOS[[#This Row],[Hr. Actual]]=""),"",BASE_DATOS[[#This Row],[Hr. Actual]]-BASE_DATOS[[#This Row],[Hr.]]+BASE_DATOS[[#This Row],[Horas Acumuladas]])</f>
        <v/>
      </c>
      <c r="AJ764" s="364" t="str">
        <f>IFERROR(BASE_DATOS[[#This Row],[Precio US$]]/BASE_DATOS[[#This Row],[Horas Rodadas]],"")</f>
        <v/>
      </c>
      <c r="AK764" s="365" t="str">
        <f>IFERROR(BASE_DATOS[[#This Row],[Horas Rodadas]]/(BASE_DATOS[[#This Row],[NSK Original]]-BASE_DATOS[[#This Row],[NSK]]),"")</f>
        <v/>
      </c>
      <c r="AL76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64" s="366" t="str">
        <f>IFERROR(BASE_DATOS[[#This Row],[Precio US$]]/BASE_DATOS[[#This Row],[Horas Proy.]],"")</f>
        <v/>
      </c>
      <c r="AN764" s="176" t="str">
        <f>IF(OR(BASE_DATOS[[#This Row],[Km.]]="",BASE_DATOS[[#This Row],[Km. Actual]]=""),"",BASE_DATOS[[#This Row],[Km. Actual]]-BASE_DATOS[[#This Row],[Km.]]+BASE_DATOS[[#This Row],[Kilómetros Acumulados]])</f>
        <v/>
      </c>
      <c r="AO764" s="177" t="str">
        <f>IFERROR(BASE_DATOS[[#This Row],[Precio US$]]/BASE_DATOS[[#This Row],[Kilómetros Rodados]],"")</f>
        <v/>
      </c>
      <c r="AP764" s="176" t="str">
        <f>IFERROR(BASE_DATOS[[#This Row],[Kilómetros Rodados]]/(BASE_DATOS[[#This Row],[NSK Original]]-BASE_DATOS[[#This Row],[NSK]]),"")</f>
        <v/>
      </c>
      <c r="AQ76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64" s="177" t="str">
        <f>IFERROR(BASE_DATOS[[#This Row],[Precio US$]]/BASE_DATOS[[#This Row],[Kilómetros Proy.]],"")</f>
        <v/>
      </c>
      <c r="AS764" s="167" t="s">
        <v>62</v>
      </c>
      <c r="AT764" s="167"/>
      <c r="AU764" s="167"/>
      <c r="AV764" s="167"/>
      <c r="AW764" s="179"/>
      <c r="AX764" s="179"/>
      <c r="AY764" s="179" t="str">
        <f>CONCATENATE(BASE_DATOS[[#This Row],[Código_U]]&amp;BASE_DATOS[[#This Row],[Pos.]]&amp;BASE_DATOS[[#This Row],[Situación Actual]])</f>
        <v>SR-2322Rodando</v>
      </c>
    </row>
    <row r="765" spans="1:51" ht="12" x14ac:dyDescent="0.25">
      <c r="A765" s="223" t="s">
        <v>464</v>
      </c>
      <c r="B765" s="217" t="s">
        <v>262</v>
      </c>
      <c r="C765" s="228" t="s">
        <v>295</v>
      </c>
      <c r="D765" s="229" t="s">
        <v>87</v>
      </c>
      <c r="E765" s="255"/>
      <c r="F765" s="256" t="s">
        <v>97</v>
      </c>
      <c r="G765" s="256" t="s">
        <v>269</v>
      </c>
      <c r="H765" s="257" t="str">
        <f>IF(BASE_DATOS[[#This Row],[N-R]]="N",BASE_DATOS[[#This Row],[Diseño]],"Reencauche")</f>
        <v>AGC28</v>
      </c>
      <c r="I765" s="256" t="s">
        <v>270</v>
      </c>
      <c r="J765" s="243" t="s">
        <v>72</v>
      </c>
      <c r="K765" s="258">
        <v>16.5</v>
      </c>
      <c r="L765" s="256">
        <v>110</v>
      </c>
      <c r="M765" s="259"/>
      <c r="N765" s="260"/>
      <c r="O765" s="277"/>
      <c r="P765" s="278"/>
      <c r="Q765" s="279"/>
      <c r="R765" s="309" t="s">
        <v>100</v>
      </c>
      <c r="S765" s="310">
        <v>45386</v>
      </c>
      <c r="T765" s="313"/>
      <c r="U765" s="279"/>
      <c r="V765" s="227">
        <v>11</v>
      </c>
      <c r="W765" s="281">
        <v>11</v>
      </c>
      <c r="X765" s="282">
        <v>11</v>
      </c>
      <c r="Y765" s="293">
        <f t="shared" si="32"/>
        <v>11</v>
      </c>
      <c r="Z765" s="161" t="s">
        <v>73</v>
      </c>
      <c r="AA765" s="342">
        <f>IFERROR(BASE_DATOS[[#This Row],[NSK Original]]-BASE_DATOS[[#This Row],[NSK]]," ")</f>
        <v>5.5</v>
      </c>
      <c r="AB765" s="343">
        <f>'NSK-TRACTO'!$A$2</f>
        <v>6</v>
      </c>
      <c r="AC765" s="343">
        <f>IF(BASE_DATOS[[#This Row],[NSK]]&gt;=BASE_DATOS[[#This Row],[NSK Reen]],BASE_DATOS[[#This Row],[NSK Reen]],BASE_DATOS[[#This Row],[NSK]])</f>
        <v>6</v>
      </c>
      <c r="AD765" s="344">
        <f>IFERROR(100%-(BASE_DATOS[[#This Row],[NSK Reen]]/BASE_DATOS[[#This Row],[NSK Original]]),"")</f>
        <v>0.63636363636363635</v>
      </c>
      <c r="AE765" s="344">
        <f>IFERROR(100%-BASE_DATOS[[#This Row],[NSK]]/BASE_DATOS[[#This Row],[NSK Original]],"")</f>
        <v>0.33333333333333337</v>
      </c>
      <c r="AF765" s="344">
        <f>IFERROR(BASE_DATOS[[#This Row],[% Max Des.]]-BASE_DATOS[[#This Row],[% Des]],"")</f>
        <v>0.30303030303030298</v>
      </c>
      <c r="AG765" s="287"/>
      <c r="AH765" s="273"/>
      <c r="AI765" s="363" t="str">
        <f>IF(OR(BASE_DATOS[[#This Row],[Hr.]]="",BASE_DATOS[[#This Row],[Hr. Actual]]=""),"",BASE_DATOS[[#This Row],[Hr. Actual]]-BASE_DATOS[[#This Row],[Hr.]]+BASE_DATOS[[#This Row],[Horas Acumuladas]])</f>
        <v/>
      </c>
      <c r="AJ765" s="364" t="str">
        <f>IFERROR(BASE_DATOS[[#This Row],[Precio US$]]/BASE_DATOS[[#This Row],[Horas Rodadas]],"")</f>
        <v/>
      </c>
      <c r="AK765" s="365" t="str">
        <f>IFERROR(BASE_DATOS[[#This Row],[Horas Rodadas]]/(BASE_DATOS[[#This Row],[NSK Original]]-BASE_DATOS[[#This Row],[NSK]]),"")</f>
        <v/>
      </c>
      <c r="AL76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65" s="366" t="str">
        <f>IFERROR(BASE_DATOS[[#This Row],[Precio US$]]/BASE_DATOS[[#This Row],[Horas Proy.]],"")</f>
        <v/>
      </c>
      <c r="AN765" s="176" t="str">
        <f>IF(OR(BASE_DATOS[[#This Row],[Km.]]="",BASE_DATOS[[#This Row],[Km. Actual]]=""),"",BASE_DATOS[[#This Row],[Km. Actual]]-BASE_DATOS[[#This Row],[Km.]]+BASE_DATOS[[#This Row],[Kilómetros Acumulados]])</f>
        <v/>
      </c>
      <c r="AO765" s="177" t="str">
        <f>IFERROR(BASE_DATOS[[#This Row],[Precio US$]]/BASE_DATOS[[#This Row],[Kilómetros Rodados]],"")</f>
        <v/>
      </c>
      <c r="AP765" s="176" t="str">
        <f>IFERROR(BASE_DATOS[[#This Row],[Kilómetros Rodados]]/(BASE_DATOS[[#This Row],[NSK Original]]-BASE_DATOS[[#This Row],[NSK]]),"")</f>
        <v/>
      </c>
      <c r="AQ76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65" s="177" t="str">
        <f>IFERROR(BASE_DATOS[[#This Row],[Precio US$]]/BASE_DATOS[[#This Row],[Kilómetros Proy.]],"")</f>
        <v/>
      </c>
      <c r="AS765" s="167" t="s">
        <v>62</v>
      </c>
      <c r="AT765" s="167"/>
      <c r="AU765" s="167"/>
      <c r="AV765" s="167"/>
      <c r="AW765" s="179"/>
      <c r="AX765" s="179"/>
      <c r="AY765" s="179" t="str">
        <f>CONCATENATE(BASE_DATOS[[#This Row],[Código_U]]&amp;BASE_DATOS[[#This Row],[Pos.]]&amp;BASE_DATOS[[#This Row],[Situación Actual]])</f>
        <v>SR-2323Rodando</v>
      </c>
    </row>
    <row r="766" spans="1:51" ht="12" x14ac:dyDescent="0.25">
      <c r="A766" s="223" t="s">
        <v>464</v>
      </c>
      <c r="B766" s="217" t="s">
        <v>262</v>
      </c>
      <c r="C766" s="228" t="s">
        <v>295</v>
      </c>
      <c r="D766" s="229" t="s">
        <v>87</v>
      </c>
      <c r="E766" s="255"/>
      <c r="F766" s="256" t="s">
        <v>97</v>
      </c>
      <c r="G766" s="256" t="s">
        <v>269</v>
      </c>
      <c r="H766" s="257" t="str">
        <f>IF(BASE_DATOS[[#This Row],[N-R]]="N",BASE_DATOS[[#This Row],[Diseño]],"Reencauche")</f>
        <v>AGC28</v>
      </c>
      <c r="I766" s="256" t="s">
        <v>270</v>
      </c>
      <c r="J766" s="243" t="s">
        <v>72</v>
      </c>
      <c r="K766" s="258">
        <v>16.5</v>
      </c>
      <c r="L766" s="256">
        <v>110</v>
      </c>
      <c r="M766" s="259"/>
      <c r="N766" s="260"/>
      <c r="O766" s="277"/>
      <c r="P766" s="278"/>
      <c r="Q766" s="279"/>
      <c r="R766" s="309" t="s">
        <v>101</v>
      </c>
      <c r="S766" s="310">
        <v>45386</v>
      </c>
      <c r="T766" s="313"/>
      <c r="U766" s="279"/>
      <c r="V766" s="227">
        <v>12</v>
      </c>
      <c r="W766" s="281">
        <v>12</v>
      </c>
      <c r="X766" s="282">
        <v>12</v>
      </c>
      <c r="Y766" s="293">
        <f t="shared" si="32"/>
        <v>12</v>
      </c>
      <c r="Z766" s="161" t="s">
        <v>73</v>
      </c>
      <c r="AA766" s="342">
        <f>IFERROR(BASE_DATOS[[#This Row],[NSK Original]]-BASE_DATOS[[#This Row],[NSK]]," ")</f>
        <v>4.5</v>
      </c>
      <c r="AB766" s="343">
        <f>'NSK-TRACTO'!$A$2</f>
        <v>6</v>
      </c>
      <c r="AC766" s="343">
        <f>IF(BASE_DATOS[[#This Row],[NSK]]&gt;=BASE_DATOS[[#This Row],[NSK Reen]],BASE_DATOS[[#This Row],[NSK Reen]],BASE_DATOS[[#This Row],[NSK]])</f>
        <v>6</v>
      </c>
      <c r="AD766" s="344">
        <f>IFERROR(100%-(BASE_DATOS[[#This Row],[NSK Reen]]/BASE_DATOS[[#This Row],[NSK Original]]),"")</f>
        <v>0.63636363636363635</v>
      </c>
      <c r="AE766" s="344">
        <f>IFERROR(100%-BASE_DATOS[[#This Row],[NSK]]/BASE_DATOS[[#This Row],[NSK Original]],"")</f>
        <v>0.27272727272727271</v>
      </c>
      <c r="AF766" s="344">
        <f>IFERROR(BASE_DATOS[[#This Row],[% Max Des.]]-BASE_DATOS[[#This Row],[% Des]],"")</f>
        <v>0.36363636363636365</v>
      </c>
      <c r="AG766" s="287"/>
      <c r="AH766" s="273"/>
      <c r="AI766" s="363" t="str">
        <f>IF(OR(BASE_DATOS[[#This Row],[Hr.]]="",BASE_DATOS[[#This Row],[Hr. Actual]]=""),"",BASE_DATOS[[#This Row],[Hr. Actual]]-BASE_DATOS[[#This Row],[Hr.]]+BASE_DATOS[[#This Row],[Horas Acumuladas]])</f>
        <v/>
      </c>
      <c r="AJ766" s="364" t="str">
        <f>IFERROR(BASE_DATOS[[#This Row],[Precio US$]]/BASE_DATOS[[#This Row],[Horas Rodadas]],"")</f>
        <v/>
      </c>
      <c r="AK766" s="365" t="str">
        <f>IFERROR(BASE_DATOS[[#This Row],[Horas Rodadas]]/(BASE_DATOS[[#This Row],[NSK Original]]-BASE_DATOS[[#This Row],[NSK]]),"")</f>
        <v/>
      </c>
      <c r="AL76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66" s="366" t="str">
        <f>IFERROR(BASE_DATOS[[#This Row],[Precio US$]]/BASE_DATOS[[#This Row],[Horas Proy.]],"")</f>
        <v/>
      </c>
      <c r="AN766" s="176" t="str">
        <f>IF(OR(BASE_DATOS[[#This Row],[Km.]]="",BASE_DATOS[[#This Row],[Km. Actual]]=""),"",BASE_DATOS[[#This Row],[Km. Actual]]-BASE_DATOS[[#This Row],[Km.]]+BASE_DATOS[[#This Row],[Kilómetros Acumulados]])</f>
        <v/>
      </c>
      <c r="AO766" s="177" t="str">
        <f>IFERROR(BASE_DATOS[[#This Row],[Precio US$]]/BASE_DATOS[[#This Row],[Kilómetros Rodados]],"")</f>
        <v/>
      </c>
      <c r="AP766" s="176" t="str">
        <f>IFERROR(BASE_DATOS[[#This Row],[Kilómetros Rodados]]/(BASE_DATOS[[#This Row],[NSK Original]]-BASE_DATOS[[#This Row],[NSK]]),"")</f>
        <v/>
      </c>
      <c r="AQ76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66" s="177" t="str">
        <f>IFERROR(BASE_DATOS[[#This Row],[Precio US$]]/BASE_DATOS[[#This Row],[Kilómetros Proy.]],"")</f>
        <v/>
      </c>
      <c r="AS766" s="167" t="s">
        <v>62</v>
      </c>
      <c r="AT766" s="167"/>
      <c r="AU766" s="167"/>
      <c r="AV766" s="167"/>
      <c r="AW766" s="179"/>
      <c r="AX766" s="179"/>
      <c r="AY766" s="179" t="str">
        <f>CONCATENATE(BASE_DATOS[[#This Row],[Código_U]]&amp;BASE_DATOS[[#This Row],[Pos.]]&amp;BASE_DATOS[[#This Row],[Situación Actual]])</f>
        <v>SR-2324Rodando</v>
      </c>
    </row>
    <row r="767" spans="1:51" ht="12" x14ac:dyDescent="0.25">
      <c r="A767" s="223" t="s">
        <v>464</v>
      </c>
      <c r="B767" s="217" t="s">
        <v>262</v>
      </c>
      <c r="C767" s="228" t="s">
        <v>295</v>
      </c>
      <c r="D767" s="229" t="s">
        <v>87</v>
      </c>
      <c r="E767" s="255"/>
      <c r="F767" s="256" t="s">
        <v>97</v>
      </c>
      <c r="G767" s="256" t="s">
        <v>269</v>
      </c>
      <c r="H767" s="257" t="str">
        <f>IF(BASE_DATOS[[#This Row],[N-R]]="N",BASE_DATOS[[#This Row],[Diseño]],"Reencauche")</f>
        <v>AGC28</v>
      </c>
      <c r="I767" s="256" t="s">
        <v>270</v>
      </c>
      <c r="J767" s="243" t="s">
        <v>72</v>
      </c>
      <c r="K767" s="258">
        <v>16.5</v>
      </c>
      <c r="L767" s="256">
        <v>110</v>
      </c>
      <c r="M767" s="259"/>
      <c r="N767" s="260"/>
      <c r="O767" s="277"/>
      <c r="P767" s="278"/>
      <c r="Q767" s="279"/>
      <c r="R767" s="309" t="s">
        <v>102</v>
      </c>
      <c r="S767" s="310">
        <v>45386</v>
      </c>
      <c r="T767" s="313"/>
      <c r="U767" s="279"/>
      <c r="V767" s="227">
        <v>14</v>
      </c>
      <c r="W767" s="281">
        <v>14</v>
      </c>
      <c r="X767" s="282">
        <v>14</v>
      </c>
      <c r="Y767" s="293">
        <f t="shared" si="32"/>
        <v>14</v>
      </c>
      <c r="Z767" s="161" t="s">
        <v>73</v>
      </c>
      <c r="AA767" s="342">
        <f>IFERROR(BASE_DATOS[[#This Row],[NSK Original]]-BASE_DATOS[[#This Row],[NSK]]," ")</f>
        <v>2.5</v>
      </c>
      <c r="AB767" s="343">
        <f>'NSK-TRACTO'!$A$2</f>
        <v>6</v>
      </c>
      <c r="AC767" s="343">
        <f>IF(BASE_DATOS[[#This Row],[NSK]]&gt;=BASE_DATOS[[#This Row],[NSK Reen]],BASE_DATOS[[#This Row],[NSK Reen]],BASE_DATOS[[#This Row],[NSK]])</f>
        <v>6</v>
      </c>
      <c r="AD767" s="344">
        <f>IFERROR(100%-(BASE_DATOS[[#This Row],[NSK Reen]]/BASE_DATOS[[#This Row],[NSK Original]]),"")</f>
        <v>0.63636363636363635</v>
      </c>
      <c r="AE767" s="344">
        <f>IFERROR(100%-BASE_DATOS[[#This Row],[NSK]]/BASE_DATOS[[#This Row],[NSK Original]],"")</f>
        <v>0.15151515151515149</v>
      </c>
      <c r="AF767" s="344">
        <f>IFERROR(BASE_DATOS[[#This Row],[% Max Des.]]-BASE_DATOS[[#This Row],[% Des]],"")</f>
        <v>0.48484848484848486</v>
      </c>
      <c r="AG767" s="287"/>
      <c r="AH767" s="273"/>
      <c r="AI767" s="363" t="str">
        <f>IF(OR(BASE_DATOS[[#This Row],[Hr.]]="",BASE_DATOS[[#This Row],[Hr. Actual]]=""),"",BASE_DATOS[[#This Row],[Hr. Actual]]-BASE_DATOS[[#This Row],[Hr.]]+BASE_DATOS[[#This Row],[Horas Acumuladas]])</f>
        <v/>
      </c>
      <c r="AJ767" s="364" t="str">
        <f>IFERROR(BASE_DATOS[[#This Row],[Precio US$]]/BASE_DATOS[[#This Row],[Horas Rodadas]],"")</f>
        <v/>
      </c>
      <c r="AK767" s="365" t="str">
        <f>IFERROR(BASE_DATOS[[#This Row],[Horas Rodadas]]/(BASE_DATOS[[#This Row],[NSK Original]]-BASE_DATOS[[#This Row],[NSK]]),"")</f>
        <v/>
      </c>
      <c r="AL76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67" s="366" t="str">
        <f>IFERROR(BASE_DATOS[[#This Row],[Precio US$]]/BASE_DATOS[[#This Row],[Horas Proy.]],"")</f>
        <v/>
      </c>
      <c r="AN767" s="176" t="str">
        <f>IF(OR(BASE_DATOS[[#This Row],[Km.]]="",BASE_DATOS[[#This Row],[Km. Actual]]=""),"",BASE_DATOS[[#This Row],[Km. Actual]]-BASE_DATOS[[#This Row],[Km.]]+BASE_DATOS[[#This Row],[Kilómetros Acumulados]])</f>
        <v/>
      </c>
      <c r="AO767" s="177" t="str">
        <f>IFERROR(BASE_DATOS[[#This Row],[Precio US$]]/BASE_DATOS[[#This Row],[Kilómetros Rodados]],"")</f>
        <v/>
      </c>
      <c r="AP767" s="176" t="str">
        <f>IFERROR(BASE_DATOS[[#This Row],[Kilómetros Rodados]]/(BASE_DATOS[[#This Row],[NSK Original]]-BASE_DATOS[[#This Row],[NSK]]),"")</f>
        <v/>
      </c>
      <c r="AQ76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67" s="177" t="str">
        <f>IFERROR(BASE_DATOS[[#This Row],[Precio US$]]/BASE_DATOS[[#This Row],[Kilómetros Proy.]],"")</f>
        <v/>
      </c>
      <c r="AS767" s="167" t="s">
        <v>62</v>
      </c>
      <c r="AT767" s="167"/>
      <c r="AU767" s="167"/>
      <c r="AV767" s="167"/>
      <c r="AW767" s="179"/>
      <c r="AX767" s="179"/>
      <c r="AY767" s="179" t="str">
        <f>CONCATENATE(BASE_DATOS[[#This Row],[Código_U]]&amp;BASE_DATOS[[#This Row],[Pos.]]&amp;BASE_DATOS[[#This Row],[Situación Actual]])</f>
        <v>SR-2325Rodando</v>
      </c>
    </row>
    <row r="768" spans="1:51" ht="12" x14ac:dyDescent="0.25">
      <c r="A768" s="223" t="s">
        <v>464</v>
      </c>
      <c r="B768" s="217" t="s">
        <v>262</v>
      </c>
      <c r="C768" s="228" t="s">
        <v>295</v>
      </c>
      <c r="D768" s="229" t="s">
        <v>87</v>
      </c>
      <c r="E768" s="255"/>
      <c r="F768" s="256" t="s">
        <v>97</v>
      </c>
      <c r="G768" s="256" t="s">
        <v>269</v>
      </c>
      <c r="H768" s="257" t="str">
        <f>IF(BASE_DATOS[[#This Row],[N-R]]="N",BASE_DATOS[[#This Row],[Diseño]],"Reencauche")</f>
        <v>AGC28</v>
      </c>
      <c r="I768" s="256" t="s">
        <v>270</v>
      </c>
      <c r="J768" s="243" t="s">
        <v>72</v>
      </c>
      <c r="K768" s="258">
        <v>16.5</v>
      </c>
      <c r="L768" s="256">
        <v>110</v>
      </c>
      <c r="M768" s="259"/>
      <c r="N768" s="260"/>
      <c r="O768" s="277"/>
      <c r="P768" s="278"/>
      <c r="Q768" s="279"/>
      <c r="R768" s="309" t="s">
        <v>103</v>
      </c>
      <c r="S768" s="310">
        <v>45386</v>
      </c>
      <c r="T768" s="313"/>
      <c r="U768" s="279"/>
      <c r="V768" s="227">
        <v>13</v>
      </c>
      <c r="W768" s="281">
        <v>13</v>
      </c>
      <c r="X768" s="282">
        <v>13</v>
      </c>
      <c r="Y768" s="293">
        <f t="shared" si="32"/>
        <v>13</v>
      </c>
      <c r="Z768" s="161" t="s">
        <v>73</v>
      </c>
      <c r="AA768" s="342">
        <f>IFERROR(BASE_DATOS[[#This Row],[NSK Original]]-BASE_DATOS[[#This Row],[NSK]]," ")</f>
        <v>3.5</v>
      </c>
      <c r="AB768" s="343">
        <f>'NSK-TRACTO'!$A$2</f>
        <v>6</v>
      </c>
      <c r="AC768" s="343">
        <f>IF(BASE_DATOS[[#This Row],[NSK]]&gt;=BASE_DATOS[[#This Row],[NSK Reen]],BASE_DATOS[[#This Row],[NSK Reen]],BASE_DATOS[[#This Row],[NSK]])</f>
        <v>6</v>
      </c>
      <c r="AD768" s="344">
        <f>IFERROR(100%-(BASE_DATOS[[#This Row],[NSK Reen]]/BASE_DATOS[[#This Row],[NSK Original]]),"")</f>
        <v>0.63636363636363635</v>
      </c>
      <c r="AE768" s="344">
        <f>IFERROR(100%-BASE_DATOS[[#This Row],[NSK]]/BASE_DATOS[[#This Row],[NSK Original]],"")</f>
        <v>0.21212121212121215</v>
      </c>
      <c r="AF768" s="344">
        <f>IFERROR(BASE_DATOS[[#This Row],[% Max Des.]]-BASE_DATOS[[#This Row],[% Des]],"")</f>
        <v>0.4242424242424242</v>
      </c>
      <c r="AG768" s="287"/>
      <c r="AH768" s="273"/>
      <c r="AI768" s="363" t="str">
        <f>IF(OR(BASE_DATOS[[#This Row],[Hr.]]="",BASE_DATOS[[#This Row],[Hr. Actual]]=""),"",BASE_DATOS[[#This Row],[Hr. Actual]]-BASE_DATOS[[#This Row],[Hr.]]+BASE_DATOS[[#This Row],[Horas Acumuladas]])</f>
        <v/>
      </c>
      <c r="AJ768" s="364" t="str">
        <f>IFERROR(BASE_DATOS[[#This Row],[Precio US$]]/BASE_DATOS[[#This Row],[Horas Rodadas]],"")</f>
        <v/>
      </c>
      <c r="AK768" s="365" t="str">
        <f>IFERROR(BASE_DATOS[[#This Row],[Horas Rodadas]]/(BASE_DATOS[[#This Row],[NSK Original]]-BASE_DATOS[[#This Row],[NSK]]),"")</f>
        <v/>
      </c>
      <c r="AL76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68" s="366" t="str">
        <f>IFERROR(BASE_DATOS[[#This Row],[Precio US$]]/BASE_DATOS[[#This Row],[Horas Proy.]],"")</f>
        <v/>
      </c>
      <c r="AN768" s="176" t="str">
        <f>IF(OR(BASE_DATOS[[#This Row],[Km.]]="",BASE_DATOS[[#This Row],[Km. Actual]]=""),"",BASE_DATOS[[#This Row],[Km. Actual]]-BASE_DATOS[[#This Row],[Km.]]+BASE_DATOS[[#This Row],[Kilómetros Acumulados]])</f>
        <v/>
      </c>
      <c r="AO768" s="177" t="str">
        <f>IFERROR(BASE_DATOS[[#This Row],[Precio US$]]/BASE_DATOS[[#This Row],[Kilómetros Rodados]],"")</f>
        <v/>
      </c>
      <c r="AP768" s="176" t="str">
        <f>IFERROR(BASE_DATOS[[#This Row],[Kilómetros Rodados]]/(BASE_DATOS[[#This Row],[NSK Original]]-BASE_DATOS[[#This Row],[NSK]]),"")</f>
        <v/>
      </c>
      <c r="AQ76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68" s="177" t="str">
        <f>IFERROR(BASE_DATOS[[#This Row],[Precio US$]]/BASE_DATOS[[#This Row],[Kilómetros Proy.]],"")</f>
        <v/>
      </c>
      <c r="AS768" s="167" t="s">
        <v>62</v>
      </c>
      <c r="AT768" s="167"/>
      <c r="AU768" s="167"/>
      <c r="AV768" s="167"/>
      <c r="AW768" s="179"/>
      <c r="AX768" s="179"/>
      <c r="AY768" s="179" t="str">
        <f>CONCATENATE(BASE_DATOS[[#This Row],[Código_U]]&amp;BASE_DATOS[[#This Row],[Pos.]]&amp;BASE_DATOS[[#This Row],[Situación Actual]])</f>
        <v>SR-2326Rodando</v>
      </c>
    </row>
    <row r="769" spans="1:51" ht="12" x14ac:dyDescent="0.25">
      <c r="A769" s="223" t="s">
        <v>464</v>
      </c>
      <c r="B769" s="217" t="s">
        <v>262</v>
      </c>
      <c r="C769" s="228" t="s">
        <v>295</v>
      </c>
      <c r="D769" s="229" t="s">
        <v>384</v>
      </c>
      <c r="E769" s="255"/>
      <c r="F769" s="256" t="s">
        <v>97</v>
      </c>
      <c r="G769" s="256" t="s">
        <v>269</v>
      </c>
      <c r="H769" s="257" t="str">
        <f>IF(BASE_DATOS[[#This Row],[N-R]]="N",BASE_DATOS[[#This Row],[Diseño]],"Reencauche")</f>
        <v>AGC28</v>
      </c>
      <c r="I769" s="256" t="s">
        <v>270</v>
      </c>
      <c r="J769" s="243" t="s">
        <v>72</v>
      </c>
      <c r="K769" s="258">
        <v>16.5</v>
      </c>
      <c r="L769" s="256">
        <v>110</v>
      </c>
      <c r="M769" s="259"/>
      <c r="N769" s="260"/>
      <c r="O769" s="277"/>
      <c r="P769" s="278"/>
      <c r="Q769" s="279"/>
      <c r="R769" s="309" t="s">
        <v>509</v>
      </c>
      <c r="S769" s="310">
        <v>45386</v>
      </c>
      <c r="T769" s="313"/>
      <c r="U769" s="279"/>
      <c r="V769" s="227">
        <v>16</v>
      </c>
      <c r="W769" s="281">
        <v>16</v>
      </c>
      <c r="X769" s="282">
        <v>16</v>
      </c>
      <c r="Y769" s="293">
        <f t="shared" si="32"/>
        <v>16</v>
      </c>
      <c r="Z769" s="161" t="s">
        <v>73</v>
      </c>
      <c r="AA769" s="342">
        <f>IFERROR(BASE_DATOS[[#This Row],[NSK Original]]-BASE_DATOS[[#This Row],[NSK]]," ")</f>
        <v>0.5</v>
      </c>
      <c r="AB769" s="343">
        <f>'NSK-TRACTO'!$A$2</f>
        <v>6</v>
      </c>
      <c r="AC769" s="343">
        <f>IF(BASE_DATOS[[#This Row],[NSK]]&gt;=BASE_DATOS[[#This Row],[NSK Reen]],BASE_DATOS[[#This Row],[NSK Reen]],BASE_DATOS[[#This Row],[NSK]])</f>
        <v>6</v>
      </c>
      <c r="AD769" s="344">
        <f>IFERROR(100%-(BASE_DATOS[[#This Row],[NSK Reen]]/BASE_DATOS[[#This Row],[NSK Original]]),"")</f>
        <v>0.63636363636363635</v>
      </c>
      <c r="AE769" s="344">
        <f>IFERROR(100%-BASE_DATOS[[#This Row],[NSK]]/BASE_DATOS[[#This Row],[NSK Original]],"")</f>
        <v>3.0303030303030276E-2</v>
      </c>
      <c r="AF769" s="344">
        <f>IFERROR(BASE_DATOS[[#This Row],[% Max Des.]]-BASE_DATOS[[#This Row],[% Des]],"")</f>
        <v>0.60606060606060608</v>
      </c>
      <c r="AG769" s="287"/>
      <c r="AH769" s="273"/>
      <c r="AI769" s="363" t="str">
        <f>IF(OR(BASE_DATOS[[#This Row],[Hr.]]="",BASE_DATOS[[#This Row],[Hr. Actual]]=""),"",BASE_DATOS[[#This Row],[Hr. Actual]]-BASE_DATOS[[#This Row],[Hr.]]+BASE_DATOS[[#This Row],[Horas Acumuladas]])</f>
        <v/>
      </c>
      <c r="AJ769" s="364" t="str">
        <f>IFERROR(BASE_DATOS[[#This Row],[Precio US$]]/BASE_DATOS[[#This Row],[Horas Rodadas]],"")</f>
        <v/>
      </c>
      <c r="AK769" s="365" t="str">
        <f>IFERROR(BASE_DATOS[[#This Row],[Horas Rodadas]]/(BASE_DATOS[[#This Row],[NSK Original]]-BASE_DATOS[[#This Row],[NSK]]),"")</f>
        <v/>
      </c>
      <c r="AL76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69" s="366" t="str">
        <f>IFERROR(BASE_DATOS[[#This Row],[Precio US$]]/BASE_DATOS[[#This Row],[Horas Proy.]],"")</f>
        <v/>
      </c>
      <c r="AN769" s="176" t="str">
        <f>IF(OR(BASE_DATOS[[#This Row],[Km.]]="",BASE_DATOS[[#This Row],[Km. Actual]]=""),"",BASE_DATOS[[#This Row],[Km. Actual]]-BASE_DATOS[[#This Row],[Km.]]+BASE_DATOS[[#This Row],[Kilómetros Acumulados]])</f>
        <v/>
      </c>
      <c r="AO769" s="177" t="str">
        <f>IFERROR(BASE_DATOS[[#This Row],[Precio US$]]/BASE_DATOS[[#This Row],[Kilómetros Rodados]],"")</f>
        <v/>
      </c>
      <c r="AP769" s="176" t="str">
        <f>IFERROR(BASE_DATOS[[#This Row],[Kilómetros Rodados]]/(BASE_DATOS[[#This Row],[NSK Original]]-BASE_DATOS[[#This Row],[NSK]]),"")</f>
        <v/>
      </c>
      <c r="AQ76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69" s="177" t="str">
        <f>IFERROR(BASE_DATOS[[#This Row],[Precio US$]]/BASE_DATOS[[#This Row],[Kilómetros Proy.]],"")</f>
        <v/>
      </c>
      <c r="AS769" s="167" t="s">
        <v>62</v>
      </c>
      <c r="AT769" s="167"/>
      <c r="AU769" s="167"/>
      <c r="AV769" s="167"/>
      <c r="AW769" s="179"/>
      <c r="AX769" s="179"/>
      <c r="AY769" s="179" t="str">
        <f>CONCATENATE(BASE_DATOS[[#This Row],[Código_U]]&amp;BASE_DATOS[[#This Row],[Pos.]]&amp;BASE_DATOS[[#This Row],[Situación Actual]])</f>
        <v>SR-232RERodando</v>
      </c>
    </row>
    <row r="770" spans="1:51" ht="12" x14ac:dyDescent="0.25">
      <c r="A770" s="223" t="s">
        <v>464</v>
      </c>
      <c r="B770" s="217" t="s">
        <v>262</v>
      </c>
      <c r="C770" s="228" t="s">
        <v>295</v>
      </c>
      <c r="D770" s="229" t="s">
        <v>108</v>
      </c>
      <c r="E770" s="255"/>
      <c r="F770" s="256" t="s">
        <v>273</v>
      </c>
      <c r="G770" s="256" t="s">
        <v>271</v>
      </c>
      <c r="H770" s="257" t="str">
        <f>IF(BASE_DATOS[[#This Row],[N-R]]="N",BASE_DATOS[[#This Row],[Diseño]],"Reencauche")</f>
        <v>XMULTI2D</v>
      </c>
      <c r="I770" s="256" t="s">
        <v>299</v>
      </c>
      <c r="J770" s="243" t="s">
        <v>72</v>
      </c>
      <c r="K770" s="258">
        <v>21.4</v>
      </c>
      <c r="L770" s="256">
        <v>110</v>
      </c>
      <c r="M770" s="259"/>
      <c r="N770" s="260"/>
      <c r="O770" s="277"/>
      <c r="P770" s="278"/>
      <c r="Q770" s="279"/>
      <c r="R770" s="309" t="s">
        <v>108</v>
      </c>
      <c r="S770" s="310">
        <v>45386</v>
      </c>
      <c r="T770" s="313"/>
      <c r="U770" s="279"/>
      <c r="V770" s="227">
        <v>21</v>
      </c>
      <c r="W770" s="281"/>
      <c r="X770" s="282">
        <v>21</v>
      </c>
      <c r="Y770" s="293">
        <f t="shared" si="32"/>
        <v>21</v>
      </c>
      <c r="Z770" s="161" t="s">
        <v>73</v>
      </c>
      <c r="AA770" s="342">
        <f>IFERROR(BASE_DATOS[[#This Row],[NSK Original]]-BASE_DATOS[[#This Row],[NSK]]," ")</f>
        <v>0.39999999999999858</v>
      </c>
      <c r="AB770" s="343">
        <f>'NSK-TRACTO'!$A$2</f>
        <v>6</v>
      </c>
      <c r="AC770" s="343">
        <f>IF(BASE_DATOS[[#This Row],[NSK]]&gt;=BASE_DATOS[[#This Row],[NSK Reen]],BASE_DATOS[[#This Row],[NSK Reen]],BASE_DATOS[[#This Row],[NSK]])</f>
        <v>6</v>
      </c>
      <c r="AD770" s="344">
        <f>IFERROR(100%-(BASE_DATOS[[#This Row],[NSK Reen]]/BASE_DATOS[[#This Row],[NSK Original]]),"")</f>
        <v>0.71962616822429903</v>
      </c>
      <c r="AE770" s="344">
        <f>IFERROR(100%-BASE_DATOS[[#This Row],[NSK]]/BASE_DATOS[[#This Row],[NSK Original]],"")</f>
        <v>1.869158878504662E-2</v>
      </c>
      <c r="AF770" s="344">
        <f>IFERROR(BASE_DATOS[[#This Row],[% Max Des.]]-BASE_DATOS[[#This Row],[% Des]],"")</f>
        <v>0.70093457943925241</v>
      </c>
      <c r="AG770" s="287"/>
      <c r="AH770" s="273"/>
      <c r="AI770" s="363" t="str">
        <f>IF(OR(BASE_DATOS[[#This Row],[Hr.]]="",BASE_DATOS[[#This Row],[Hr. Actual]]=""),"",BASE_DATOS[[#This Row],[Hr. Actual]]-BASE_DATOS[[#This Row],[Hr.]]+BASE_DATOS[[#This Row],[Horas Acumuladas]])</f>
        <v/>
      </c>
      <c r="AJ770" s="364" t="str">
        <f>IFERROR(BASE_DATOS[[#This Row],[Precio US$]]/BASE_DATOS[[#This Row],[Horas Rodadas]],"")</f>
        <v/>
      </c>
      <c r="AK770" s="365" t="str">
        <f>IFERROR(BASE_DATOS[[#This Row],[Horas Rodadas]]/(BASE_DATOS[[#This Row],[NSK Original]]-BASE_DATOS[[#This Row],[NSK]]),"")</f>
        <v/>
      </c>
      <c r="AL77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70" s="366" t="str">
        <f>IFERROR(BASE_DATOS[[#This Row],[Precio US$]]/BASE_DATOS[[#This Row],[Horas Proy.]],"")</f>
        <v/>
      </c>
      <c r="AN770" s="176" t="str">
        <f>IF(OR(BASE_DATOS[[#This Row],[Km.]]="",BASE_DATOS[[#This Row],[Km. Actual]]=""),"",BASE_DATOS[[#This Row],[Km. Actual]]-BASE_DATOS[[#This Row],[Km.]]+BASE_DATOS[[#This Row],[Kilómetros Acumulados]])</f>
        <v/>
      </c>
      <c r="AO770" s="177" t="str">
        <f>IFERROR(BASE_DATOS[[#This Row],[Precio US$]]/BASE_DATOS[[#This Row],[Kilómetros Rodados]],"")</f>
        <v/>
      </c>
      <c r="AP770" s="176" t="str">
        <f>IFERROR(BASE_DATOS[[#This Row],[Kilómetros Rodados]]/(BASE_DATOS[[#This Row],[NSK Original]]-BASE_DATOS[[#This Row],[NSK]]),"")</f>
        <v/>
      </c>
      <c r="AQ77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70" s="177" t="str">
        <f>IFERROR(BASE_DATOS[[#This Row],[Precio US$]]/BASE_DATOS[[#This Row],[Kilómetros Proy.]],"")</f>
        <v/>
      </c>
      <c r="AS770" s="167" t="s">
        <v>62</v>
      </c>
      <c r="AT770" s="167"/>
      <c r="AU770" s="167"/>
      <c r="AV770" s="167"/>
      <c r="AW770" s="179"/>
      <c r="AX770" s="179"/>
      <c r="AY770" s="179" t="str">
        <f>CONCATENATE(BASE_DATOS[[#This Row],[Código_U]]&amp;BASE_DATOS[[#This Row],[Pos.]]&amp;BASE_DATOS[[#This Row],[Situación Actual]])</f>
        <v>SR-232RTRodando</v>
      </c>
    </row>
    <row r="771" spans="1:51" ht="12" x14ac:dyDescent="0.25">
      <c r="A771" s="222" t="s">
        <v>461</v>
      </c>
      <c r="B771" s="213" t="s">
        <v>263</v>
      </c>
      <c r="C771" s="225" t="s">
        <v>295</v>
      </c>
      <c r="D771" s="226" t="s">
        <v>87</v>
      </c>
      <c r="E771" s="249"/>
      <c r="F771" s="250" t="s">
        <v>97</v>
      </c>
      <c r="G771" s="250" t="s">
        <v>269</v>
      </c>
      <c r="H771" s="251" t="str">
        <f>IF(BASE_DATOS[[#This Row],[N-R]]="N",BASE_DATOS[[#This Row],[Diseño]],"Reencauche")</f>
        <v>AGC28</v>
      </c>
      <c r="I771" s="250" t="s">
        <v>270</v>
      </c>
      <c r="J771" s="235" t="s">
        <v>72</v>
      </c>
      <c r="K771" s="252">
        <v>16.5</v>
      </c>
      <c r="L771" s="250">
        <v>110</v>
      </c>
      <c r="M771" s="253"/>
      <c r="N771" s="254"/>
      <c r="O771" s="274"/>
      <c r="P771" s="275"/>
      <c r="Q771" s="276"/>
      <c r="R771" s="305" t="s">
        <v>98</v>
      </c>
      <c r="S771" s="306">
        <v>45386</v>
      </c>
      <c r="T771" s="314"/>
      <c r="U771" s="276"/>
      <c r="V771" s="224">
        <v>14</v>
      </c>
      <c r="W771" s="325">
        <v>14</v>
      </c>
      <c r="X771" s="326">
        <v>14</v>
      </c>
      <c r="Y771" s="292">
        <f t="shared" si="32"/>
        <v>14</v>
      </c>
      <c r="Z771" s="185" t="s">
        <v>73</v>
      </c>
      <c r="AA771" s="339">
        <f>IFERROR(BASE_DATOS[[#This Row],[NSK Original]]-BASE_DATOS[[#This Row],[NSK]]," ")</f>
        <v>2.5</v>
      </c>
      <c r="AB771" s="340">
        <f>'NSK-TRACTO'!$A$2</f>
        <v>6</v>
      </c>
      <c r="AC771" s="340">
        <f>IF(BASE_DATOS[[#This Row],[NSK]]&gt;=BASE_DATOS[[#This Row],[NSK Reen]],BASE_DATOS[[#This Row],[NSK Reen]],BASE_DATOS[[#This Row],[NSK]])</f>
        <v>6</v>
      </c>
      <c r="AD771" s="341">
        <f>IFERROR(100%-(BASE_DATOS[[#This Row],[NSK Reen]]/BASE_DATOS[[#This Row],[NSK Original]]),"")</f>
        <v>0.63636363636363635</v>
      </c>
      <c r="AE771" s="341">
        <f>IFERROR(100%-BASE_DATOS[[#This Row],[NSK]]/BASE_DATOS[[#This Row],[NSK Original]],"")</f>
        <v>0.15151515151515149</v>
      </c>
      <c r="AF771" s="341">
        <f>IFERROR(BASE_DATOS[[#This Row],[% Max Des.]]-BASE_DATOS[[#This Row],[% Des]],"")</f>
        <v>0.48484848484848486</v>
      </c>
      <c r="AG771" s="284"/>
      <c r="AH771" s="335"/>
      <c r="AI771" s="359" t="str">
        <f>IF(OR(BASE_DATOS[[#This Row],[Hr.]]="",BASE_DATOS[[#This Row],[Hr. Actual]]=""),"",BASE_DATOS[[#This Row],[Hr. Actual]]-BASE_DATOS[[#This Row],[Hr.]]+BASE_DATOS[[#This Row],[Horas Acumuladas]])</f>
        <v/>
      </c>
      <c r="AJ771" s="360" t="str">
        <f>IFERROR(BASE_DATOS[[#This Row],[Precio US$]]/BASE_DATOS[[#This Row],[Horas Rodadas]],"")</f>
        <v/>
      </c>
      <c r="AK771" s="361" t="str">
        <f>IFERROR(BASE_DATOS[[#This Row],[Horas Rodadas]]/(BASE_DATOS[[#This Row],[NSK Original]]-BASE_DATOS[[#This Row],[NSK]]),"")</f>
        <v/>
      </c>
      <c r="AL771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71" s="362" t="str">
        <f>IFERROR(BASE_DATOS[[#This Row],[Precio US$]]/BASE_DATOS[[#This Row],[Horas Proy.]],"")</f>
        <v/>
      </c>
      <c r="AN771" s="195" t="str">
        <f>IF(OR(BASE_DATOS[[#This Row],[Km.]]="",BASE_DATOS[[#This Row],[Km. Actual]]=""),"",BASE_DATOS[[#This Row],[Km. Actual]]-BASE_DATOS[[#This Row],[Km.]]+BASE_DATOS[[#This Row],[Kilómetros Acumulados]])</f>
        <v/>
      </c>
      <c r="AO771" s="196" t="str">
        <f>IFERROR(BASE_DATOS[[#This Row],[Precio US$]]/BASE_DATOS[[#This Row],[Kilómetros Rodados]],"")</f>
        <v/>
      </c>
      <c r="AP771" s="195" t="str">
        <f>IFERROR(BASE_DATOS[[#This Row],[Kilómetros Rodados]]/(BASE_DATOS[[#This Row],[NSK Original]]-BASE_DATOS[[#This Row],[NSK]]),"")</f>
        <v/>
      </c>
      <c r="AQ771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71" s="196" t="str">
        <f>IFERROR(BASE_DATOS[[#This Row],[Precio US$]]/BASE_DATOS[[#This Row],[Kilómetros Proy.]],"")</f>
        <v/>
      </c>
      <c r="AS771" s="191" t="s">
        <v>62</v>
      </c>
      <c r="AT771" s="191"/>
      <c r="AU771" s="191"/>
      <c r="AV771" s="191"/>
      <c r="AW771" s="198"/>
      <c r="AX771" s="198"/>
      <c r="AY771" s="198" t="str">
        <f>CONCATENATE(BASE_DATOS[[#This Row],[Código_U]]&amp;BASE_DATOS[[#This Row],[Pos.]]&amp;BASE_DATOS[[#This Row],[Situación Actual]])</f>
        <v>SR-2381Rodando</v>
      </c>
    </row>
    <row r="772" spans="1:51" ht="12" x14ac:dyDescent="0.25">
      <c r="A772" s="223" t="s">
        <v>461</v>
      </c>
      <c r="B772" s="217" t="s">
        <v>263</v>
      </c>
      <c r="C772" s="228" t="s">
        <v>295</v>
      </c>
      <c r="D772" s="229" t="s">
        <v>87</v>
      </c>
      <c r="E772" s="255"/>
      <c r="F772" s="256" t="s">
        <v>97</v>
      </c>
      <c r="G772" s="256" t="s">
        <v>269</v>
      </c>
      <c r="H772" s="257" t="str">
        <f>IF(BASE_DATOS[[#This Row],[N-R]]="N",BASE_DATOS[[#This Row],[Diseño]],"Reencauche")</f>
        <v>AGC28</v>
      </c>
      <c r="I772" s="256" t="s">
        <v>270</v>
      </c>
      <c r="J772" s="243" t="s">
        <v>72</v>
      </c>
      <c r="K772" s="258">
        <v>16.5</v>
      </c>
      <c r="L772" s="256">
        <v>110</v>
      </c>
      <c r="M772" s="259"/>
      <c r="N772" s="260"/>
      <c r="O772" s="277"/>
      <c r="P772" s="278"/>
      <c r="Q772" s="279"/>
      <c r="R772" s="309" t="s">
        <v>99</v>
      </c>
      <c r="S772" s="310">
        <v>45386</v>
      </c>
      <c r="T772" s="313"/>
      <c r="U772" s="279"/>
      <c r="V772" s="227">
        <v>10</v>
      </c>
      <c r="W772" s="281">
        <v>8</v>
      </c>
      <c r="X772" s="282">
        <v>9</v>
      </c>
      <c r="Y772" s="293">
        <f t="shared" si="32"/>
        <v>8</v>
      </c>
      <c r="Z772" s="161" t="s">
        <v>73</v>
      </c>
      <c r="AA772" s="342">
        <f>IFERROR(BASE_DATOS[[#This Row],[NSK Original]]-BASE_DATOS[[#This Row],[NSK]]," ")</f>
        <v>8.5</v>
      </c>
      <c r="AB772" s="343">
        <f>'NSK-TRACTO'!$A$2</f>
        <v>6</v>
      </c>
      <c r="AC772" s="343">
        <f>IF(BASE_DATOS[[#This Row],[NSK]]&gt;=BASE_DATOS[[#This Row],[NSK Reen]],BASE_DATOS[[#This Row],[NSK Reen]],BASE_DATOS[[#This Row],[NSK]])</f>
        <v>6</v>
      </c>
      <c r="AD772" s="344">
        <f>IFERROR(100%-(BASE_DATOS[[#This Row],[NSK Reen]]/BASE_DATOS[[#This Row],[NSK Original]]),"")</f>
        <v>0.63636363636363635</v>
      </c>
      <c r="AE772" s="344">
        <f>IFERROR(100%-BASE_DATOS[[#This Row],[NSK]]/BASE_DATOS[[#This Row],[NSK Original]],"")</f>
        <v>0.51515151515151514</v>
      </c>
      <c r="AF772" s="344">
        <f>IFERROR(BASE_DATOS[[#This Row],[% Max Des.]]-BASE_DATOS[[#This Row],[% Des]],"")</f>
        <v>0.12121212121212122</v>
      </c>
      <c r="AG772" s="287"/>
      <c r="AH772" s="273"/>
      <c r="AI772" s="363" t="str">
        <f>IF(OR(BASE_DATOS[[#This Row],[Hr.]]="",BASE_DATOS[[#This Row],[Hr. Actual]]=""),"",BASE_DATOS[[#This Row],[Hr. Actual]]-BASE_DATOS[[#This Row],[Hr.]]+BASE_DATOS[[#This Row],[Horas Acumuladas]])</f>
        <v/>
      </c>
      <c r="AJ772" s="364" t="str">
        <f>IFERROR(BASE_DATOS[[#This Row],[Precio US$]]/BASE_DATOS[[#This Row],[Horas Rodadas]],"")</f>
        <v/>
      </c>
      <c r="AK772" s="365" t="str">
        <f>IFERROR(BASE_DATOS[[#This Row],[Horas Rodadas]]/(BASE_DATOS[[#This Row],[NSK Original]]-BASE_DATOS[[#This Row],[NSK]]),"")</f>
        <v/>
      </c>
      <c r="AL77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72" s="366" t="str">
        <f>IFERROR(BASE_DATOS[[#This Row],[Precio US$]]/BASE_DATOS[[#This Row],[Horas Proy.]],"")</f>
        <v/>
      </c>
      <c r="AN772" s="176" t="str">
        <f>IF(OR(BASE_DATOS[[#This Row],[Km.]]="",BASE_DATOS[[#This Row],[Km. Actual]]=""),"",BASE_DATOS[[#This Row],[Km. Actual]]-BASE_DATOS[[#This Row],[Km.]]+BASE_DATOS[[#This Row],[Kilómetros Acumulados]])</f>
        <v/>
      </c>
      <c r="AO772" s="177" t="str">
        <f>IFERROR(BASE_DATOS[[#This Row],[Precio US$]]/BASE_DATOS[[#This Row],[Kilómetros Rodados]],"")</f>
        <v/>
      </c>
      <c r="AP772" s="176" t="str">
        <f>IFERROR(BASE_DATOS[[#This Row],[Kilómetros Rodados]]/(BASE_DATOS[[#This Row],[NSK Original]]-BASE_DATOS[[#This Row],[NSK]]),"")</f>
        <v/>
      </c>
      <c r="AQ77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72" s="177" t="str">
        <f>IFERROR(BASE_DATOS[[#This Row],[Precio US$]]/BASE_DATOS[[#This Row],[Kilómetros Proy.]],"")</f>
        <v/>
      </c>
      <c r="AS772" s="167" t="s">
        <v>62</v>
      </c>
      <c r="AT772" s="167"/>
      <c r="AU772" s="167"/>
      <c r="AV772" s="167"/>
      <c r="AW772" s="179"/>
      <c r="AX772" s="179"/>
      <c r="AY772" s="179" t="str">
        <f>CONCATENATE(BASE_DATOS[[#This Row],[Código_U]]&amp;BASE_DATOS[[#This Row],[Pos.]]&amp;BASE_DATOS[[#This Row],[Situación Actual]])</f>
        <v>SR-2382Rodando</v>
      </c>
    </row>
    <row r="773" spans="1:51" ht="12" x14ac:dyDescent="0.25">
      <c r="A773" s="223" t="s">
        <v>461</v>
      </c>
      <c r="B773" s="217" t="s">
        <v>263</v>
      </c>
      <c r="C773" s="228" t="s">
        <v>295</v>
      </c>
      <c r="D773" s="229" t="s">
        <v>87</v>
      </c>
      <c r="E773" s="255"/>
      <c r="F773" s="256" t="s">
        <v>97</v>
      </c>
      <c r="G773" s="256" t="s">
        <v>269</v>
      </c>
      <c r="H773" s="257" t="str">
        <f>IF(BASE_DATOS[[#This Row],[N-R]]="N",BASE_DATOS[[#This Row],[Diseño]],"Reencauche")</f>
        <v>AGC28</v>
      </c>
      <c r="I773" s="256" t="s">
        <v>270</v>
      </c>
      <c r="J773" s="243" t="s">
        <v>72</v>
      </c>
      <c r="K773" s="258">
        <v>16.5</v>
      </c>
      <c r="L773" s="256">
        <v>110</v>
      </c>
      <c r="M773" s="259"/>
      <c r="N773" s="260"/>
      <c r="O773" s="277"/>
      <c r="P773" s="278"/>
      <c r="Q773" s="279"/>
      <c r="R773" s="309" t="s">
        <v>100</v>
      </c>
      <c r="S773" s="310">
        <v>45386</v>
      </c>
      <c r="T773" s="313"/>
      <c r="U773" s="279"/>
      <c r="V773" s="227">
        <v>11</v>
      </c>
      <c r="W773" s="281">
        <v>10</v>
      </c>
      <c r="X773" s="282">
        <v>11</v>
      </c>
      <c r="Y773" s="293">
        <f t="shared" si="32"/>
        <v>10</v>
      </c>
      <c r="Z773" s="161" t="s">
        <v>73</v>
      </c>
      <c r="AA773" s="342">
        <f>IFERROR(BASE_DATOS[[#This Row],[NSK Original]]-BASE_DATOS[[#This Row],[NSK]]," ")</f>
        <v>6.5</v>
      </c>
      <c r="AB773" s="343">
        <f>'NSK-TRACTO'!$A$2</f>
        <v>6</v>
      </c>
      <c r="AC773" s="343">
        <f>IF(BASE_DATOS[[#This Row],[NSK]]&gt;=BASE_DATOS[[#This Row],[NSK Reen]],BASE_DATOS[[#This Row],[NSK Reen]],BASE_DATOS[[#This Row],[NSK]])</f>
        <v>6</v>
      </c>
      <c r="AD773" s="344">
        <f>IFERROR(100%-(BASE_DATOS[[#This Row],[NSK Reen]]/BASE_DATOS[[#This Row],[NSK Original]]),"")</f>
        <v>0.63636363636363635</v>
      </c>
      <c r="AE773" s="344">
        <f>IFERROR(100%-BASE_DATOS[[#This Row],[NSK]]/BASE_DATOS[[#This Row],[NSK Original]],"")</f>
        <v>0.39393939393939392</v>
      </c>
      <c r="AF773" s="344">
        <f>IFERROR(BASE_DATOS[[#This Row],[% Max Des.]]-BASE_DATOS[[#This Row],[% Des]],"")</f>
        <v>0.24242424242424243</v>
      </c>
      <c r="AG773" s="287"/>
      <c r="AH773" s="273"/>
      <c r="AI773" s="363" t="str">
        <f>IF(OR(BASE_DATOS[[#This Row],[Hr.]]="",BASE_DATOS[[#This Row],[Hr. Actual]]=""),"",BASE_DATOS[[#This Row],[Hr. Actual]]-BASE_DATOS[[#This Row],[Hr.]]+BASE_DATOS[[#This Row],[Horas Acumuladas]])</f>
        <v/>
      </c>
      <c r="AJ773" s="364" t="str">
        <f>IFERROR(BASE_DATOS[[#This Row],[Precio US$]]/BASE_DATOS[[#This Row],[Horas Rodadas]],"")</f>
        <v/>
      </c>
      <c r="AK773" s="365" t="str">
        <f>IFERROR(BASE_DATOS[[#This Row],[Horas Rodadas]]/(BASE_DATOS[[#This Row],[NSK Original]]-BASE_DATOS[[#This Row],[NSK]]),"")</f>
        <v/>
      </c>
      <c r="AL77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73" s="366" t="str">
        <f>IFERROR(BASE_DATOS[[#This Row],[Precio US$]]/BASE_DATOS[[#This Row],[Horas Proy.]],"")</f>
        <v/>
      </c>
      <c r="AN773" s="176" t="str">
        <f>IF(OR(BASE_DATOS[[#This Row],[Km.]]="",BASE_DATOS[[#This Row],[Km. Actual]]=""),"",BASE_DATOS[[#This Row],[Km. Actual]]-BASE_DATOS[[#This Row],[Km.]]+BASE_DATOS[[#This Row],[Kilómetros Acumulados]])</f>
        <v/>
      </c>
      <c r="AO773" s="177" t="str">
        <f>IFERROR(BASE_DATOS[[#This Row],[Precio US$]]/BASE_DATOS[[#This Row],[Kilómetros Rodados]],"")</f>
        <v/>
      </c>
      <c r="AP773" s="176" t="str">
        <f>IFERROR(BASE_DATOS[[#This Row],[Kilómetros Rodados]]/(BASE_DATOS[[#This Row],[NSK Original]]-BASE_DATOS[[#This Row],[NSK]]),"")</f>
        <v/>
      </c>
      <c r="AQ77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73" s="177" t="str">
        <f>IFERROR(BASE_DATOS[[#This Row],[Precio US$]]/BASE_DATOS[[#This Row],[Kilómetros Proy.]],"")</f>
        <v/>
      </c>
      <c r="AS773" s="167" t="s">
        <v>62</v>
      </c>
      <c r="AT773" s="167"/>
      <c r="AU773" s="167"/>
      <c r="AV773" s="167"/>
      <c r="AW773" s="179"/>
      <c r="AX773" s="179"/>
      <c r="AY773" s="179" t="str">
        <f>CONCATENATE(BASE_DATOS[[#This Row],[Código_U]]&amp;BASE_DATOS[[#This Row],[Pos.]]&amp;BASE_DATOS[[#This Row],[Situación Actual]])</f>
        <v>SR-2383Rodando</v>
      </c>
    </row>
    <row r="774" spans="1:51" ht="12" x14ac:dyDescent="0.25">
      <c r="A774" s="223" t="s">
        <v>461</v>
      </c>
      <c r="B774" s="217" t="s">
        <v>263</v>
      </c>
      <c r="C774" s="228" t="s">
        <v>295</v>
      </c>
      <c r="D774" s="229" t="s">
        <v>87</v>
      </c>
      <c r="E774" s="255"/>
      <c r="F774" s="256" t="s">
        <v>97</v>
      </c>
      <c r="G774" s="256" t="s">
        <v>269</v>
      </c>
      <c r="H774" s="257" t="str">
        <f>IF(BASE_DATOS[[#This Row],[N-R]]="N",BASE_DATOS[[#This Row],[Diseño]],"Reencauche")</f>
        <v>AGC28</v>
      </c>
      <c r="I774" s="256" t="s">
        <v>270</v>
      </c>
      <c r="J774" s="243" t="s">
        <v>72</v>
      </c>
      <c r="K774" s="258">
        <v>16.5</v>
      </c>
      <c r="L774" s="256">
        <v>110</v>
      </c>
      <c r="M774" s="259"/>
      <c r="N774" s="260"/>
      <c r="O774" s="277"/>
      <c r="P774" s="278"/>
      <c r="Q774" s="279"/>
      <c r="R774" s="309" t="s">
        <v>101</v>
      </c>
      <c r="S774" s="310">
        <v>45386</v>
      </c>
      <c r="T774" s="313"/>
      <c r="U774" s="279"/>
      <c r="V774" s="227">
        <v>10</v>
      </c>
      <c r="W774" s="281">
        <v>8</v>
      </c>
      <c r="X774" s="282">
        <v>9</v>
      </c>
      <c r="Y774" s="293">
        <f t="shared" si="32"/>
        <v>8</v>
      </c>
      <c r="Z774" s="161" t="s">
        <v>73</v>
      </c>
      <c r="AA774" s="342">
        <f>IFERROR(BASE_DATOS[[#This Row],[NSK Original]]-BASE_DATOS[[#This Row],[NSK]]," ")</f>
        <v>8.5</v>
      </c>
      <c r="AB774" s="343">
        <f>'NSK-TRACTO'!$A$2</f>
        <v>6</v>
      </c>
      <c r="AC774" s="343">
        <f>IF(BASE_DATOS[[#This Row],[NSK]]&gt;=BASE_DATOS[[#This Row],[NSK Reen]],BASE_DATOS[[#This Row],[NSK Reen]],BASE_DATOS[[#This Row],[NSK]])</f>
        <v>6</v>
      </c>
      <c r="AD774" s="344">
        <f>IFERROR(100%-(BASE_DATOS[[#This Row],[NSK Reen]]/BASE_DATOS[[#This Row],[NSK Original]]),"")</f>
        <v>0.63636363636363635</v>
      </c>
      <c r="AE774" s="344">
        <f>IFERROR(100%-BASE_DATOS[[#This Row],[NSK]]/BASE_DATOS[[#This Row],[NSK Original]],"")</f>
        <v>0.51515151515151514</v>
      </c>
      <c r="AF774" s="344">
        <f>IFERROR(BASE_DATOS[[#This Row],[% Max Des.]]-BASE_DATOS[[#This Row],[% Des]],"")</f>
        <v>0.12121212121212122</v>
      </c>
      <c r="AG774" s="287"/>
      <c r="AH774" s="273"/>
      <c r="AI774" s="363" t="str">
        <f>IF(OR(BASE_DATOS[[#This Row],[Hr.]]="",BASE_DATOS[[#This Row],[Hr. Actual]]=""),"",BASE_DATOS[[#This Row],[Hr. Actual]]-BASE_DATOS[[#This Row],[Hr.]]+BASE_DATOS[[#This Row],[Horas Acumuladas]])</f>
        <v/>
      </c>
      <c r="AJ774" s="364" t="str">
        <f>IFERROR(BASE_DATOS[[#This Row],[Precio US$]]/BASE_DATOS[[#This Row],[Horas Rodadas]],"")</f>
        <v/>
      </c>
      <c r="AK774" s="365" t="str">
        <f>IFERROR(BASE_DATOS[[#This Row],[Horas Rodadas]]/(BASE_DATOS[[#This Row],[NSK Original]]-BASE_DATOS[[#This Row],[NSK]]),"")</f>
        <v/>
      </c>
      <c r="AL77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74" s="366" t="str">
        <f>IFERROR(BASE_DATOS[[#This Row],[Precio US$]]/BASE_DATOS[[#This Row],[Horas Proy.]],"")</f>
        <v/>
      </c>
      <c r="AN774" s="176" t="str">
        <f>IF(OR(BASE_DATOS[[#This Row],[Km.]]="",BASE_DATOS[[#This Row],[Km. Actual]]=""),"",BASE_DATOS[[#This Row],[Km. Actual]]-BASE_DATOS[[#This Row],[Km.]]+BASE_DATOS[[#This Row],[Kilómetros Acumulados]])</f>
        <v/>
      </c>
      <c r="AO774" s="177" t="str">
        <f>IFERROR(BASE_DATOS[[#This Row],[Precio US$]]/BASE_DATOS[[#This Row],[Kilómetros Rodados]],"")</f>
        <v/>
      </c>
      <c r="AP774" s="176" t="str">
        <f>IFERROR(BASE_DATOS[[#This Row],[Kilómetros Rodados]]/(BASE_DATOS[[#This Row],[NSK Original]]-BASE_DATOS[[#This Row],[NSK]]),"")</f>
        <v/>
      </c>
      <c r="AQ77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74" s="177" t="str">
        <f>IFERROR(BASE_DATOS[[#This Row],[Precio US$]]/BASE_DATOS[[#This Row],[Kilómetros Proy.]],"")</f>
        <v/>
      </c>
      <c r="AS774" s="167" t="s">
        <v>62</v>
      </c>
      <c r="AT774" s="167"/>
      <c r="AU774" s="167"/>
      <c r="AV774" s="167"/>
      <c r="AW774" s="179"/>
      <c r="AX774" s="179"/>
      <c r="AY774" s="179" t="str">
        <f>CONCATENATE(BASE_DATOS[[#This Row],[Código_U]]&amp;BASE_DATOS[[#This Row],[Pos.]]&amp;BASE_DATOS[[#This Row],[Situación Actual]])</f>
        <v>SR-2384Rodando</v>
      </c>
    </row>
    <row r="775" spans="1:51" ht="12" x14ac:dyDescent="0.25">
      <c r="A775" s="223" t="s">
        <v>461</v>
      </c>
      <c r="B775" s="217" t="s">
        <v>263</v>
      </c>
      <c r="C775" s="228" t="s">
        <v>295</v>
      </c>
      <c r="D775" s="229" t="s">
        <v>87</v>
      </c>
      <c r="E775" s="255"/>
      <c r="F775" s="256" t="s">
        <v>97</v>
      </c>
      <c r="G775" s="256" t="s">
        <v>269</v>
      </c>
      <c r="H775" s="257" t="str">
        <f>IF(BASE_DATOS[[#This Row],[N-R]]="N",BASE_DATOS[[#This Row],[Diseño]],"Reencauche")</f>
        <v>AGC28</v>
      </c>
      <c r="I775" s="256" t="s">
        <v>270</v>
      </c>
      <c r="J775" s="243" t="s">
        <v>72</v>
      </c>
      <c r="K775" s="258">
        <v>16.5</v>
      </c>
      <c r="L775" s="256">
        <v>110</v>
      </c>
      <c r="M775" s="259"/>
      <c r="N775" s="260"/>
      <c r="O775" s="277"/>
      <c r="P775" s="278"/>
      <c r="Q775" s="279"/>
      <c r="R775" s="309" t="s">
        <v>102</v>
      </c>
      <c r="S775" s="310">
        <v>45386</v>
      </c>
      <c r="T775" s="313"/>
      <c r="U775" s="279"/>
      <c r="V775" s="227">
        <v>11</v>
      </c>
      <c r="W775" s="281">
        <v>10</v>
      </c>
      <c r="X775" s="282">
        <v>11</v>
      </c>
      <c r="Y775" s="293">
        <f t="shared" si="32"/>
        <v>10</v>
      </c>
      <c r="Z775" s="175" t="s">
        <v>85</v>
      </c>
      <c r="AA775" s="342">
        <f>IFERROR(BASE_DATOS[[#This Row],[NSK Original]]-BASE_DATOS[[#This Row],[NSK]]," ")</f>
        <v>6.5</v>
      </c>
      <c r="AB775" s="343">
        <f>'NSK-TRACTO'!$A$2</f>
        <v>6</v>
      </c>
      <c r="AC775" s="343">
        <f>IF(BASE_DATOS[[#This Row],[NSK]]&gt;=BASE_DATOS[[#This Row],[NSK Reen]],BASE_DATOS[[#This Row],[NSK Reen]],BASE_DATOS[[#This Row],[NSK]])</f>
        <v>6</v>
      </c>
      <c r="AD775" s="344">
        <f>IFERROR(100%-(BASE_DATOS[[#This Row],[NSK Reen]]/BASE_DATOS[[#This Row],[NSK Original]]),"")</f>
        <v>0.63636363636363635</v>
      </c>
      <c r="AE775" s="344">
        <f>IFERROR(100%-BASE_DATOS[[#This Row],[NSK]]/BASE_DATOS[[#This Row],[NSK Original]],"")</f>
        <v>0.39393939393939392</v>
      </c>
      <c r="AF775" s="344">
        <f>IFERROR(BASE_DATOS[[#This Row],[% Max Des.]]-BASE_DATOS[[#This Row],[% Des]],"")</f>
        <v>0.24242424242424243</v>
      </c>
      <c r="AG775" s="287"/>
      <c r="AH775" s="273"/>
      <c r="AI775" s="363" t="str">
        <f>IF(OR(BASE_DATOS[[#This Row],[Hr.]]="",BASE_DATOS[[#This Row],[Hr. Actual]]=""),"",BASE_DATOS[[#This Row],[Hr. Actual]]-BASE_DATOS[[#This Row],[Hr.]]+BASE_DATOS[[#This Row],[Horas Acumuladas]])</f>
        <v/>
      </c>
      <c r="AJ775" s="364" t="str">
        <f>IFERROR(BASE_DATOS[[#This Row],[Precio US$]]/BASE_DATOS[[#This Row],[Horas Rodadas]],"")</f>
        <v/>
      </c>
      <c r="AK775" s="365" t="str">
        <f>IFERROR(BASE_DATOS[[#This Row],[Horas Rodadas]]/(BASE_DATOS[[#This Row],[NSK Original]]-BASE_DATOS[[#This Row],[NSK]]),"")</f>
        <v/>
      </c>
      <c r="AL77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75" s="366" t="str">
        <f>IFERROR(BASE_DATOS[[#This Row],[Precio US$]]/BASE_DATOS[[#This Row],[Horas Proy.]],"")</f>
        <v/>
      </c>
      <c r="AN775" s="176" t="str">
        <f>IF(OR(BASE_DATOS[[#This Row],[Km.]]="",BASE_DATOS[[#This Row],[Km. Actual]]=""),"",BASE_DATOS[[#This Row],[Km. Actual]]-BASE_DATOS[[#This Row],[Km.]]+BASE_DATOS[[#This Row],[Kilómetros Acumulados]])</f>
        <v/>
      </c>
      <c r="AO775" s="177" t="str">
        <f>IFERROR(BASE_DATOS[[#This Row],[Precio US$]]/BASE_DATOS[[#This Row],[Kilómetros Rodados]],"")</f>
        <v/>
      </c>
      <c r="AP775" s="176" t="str">
        <f>IFERROR(BASE_DATOS[[#This Row],[Kilómetros Rodados]]/(BASE_DATOS[[#This Row],[NSK Original]]-BASE_DATOS[[#This Row],[NSK]]),"")</f>
        <v/>
      </c>
      <c r="AQ77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75" s="177" t="str">
        <f>IFERROR(BASE_DATOS[[#This Row],[Precio US$]]/BASE_DATOS[[#This Row],[Kilómetros Proy.]],"")</f>
        <v/>
      </c>
      <c r="AS775" s="167" t="s">
        <v>62</v>
      </c>
      <c r="AT775" s="167"/>
      <c r="AU775" s="167"/>
      <c r="AV775" s="167"/>
      <c r="AW775" s="179"/>
      <c r="AX775" s="179"/>
      <c r="AY775" s="179" t="str">
        <f>CONCATENATE(BASE_DATOS[[#This Row],[Código_U]]&amp;BASE_DATOS[[#This Row],[Pos.]]&amp;BASE_DATOS[[#This Row],[Situación Actual]])</f>
        <v>SR-2385Rodando</v>
      </c>
    </row>
    <row r="776" spans="1:51" ht="12" x14ac:dyDescent="0.25">
      <c r="A776" s="223" t="s">
        <v>461</v>
      </c>
      <c r="B776" s="217" t="s">
        <v>263</v>
      </c>
      <c r="C776" s="228" t="s">
        <v>295</v>
      </c>
      <c r="D776" s="229" t="s">
        <v>87</v>
      </c>
      <c r="E776" s="255"/>
      <c r="F776" s="256" t="s">
        <v>97</v>
      </c>
      <c r="G776" s="256" t="s">
        <v>269</v>
      </c>
      <c r="H776" s="257" t="str">
        <f>IF(BASE_DATOS[[#This Row],[N-R]]="N",BASE_DATOS[[#This Row],[Diseño]],"Reencauche")</f>
        <v>AGC28</v>
      </c>
      <c r="I776" s="256" t="s">
        <v>270</v>
      </c>
      <c r="J776" s="243" t="s">
        <v>72</v>
      </c>
      <c r="K776" s="258">
        <v>16.5</v>
      </c>
      <c r="L776" s="256">
        <v>110</v>
      </c>
      <c r="M776" s="259"/>
      <c r="N776" s="260"/>
      <c r="O776" s="277"/>
      <c r="P776" s="278"/>
      <c r="Q776" s="279"/>
      <c r="R776" s="309" t="s">
        <v>103</v>
      </c>
      <c r="S776" s="310">
        <v>45386</v>
      </c>
      <c r="T776" s="313"/>
      <c r="U776" s="279"/>
      <c r="V776" s="227">
        <v>11</v>
      </c>
      <c r="W776" s="281">
        <v>11</v>
      </c>
      <c r="X776" s="282">
        <v>11</v>
      </c>
      <c r="Y776" s="293">
        <f t="shared" si="32"/>
        <v>11</v>
      </c>
      <c r="Z776" s="161" t="s">
        <v>73</v>
      </c>
      <c r="AA776" s="342">
        <f>IFERROR(BASE_DATOS[[#This Row],[NSK Original]]-BASE_DATOS[[#This Row],[NSK]]," ")</f>
        <v>5.5</v>
      </c>
      <c r="AB776" s="343">
        <f>'NSK-TRACTO'!$A$2</f>
        <v>6</v>
      </c>
      <c r="AC776" s="343">
        <f>IF(BASE_DATOS[[#This Row],[NSK]]&gt;=BASE_DATOS[[#This Row],[NSK Reen]],BASE_DATOS[[#This Row],[NSK Reen]],BASE_DATOS[[#This Row],[NSK]])</f>
        <v>6</v>
      </c>
      <c r="AD776" s="344">
        <f>IFERROR(100%-(BASE_DATOS[[#This Row],[NSK Reen]]/BASE_DATOS[[#This Row],[NSK Original]]),"")</f>
        <v>0.63636363636363635</v>
      </c>
      <c r="AE776" s="344">
        <f>IFERROR(100%-BASE_DATOS[[#This Row],[NSK]]/BASE_DATOS[[#This Row],[NSK Original]],"")</f>
        <v>0.33333333333333337</v>
      </c>
      <c r="AF776" s="344">
        <f>IFERROR(BASE_DATOS[[#This Row],[% Max Des.]]-BASE_DATOS[[#This Row],[% Des]],"")</f>
        <v>0.30303030303030298</v>
      </c>
      <c r="AG776" s="287"/>
      <c r="AH776" s="273"/>
      <c r="AI776" s="363" t="str">
        <f>IF(OR(BASE_DATOS[[#This Row],[Hr.]]="",BASE_DATOS[[#This Row],[Hr. Actual]]=""),"",BASE_DATOS[[#This Row],[Hr. Actual]]-BASE_DATOS[[#This Row],[Hr.]]+BASE_DATOS[[#This Row],[Horas Acumuladas]])</f>
        <v/>
      </c>
      <c r="AJ776" s="364" t="str">
        <f>IFERROR(BASE_DATOS[[#This Row],[Precio US$]]/BASE_DATOS[[#This Row],[Horas Rodadas]],"")</f>
        <v/>
      </c>
      <c r="AK776" s="365" t="str">
        <f>IFERROR(BASE_DATOS[[#This Row],[Horas Rodadas]]/(BASE_DATOS[[#This Row],[NSK Original]]-BASE_DATOS[[#This Row],[NSK]]),"")</f>
        <v/>
      </c>
      <c r="AL77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76" s="366" t="str">
        <f>IFERROR(BASE_DATOS[[#This Row],[Precio US$]]/BASE_DATOS[[#This Row],[Horas Proy.]],"")</f>
        <v/>
      </c>
      <c r="AN776" s="176" t="str">
        <f>IF(OR(BASE_DATOS[[#This Row],[Km.]]="",BASE_DATOS[[#This Row],[Km. Actual]]=""),"",BASE_DATOS[[#This Row],[Km. Actual]]-BASE_DATOS[[#This Row],[Km.]]+BASE_DATOS[[#This Row],[Kilómetros Acumulados]])</f>
        <v/>
      </c>
      <c r="AO776" s="177" t="str">
        <f>IFERROR(BASE_DATOS[[#This Row],[Precio US$]]/BASE_DATOS[[#This Row],[Kilómetros Rodados]],"")</f>
        <v/>
      </c>
      <c r="AP776" s="176" t="str">
        <f>IFERROR(BASE_DATOS[[#This Row],[Kilómetros Rodados]]/(BASE_DATOS[[#This Row],[NSK Original]]-BASE_DATOS[[#This Row],[NSK]]),"")</f>
        <v/>
      </c>
      <c r="AQ77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76" s="177" t="str">
        <f>IFERROR(BASE_DATOS[[#This Row],[Precio US$]]/BASE_DATOS[[#This Row],[Kilómetros Proy.]],"")</f>
        <v/>
      </c>
      <c r="AS776" s="167" t="s">
        <v>62</v>
      </c>
      <c r="AT776" s="167"/>
      <c r="AU776" s="167"/>
      <c r="AV776" s="167"/>
      <c r="AW776" s="179"/>
      <c r="AX776" s="179"/>
      <c r="AY776" s="179" t="str">
        <f>CONCATENATE(BASE_DATOS[[#This Row],[Código_U]]&amp;BASE_DATOS[[#This Row],[Pos.]]&amp;BASE_DATOS[[#This Row],[Situación Actual]])</f>
        <v>SR-2386Rodando</v>
      </c>
    </row>
    <row r="777" spans="1:51" ht="12" x14ac:dyDescent="0.25">
      <c r="A777" s="223" t="s">
        <v>461</v>
      </c>
      <c r="B777" s="217" t="s">
        <v>263</v>
      </c>
      <c r="C777" s="228" t="s">
        <v>295</v>
      </c>
      <c r="D777" s="229" t="s">
        <v>384</v>
      </c>
      <c r="E777" s="255"/>
      <c r="F777" s="256" t="s">
        <v>97</v>
      </c>
      <c r="G777" s="256" t="s">
        <v>269</v>
      </c>
      <c r="H777" s="257" t="str">
        <f>IF(BASE_DATOS[[#This Row],[N-R]]="N",BASE_DATOS[[#This Row],[Diseño]],"Reencauche")</f>
        <v>AGC28</v>
      </c>
      <c r="I777" s="256" t="s">
        <v>270</v>
      </c>
      <c r="J777" s="243" t="s">
        <v>72</v>
      </c>
      <c r="K777" s="258">
        <v>16.5</v>
      </c>
      <c r="L777" s="256">
        <v>110</v>
      </c>
      <c r="M777" s="259"/>
      <c r="N777" s="260"/>
      <c r="O777" s="277"/>
      <c r="P777" s="278"/>
      <c r="Q777" s="279"/>
      <c r="R777" s="309" t="s">
        <v>509</v>
      </c>
      <c r="S777" s="310">
        <v>45386</v>
      </c>
      <c r="T777" s="313"/>
      <c r="U777" s="279"/>
      <c r="V777" s="227">
        <v>15</v>
      </c>
      <c r="W777" s="281">
        <v>15</v>
      </c>
      <c r="X777" s="282">
        <v>15</v>
      </c>
      <c r="Y777" s="293">
        <f t="shared" si="32"/>
        <v>15</v>
      </c>
      <c r="Z777" s="175" t="s">
        <v>85</v>
      </c>
      <c r="AA777" s="342">
        <f>IFERROR(BASE_DATOS[[#This Row],[NSK Original]]-BASE_DATOS[[#This Row],[NSK]]," ")</f>
        <v>1.5</v>
      </c>
      <c r="AB777" s="343">
        <f>'NSK-TRACTO'!$A$2</f>
        <v>6</v>
      </c>
      <c r="AC777" s="343">
        <f>IF(BASE_DATOS[[#This Row],[NSK]]&gt;=BASE_DATOS[[#This Row],[NSK Reen]],BASE_DATOS[[#This Row],[NSK Reen]],BASE_DATOS[[#This Row],[NSK]])</f>
        <v>6</v>
      </c>
      <c r="AD777" s="344">
        <f>IFERROR(100%-(BASE_DATOS[[#This Row],[NSK Reen]]/BASE_DATOS[[#This Row],[NSK Original]]),"")</f>
        <v>0.63636363636363635</v>
      </c>
      <c r="AE777" s="344">
        <f>IFERROR(100%-BASE_DATOS[[#This Row],[NSK]]/BASE_DATOS[[#This Row],[NSK Original]],"")</f>
        <v>9.0909090909090939E-2</v>
      </c>
      <c r="AF777" s="344">
        <f>IFERROR(BASE_DATOS[[#This Row],[% Max Des.]]-BASE_DATOS[[#This Row],[% Des]],"")</f>
        <v>0.54545454545454541</v>
      </c>
      <c r="AG777" s="287"/>
      <c r="AH777" s="273"/>
      <c r="AI777" s="363" t="str">
        <f>IF(OR(BASE_DATOS[[#This Row],[Hr.]]="",BASE_DATOS[[#This Row],[Hr. Actual]]=""),"",BASE_DATOS[[#This Row],[Hr. Actual]]-BASE_DATOS[[#This Row],[Hr.]]+BASE_DATOS[[#This Row],[Horas Acumuladas]])</f>
        <v/>
      </c>
      <c r="AJ777" s="364" t="str">
        <f>IFERROR(BASE_DATOS[[#This Row],[Precio US$]]/BASE_DATOS[[#This Row],[Horas Rodadas]],"")</f>
        <v/>
      </c>
      <c r="AK777" s="365" t="str">
        <f>IFERROR(BASE_DATOS[[#This Row],[Horas Rodadas]]/(BASE_DATOS[[#This Row],[NSK Original]]-BASE_DATOS[[#This Row],[NSK]]),"")</f>
        <v/>
      </c>
      <c r="AL77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77" s="366" t="str">
        <f>IFERROR(BASE_DATOS[[#This Row],[Precio US$]]/BASE_DATOS[[#This Row],[Horas Proy.]],"")</f>
        <v/>
      </c>
      <c r="AN777" s="176" t="str">
        <f>IF(OR(BASE_DATOS[[#This Row],[Km.]]="",BASE_DATOS[[#This Row],[Km. Actual]]=""),"",BASE_DATOS[[#This Row],[Km. Actual]]-BASE_DATOS[[#This Row],[Km.]]+BASE_DATOS[[#This Row],[Kilómetros Acumulados]])</f>
        <v/>
      </c>
      <c r="AO777" s="177" t="str">
        <f>IFERROR(BASE_DATOS[[#This Row],[Precio US$]]/BASE_DATOS[[#This Row],[Kilómetros Rodados]],"")</f>
        <v/>
      </c>
      <c r="AP777" s="176" t="str">
        <f>IFERROR(BASE_DATOS[[#This Row],[Kilómetros Rodados]]/(BASE_DATOS[[#This Row],[NSK Original]]-BASE_DATOS[[#This Row],[NSK]]),"")</f>
        <v/>
      </c>
      <c r="AQ77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77" s="177" t="str">
        <f>IFERROR(BASE_DATOS[[#This Row],[Precio US$]]/BASE_DATOS[[#This Row],[Kilómetros Proy.]],"")</f>
        <v/>
      </c>
      <c r="AS777" s="167" t="s">
        <v>62</v>
      </c>
      <c r="AT777" s="167"/>
      <c r="AU777" s="167"/>
      <c r="AV777" s="167"/>
      <c r="AW777" s="179"/>
      <c r="AX777" s="179"/>
      <c r="AY777" s="179" t="str">
        <f>CONCATENATE(BASE_DATOS[[#This Row],[Código_U]]&amp;BASE_DATOS[[#This Row],[Pos.]]&amp;BASE_DATOS[[#This Row],[Situación Actual]])</f>
        <v>SR-238RERodando</v>
      </c>
    </row>
    <row r="778" spans="1:51" ht="12" x14ac:dyDescent="0.25">
      <c r="A778" s="223" t="s">
        <v>461</v>
      </c>
      <c r="B778" s="217" t="s">
        <v>263</v>
      </c>
      <c r="C778" s="228" t="s">
        <v>295</v>
      </c>
      <c r="D778" s="229" t="s">
        <v>108</v>
      </c>
      <c r="E778" s="255"/>
      <c r="F778" s="256" t="s">
        <v>273</v>
      </c>
      <c r="G778" s="256" t="s">
        <v>271</v>
      </c>
      <c r="H778" s="257" t="str">
        <f>IF(BASE_DATOS[[#This Row],[N-R]]="N",BASE_DATOS[[#This Row],[Diseño]],"Reencauche")</f>
        <v>XMULTI2D</v>
      </c>
      <c r="I778" s="256" t="s">
        <v>299</v>
      </c>
      <c r="J778" s="243" t="s">
        <v>72</v>
      </c>
      <c r="K778" s="258">
        <v>21.4</v>
      </c>
      <c r="L778" s="256">
        <v>110</v>
      </c>
      <c r="M778" s="259"/>
      <c r="N778" s="260"/>
      <c r="O778" s="277"/>
      <c r="P778" s="278"/>
      <c r="Q778" s="279"/>
      <c r="R778" s="309" t="s">
        <v>108</v>
      </c>
      <c r="S778" s="474">
        <v>45386</v>
      </c>
      <c r="T778" s="313"/>
      <c r="U778" s="279"/>
      <c r="V778" s="227">
        <v>20</v>
      </c>
      <c r="W778" s="281"/>
      <c r="X778" s="282">
        <v>20</v>
      </c>
      <c r="Y778" s="293">
        <f t="shared" si="32"/>
        <v>20</v>
      </c>
      <c r="Z778" s="161" t="s">
        <v>73</v>
      </c>
      <c r="AA778" s="342">
        <f>IFERROR(BASE_DATOS[[#This Row],[NSK Original]]-BASE_DATOS[[#This Row],[NSK]]," ")</f>
        <v>1.3999999999999986</v>
      </c>
      <c r="AB778" s="343">
        <f>'NSK-TRACTO'!$A$2</f>
        <v>6</v>
      </c>
      <c r="AC778" s="343">
        <f>IF(BASE_DATOS[[#This Row],[NSK]]&gt;=BASE_DATOS[[#This Row],[NSK Reen]],BASE_DATOS[[#This Row],[NSK Reen]],BASE_DATOS[[#This Row],[NSK]])</f>
        <v>6</v>
      </c>
      <c r="AD778" s="344">
        <f>IFERROR(100%-(BASE_DATOS[[#This Row],[NSK Reen]]/BASE_DATOS[[#This Row],[NSK Original]]),"")</f>
        <v>0.71962616822429903</v>
      </c>
      <c r="AE778" s="344">
        <f>IFERROR(100%-BASE_DATOS[[#This Row],[NSK]]/BASE_DATOS[[#This Row],[NSK Original]],"")</f>
        <v>6.5420560747663448E-2</v>
      </c>
      <c r="AF778" s="344">
        <f>IFERROR(BASE_DATOS[[#This Row],[% Max Des.]]-BASE_DATOS[[#This Row],[% Des]],"")</f>
        <v>0.65420560747663559</v>
      </c>
      <c r="AG778" s="287"/>
      <c r="AH778" s="273"/>
      <c r="AI778" s="363" t="str">
        <f>IF(OR(BASE_DATOS[[#This Row],[Hr.]]="",BASE_DATOS[[#This Row],[Hr. Actual]]=""),"",BASE_DATOS[[#This Row],[Hr. Actual]]-BASE_DATOS[[#This Row],[Hr.]]+BASE_DATOS[[#This Row],[Horas Acumuladas]])</f>
        <v/>
      </c>
      <c r="AJ778" s="364" t="str">
        <f>IFERROR(BASE_DATOS[[#This Row],[Precio US$]]/BASE_DATOS[[#This Row],[Horas Rodadas]],"")</f>
        <v/>
      </c>
      <c r="AK778" s="365" t="str">
        <f>IFERROR(BASE_DATOS[[#This Row],[Horas Rodadas]]/(BASE_DATOS[[#This Row],[NSK Original]]-BASE_DATOS[[#This Row],[NSK]]),"")</f>
        <v/>
      </c>
      <c r="AL77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78" s="366" t="str">
        <f>IFERROR(BASE_DATOS[[#This Row],[Precio US$]]/BASE_DATOS[[#This Row],[Horas Proy.]],"")</f>
        <v/>
      </c>
      <c r="AN778" s="176" t="str">
        <f>IF(OR(BASE_DATOS[[#This Row],[Km.]]="",BASE_DATOS[[#This Row],[Km. Actual]]=""),"",BASE_DATOS[[#This Row],[Km. Actual]]-BASE_DATOS[[#This Row],[Km.]]+BASE_DATOS[[#This Row],[Kilómetros Acumulados]])</f>
        <v/>
      </c>
      <c r="AO778" s="177" t="str">
        <f>IFERROR(BASE_DATOS[[#This Row],[Precio US$]]/BASE_DATOS[[#This Row],[Kilómetros Rodados]],"")</f>
        <v/>
      </c>
      <c r="AP778" s="176" t="str">
        <f>IFERROR(BASE_DATOS[[#This Row],[Kilómetros Rodados]]/(BASE_DATOS[[#This Row],[NSK Original]]-BASE_DATOS[[#This Row],[NSK]]),"")</f>
        <v/>
      </c>
      <c r="AQ77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78" s="177" t="str">
        <f>IFERROR(BASE_DATOS[[#This Row],[Precio US$]]/BASE_DATOS[[#This Row],[Kilómetros Proy.]],"")</f>
        <v/>
      </c>
      <c r="AS778" s="167" t="s">
        <v>62</v>
      </c>
      <c r="AT778" s="167"/>
      <c r="AU778" s="167"/>
      <c r="AV778" s="167"/>
      <c r="AW778" s="179"/>
      <c r="AX778" s="179"/>
      <c r="AY778" s="179" t="str">
        <f>CONCATENATE(BASE_DATOS[[#This Row],[Código_U]]&amp;BASE_DATOS[[#This Row],[Pos.]]&amp;BASE_DATOS[[#This Row],[Situación Actual]])</f>
        <v>SR-238RTRodando</v>
      </c>
    </row>
    <row r="779" spans="1:51" ht="12" x14ac:dyDescent="0.25">
      <c r="A779" s="224" t="s">
        <v>421</v>
      </c>
      <c r="B779" s="213" t="s">
        <v>264</v>
      </c>
      <c r="C779" s="225" t="s">
        <v>296</v>
      </c>
      <c r="D779" s="226" t="s">
        <v>86</v>
      </c>
      <c r="E779" s="249"/>
      <c r="F779" s="250" t="s">
        <v>273</v>
      </c>
      <c r="G779" s="250" t="s">
        <v>271</v>
      </c>
      <c r="H779" s="251" t="str">
        <f>IF(BASE_DATOS[[#This Row],[N-R]]="N",BASE_DATOS[[#This Row],[Diseño]],"Reencauche")</f>
        <v>XMULTI+Z</v>
      </c>
      <c r="I779" s="250" t="s">
        <v>297</v>
      </c>
      <c r="J779" s="235" t="s">
        <v>72</v>
      </c>
      <c r="K779" s="252">
        <v>16</v>
      </c>
      <c r="L779" s="233">
        <v>100</v>
      </c>
      <c r="M779" s="253"/>
      <c r="N779" s="254"/>
      <c r="O779" s="274"/>
      <c r="P779" s="275"/>
      <c r="Q779" s="276"/>
      <c r="R779" s="305" t="s">
        <v>98</v>
      </c>
      <c r="S779" s="306">
        <v>45385</v>
      </c>
      <c r="T779" s="307"/>
      <c r="U779" s="308"/>
      <c r="V779" s="224">
        <v>9</v>
      </c>
      <c r="W779" s="325">
        <v>9</v>
      </c>
      <c r="X779" s="326">
        <v>10</v>
      </c>
      <c r="Y779" s="292">
        <f t="shared" si="32"/>
        <v>9</v>
      </c>
      <c r="Z779" s="185" t="s">
        <v>73</v>
      </c>
      <c r="AA779" s="339">
        <f>IFERROR(BASE_DATOS[[#This Row],[NSK Original]]-BASE_DATOS[[#This Row],[NSK]]," ")</f>
        <v>7</v>
      </c>
      <c r="AB779" s="340">
        <f>'NSK-TRACTO'!$A$2</f>
        <v>6</v>
      </c>
      <c r="AC779" s="340">
        <f>IF(BASE_DATOS[[#This Row],[NSK]]&gt;=BASE_DATOS[[#This Row],[NSK Reen]],BASE_DATOS[[#This Row],[NSK Reen]],BASE_DATOS[[#This Row],[NSK]])</f>
        <v>6</v>
      </c>
      <c r="AD779" s="341">
        <f>IFERROR(100%-(BASE_DATOS[[#This Row],[NSK Reen]]/BASE_DATOS[[#This Row],[NSK Original]]),"")</f>
        <v>0.625</v>
      </c>
      <c r="AE779" s="341">
        <f>IFERROR(100%-BASE_DATOS[[#This Row],[NSK]]/BASE_DATOS[[#This Row],[NSK Original]],"")</f>
        <v>0.4375</v>
      </c>
      <c r="AF779" s="341">
        <f>IFERROR(BASE_DATOS[[#This Row],[% Max Des.]]-BASE_DATOS[[#This Row],[% Des]],"")</f>
        <v>0.1875</v>
      </c>
      <c r="AG779" s="284"/>
      <c r="AH779" s="335"/>
      <c r="AI779" s="359" t="str">
        <f>IF(OR(BASE_DATOS[[#This Row],[Hr.]]="",BASE_DATOS[[#This Row],[Hr. Actual]]=""),"",BASE_DATOS[[#This Row],[Hr. Actual]]-BASE_DATOS[[#This Row],[Hr.]]+BASE_DATOS[[#This Row],[Horas Acumuladas]])</f>
        <v/>
      </c>
      <c r="AJ779" s="360" t="str">
        <f>IFERROR(BASE_DATOS[[#This Row],[Precio US$]]/BASE_DATOS[[#This Row],[Horas Rodadas]],"")</f>
        <v/>
      </c>
      <c r="AK779" s="361" t="str">
        <f>IFERROR(BASE_DATOS[[#This Row],[Horas Rodadas]]/(BASE_DATOS[[#This Row],[NSK Original]]-BASE_DATOS[[#This Row],[NSK]]),"")</f>
        <v/>
      </c>
      <c r="AL779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79" s="362" t="str">
        <f>IFERROR(BASE_DATOS[[#This Row],[Precio US$]]/BASE_DATOS[[#This Row],[Horas Proy.]],"")</f>
        <v/>
      </c>
      <c r="AN779" s="195" t="str">
        <f>IF(OR(BASE_DATOS[[#This Row],[Km.]]="",BASE_DATOS[[#This Row],[Km. Actual]]=""),"",BASE_DATOS[[#This Row],[Km. Actual]]-BASE_DATOS[[#This Row],[Km.]]+BASE_DATOS[[#This Row],[Kilómetros Acumulados]])</f>
        <v/>
      </c>
      <c r="AO779" s="196" t="str">
        <f>IFERROR(BASE_DATOS[[#This Row],[Precio US$]]/BASE_DATOS[[#This Row],[Kilómetros Rodados]],"")</f>
        <v/>
      </c>
      <c r="AP779" s="195" t="str">
        <f>IFERROR(BASE_DATOS[[#This Row],[Kilómetros Rodados]]/(BASE_DATOS[[#This Row],[NSK Original]]-BASE_DATOS[[#This Row],[NSK]]),"")</f>
        <v/>
      </c>
      <c r="AQ779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79" s="196" t="str">
        <f>IFERROR(BASE_DATOS[[#This Row],[Precio US$]]/BASE_DATOS[[#This Row],[Kilómetros Proy.]],"")</f>
        <v/>
      </c>
      <c r="AS779" s="191" t="s">
        <v>62</v>
      </c>
      <c r="AT779" s="191"/>
      <c r="AU779" s="191"/>
      <c r="AV779" s="191"/>
      <c r="AW779" s="198"/>
      <c r="AX779" s="198"/>
      <c r="AY779" s="198" t="str">
        <f>CONCATENATE(BASE_DATOS[[#This Row],[Código_U]]&amp;BASE_DATOS[[#This Row],[Pos.]]&amp;BASE_DATOS[[#This Row],[Situación Actual]])</f>
        <v>TC-2421Rodando</v>
      </c>
    </row>
    <row r="780" spans="1:51" ht="12" x14ac:dyDescent="0.25">
      <c r="A780" s="227" t="s">
        <v>421</v>
      </c>
      <c r="B780" s="217" t="s">
        <v>264</v>
      </c>
      <c r="C780" s="228" t="s">
        <v>296</v>
      </c>
      <c r="D780" s="229" t="s">
        <v>86</v>
      </c>
      <c r="E780" s="255"/>
      <c r="F780" s="256" t="s">
        <v>273</v>
      </c>
      <c r="G780" s="256" t="s">
        <v>271</v>
      </c>
      <c r="H780" s="257" t="str">
        <f>IF(BASE_DATOS[[#This Row],[N-R]]="N",BASE_DATOS[[#This Row],[Diseño]],"Reencauche")</f>
        <v>XMULTI+Z</v>
      </c>
      <c r="I780" s="256" t="s">
        <v>297</v>
      </c>
      <c r="J780" s="243" t="s">
        <v>72</v>
      </c>
      <c r="K780" s="258">
        <v>16</v>
      </c>
      <c r="L780" s="241">
        <v>100</v>
      </c>
      <c r="M780" s="259"/>
      <c r="N780" s="260"/>
      <c r="O780" s="277"/>
      <c r="P780" s="281"/>
      <c r="Q780" s="282"/>
      <c r="R780" s="309" t="s">
        <v>99</v>
      </c>
      <c r="S780" s="310">
        <v>45385</v>
      </c>
      <c r="T780" s="311"/>
      <c r="U780" s="312"/>
      <c r="V780" s="227">
        <v>10</v>
      </c>
      <c r="W780" s="281">
        <v>10</v>
      </c>
      <c r="X780" s="282">
        <v>7</v>
      </c>
      <c r="Y780" s="293">
        <f t="shared" si="32"/>
        <v>7</v>
      </c>
      <c r="Z780" s="161" t="s">
        <v>73</v>
      </c>
      <c r="AA780" s="342">
        <f>IFERROR(BASE_DATOS[[#This Row],[NSK Original]]-BASE_DATOS[[#This Row],[NSK]]," ")</f>
        <v>9</v>
      </c>
      <c r="AB780" s="343">
        <f>'NSK-TRACTO'!$A$2</f>
        <v>6</v>
      </c>
      <c r="AC780" s="343">
        <f>IF(BASE_DATOS[[#This Row],[NSK]]&gt;=BASE_DATOS[[#This Row],[NSK Reen]],BASE_DATOS[[#This Row],[NSK Reen]],BASE_DATOS[[#This Row],[NSK]])</f>
        <v>6</v>
      </c>
      <c r="AD780" s="344">
        <f>IFERROR(100%-(BASE_DATOS[[#This Row],[NSK Reen]]/BASE_DATOS[[#This Row],[NSK Original]]),"")</f>
        <v>0.625</v>
      </c>
      <c r="AE780" s="344">
        <f>IFERROR(100%-BASE_DATOS[[#This Row],[NSK]]/BASE_DATOS[[#This Row],[NSK Original]],"")</f>
        <v>0.5625</v>
      </c>
      <c r="AF780" s="344">
        <f>IFERROR(BASE_DATOS[[#This Row],[% Max Des.]]-BASE_DATOS[[#This Row],[% Des]],"")</f>
        <v>6.25E-2</v>
      </c>
      <c r="AG780" s="287"/>
      <c r="AH780" s="273"/>
      <c r="AI780" s="363" t="str">
        <f>IF(OR(BASE_DATOS[[#This Row],[Hr.]]="",BASE_DATOS[[#This Row],[Hr. Actual]]=""),"",BASE_DATOS[[#This Row],[Hr. Actual]]-BASE_DATOS[[#This Row],[Hr.]]+BASE_DATOS[[#This Row],[Horas Acumuladas]])</f>
        <v/>
      </c>
      <c r="AJ780" s="364" t="str">
        <f>IFERROR(BASE_DATOS[[#This Row],[Precio US$]]/BASE_DATOS[[#This Row],[Horas Rodadas]],"")</f>
        <v/>
      </c>
      <c r="AK780" s="365" t="str">
        <f>IFERROR(BASE_DATOS[[#This Row],[Horas Rodadas]]/(BASE_DATOS[[#This Row],[NSK Original]]-BASE_DATOS[[#This Row],[NSK]]),"")</f>
        <v/>
      </c>
      <c r="AL78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80" s="366" t="str">
        <f>IFERROR(BASE_DATOS[[#This Row],[Precio US$]]/BASE_DATOS[[#This Row],[Horas Proy.]],"")</f>
        <v/>
      </c>
      <c r="AN780" s="176" t="str">
        <f>IF(OR(BASE_DATOS[[#This Row],[Km.]]="",BASE_DATOS[[#This Row],[Km. Actual]]=""),"",BASE_DATOS[[#This Row],[Km. Actual]]-BASE_DATOS[[#This Row],[Km.]]+BASE_DATOS[[#This Row],[Kilómetros Acumulados]])</f>
        <v/>
      </c>
      <c r="AO780" s="177" t="str">
        <f>IFERROR(BASE_DATOS[[#This Row],[Precio US$]]/BASE_DATOS[[#This Row],[Kilómetros Rodados]],"")</f>
        <v/>
      </c>
      <c r="AP780" s="176" t="str">
        <f>IFERROR(BASE_DATOS[[#This Row],[Kilómetros Rodados]]/(BASE_DATOS[[#This Row],[NSK Original]]-BASE_DATOS[[#This Row],[NSK]]),"")</f>
        <v/>
      </c>
      <c r="AQ78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80" s="177" t="str">
        <f>IFERROR(BASE_DATOS[[#This Row],[Precio US$]]/BASE_DATOS[[#This Row],[Kilómetros Proy.]],"")</f>
        <v/>
      </c>
      <c r="AS780" s="167" t="s">
        <v>62</v>
      </c>
      <c r="AT780" s="167"/>
      <c r="AU780" s="167" t="s">
        <v>515</v>
      </c>
      <c r="AV780" s="167"/>
      <c r="AW780" s="179"/>
      <c r="AX780" s="169" t="s">
        <v>371</v>
      </c>
      <c r="AY780" s="169" t="str">
        <f>CONCATENATE(BASE_DATOS[[#This Row],[Código_U]]&amp;BASE_DATOS[[#This Row],[Pos.]]&amp;BASE_DATOS[[#This Row],[Situación Actual]])</f>
        <v>TC-2422Rodando</v>
      </c>
    </row>
    <row r="781" spans="1:51" ht="12" x14ac:dyDescent="0.25">
      <c r="A781" s="227" t="s">
        <v>421</v>
      </c>
      <c r="B781" s="217" t="s">
        <v>264</v>
      </c>
      <c r="C781" s="228" t="s">
        <v>296</v>
      </c>
      <c r="D781" s="229" t="s">
        <v>61</v>
      </c>
      <c r="E781" s="255"/>
      <c r="F781" s="256" t="s">
        <v>273</v>
      </c>
      <c r="G781" s="256" t="s">
        <v>271</v>
      </c>
      <c r="H781" s="257" t="str">
        <f>IF(BASE_DATOS[[#This Row],[N-R]]="N",BASE_DATOS[[#This Row],[Diseño]],"Reencauche")</f>
        <v>XMULTI2D</v>
      </c>
      <c r="I781" s="256" t="s">
        <v>299</v>
      </c>
      <c r="J781" s="243" t="s">
        <v>72</v>
      </c>
      <c r="K781" s="258">
        <v>21.4</v>
      </c>
      <c r="L781" s="241">
        <v>110</v>
      </c>
      <c r="M781" s="259"/>
      <c r="N781" s="260"/>
      <c r="O781" s="277"/>
      <c r="P781" s="281"/>
      <c r="Q781" s="282"/>
      <c r="R781" s="309" t="s">
        <v>100</v>
      </c>
      <c r="S781" s="310">
        <v>45385</v>
      </c>
      <c r="T781" s="311"/>
      <c r="U781" s="312"/>
      <c r="V781" s="227">
        <v>11</v>
      </c>
      <c r="W781" s="281"/>
      <c r="X781" s="282">
        <v>12</v>
      </c>
      <c r="Y781" s="293">
        <f t="shared" si="32"/>
        <v>11</v>
      </c>
      <c r="Z781" s="161" t="s">
        <v>73</v>
      </c>
      <c r="AA781" s="342">
        <f>IFERROR(BASE_DATOS[[#This Row],[NSK Original]]-BASE_DATOS[[#This Row],[NSK]]," ")</f>
        <v>10.399999999999999</v>
      </c>
      <c r="AB781" s="343">
        <f>'NSK-TRACTO'!$A$2</f>
        <v>6</v>
      </c>
      <c r="AC781" s="343">
        <f>IF(BASE_DATOS[[#This Row],[NSK]]&gt;=BASE_DATOS[[#This Row],[NSK Reen]],BASE_DATOS[[#This Row],[NSK Reen]],BASE_DATOS[[#This Row],[NSK]])</f>
        <v>6</v>
      </c>
      <c r="AD781" s="344">
        <f>IFERROR(100%-(BASE_DATOS[[#This Row],[NSK Reen]]/BASE_DATOS[[#This Row],[NSK Original]]),"")</f>
        <v>0.71962616822429903</v>
      </c>
      <c r="AE781" s="344">
        <f>IFERROR(100%-BASE_DATOS[[#This Row],[NSK]]/BASE_DATOS[[#This Row],[NSK Original]],"")</f>
        <v>0.4859813084112149</v>
      </c>
      <c r="AF781" s="344">
        <f>IFERROR(BASE_DATOS[[#This Row],[% Max Des.]]-BASE_DATOS[[#This Row],[% Des]],"")</f>
        <v>0.23364485981308414</v>
      </c>
      <c r="AG781" s="287"/>
      <c r="AH781" s="273"/>
      <c r="AI781" s="363" t="str">
        <f>IF(OR(BASE_DATOS[[#This Row],[Hr.]]="",BASE_DATOS[[#This Row],[Hr. Actual]]=""),"",BASE_DATOS[[#This Row],[Hr. Actual]]-BASE_DATOS[[#This Row],[Hr.]]+BASE_DATOS[[#This Row],[Horas Acumuladas]])</f>
        <v/>
      </c>
      <c r="AJ781" s="364" t="str">
        <f>IFERROR(BASE_DATOS[[#This Row],[Precio US$]]/BASE_DATOS[[#This Row],[Horas Rodadas]],"")</f>
        <v/>
      </c>
      <c r="AK781" s="365" t="str">
        <f>IFERROR(BASE_DATOS[[#This Row],[Horas Rodadas]]/(BASE_DATOS[[#This Row],[NSK Original]]-BASE_DATOS[[#This Row],[NSK]]),"")</f>
        <v/>
      </c>
      <c r="AL78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81" s="366" t="str">
        <f>IFERROR(BASE_DATOS[[#This Row],[Precio US$]]/BASE_DATOS[[#This Row],[Horas Proy.]],"")</f>
        <v/>
      </c>
      <c r="AN781" s="176" t="str">
        <f>IF(OR(BASE_DATOS[[#This Row],[Km.]]="",BASE_DATOS[[#This Row],[Km. Actual]]=""),"",BASE_DATOS[[#This Row],[Km. Actual]]-BASE_DATOS[[#This Row],[Km.]]+BASE_DATOS[[#This Row],[Kilómetros Acumulados]])</f>
        <v/>
      </c>
      <c r="AO781" s="177" t="str">
        <f>IFERROR(BASE_DATOS[[#This Row],[Precio US$]]/BASE_DATOS[[#This Row],[Kilómetros Rodados]],"")</f>
        <v/>
      </c>
      <c r="AP781" s="176" t="str">
        <f>IFERROR(BASE_DATOS[[#This Row],[Kilómetros Rodados]]/(BASE_DATOS[[#This Row],[NSK Original]]-BASE_DATOS[[#This Row],[NSK]]),"")</f>
        <v/>
      </c>
      <c r="AQ78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81" s="177" t="str">
        <f>IFERROR(BASE_DATOS[[#This Row],[Precio US$]]/BASE_DATOS[[#This Row],[Kilómetros Proy.]],"")</f>
        <v/>
      </c>
      <c r="AS781" s="167" t="s">
        <v>62</v>
      </c>
      <c r="AT781" s="167"/>
      <c r="AU781" s="167"/>
      <c r="AV781" s="167"/>
      <c r="AW781" s="179"/>
      <c r="AX781" s="179"/>
      <c r="AY781" s="179" t="str">
        <f>CONCATENATE(BASE_DATOS[[#This Row],[Código_U]]&amp;BASE_DATOS[[#This Row],[Pos.]]&amp;BASE_DATOS[[#This Row],[Situación Actual]])</f>
        <v>TC-2423Rodando</v>
      </c>
    </row>
    <row r="782" spans="1:51" ht="12" x14ac:dyDescent="0.25">
      <c r="A782" s="227" t="s">
        <v>421</v>
      </c>
      <c r="B782" s="217" t="s">
        <v>264</v>
      </c>
      <c r="C782" s="228" t="s">
        <v>296</v>
      </c>
      <c r="D782" s="229" t="s">
        <v>61</v>
      </c>
      <c r="E782" s="255"/>
      <c r="F782" s="256" t="s">
        <v>273</v>
      </c>
      <c r="G782" s="256" t="s">
        <v>271</v>
      </c>
      <c r="H782" s="257" t="str">
        <f>IF(BASE_DATOS[[#This Row],[N-R]]="N",BASE_DATOS[[#This Row],[Diseño]],"Reencauche")</f>
        <v>XMULTI2D</v>
      </c>
      <c r="I782" s="256" t="s">
        <v>299</v>
      </c>
      <c r="J782" s="243" t="s">
        <v>72</v>
      </c>
      <c r="K782" s="258">
        <v>21.4</v>
      </c>
      <c r="L782" s="241">
        <v>110</v>
      </c>
      <c r="M782" s="259"/>
      <c r="N782" s="260"/>
      <c r="O782" s="277"/>
      <c r="P782" s="281"/>
      <c r="Q782" s="282"/>
      <c r="R782" s="309" t="s">
        <v>101</v>
      </c>
      <c r="S782" s="310">
        <v>45385</v>
      </c>
      <c r="T782" s="311"/>
      <c r="U782" s="312"/>
      <c r="V782" s="227">
        <v>11</v>
      </c>
      <c r="W782" s="281"/>
      <c r="X782" s="282">
        <v>12</v>
      </c>
      <c r="Y782" s="293">
        <f t="shared" si="32"/>
        <v>11</v>
      </c>
      <c r="Z782" s="161" t="s">
        <v>73</v>
      </c>
      <c r="AA782" s="342">
        <f>IFERROR(BASE_DATOS[[#This Row],[NSK Original]]-BASE_DATOS[[#This Row],[NSK]]," ")</f>
        <v>10.399999999999999</v>
      </c>
      <c r="AB782" s="343">
        <f>'NSK-TRACTO'!$A$2</f>
        <v>6</v>
      </c>
      <c r="AC782" s="343">
        <f>IF(BASE_DATOS[[#This Row],[NSK]]&gt;=BASE_DATOS[[#This Row],[NSK Reen]],BASE_DATOS[[#This Row],[NSK Reen]],BASE_DATOS[[#This Row],[NSK]])</f>
        <v>6</v>
      </c>
      <c r="AD782" s="344">
        <f>IFERROR(100%-(BASE_DATOS[[#This Row],[NSK Reen]]/BASE_DATOS[[#This Row],[NSK Original]]),"")</f>
        <v>0.71962616822429903</v>
      </c>
      <c r="AE782" s="344">
        <f>IFERROR(100%-BASE_DATOS[[#This Row],[NSK]]/BASE_DATOS[[#This Row],[NSK Original]],"")</f>
        <v>0.4859813084112149</v>
      </c>
      <c r="AF782" s="344">
        <f>IFERROR(BASE_DATOS[[#This Row],[% Max Des.]]-BASE_DATOS[[#This Row],[% Des]],"")</f>
        <v>0.23364485981308414</v>
      </c>
      <c r="AG782" s="287"/>
      <c r="AH782" s="273"/>
      <c r="AI782" s="363" t="str">
        <f>IF(OR(BASE_DATOS[[#This Row],[Hr.]]="",BASE_DATOS[[#This Row],[Hr. Actual]]=""),"",BASE_DATOS[[#This Row],[Hr. Actual]]-BASE_DATOS[[#This Row],[Hr.]]+BASE_DATOS[[#This Row],[Horas Acumuladas]])</f>
        <v/>
      </c>
      <c r="AJ782" s="364" t="str">
        <f>IFERROR(BASE_DATOS[[#This Row],[Precio US$]]/BASE_DATOS[[#This Row],[Horas Rodadas]],"")</f>
        <v/>
      </c>
      <c r="AK782" s="365" t="str">
        <f>IFERROR(BASE_DATOS[[#This Row],[Horas Rodadas]]/(BASE_DATOS[[#This Row],[NSK Original]]-BASE_DATOS[[#This Row],[NSK]]),"")</f>
        <v/>
      </c>
      <c r="AL78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82" s="366" t="str">
        <f>IFERROR(BASE_DATOS[[#This Row],[Precio US$]]/BASE_DATOS[[#This Row],[Horas Proy.]],"")</f>
        <v/>
      </c>
      <c r="AN782" s="176" t="str">
        <f>IF(OR(BASE_DATOS[[#This Row],[Km.]]="",BASE_DATOS[[#This Row],[Km. Actual]]=""),"",BASE_DATOS[[#This Row],[Km. Actual]]-BASE_DATOS[[#This Row],[Km.]]+BASE_DATOS[[#This Row],[Kilómetros Acumulados]])</f>
        <v/>
      </c>
      <c r="AO782" s="177" t="str">
        <f>IFERROR(BASE_DATOS[[#This Row],[Precio US$]]/BASE_DATOS[[#This Row],[Kilómetros Rodados]],"")</f>
        <v/>
      </c>
      <c r="AP782" s="176" t="str">
        <f>IFERROR(BASE_DATOS[[#This Row],[Kilómetros Rodados]]/(BASE_DATOS[[#This Row],[NSK Original]]-BASE_DATOS[[#This Row],[NSK]]),"")</f>
        <v/>
      </c>
      <c r="AQ78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82" s="177" t="str">
        <f>IFERROR(BASE_DATOS[[#This Row],[Precio US$]]/BASE_DATOS[[#This Row],[Kilómetros Proy.]],"")</f>
        <v/>
      </c>
      <c r="AS782" s="167" t="s">
        <v>62</v>
      </c>
      <c r="AT782" s="167"/>
      <c r="AU782" s="167"/>
      <c r="AV782" s="167"/>
      <c r="AW782" s="179"/>
      <c r="AX782" s="179"/>
      <c r="AY782" s="179" t="str">
        <f>CONCATENATE(BASE_DATOS[[#This Row],[Código_U]]&amp;BASE_DATOS[[#This Row],[Pos.]]&amp;BASE_DATOS[[#This Row],[Situación Actual]])</f>
        <v>TC-2424Rodando</v>
      </c>
    </row>
    <row r="783" spans="1:51" ht="12" x14ac:dyDescent="0.25">
      <c r="A783" s="227" t="s">
        <v>421</v>
      </c>
      <c r="B783" s="217" t="s">
        <v>264</v>
      </c>
      <c r="C783" s="228" t="s">
        <v>296</v>
      </c>
      <c r="D783" s="229" t="s">
        <v>61</v>
      </c>
      <c r="E783" s="255"/>
      <c r="F783" s="256" t="s">
        <v>273</v>
      </c>
      <c r="G783" s="256" t="s">
        <v>271</v>
      </c>
      <c r="H783" s="257" t="str">
        <f>IF(BASE_DATOS[[#This Row],[N-R]]="N",BASE_DATOS[[#This Row],[Diseño]],"Reencauche")</f>
        <v>XMULTI2D</v>
      </c>
      <c r="I783" s="256" t="s">
        <v>299</v>
      </c>
      <c r="J783" s="243" t="s">
        <v>72</v>
      </c>
      <c r="K783" s="258">
        <v>21.4</v>
      </c>
      <c r="L783" s="241">
        <v>110</v>
      </c>
      <c r="M783" s="259"/>
      <c r="N783" s="260"/>
      <c r="O783" s="277"/>
      <c r="P783" s="281"/>
      <c r="Q783" s="282"/>
      <c r="R783" s="309" t="s">
        <v>102</v>
      </c>
      <c r="S783" s="310">
        <v>45385</v>
      </c>
      <c r="T783" s="311"/>
      <c r="U783" s="312"/>
      <c r="V783" s="227">
        <v>11</v>
      </c>
      <c r="W783" s="281"/>
      <c r="X783" s="282">
        <v>12</v>
      </c>
      <c r="Y783" s="293">
        <f t="shared" si="32"/>
        <v>11</v>
      </c>
      <c r="Z783" s="161" t="s">
        <v>73</v>
      </c>
      <c r="AA783" s="342">
        <f>IFERROR(BASE_DATOS[[#This Row],[NSK Original]]-BASE_DATOS[[#This Row],[NSK]]," ")</f>
        <v>10.399999999999999</v>
      </c>
      <c r="AB783" s="343">
        <f>'NSK-TRACTO'!$A$2</f>
        <v>6</v>
      </c>
      <c r="AC783" s="343">
        <f>IF(BASE_DATOS[[#This Row],[NSK]]&gt;=BASE_DATOS[[#This Row],[NSK Reen]],BASE_DATOS[[#This Row],[NSK Reen]],BASE_DATOS[[#This Row],[NSK]])</f>
        <v>6</v>
      </c>
      <c r="AD783" s="344">
        <f>IFERROR(100%-(BASE_DATOS[[#This Row],[NSK Reen]]/BASE_DATOS[[#This Row],[NSK Original]]),"")</f>
        <v>0.71962616822429903</v>
      </c>
      <c r="AE783" s="344">
        <f>IFERROR(100%-BASE_DATOS[[#This Row],[NSK]]/BASE_DATOS[[#This Row],[NSK Original]],"")</f>
        <v>0.4859813084112149</v>
      </c>
      <c r="AF783" s="344">
        <f>IFERROR(BASE_DATOS[[#This Row],[% Max Des.]]-BASE_DATOS[[#This Row],[% Des]],"")</f>
        <v>0.23364485981308414</v>
      </c>
      <c r="AG783" s="287"/>
      <c r="AH783" s="273"/>
      <c r="AI783" s="363" t="str">
        <f>IF(OR(BASE_DATOS[[#This Row],[Hr.]]="",BASE_DATOS[[#This Row],[Hr. Actual]]=""),"",BASE_DATOS[[#This Row],[Hr. Actual]]-BASE_DATOS[[#This Row],[Hr.]]+BASE_DATOS[[#This Row],[Horas Acumuladas]])</f>
        <v/>
      </c>
      <c r="AJ783" s="364" t="str">
        <f>IFERROR(BASE_DATOS[[#This Row],[Precio US$]]/BASE_DATOS[[#This Row],[Horas Rodadas]],"")</f>
        <v/>
      </c>
      <c r="AK783" s="365" t="str">
        <f>IFERROR(BASE_DATOS[[#This Row],[Horas Rodadas]]/(BASE_DATOS[[#This Row],[NSK Original]]-BASE_DATOS[[#This Row],[NSK]]),"")</f>
        <v/>
      </c>
      <c r="AL78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83" s="366" t="str">
        <f>IFERROR(BASE_DATOS[[#This Row],[Precio US$]]/BASE_DATOS[[#This Row],[Horas Proy.]],"")</f>
        <v/>
      </c>
      <c r="AN783" s="176" t="str">
        <f>IF(OR(BASE_DATOS[[#This Row],[Km.]]="",BASE_DATOS[[#This Row],[Km. Actual]]=""),"",BASE_DATOS[[#This Row],[Km. Actual]]-BASE_DATOS[[#This Row],[Km.]]+BASE_DATOS[[#This Row],[Kilómetros Acumulados]])</f>
        <v/>
      </c>
      <c r="AO783" s="177" t="str">
        <f>IFERROR(BASE_DATOS[[#This Row],[Precio US$]]/BASE_DATOS[[#This Row],[Kilómetros Rodados]],"")</f>
        <v/>
      </c>
      <c r="AP783" s="176" t="str">
        <f>IFERROR(BASE_DATOS[[#This Row],[Kilómetros Rodados]]/(BASE_DATOS[[#This Row],[NSK Original]]-BASE_DATOS[[#This Row],[NSK]]),"")</f>
        <v/>
      </c>
      <c r="AQ78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83" s="177" t="str">
        <f>IFERROR(BASE_DATOS[[#This Row],[Precio US$]]/BASE_DATOS[[#This Row],[Kilómetros Proy.]],"")</f>
        <v/>
      </c>
      <c r="AS783" s="167" t="s">
        <v>62</v>
      </c>
      <c r="AT783" s="167"/>
      <c r="AU783" s="167"/>
      <c r="AV783" s="167"/>
      <c r="AW783" s="179"/>
      <c r="AX783" s="179"/>
      <c r="AY783" s="179" t="str">
        <f>CONCATENATE(BASE_DATOS[[#This Row],[Código_U]]&amp;BASE_DATOS[[#This Row],[Pos.]]&amp;BASE_DATOS[[#This Row],[Situación Actual]])</f>
        <v>TC-2425Rodando</v>
      </c>
    </row>
    <row r="784" spans="1:51" ht="12" x14ac:dyDescent="0.25">
      <c r="A784" s="227" t="s">
        <v>421</v>
      </c>
      <c r="B784" s="217" t="s">
        <v>264</v>
      </c>
      <c r="C784" s="228" t="s">
        <v>296</v>
      </c>
      <c r="D784" s="229" t="s">
        <v>61</v>
      </c>
      <c r="E784" s="255"/>
      <c r="F784" s="256" t="s">
        <v>273</v>
      </c>
      <c r="G784" s="256" t="s">
        <v>271</v>
      </c>
      <c r="H784" s="257" t="str">
        <f>IF(BASE_DATOS[[#This Row],[N-R]]="N",BASE_DATOS[[#This Row],[Diseño]],"Reencauche")</f>
        <v>XMULTI2D</v>
      </c>
      <c r="I784" s="256" t="s">
        <v>299</v>
      </c>
      <c r="J784" s="243" t="s">
        <v>72</v>
      </c>
      <c r="K784" s="258">
        <v>21.4</v>
      </c>
      <c r="L784" s="241">
        <v>110</v>
      </c>
      <c r="M784" s="259"/>
      <c r="N784" s="260"/>
      <c r="O784" s="277"/>
      <c r="P784" s="281"/>
      <c r="Q784" s="282"/>
      <c r="R784" s="309" t="s">
        <v>103</v>
      </c>
      <c r="S784" s="310">
        <v>45385</v>
      </c>
      <c r="T784" s="311"/>
      <c r="U784" s="312"/>
      <c r="V784" s="227">
        <v>11</v>
      </c>
      <c r="W784" s="281"/>
      <c r="X784" s="282">
        <v>12</v>
      </c>
      <c r="Y784" s="293">
        <f t="shared" si="32"/>
        <v>11</v>
      </c>
      <c r="Z784" s="161" t="s">
        <v>73</v>
      </c>
      <c r="AA784" s="342">
        <f>IFERROR(BASE_DATOS[[#This Row],[NSK Original]]-BASE_DATOS[[#This Row],[NSK]]," ")</f>
        <v>10.399999999999999</v>
      </c>
      <c r="AB784" s="343">
        <f>'NSK-TRACTO'!$A$2</f>
        <v>6</v>
      </c>
      <c r="AC784" s="343">
        <f>IF(BASE_DATOS[[#This Row],[NSK]]&gt;=BASE_DATOS[[#This Row],[NSK Reen]],BASE_DATOS[[#This Row],[NSK Reen]],BASE_DATOS[[#This Row],[NSK]])</f>
        <v>6</v>
      </c>
      <c r="AD784" s="344">
        <f>IFERROR(100%-(BASE_DATOS[[#This Row],[NSK Reen]]/BASE_DATOS[[#This Row],[NSK Original]]),"")</f>
        <v>0.71962616822429903</v>
      </c>
      <c r="AE784" s="344">
        <f>IFERROR(100%-BASE_DATOS[[#This Row],[NSK]]/BASE_DATOS[[#This Row],[NSK Original]],"")</f>
        <v>0.4859813084112149</v>
      </c>
      <c r="AF784" s="344">
        <f>IFERROR(BASE_DATOS[[#This Row],[% Max Des.]]-BASE_DATOS[[#This Row],[% Des]],"")</f>
        <v>0.23364485981308414</v>
      </c>
      <c r="AG784" s="287"/>
      <c r="AH784" s="273"/>
      <c r="AI784" s="363" t="str">
        <f>IF(OR(BASE_DATOS[[#This Row],[Hr.]]="",BASE_DATOS[[#This Row],[Hr. Actual]]=""),"",BASE_DATOS[[#This Row],[Hr. Actual]]-BASE_DATOS[[#This Row],[Hr.]]+BASE_DATOS[[#This Row],[Horas Acumuladas]])</f>
        <v/>
      </c>
      <c r="AJ784" s="364" t="str">
        <f>IFERROR(BASE_DATOS[[#This Row],[Precio US$]]/BASE_DATOS[[#This Row],[Horas Rodadas]],"")</f>
        <v/>
      </c>
      <c r="AK784" s="365" t="str">
        <f>IFERROR(BASE_DATOS[[#This Row],[Horas Rodadas]]/(BASE_DATOS[[#This Row],[NSK Original]]-BASE_DATOS[[#This Row],[NSK]]),"")</f>
        <v/>
      </c>
      <c r="AL78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84" s="366" t="str">
        <f>IFERROR(BASE_DATOS[[#This Row],[Precio US$]]/BASE_DATOS[[#This Row],[Horas Proy.]],"")</f>
        <v/>
      </c>
      <c r="AN784" s="176" t="str">
        <f>IF(OR(BASE_DATOS[[#This Row],[Km.]]="",BASE_DATOS[[#This Row],[Km. Actual]]=""),"",BASE_DATOS[[#This Row],[Km. Actual]]-BASE_DATOS[[#This Row],[Km.]]+BASE_DATOS[[#This Row],[Kilómetros Acumulados]])</f>
        <v/>
      </c>
      <c r="AO784" s="177" t="str">
        <f>IFERROR(BASE_DATOS[[#This Row],[Precio US$]]/BASE_DATOS[[#This Row],[Kilómetros Rodados]],"")</f>
        <v/>
      </c>
      <c r="AP784" s="176" t="str">
        <f>IFERROR(BASE_DATOS[[#This Row],[Kilómetros Rodados]]/(BASE_DATOS[[#This Row],[NSK Original]]-BASE_DATOS[[#This Row],[NSK]]),"")</f>
        <v/>
      </c>
      <c r="AQ78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84" s="177" t="str">
        <f>IFERROR(BASE_DATOS[[#This Row],[Precio US$]]/BASE_DATOS[[#This Row],[Kilómetros Proy.]],"")</f>
        <v/>
      </c>
      <c r="AS784" s="167" t="s">
        <v>62</v>
      </c>
      <c r="AT784" s="167"/>
      <c r="AU784" s="167"/>
      <c r="AV784" s="167"/>
      <c r="AW784" s="179"/>
      <c r="AX784" s="179"/>
      <c r="AY784" s="179" t="str">
        <f>CONCATENATE(BASE_DATOS[[#This Row],[Código_U]]&amp;BASE_DATOS[[#This Row],[Pos.]]&amp;BASE_DATOS[[#This Row],[Situación Actual]])</f>
        <v>TC-2426Rodando</v>
      </c>
    </row>
    <row r="785" spans="1:51" ht="12" x14ac:dyDescent="0.25">
      <c r="A785" s="227" t="s">
        <v>421</v>
      </c>
      <c r="B785" s="217" t="s">
        <v>264</v>
      </c>
      <c r="C785" s="228" t="s">
        <v>296</v>
      </c>
      <c r="D785" s="229" t="s">
        <v>61</v>
      </c>
      <c r="E785" s="255"/>
      <c r="F785" s="256" t="s">
        <v>273</v>
      </c>
      <c r="G785" s="256" t="s">
        <v>271</v>
      </c>
      <c r="H785" s="257" t="str">
        <f>IF(BASE_DATOS[[#This Row],[N-R]]="N",BASE_DATOS[[#This Row],[Diseño]],"Reencauche")</f>
        <v>XMULTI2D</v>
      </c>
      <c r="I785" s="256" t="s">
        <v>299</v>
      </c>
      <c r="J785" s="243" t="s">
        <v>72</v>
      </c>
      <c r="K785" s="258">
        <v>21.4</v>
      </c>
      <c r="L785" s="241">
        <v>110</v>
      </c>
      <c r="M785" s="259"/>
      <c r="N785" s="260"/>
      <c r="O785" s="277"/>
      <c r="P785" s="281"/>
      <c r="Q785" s="282"/>
      <c r="R785" s="309" t="s">
        <v>104</v>
      </c>
      <c r="S785" s="310">
        <v>45385</v>
      </c>
      <c r="T785" s="311"/>
      <c r="U785" s="312"/>
      <c r="V785" s="227">
        <v>11</v>
      </c>
      <c r="W785" s="281"/>
      <c r="X785" s="282">
        <v>12</v>
      </c>
      <c r="Y785" s="293">
        <f t="shared" si="32"/>
        <v>11</v>
      </c>
      <c r="Z785" s="161" t="s">
        <v>73</v>
      </c>
      <c r="AA785" s="342">
        <f>IFERROR(BASE_DATOS[[#This Row],[NSK Original]]-BASE_DATOS[[#This Row],[NSK]]," ")</f>
        <v>10.399999999999999</v>
      </c>
      <c r="AB785" s="343">
        <f>'NSK-TRACTO'!$A$2</f>
        <v>6</v>
      </c>
      <c r="AC785" s="343">
        <f>IF(BASE_DATOS[[#This Row],[NSK]]&gt;=BASE_DATOS[[#This Row],[NSK Reen]],BASE_DATOS[[#This Row],[NSK Reen]],BASE_DATOS[[#This Row],[NSK]])</f>
        <v>6</v>
      </c>
      <c r="AD785" s="344">
        <f>IFERROR(100%-(BASE_DATOS[[#This Row],[NSK Reen]]/BASE_DATOS[[#This Row],[NSK Original]]),"")</f>
        <v>0.71962616822429903</v>
      </c>
      <c r="AE785" s="344">
        <f>IFERROR(100%-BASE_DATOS[[#This Row],[NSK]]/BASE_DATOS[[#This Row],[NSK Original]],"")</f>
        <v>0.4859813084112149</v>
      </c>
      <c r="AF785" s="344">
        <f>IFERROR(BASE_DATOS[[#This Row],[% Max Des.]]-BASE_DATOS[[#This Row],[% Des]],"")</f>
        <v>0.23364485981308414</v>
      </c>
      <c r="AG785" s="287"/>
      <c r="AH785" s="273"/>
      <c r="AI785" s="363" t="str">
        <f>IF(OR(BASE_DATOS[[#This Row],[Hr.]]="",BASE_DATOS[[#This Row],[Hr. Actual]]=""),"",BASE_DATOS[[#This Row],[Hr. Actual]]-BASE_DATOS[[#This Row],[Hr.]]+BASE_DATOS[[#This Row],[Horas Acumuladas]])</f>
        <v/>
      </c>
      <c r="AJ785" s="364" t="str">
        <f>IFERROR(BASE_DATOS[[#This Row],[Precio US$]]/BASE_DATOS[[#This Row],[Horas Rodadas]],"")</f>
        <v/>
      </c>
      <c r="AK785" s="365" t="str">
        <f>IFERROR(BASE_DATOS[[#This Row],[Horas Rodadas]]/(BASE_DATOS[[#This Row],[NSK Original]]-BASE_DATOS[[#This Row],[NSK]]),"")</f>
        <v/>
      </c>
      <c r="AL78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85" s="366" t="str">
        <f>IFERROR(BASE_DATOS[[#This Row],[Precio US$]]/BASE_DATOS[[#This Row],[Horas Proy.]],"")</f>
        <v/>
      </c>
      <c r="AN785" s="176" t="str">
        <f>IF(OR(BASE_DATOS[[#This Row],[Km.]]="",BASE_DATOS[[#This Row],[Km. Actual]]=""),"",BASE_DATOS[[#This Row],[Km. Actual]]-BASE_DATOS[[#This Row],[Km.]]+BASE_DATOS[[#This Row],[Kilómetros Acumulados]])</f>
        <v/>
      </c>
      <c r="AO785" s="177" t="str">
        <f>IFERROR(BASE_DATOS[[#This Row],[Precio US$]]/BASE_DATOS[[#This Row],[Kilómetros Rodados]],"")</f>
        <v/>
      </c>
      <c r="AP785" s="176" t="str">
        <f>IFERROR(BASE_DATOS[[#This Row],[Kilómetros Rodados]]/(BASE_DATOS[[#This Row],[NSK Original]]-BASE_DATOS[[#This Row],[NSK]]),"")</f>
        <v/>
      </c>
      <c r="AQ78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85" s="177" t="str">
        <f>IFERROR(BASE_DATOS[[#This Row],[Precio US$]]/BASE_DATOS[[#This Row],[Kilómetros Proy.]],"")</f>
        <v/>
      </c>
      <c r="AS785" s="167" t="s">
        <v>62</v>
      </c>
      <c r="AT785" s="167"/>
      <c r="AU785" s="167"/>
      <c r="AV785" s="167"/>
      <c r="AW785" s="179"/>
      <c r="AX785" s="179"/>
      <c r="AY785" s="179" t="str">
        <f>CONCATENATE(BASE_DATOS[[#This Row],[Código_U]]&amp;BASE_DATOS[[#This Row],[Pos.]]&amp;BASE_DATOS[[#This Row],[Situación Actual]])</f>
        <v>TC-2427Rodando</v>
      </c>
    </row>
    <row r="786" spans="1:51" ht="12" x14ac:dyDescent="0.25">
      <c r="A786" s="227" t="s">
        <v>421</v>
      </c>
      <c r="B786" s="217" t="s">
        <v>264</v>
      </c>
      <c r="C786" s="228" t="s">
        <v>296</v>
      </c>
      <c r="D786" s="229" t="s">
        <v>61</v>
      </c>
      <c r="E786" s="255"/>
      <c r="F786" s="256" t="s">
        <v>273</v>
      </c>
      <c r="G786" s="256" t="s">
        <v>271</v>
      </c>
      <c r="H786" s="257" t="str">
        <f>IF(BASE_DATOS[[#This Row],[N-R]]="N",BASE_DATOS[[#This Row],[Diseño]],"Reencauche")</f>
        <v>XMULTI2D</v>
      </c>
      <c r="I786" s="256" t="s">
        <v>299</v>
      </c>
      <c r="J786" s="243" t="s">
        <v>72</v>
      </c>
      <c r="K786" s="258">
        <v>21.4</v>
      </c>
      <c r="L786" s="241">
        <v>110</v>
      </c>
      <c r="M786" s="259"/>
      <c r="N786" s="260"/>
      <c r="O786" s="277"/>
      <c r="P786" s="281"/>
      <c r="Q786" s="282"/>
      <c r="R786" s="309" t="s">
        <v>105</v>
      </c>
      <c r="S786" s="310">
        <v>45385</v>
      </c>
      <c r="T786" s="311"/>
      <c r="U786" s="312"/>
      <c r="V786" s="227">
        <v>11</v>
      </c>
      <c r="W786" s="281"/>
      <c r="X786" s="282">
        <v>12</v>
      </c>
      <c r="Y786" s="293">
        <f t="shared" si="32"/>
        <v>11</v>
      </c>
      <c r="Z786" s="161" t="s">
        <v>73</v>
      </c>
      <c r="AA786" s="342">
        <f>IFERROR(BASE_DATOS[[#This Row],[NSK Original]]-BASE_DATOS[[#This Row],[NSK]]," ")</f>
        <v>10.399999999999999</v>
      </c>
      <c r="AB786" s="343">
        <f>'NSK-TRACTO'!$A$2</f>
        <v>6</v>
      </c>
      <c r="AC786" s="343">
        <f>IF(BASE_DATOS[[#This Row],[NSK]]&gt;=BASE_DATOS[[#This Row],[NSK Reen]],BASE_DATOS[[#This Row],[NSK Reen]],BASE_DATOS[[#This Row],[NSK]])</f>
        <v>6</v>
      </c>
      <c r="AD786" s="344">
        <f>IFERROR(100%-(BASE_DATOS[[#This Row],[NSK Reen]]/BASE_DATOS[[#This Row],[NSK Original]]),"")</f>
        <v>0.71962616822429903</v>
      </c>
      <c r="AE786" s="344">
        <f>IFERROR(100%-BASE_DATOS[[#This Row],[NSK]]/BASE_DATOS[[#This Row],[NSK Original]],"")</f>
        <v>0.4859813084112149</v>
      </c>
      <c r="AF786" s="344">
        <f>IFERROR(BASE_DATOS[[#This Row],[% Max Des.]]-BASE_DATOS[[#This Row],[% Des]],"")</f>
        <v>0.23364485981308414</v>
      </c>
      <c r="AG786" s="287"/>
      <c r="AH786" s="273"/>
      <c r="AI786" s="363" t="str">
        <f>IF(OR(BASE_DATOS[[#This Row],[Hr.]]="",BASE_DATOS[[#This Row],[Hr. Actual]]=""),"",BASE_DATOS[[#This Row],[Hr. Actual]]-BASE_DATOS[[#This Row],[Hr.]]+BASE_DATOS[[#This Row],[Horas Acumuladas]])</f>
        <v/>
      </c>
      <c r="AJ786" s="364" t="str">
        <f>IFERROR(BASE_DATOS[[#This Row],[Precio US$]]/BASE_DATOS[[#This Row],[Horas Rodadas]],"")</f>
        <v/>
      </c>
      <c r="AK786" s="365" t="str">
        <f>IFERROR(BASE_DATOS[[#This Row],[Horas Rodadas]]/(BASE_DATOS[[#This Row],[NSK Original]]-BASE_DATOS[[#This Row],[NSK]]),"")</f>
        <v/>
      </c>
      <c r="AL78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86" s="366" t="str">
        <f>IFERROR(BASE_DATOS[[#This Row],[Precio US$]]/BASE_DATOS[[#This Row],[Horas Proy.]],"")</f>
        <v/>
      </c>
      <c r="AN786" s="176" t="str">
        <f>IF(OR(BASE_DATOS[[#This Row],[Km.]]="",BASE_DATOS[[#This Row],[Km. Actual]]=""),"",BASE_DATOS[[#This Row],[Km. Actual]]-BASE_DATOS[[#This Row],[Km.]]+BASE_DATOS[[#This Row],[Kilómetros Acumulados]])</f>
        <v/>
      </c>
      <c r="AO786" s="177" t="str">
        <f>IFERROR(BASE_DATOS[[#This Row],[Precio US$]]/BASE_DATOS[[#This Row],[Kilómetros Rodados]],"")</f>
        <v/>
      </c>
      <c r="AP786" s="176" t="str">
        <f>IFERROR(BASE_DATOS[[#This Row],[Kilómetros Rodados]]/(BASE_DATOS[[#This Row],[NSK Original]]-BASE_DATOS[[#This Row],[NSK]]),"")</f>
        <v/>
      </c>
      <c r="AQ78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86" s="177" t="str">
        <f>IFERROR(BASE_DATOS[[#This Row],[Precio US$]]/BASE_DATOS[[#This Row],[Kilómetros Proy.]],"")</f>
        <v/>
      </c>
      <c r="AS786" s="167" t="s">
        <v>62</v>
      </c>
      <c r="AT786" s="167"/>
      <c r="AU786" s="167"/>
      <c r="AV786" s="167"/>
      <c r="AW786" s="179"/>
      <c r="AX786" s="179"/>
      <c r="AY786" s="179" t="str">
        <f>CONCATENATE(BASE_DATOS[[#This Row],[Código_U]]&amp;BASE_DATOS[[#This Row],[Pos.]]&amp;BASE_DATOS[[#This Row],[Situación Actual]])</f>
        <v>TC-2428Rodando</v>
      </c>
    </row>
    <row r="787" spans="1:51" ht="12" x14ac:dyDescent="0.25">
      <c r="A787" s="227" t="s">
        <v>421</v>
      </c>
      <c r="B787" s="217" t="s">
        <v>264</v>
      </c>
      <c r="C787" s="228" t="s">
        <v>296</v>
      </c>
      <c r="D787" s="229" t="s">
        <v>61</v>
      </c>
      <c r="E787" s="255"/>
      <c r="F787" s="256" t="s">
        <v>273</v>
      </c>
      <c r="G787" s="256" t="s">
        <v>271</v>
      </c>
      <c r="H787" s="257" t="str">
        <f>IF(BASE_DATOS[[#This Row],[N-R]]="N",BASE_DATOS[[#This Row],[Diseño]],"Reencauche")</f>
        <v>XMULTI2D</v>
      </c>
      <c r="I787" s="256" t="s">
        <v>299</v>
      </c>
      <c r="J787" s="243" t="s">
        <v>72</v>
      </c>
      <c r="K787" s="258">
        <v>21.4</v>
      </c>
      <c r="L787" s="241">
        <v>110</v>
      </c>
      <c r="M787" s="259"/>
      <c r="N787" s="260"/>
      <c r="O787" s="277"/>
      <c r="P787" s="281"/>
      <c r="Q787" s="282"/>
      <c r="R787" s="309" t="s">
        <v>106</v>
      </c>
      <c r="S787" s="310">
        <v>45385</v>
      </c>
      <c r="T787" s="311"/>
      <c r="U787" s="312"/>
      <c r="V787" s="227">
        <v>11</v>
      </c>
      <c r="W787" s="281"/>
      <c r="X787" s="282">
        <v>12</v>
      </c>
      <c r="Y787" s="293">
        <f t="shared" si="32"/>
        <v>11</v>
      </c>
      <c r="Z787" s="161" t="s">
        <v>73</v>
      </c>
      <c r="AA787" s="342">
        <f>IFERROR(BASE_DATOS[[#This Row],[NSK Original]]-BASE_DATOS[[#This Row],[NSK]]," ")</f>
        <v>10.399999999999999</v>
      </c>
      <c r="AB787" s="343">
        <f>'NSK-TRACTO'!$A$2</f>
        <v>6</v>
      </c>
      <c r="AC787" s="343">
        <f>IF(BASE_DATOS[[#This Row],[NSK]]&gt;=BASE_DATOS[[#This Row],[NSK Reen]],BASE_DATOS[[#This Row],[NSK Reen]],BASE_DATOS[[#This Row],[NSK]])</f>
        <v>6</v>
      </c>
      <c r="AD787" s="344">
        <f>IFERROR(100%-(BASE_DATOS[[#This Row],[NSK Reen]]/BASE_DATOS[[#This Row],[NSK Original]]),"")</f>
        <v>0.71962616822429903</v>
      </c>
      <c r="AE787" s="344">
        <f>IFERROR(100%-BASE_DATOS[[#This Row],[NSK]]/BASE_DATOS[[#This Row],[NSK Original]],"")</f>
        <v>0.4859813084112149</v>
      </c>
      <c r="AF787" s="344">
        <f>IFERROR(BASE_DATOS[[#This Row],[% Max Des.]]-BASE_DATOS[[#This Row],[% Des]],"")</f>
        <v>0.23364485981308414</v>
      </c>
      <c r="AG787" s="287"/>
      <c r="AH787" s="273"/>
      <c r="AI787" s="363" t="str">
        <f>IF(OR(BASE_DATOS[[#This Row],[Hr.]]="",BASE_DATOS[[#This Row],[Hr. Actual]]=""),"",BASE_DATOS[[#This Row],[Hr. Actual]]-BASE_DATOS[[#This Row],[Hr.]]+BASE_DATOS[[#This Row],[Horas Acumuladas]])</f>
        <v/>
      </c>
      <c r="AJ787" s="364" t="str">
        <f>IFERROR(BASE_DATOS[[#This Row],[Precio US$]]/BASE_DATOS[[#This Row],[Horas Rodadas]],"")</f>
        <v/>
      </c>
      <c r="AK787" s="365" t="str">
        <f>IFERROR(BASE_DATOS[[#This Row],[Horas Rodadas]]/(BASE_DATOS[[#This Row],[NSK Original]]-BASE_DATOS[[#This Row],[NSK]]),"")</f>
        <v/>
      </c>
      <c r="AL78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87" s="366" t="str">
        <f>IFERROR(BASE_DATOS[[#This Row],[Precio US$]]/BASE_DATOS[[#This Row],[Horas Proy.]],"")</f>
        <v/>
      </c>
      <c r="AN787" s="176" t="str">
        <f>IF(OR(BASE_DATOS[[#This Row],[Km.]]="",BASE_DATOS[[#This Row],[Km. Actual]]=""),"",BASE_DATOS[[#This Row],[Km. Actual]]-BASE_DATOS[[#This Row],[Km.]]+BASE_DATOS[[#This Row],[Kilómetros Acumulados]])</f>
        <v/>
      </c>
      <c r="AO787" s="177" t="str">
        <f>IFERROR(BASE_DATOS[[#This Row],[Precio US$]]/BASE_DATOS[[#This Row],[Kilómetros Rodados]],"")</f>
        <v/>
      </c>
      <c r="AP787" s="176" t="str">
        <f>IFERROR(BASE_DATOS[[#This Row],[Kilómetros Rodados]]/(BASE_DATOS[[#This Row],[NSK Original]]-BASE_DATOS[[#This Row],[NSK]]),"")</f>
        <v/>
      </c>
      <c r="AQ78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87" s="177" t="str">
        <f>IFERROR(BASE_DATOS[[#This Row],[Precio US$]]/BASE_DATOS[[#This Row],[Kilómetros Proy.]],"")</f>
        <v/>
      </c>
      <c r="AS787" s="167" t="s">
        <v>62</v>
      </c>
      <c r="AT787" s="167"/>
      <c r="AU787" s="167"/>
      <c r="AV787" s="167"/>
      <c r="AW787" s="179"/>
      <c r="AX787" s="179"/>
      <c r="AY787" s="179" t="str">
        <f>CONCATENATE(BASE_DATOS[[#This Row],[Código_U]]&amp;BASE_DATOS[[#This Row],[Pos.]]&amp;BASE_DATOS[[#This Row],[Situación Actual]])</f>
        <v>TC-2429Rodando</v>
      </c>
    </row>
    <row r="788" spans="1:51" ht="12" x14ac:dyDescent="0.25">
      <c r="A788" s="227" t="s">
        <v>421</v>
      </c>
      <c r="B788" s="217" t="s">
        <v>264</v>
      </c>
      <c r="C788" s="228" t="s">
        <v>296</v>
      </c>
      <c r="D788" s="229" t="s">
        <v>61</v>
      </c>
      <c r="E788" s="255"/>
      <c r="F788" s="256" t="s">
        <v>273</v>
      </c>
      <c r="G788" s="256" t="s">
        <v>271</v>
      </c>
      <c r="H788" s="257" t="str">
        <f>IF(BASE_DATOS[[#This Row],[N-R]]="N",BASE_DATOS[[#This Row],[Diseño]],"Reencauche")</f>
        <v>XMULTI2D</v>
      </c>
      <c r="I788" s="256" t="s">
        <v>299</v>
      </c>
      <c r="J788" s="243" t="s">
        <v>72</v>
      </c>
      <c r="K788" s="258">
        <v>21.4</v>
      </c>
      <c r="L788" s="241">
        <v>110</v>
      </c>
      <c r="M788" s="259"/>
      <c r="N788" s="260"/>
      <c r="O788" s="277"/>
      <c r="P788" s="281"/>
      <c r="Q788" s="282"/>
      <c r="R788" s="309" t="s">
        <v>107</v>
      </c>
      <c r="S788" s="310">
        <v>45385</v>
      </c>
      <c r="T788" s="311"/>
      <c r="U788" s="312"/>
      <c r="V788" s="227">
        <v>11</v>
      </c>
      <c r="W788" s="281"/>
      <c r="X788" s="282">
        <v>12</v>
      </c>
      <c r="Y788" s="293">
        <f t="shared" si="32"/>
        <v>11</v>
      </c>
      <c r="Z788" s="161" t="s">
        <v>73</v>
      </c>
      <c r="AA788" s="342">
        <f>IFERROR(BASE_DATOS[[#This Row],[NSK Original]]-BASE_DATOS[[#This Row],[NSK]]," ")</f>
        <v>10.399999999999999</v>
      </c>
      <c r="AB788" s="343">
        <f>'NSK-TRACTO'!$A$2</f>
        <v>6</v>
      </c>
      <c r="AC788" s="343">
        <f>IF(BASE_DATOS[[#This Row],[NSK]]&gt;=BASE_DATOS[[#This Row],[NSK Reen]],BASE_DATOS[[#This Row],[NSK Reen]],BASE_DATOS[[#This Row],[NSK]])</f>
        <v>6</v>
      </c>
      <c r="AD788" s="344">
        <f>IFERROR(100%-(BASE_DATOS[[#This Row],[NSK Reen]]/BASE_DATOS[[#This Row],[NSK Original]]),"")</f>
        <v>0.71962616822429903</v>
      </c>
      <c r="AE788" s="344">
        <f>IFERROR(100%-BASE_DATOS[[#This Row],[NSK]]/BASE_DATOS[[#This Row],[NSK Original]],"")</f>
        <v>0.4859813084112149</v>
      </c>
      <c r="AF788" s="344">
        <f>IFERROR(BASE_DATOS[[#This Row],[% Max Des.]]-BASE_DATOS[[#This Row],[% Des]],"")</f>
        <v>0.23364485981308414</v>
      </c>
      <c r="AG788" s="287"/>
      <c r="AH788" s="273"/>
      <c r="AI788" s="363" t="str">
        <f>IF(OR(BASE_DATOS[[#This Row],[Hr.]]="",BASE_DATOS[[#This Row],[Hr. Actual]]=""),"",BASE_DATOS[[#This Row],[Hr. Actual]]-BASE_DATOS[[#This Row],[Hr.]]+BASE_DATOS[[#This Row],[Horas Acumuladas]])</f>
        <v/>
      </c>
      <c r="AJ788" s="364" t="str">
        <f>IFERROR(BASE_DATOS[[#This Row],[Precio US$]]/BASE_DATOS[[#This Row],[Horas Rodadas]],"")</f>
        <v/>
      </c>
      <c r="AK788" s="365" t="str">
        <f>IFERROR(BASE_DATOS[[#This Row],[Horas Rodadas]]/(BASE_DATOS[[#This Row],[NSK Original]]-BASE_DATOS[[#This Row],[NSK]]),"")</f>
        <v/>
      </c>
      <c r="AL78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88" s="366" t="str">
        <f>IFERROR(BASE_DATOS[[#This Row],[Precio US$]]/BASE_DATOS[[#This Row],[Horas Proy.]],"")</f>
        <v/>
      </c>
      <c r="AN788" s="176" t="str">
        <f>IF(OR(BASE_DATOS[[#This Row],[Km.]]="",BASE_DATOS[[#This Row],[Km. Actual]]=""),"",BASE_DATOS[[#This Row],[Km. Actual]]-BASE_DATOS[[#This Row],[Km.]]+BASE_DATOS[[#This Row],[Kilómetros Acumulados]])</f>
        <v/>
      </c>
      <c r="AO788" s="177" t="str">
        <f>IFERROR(BASE_DATOS[[#This Row],[Precio US$]]/BASE_DATOS[[#This Row],[Kilómetros Rodados]],"")</f>
        <v/>
      </c>
      <c r="AP788" s="176" t="str">
        <f>IFERROR(BASE_DATOS[[#This Row],[Kilómetros Rodados]]/(BASE_DATOS[[#This Row],[NSK Original]]-BASE_DATOS[[#This Row],[NSK]]),"")</f>
        <v/>
      </c>
      <c r="AQ78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88" s="177" t="str">
        <f>IFERROR(BASE_DATOS[[#This Row],[Precio US$]]/BASE_DATOS[[#This Row],[Kilómetros Proy.]],"")</f>
        <v/>
      </c>
      <c r="AS788" s="167" t="s">
        <v>62</v>
      </c>
      <c r="AT788" s="167"/>
      <c r="AU788" s="167"/>
      <c r="AV788" s="167"/>
      <c r="AW788" s="179"/>
      <c r="AX788" s="179"/>
      <c r="AY788" s="179" t="str">
        <f>CONCATENATE(BASE_DATOS[[#This Row],[Código_U]]&amp;BASE_DATOS[[#This Row],[Pos.]]&amp;BASE_DATOS[[#This Row],[Situación Actual]])</f>
        <v>TC-24210Rodando</v>
      </c>
    </row>
    <row r="789" spans="1:51" ht="12" x14ac:dyDescent="0.25">
      <c r="A789" s="222" t="s">
        <v>459</v>
      </c>
      <c r="B789" s="213" t="s">
        <v>265</v>
      </c>
      <c r="C789" s="225" t="s">
        <v>295</v>
      </c>
      <c r="D789" s="226" t="s">
        <v>87</v>
      </c>
      <c r="E789" s="249"/>
      <c r="F789" s="250" t="s">
        <v>97</v>
      </c>
      <c r="G789" s="250" t="s">
        <v>269</v>
      </c>
      <c r="H789" s="251" t="str">
        <f>IF(BASE_DATOS[[#This Row],[N-R]]="N",BASE_DATOS[[#This Row],[Diseño]],"Reencauche")</f>
        <v>AGC28</v>
      </c>
      <c r="I789" s="250" t="s">
        <v>270</v>
      </c>
      <c r="J789" s="235" t="s">
        <v>72</v>
      </c>
      <c r="K789" s="252">
        <v>16.5</v>
      </c>
      <c r="L789" s="250">
        <v>110</v>
      </c>
      <c r="M789" s="253"/>
      <c r="N789" s="254"/>
      <c r="O789" s="274"/>
      <c r="P789" s="275"/>
      <c r="Q789" s="276"/>
      <c r="R789" s="305" t="s">
        <v>98</v>
      </c>
      <c r="S789" s="306">
        <v>45385</v>
      </c>
      <c r="T789" s="314"/>
      <c r="U789" s="276"/>
      <c r="V789" s="224">
        <v>12</v>
      </c>
      <c r="W789" s="325">
        <v>11</v>
      </c>
      <c r="X789" s="326">
        <v>12</v>
      </c>
      <c r="Y789" s="292">
        <f t="shared" si="32"/>
        <v>11</v>
      </c>
      <c r="Z789" s="194" t="s">
        <v>85</v>
      </c>
      <c r="AA789" s="339">
        <f>IFERROR(BASE_DATOS[[#This Row],[NSK Original]]-BASE_DATOS[[#This Row],[NSK]]," ")</f>
        <v>5.5</v>
      </c>
      <c r="AB789" s="340">
        <f>'NSK-TRACTO'!$A$2</f>
        <v>6</v>
      </c>
      <c r="AC789" s="340">
        <f>IF(BASE_DATOS[[#This Row],[NSK]]&gt;=BASE_DATOS[[#This Row],[NSK Reen]],BASE_DATOS[[#This Row],[NSK Reen]],BASE_DATOS[[#This Row],[NSK]])</f>
        <v>6</v>
      </c>
      <c r="AD789" s="341">
        <f>IFERROR(100%-(BASE_DATOS[[#This Row],[NSK Reen]]/BASE_DATOS[[#This Row],[NSK Original]]),"")</f>
        <v>0.63636363636363635</v>
      </c>
      <c r="AE789" s="341">
        <f>IFERROR(100%-BASE_DATOS[[#This Row],[NSK]]/BASE_DATOS[[#This Row],[NSK Original]],"")</f>
        <v>0.33333333333333337</v>
      </c>
      <c r="AF789" s="341">
        <f>IFERROR(BASE_DATOS[[#This Row],[% Max Des.]]-BASE_DATOS[[#This Row],[% Des]],"")</f>
        <v>0.30303030303030298</v>
      </c>
      <c r="AG789" s="284"/>
      <c r="AH789" s="335"/>
      <c r="AI789" s="359" t="str">
        <f>IF(OR(BASE_DATOS[[#This Row],[Hr.]]="",BASE_DATOS[[#This Row],[Hr. Actual]]=""),"",BASE_DATOS[[#This Row],[Hr. Actual]]-BASE_DATOS[[#This Row],[Hr.]]+BASE_DATOS[[#This Row],[Horas Acumuladas]])</f>
        <v/>
      </c>
      <c r="AJ789" s="360" t="str">
        <f>IFERROR(BASE_DATOS[[#This Row],[Precio US$]]/BASE_DATOS[[#This Row],[Horas Rodadas]],"")</f>
        <v/>
      </c>
      <c r="AK789" s="361" t="str">
        <f>IFERROR(BASE_DATOS[[#This Row],[Horas Rodadas]]/(BASE_DATOS[[#This Row],[NSK Original]]-BASE_DATOS[[#This Row],[NSK]]),"")</f>
        <v/>
      </c>
      <c r="AL789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89" s="362" t="str">
        <f>IFERROR(BASE_DATOS[[#This Row],[Precio US$]]/BASE_DATOS[[#This Row],[Horas Proy.]],"")</f>
        <v/>
      </c>
      <c r="AN789" s="195" t="str">
        <f>IF(OR(BASE_DATOS[[#This Row],[Km.]]="",BASE_DATOS[[#This Row],[Km. Actual]]=""),"",BASE_DATOS[[#This Row],[Km. Actual]]-BASE_DATOS[[#This Row],[Km.]]+BASE_DATOS[[#This Row],[Kilómetros Acumulados]])</f>
        <v/>
      </c>
      <c r="AO789" s="196" t="str">
        <f>IFERROR(BASE_DATOS[[#This Row],[Precio US$]]/BASE_DATOS[[#This Row],[Kilómetros Rodados]],"")</f>
        <v/>
      </c>
      <c r="AP789" s="195" t="str">
        <f>IFERROR(BASE_DATOS[[#This Row],[Kilómetros Rodados]]/(BASE_DATOS[[#This Row],[NSK Original]]-BASE_DATOS[[#This Row],[NSK]]),"")</f>
        <v/>
      </c>
      <c r="AQ789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89" s="196" t="str">
        <f>IFERROR(BASE_DATOS[[#This Row],[Precio US$]]/BASE_DATOS[[#This Row],[Kilómetros Proy.]],"")</f>
        <v/>
      </c>
      <c r="AS789" s="197" t="s">
        <v>62</v>
      </c>
      <c r="AT789" s="197"/>
      <c r="AU789" s="197"/>
      <c r="AV789" s="197"/>
      <c r="AW789" s="198"/>
      <c r="AX789" s="198"/>
      <c r="AY789" s="198" t="str">
        <f>CONCATENATE(BASE_DATOS[[#This Row],[Código_U]]&amp;BASE_DATOS[[#This Row],[Pos.]]&amp;BASE_DATOS[[#This Row],[Situación Actual]])</f>
        <v>SR-2341Rodando</v>
      </c>
    </row>
    <row r="790" spans="1:51" ht="12" x14ac:dyDescent="0.25">
      <c r="A790" s="223" t="s">
        <v>459</v>
      </c>
      <c r="B790" s="217" t="s">
        <v>265</v>
      </c>
      <c r="C790" s="228" t="s">
        <v>295</v>
      </c>
      <c r="D790" s="229" t="s">
        <v>87</v>
      </c>
      <c r="E790" s="255"/>
      <c r="F790" s="256" t="s">
        <v>97</v>
      </c>
      <c r="G790" s="256" t="s">
        <v>269</v>
      </c>
      <c r="H790" s="257" t="str">
        <f>IF(BASE_DATOS[[#This Row],[N-R]]="N",BASE_DATOS[[#This Row],[Diseño]],"Reencauche")</f>
        <v>AGC28</v>
      </c>
      <c r="I790" s="256" t="s">
        <v>270</v>
      </c>
      <c r="J790" s="243" t="s">
        <v>72</v>
      </c>
      <c r="K790" s="258">
        <v>16.5</v>
      </c>
      <c r="L790" s="256">
        <v>110</v>
      </c>
      <c r="M790" s="259"/>
      <c r="N790" s="260"/>
      <c r="O790" s="277"/>
      <c r="P790" s="278"/>
      <c r="Q790" s="279"/>
      <c r="R790" s="309" t="s">
        <v>99</v>
      </c>
      <c r="S790" s="310">
        <v>45385</v>
      </c>
      <c r="T790" s="313"/>
      <c r="U790" s="279"/>
      <c r="V790" s="227">
        <v>11</v>
      </c>
      <c r="W790" s="281">
        <v>11</v>
      </c>
      <c r="X790" s="282">
        <v>12</v>
      </c>
      <c r="Y790" s="293">
        <f t="shared" si="32"/>
        <v>11</v>
      </c>
      <c r="Z790" s="175" t="s">
        <v>85</v>
      </c>
      <c r="AA790" s="342">
        <f>IFERROR(BASE_DATOS[[#This Row],[NSK Original]]-BASE_DATOS[[#This Row],[NSK]]," ")</f>
        <v>5.5</v>
      </c>
      <c r="AB790" s="343">
        <f>'NSK-TRACTO'!$A$2</f>
        <v>6</v>
      </c>
      <c r="AC790" s="343">
        <f>IF(BASE_DATOS[[#This Row],[NSK]]&gt;=BASE_DATOS[[#This Row],[NSK Reen]],BASE_DATOS[[#This Row],[NSK Reen]],BASE_DATOS[[#This Row],[NSK]])</f>
        <v>6</v>
      </c>
      <c r="AD790" s="344">
        <f>IFERROR(100%-(BASE_DATOS[[#This Row],[NSK Reen]]/BASE_DATOS[[#This Row],[NSK Original]]),"")</f>
        <v>0.63636363636363635</v>
      </c>
      <c r="AE790" s="344">
        <f>IFERROR(100%-BASE_DATOS[[#This Row],[NSK]]/BASE_DATOS[[#This Row],[NSK Original]],"")</f>
        <v>0.33333333333333337</v>
      </c>
      <c r="AF790" s="344">
        <f>IFERROR(BASE_DATOS[[#This Row],[% Max Des.]]-BASE_DATOS[[#This Row],[% Des]],"")</f>
        <v>0.30303030303030298</v>
      </c>
      <c r="AG790" s="287"/>
      <c r="AH790" s="273"/>
      <c r="AI790" s="363" t="str">
        <f>IF(OR(BASE_DATOS[[#This Row],[Hr.]]="",BASE_DATOS[[#This Row],[Hr. Actual]]=""),"",BASE_DATOS[[#This Row],[Hr. Actual]]-BASE_DATOS[[#This Row],[Hr.]]+BASE_DATOS[[#This Row],[Horas Acumuladas]])</f>
        <v/>
      </c>
      <c r="AJ790" s="364" t="str">
        <f>IFERROR(BASE_DATOS[[#This Row],[Precio US$]]/BASE_DATOS[[#This Row],[Horas Rodadas]],"")</f>
        <v/>
      </c>
      <c r="AK790" s="365" t="str">
        <f>IFERROR(BASE_DATOS[[#This Row],[Horas Rodadas]]/(BASE_DATOS[[#This Row],[NSK Original]]-BASE_DATOS[[#This Row],[NSK]]),"")</f>
        <v/>
      </c>
      <c r="AL79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90" s="366" t="str">
        <f>IFERROR(BASE_DATOS[[#This Row],[Precio US$]]/BASE_DATOS[[#This Row],[Horas Proy.]],"")</f>
        <v/>
      </c>
      <c r="AN790" s="176" t="str">
        <f>IF(OR(BASE_DATOS[[#This Row],[Km.]]="",BASE_DATOS[[#This Row],[Km. Actual]]=""),"",BASE_DATOS[[#This Row],[Km. Actual]]-BASE_DATOS[[#This Row],[Km.]]+BASE_DATOS[[#This Row],[Kilómetros Acumulados]])</f>
        <v/>
      </c>
      <c r="AO790" s="177" t="str">
        <f>IFERROR(BASE_DATOS[[#This Row],[Precio US$]]/BASE_DATOS[[#This Row],[Kilómetros Rodados]],"")</f>
        <v/>
      </c>
      <c r="AP790" s="176" t="str">
        <f>IFERROR(BASE_DATOS[[#This Row],[Kilómetros Rodados]]/(BASE_DATOS[[#This Row],[NSK Original]]-BASE_DATOS[[#This Row],[NSK]]),"")</f>
        <v/>
      </c>
      <c r="AQ79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90" s="177" t="str">
        <f>IFERROR(BASE_DATOS[[#This Row],[Precio US$]]/BASE_DATOS[[#This Row],[Kilómetros Proy.]],"")</f>
        <v/>
      </c>
      <c r="AS790" s="178" t="s">
        <v>62</v>
      </c>
      <c r="AT790" s="178"/>
      <c r="AU790" s="178"/>
      <c r="AV790" s="178"/>
      <c r="AW790" s="179"/>
      <c r="AX790" s="179"/>
      <c r="AY790" s="179" t="str">
        <f>CONCATENATE(BASE_DATOS[[#This Row],[Código_U]]&amp;BASE_DATOS[[#This Row],[Pos.]]&amp;BASE_DATOS[[#This Row],[Situación Actual]])</f>
        <v>SR-2342Rodando</v>
      </c>
    </row>
    <row r="791" spans="1:51" ht="12" x14ac:dyDescent="0.25">
      <c r="A791" s="223" t="s">
        <v>459</v>
      </c>
      <c r="B791" s="217" t="s">
        <v>265</v>
      </c>
      <c r="C791" s="228" t="s">
        <v>295</v>
      </c>
      <c r="D791" s="229" t="s">
        <v>87</v>
      </c>
      <c r="E791" s="255"/>
      <c r="F791" s="256" t="s">
        <v>97</v>
      </c>
      <c r="G791" s="256" t="s">
        <v>269</v>
      </c>
      <c r="H791" s="257" t="str">
        <f>IF(BASE_DATOS[[#This Row],[N-R]]="N",BASE_DATOS[[#This Row],[Diseño]],"Reencauche")</f>
        <v>AGC28</v>
      </c>
      <c r="I791" s="256" t="s">
        <v>270</v>
      </c>
      <c r="J791" s="243" t="s">
        <v>72</v>
      </c>
      <c r="K791" s="258">
        <v>16.5</v>
      </c>
      <c r="L791" s="256">
        <v>110</v>
      </c>
      <c r="M791" s="259"/>
      <c r="N791" s="260"/>
      <c r="O791" s="277"/>
      <c r="P791" s="278"/>
      <c r="Q791" s="279"/>
      <c r="R791" s="309" t="s">
        <v>100</v>
      </c>
      <c r="S791" s="310">
        <v>45385</v>
      </c>
      <c r="T791" s="313"/>
      <c r="U791" s="279"/>
      <c r="V791" s="227">
        <v>12</v>
      </c>
      <c r="W791" s="281">
        <v>12</v>
      </c>
      <c r="X791" s="282">
        <v>12</v>
      </c>
      <c r="Y791" s="293">
        <f t="shared" si="32"/>
        <v>12</v>
      </c>
      <c r="Z791" s="175" t="s">
        <v>73</v>
      </c>
      <c r="AA791" s="342">
        <f>IFERROR(BASE_DATOS[[#This Row],[NSK Original]]-BASE_DATOS[[#This Row],[NSK]]," ")</f>
        <v>4.5</v>
      </c>
      <c r="AB791" s="343">
        <f>'NSK-TRACTO'!$A$2</f>
        <v>6</v>
      </c>
      <c r="AC791" s="343">
        <f>IF(BASE_DATOS[[#This Row],[NSK]]&gt;=BASE_DATOS[[#This Row],[NSK Reen]],BASE_DATOS[[#This Row],[NSK Reen]],BASE_DATOS[[#This Row],[NSK]])</f>
        <v>6</v>
      </c>
      <c r="AD791" s="344">
        <f>IFERROR(100%-(BASE_DATOS[[#This Row],[NSK Reen]]/BASE_DATOS[[#This Row],[NSK Original]]),"")</f>
        <v>0.63636363636363635</v>
      </c>
      <c r="AE791" s="344">
        <f>IFERROR(100%-BASE_DATOS[[#This Row],[NSK]]/BASE_DATOS[[#This Row],[NSK Original]],"")</f>
        <v>0.27272727272727271</v>
      </c>
      <c r="AF791" s="344">
        <f>IFERROR(BASE_DATOS[[#This Row],[% Max Des.]]-BASE_DATOS[[#This Row],[% Des]],"")</f>
        <v>0.36363636363636365</v>
      </c>
      <c r="AG791" s="287"/>
      <c r="AH791" s="273"/>
      <c r="AI791" s="363" t="str">
        <f>IF(OR(BASE_DATOS[[#This Row],[Hr.]]="",BASE_DATOS[[#This Row],[Hr. Actual]]=""),"",BASE_DATOS[[#This Row],[Hr. Actual]]-BASE_DATOS[[#This Row],[Hr.]]+BASE_DATOS[[#This Row],[Horas Acumuladas]])</f>
        <v/>
      </c>
      <c r="AJ791" s="364" t="str">
        <f>IFERROR(BASE_DATOS[[#This Row],[Precio US$]]/BASE_DATOS[[#This Row],[Horas Rodadas]],"")</f>
        <v/>
      </c>
      <c r="AK791" s="365" t="str">
        <f>IFERROR(BASE_DATOS[[#This Row],[Horas Rodadas]]/(BASE_DATOS[[#This Row],[NSK Original]]-BASE_DATOS[[#This Row],[NSK]]),"")</f>
        <v/>
      </c>
      <c r="AL79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91" s="366" t="str">
        <f>IFERROR(BASE_DATOS[[#This Row],[Precio US$]]/BASE_DATOS[[#This Row],[Horas Proy.]],"")</f>
        <v/>
      </c>
      <c r="AN791" s="176" t="str">
        <f>IF(OR(BASE_DATOS[[#This Row],[Km.]]="",BASE_DATOS[[#This Row],[Km. Actual]]=""),"",BASE_DATOS[[#This Row],[Km. Actual]]-BASE_DATOS[[#This Row],[Km.]]+BASE_DATOS[[#This Row],[Kilómetros Acumulados]])</f>
        <v/>
      </c>
      <c r="AO791" s="177" t="str">
        <f>IFERROR(BASE_DATOS[[#This Row],[Precio US$]]/BASE_DATOS[[#This Row],[Kilómetros Rodados]],"")</f>
        <v/>
      </c>
      <c r="AP791" s="176" t="str">
        <f>IFERROR(BASE_DATOS[[#This Row],[Kilómetros Rodados]]/(BASE_DATOS[[#This Row],[NSK Original]]-BASE_DATOS[[#This Row],[NSK]]),"")</f>
        <v/>
      </c>
      <c r="AQ79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91" s="177" t="str">
        <f>IFERROR(BASE_DATOS[[#This Row],[Precio US$]]/BASE_DATOS[[#This Row],[Kilómetros Proy.]],"")</f>
        <v/>
      </c>
      <c r="AS791" s="178" t="s">
        <v>62</v>
      </c>
      <c r="AT791" s="178"/>
      <c r="AU791" s="178"/>
      <c r="AV791" s="178"/>
      <c r="AW791" s="179"/>
      <c r="AX791" s="179"/>
      <c r="AY791" s="179" t="str">
        <f>CONCATENATE(BASE_DATOS[[#This Row],[Código_U]]&amp;BASE_DATOS[[#This Row],[Pos.]]&amp;BASE_DATOS[[#This Row],[Situación Actual]])</f>
        <v>SR-2343Rodando</v>
      </c>
    </row>
    <row r="792" spans="1:51" ht="12" x14ac:dyDescent="0.25">
      <c r="A792" s="223" t="s">
        <v>459</v>
      </c>
      <c r="B792" s="217" t="s">
        <v>265</v>
      </c>
      <c r="C792" s="228" t="s">
        <v>295</v>
      </c>
      <c r="D792" s="229" t="s">
        <v>87</v>
      </c>
      <c r="E792" s="255"/>
      <c r="F792" s="256" t="s">
        <v>97</v>
      </c>
      <c r="G792" s="256" t="s">
        <v>269</v>
      </c>
      <c r="H792" s="257" t="str">
        <f>IF(BASE_DATOS[[#This Row],[N-R]]="N",BASE_DATOS[[#This Row],[Diseño]],"Reencauche")</f>
        <v>AGC28</v>
      </c>
      <c r="I792" s="256" t="s">
        <v>270</v>
      </c>
      <c r="J792" s="243" t="s">
        <v>72</v>
      </c>
      <c r="K792" s="258">
        <v>16.5</v>
      </c>
      <c r="L792" s="256">
        <v>110</v>
      </c>
      <c r="M792" s="259"/>
      <c r="N792" s="260"/>
      <c r="O792" s="277"/>
      <c r="P792" s="278"/>
      <c r="Q792" s="279"/>
      <c r="R792" s="309" t="s">
        <v>101</v>
      </c>
      <c r="S792" s="310">
        <v>45385</v>
      </c>
      <c r="T792" s="313"/>
      <c r="U792" s="279"/>
      <c r="V792" s="227">
        <v>11</v>
      </c>
      <c r="W792" s="281">
        <v>11</v>
      </c>
      <c r="X792" s="282">
        <v>11</v>
      </c>
      <c r="Y792" s="293">
        <f t="shared" si="32"/>
        <v>11</v>
      </c>
      <c r="Z792" s="175" t="s">
        <v>73</v>
      </c>
      <c r="AA792" s="342">
        <f>IFERROR(BASE_DATOS[[#This Row],[NSK Original]]-BASE_DATOS[[#This Row],[NSK]]," ")</f>
        <v>5.5</v>
      </c>
      <c r="AB792" s="343">
        <f>'NSK-TRACTO'!$A$2</f>
        <v>6</v>
      </c>
      <c r="AC792" s="343">
        <f>IF(BASE_DATOS[[#This Row],[NSK]]&gt;=BASE_DATOS[[#This Row],[NSK Reen]],BASE_DATOS[[#This Row],[NSK Reen]],BASE_DATOS[[#This Row],[NSK]])</f>
        <v>6</v>
      </c>
      <c r="AD792" s="344">
        <f>IFERROR(100%-(BASE_DATOS[[#This Row],[NSK Reen]]/BASE_DATOS[[#This Row],[NSK Original]]),"")</f>
        <v>0.63636363636363635</v>
      </c>
      <c r="AE792" s="344">
        <f>IFERROR(100%-BASE_DATOS[[#This Row],[NSK]]/BASE_DATOS[[#This Row],[NSK Original]],"")</f>
        <v>0.33333333333333337</v>
      </c>
      <c r="AF792" s="344">
        <f>IFERROR(BASE_DATOS[[#This Row],[% Max Des.]]-BASE_DATOS[[#This Row],[% Des]],"")</f>
        <v>0.30303030303030298</v>
      </c>
      <c r="AG792" s="287"/>
      <c r="AH792" s="273"/>
      <c r="AI792" s="363" t="str">
        <f>IF(OR(BASE_DATOS[[#This Row],[Hr.]]="",BASE_DATOS[[#This Row],[Hr. Actual]]=""),"",BASE_DATOS[[#This Row],[Hr. Actual]]-BASE_DATOS[[#This Row],[Hr.]]+BASE_DATOS[[#This Row],[Horas Acumuladas]])</f>
        <v/>
      </c>
      <c r="AJ792" s="364" t="str">
        <f>IFERROR(BASE_DATOS[[#This Row],[Precio US$]]/BASE_DATOS[[#This Row],[Horas Rodadas]],"")</f>
        <v/>
      </c>
      <c r="AK792" s="365" t="str">
        <f>IFERROR(BASE_DATOS[[#This Row],[Horas Rodadas]]/(BASE_DATOS[[#This Row],[NSK Original]]-BASE_DATOS[[#This Row],[NSK]]),"")</f>
        <v/>
      </c>
      <c r="AL79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92" s="366" t="str">
        <f>IFERROR(BASE_DATOS[[#This Row],[Precio US$]]/BASE_DATOS[[#This Row],[Horas Proy.]],"")</f>
        <v/>
      </c>
      <c r="AN792" s="176" t="str">
        <f>IF(OR(BASE_DATOS[[#This Row],[Km.]]="",BASE_DATOS[[#This Row],[Km. Actual]]=""),"",BASE_DATOS[[#This Row],[Km. Actual]]-BASE_DATOS[[#This Row],[Km.]]+BASE_DATOS[[#This Row],[Kilómetros Acumulados]])</f>
        <v/>
      </c>
      <c r="AO792" s="177" t="str">
        <f>IFERROR(BASE_DATOS[[#This Row],[Precio US$]]/BASE_DATOS[[#This Row],[Kilómetros Rodados]],"")</f>
        <v/>
      </c>
      <c r="AP792" s="176" t="str">
        <f>IFERROR(BASE_DATOS[[#This Row],[Kilómetros Rodados]]/(BASE_DATOS[[#This Row],[NSK Original]]-BASE_DATOS[[#This Row],[NSK]]),"")</f>
        <v/>
      </c>
      <c r="AQ79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92" s="177" t="str">
        <f>IFERROR(BASE_DATOS[[#This Row],[Precio US$]]/BASE_DATOS[[#This Row],[Kilómetros Proy.]],"")</f>
        <v/>
      </c>
      <c r="AS792" s="178" t="s">
        <v>62</v>
      </c>
      <c r="AT792" s="178"/>
      <c r="AU792" s="178"/>
      <c r="AV792" s="178"/>
      <c r="AW792" s="179"/>
      <c r="AX792" s="179"/>
      <c r="AY792" s="179" t="str">
        <f>CONCATENATE(BASE_DATOS[[#This Row],[Código_U]]&amp;BASE_DATOS[[#This Row],[Pos.]]&amp;BASE_DATOS[[#This Row],[Situación Actual]])</f>
        <v>SR-2344Rodando</v>
      </c>
    </row>
    <row r="793" spans="1:51" ht="12" x14ac:dyDescent="0.25">
      <c r="A793" s="223" t="s">
        <v>459</v>
      </c>
      <c r="B793" s="217" t="s">
        <v>265</v>
      </c>
      <c r="C793" s="228" t="s">
        <v>295</v>
      </c>
      <c r="D793" s="229" t="s">
        <v>87</v>
      </c>
      <c r="E793" s="255"/>
      <c r="F793" s="256" t="s">
        <v>97</v>
      </c>
      <c r="G793" s="256" t="s">
        <v>269</v>
      </c>
      <c r="H793" s="257" t="str">
        <f>IF(BASE_DATOS[[#This Row],[N-R]]="N",BASE_DATOS[[#This Row],[Diseño]],"Reencauche")</f>
        <v>AGC28</v>
      </c>
      <c r="I793" s="256" t="s">
        <v>270</v>
      </c>
      <c r="J793" s="243" t="s">
        <v>72</v>
      </c>
      <c r="K793" s="258">
        <v>16.5</v>
      </c>
      <c r="L793" s="256">
        <v>110</v>
      </c>
      <c r="M793" s="259"/>
      <c r="N793" s="260"/>
      <c r="O793" s="277"/>
      <c r="P793" s="278"/>
      <c r="Q793" s="279"/>
      <c r="R793" s="309" t="s">
        <v>102</v>
      </c>
      <c r="S793" s="310">
        <v>45385</v>
      </c>
      <c r="T793" s="313"/>
      <c r="U793" s="279"/>
      <c r="V793" s="227">
        <v>6</v>
      </c>
      <c r="W793" s="281">
        <v>7</v>
      </c>
      <c r="X793" s="282">
        <v>8</v>
      </c>
      <c r="Y793" s="293">
        <f t="shared" si="32"/>
        <v>6</v>
      </c>
      <c r="Z793" s="175" t="s">
        <v>85</v>
      </c>
      <c r="AA793" s="342">
        <f>IFERROR(BASE_DATOS[[#This Row],[NSK Original]]-BASE_DATOS[[#This Row],[NSK]]," ")</f>
        <v>10.5</v>
      </c>
      <c r="AB793" s="343">
        <f>'NSK-TRACTO'!$A$2</f>
        <v>6</v>
      </c>
      <c r="AC793" s="343">
        <f>IF(BASE_DATOS[[#This Row],[NSK]]&gt;=BASE_DATOS[[#This Row],[NSK Reen]],BASE_DATOS[[#This Row],[NSK Reen]],BASE_DATOS[[#This Row],[NSK]])</f>
        <v>6</v>
      </c>
      <c r="AD793" s="344">
        <f>IFERROR(100%-(BASE_DATOS[[#This Row],[NSK Reen]]/BASE_DATOS[[#This Row],[NSK Original]]),"")</f>
        <v>0.63636363636363635</v>
      </c>
      <c r="AE793" s="344">
        <f>IFERROR(100%-BASE_DATOS[[#This Row],[NSK]]/BASE_DATOS[[#This Row],[NSK Original]],"")</f>
        <v>0.63636363636363635</v>
      </c>
      <c r="AF793" s="344">
        <f>IFERROR(BASE_DATOS[[#This Row],[% Max Des.]]-BASE_DATOS[[#This Row],[% Des]],"")</f>
        <v>0</v>
      </c>
      <c r="AG793" s="287"/>
      <c r="AH793" s="273"/>
      <c r="AI793" s="363" t="str">
        <f>IF(OR(BASE_DATOS[[#This Row],[Hr.]]="",BASE_DATOS[[#This Row],[Hr. Actual]]=""),"",BASE_DATOS[[#This Row],[Hr. Actual]]-BASE_DATOS[[#This Row],[Hr.]]+BASE_DATOS[[#This Row],[Horas Acumuladas]])</f>
        <v/>
      </c>
      <c r="AJ793" s="364" t="str">
        <f>IFERROR(BASE_DATOS[[#This Row],[Precio US$]]/BASE_DATOS[[#This Row],[Horas Rodadas]],"")</f>
        <v/>
      </c>
      <c r="AK793" s="365" t="str">
        <f>IFERROR(BASE_DATOS[[#This Row],[Horas Rodadas]]/(BASE_DATOS[[#This Row],[NSK Original]]-BASE_DATOS[[#This Row],[NSK]]),"")</f>
        <v/>
      </c>
      <c r="AL79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93" s="366" t="str">
        <f>IFERROR(BASE_DATOS[[#This Row],[Precio US$]]/BASE_DATOS[[#This Row],[Horas Proy.]],"")</f>
        <v/>
      </c>
      <c r="AN793" s="176" t="str">
        <f>IF(OR(BASE_DATOS[[#This Row],[Km.]]="",BASE_DATOS[[#This Row],[Km. Actual]]=""),"",BASE_DATOS[[#This Row],[Km. Actual]]-BASE_DATOS[[#This Row],[Km.]]+BASE_DATOS[[#This Row],[Kilómetros Acumulados]])</f>
        <v/>
      </c>
      <c r="AO793" s="177" t="str">
        <f>IFERROR(BASE_DATOS[[#This Row],[Precio US$]]/BASE_DATOS[[#This Row],[Kilómetros Rodados]],"")</f>
        <v/>
      </c>
      <c r="AP793" s="176" t="str">
        <f>IFERROR(BASE_DATOS[[#This Row],[Kilómetros Rodados]]/(BASE_DATOS[[#This Row],[NSK Original]]-BASE_DATOS[[#This Row],[NSK]]),"")</f>
        <v/>
      </c>
      <c r="AQ79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93" s="177" t="str">
        <f>IFERROR(BASE_DATOS[[#This Row],[Precio US$]]/BASE_DATOS[[#This Row],[Kilómetros Proy.]],"")</f>
        <v/>
      </c>
      <c r="AS793" s="178" t="s">
        <v>62</v>
      </c>
      <c r="AT793" s="178"/>
      <c r="AU793" s="178"/>
      <c r="AV793" s="178"/>
      <c r="AW793" s="179"/>
      <c r="AX793" s="179"/>
      <c r="AY793" s="179" t="str">
        <f>CONCATENATE(BASE_DATOS[[#This Row],[Código_U]]&amp;BASE_DATOS[[#This Row],[Pos.]]&amp;BASE_DATOS[[#This Row],[Situación Actual]])</f>
        <v>SR-2345Rodando</v>
      </c>
    </row>
    <row r="794" spans="1:51" ht="12" x14ac:dyDescent="0.25">
      <c r="A794" s="223" t="s">
        <v>459</v>
      </c>
      <c r="B794" s="217" t="s">
        <v>265</v>
      </c>
      <c r="C794" s="228" t="s">
        <v>295</v>
      </c>
      <c r="D794" s="229" t="s">
        <v>87</v>
      </c>
      <c r="E794" s="255"/>
      <c r="F794" s="256" t="s">
        <v>97</v>
      </c>
      <c r="G794" s="256" t="s">
        <v>269</v>
      </c>
      <c r="H794" s="257" t="str">
        <f>IF(BASE_DATOS[[#This Row],[N-R]]="N",BASE_DATOS[[#This Row],[Diseño]],"Reencauche")</f>
        <v>AGC28</v>
      </c>
      <c r="I794" s="256" t="s">
        <v>270</v>
      </c>
      <c r="J794" s="243" t="s">
        <v>72</v>
      </c>
      <c r="K794" s="258">
        <v>16.5</v>
      </c>
      <c r="L794" s="256">
        <v>110</v>
      </c>
      <c r="M794" s="259"/>
      <c r="N794" s="260"/>
      <c r="O794" s="277"/>
      <c r="P794" s="278"/>
      <c r="Q794" s="279"/>
      <c r="R794" s="309" t="s">
        <v>103</v>
      </c>
      <c r="S794" s="310">
        <v>45385</v>
      </c>
      <c r="T794" s="313"/>
      <c r="U794" s="279"/>
      <c r="V794" s="227">
        <v>6</v>
      </c>
      <c r="W794" s="281">
        <v>6</v>
      </c>
      <c r="X794" s="282">
        <v>6</v>
      </c>
      <c r="Y794" s="293">
        <f t="shared" si="32"/>
        <v>6</v>
      </c>
      <c r="Z794" s="175" t="s">
        <v>73</v>
      </c>
      <c r="AA794" s="342">
        <f>IFERROR(BASE_DATOS[[#This Row],[NSK Original]]-BASE_DATOS[[#This Row],[NSK]]," ")</f>
        <v>10.5</v>
      </c>
      <c r="AB794" s="343">
        <f>'NSK-TRACTO'!$A$2</f>
        <v>6</v>
      </c>
      <c r="AC794" s="343">
        <f>IF(BASE_DATOS[[#This Row],[NSK]]&gt;=BASE_DATOS[[#This Row],[NSK Reen]],BASE_DATOS[[#This Row],[NSK Reen]],BASE_DATOS[[#This Row],[NSK]])</f>
        <v>6</v>
      </c>
      <c r="AD794" s="344">
        <f>IFERROR(100%-(BASE_DATOS[[#This Row],[NSK Reen]]/BASE_DATOS[[#This Row],[NSK Original]]),"")</f>
        <v>0.63636363636363635</v>
      </c>
      <c r="AE794" s="344">
        <f>IFERROR(100%-BASE_DATOS[[#This Row],[NSK]]/BASE_DATOS[[#This Row],[NSK Original]],"")</f>
        <v>0.63636363636363635</v>
      </c>
      <c r="AF794" s="344">
        <f>IFERROR(BASE_DATOS[[#This Row],[% Max Des.]]-BASE_DATOS[[#This Row],[% Des]],"")</f>
        <v>0</v>
      </c>
      <c r="AG794" s="287"/>
      <c r="AH794" s="273"/>
      <c r="AI794" s="363" t="str">
        <f>IF(OR(BASE_DATOS[[#This Row],[Hr.]]="",BASE_DATOS[[#This Row],[Hr. Actual]]=""),"",BASE_DATOS[[#This Row],[Hr. Actual]]-BASE_DATOS[[#This Row],[Hr.]]+BASE_DATOS[[#This Row],[Horas Acumuladas]])</f>
        <v/>
      </c>
      <c r="AJ794" s="364" t="str">
        <f>IFERROR(BASE_DATOS[[#This Row],[Precio US$]]/BASE_DATOS[[#This Row],[Horas Rodadas]],"")</f>
        <v/>
      </c>
      <c r="AK794" s="365" t="str">
        <f>IFERROR(BASE_DATOS[[#This Row],[Horas Rodadas]]/(BASE_DATOS[[#This Row],[NSK Original]]-BASE_DATOS[[#This Row],[NSK]]),"")</f>
        <v/>
      </c>
      <c r="AL79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94" s="366" t="str">
        <f>IFERROR(BASE_DATOS[[#This Row],[Precio US$]]/BASE_DATOS[[#This Row],[Horas Proy.]],"")</f>
        <v/>
      </c>
      <c r="AN794" s="176" t="str">
        <f>IF(OR(BASE_DATOS[[#This Row],[Km.]]="",BASE_DATOS[[#This Row],[Km. Actual]]=""),"",BASE_DATOS[[#This Row],[Km. Actual]]-BASE_DATOS[[#This Row],[Km.]]+BASE_DATOS[[#This Row],[Kilómetros Acumulados]])</f>
        <v/>
      </c>
      <c r="AO794" s="177" t="str">
        <f>IFERROR(BASE_DATOS[[#This Row],[Precio US$]]/BASE_DATOS[[#This Row],[Kilómetros Rodados]],"")</f>
        <v/>
      </c>
      <c r="AP794" s="176" t="str">
        <f>IFERROR(BASE_DATOS[[#This Row],[Kilómetros Rodados]]/(BASE_DATOS[[#This Row],[NSK Original]]-BASE_DATOS[[#This Row],[NSK]]),"")</f>
        <v/>
      </c>
      <c r="AQ79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94" s="177" t="str">
        <f>IFERROR(BASE_DATOS[[#This Row],[Precio US$]]/BASE_DATOS[[#This Row],[Kilómetros Proy.]],"")</f>
        <v/>
      </c>
      <c r="AS794" s="178" t="s">
        <v>62</v>
      </c>
      <c r="AT794" s="178"/>
      <c r="AU794" s="178"/>
      <c r="AV794" s="178"/>
      <c r="AW794" s="179"/>
      <c r="AX794" s="179"/>
      <c r="AY794" s="179" t="str">
        <f>CONCATENATE(BASE_DATOS[[#This Row],[Código_U]]&amp;BASE_DATOS[[#This Row],[Pos.]]&amp;BASE_DATOS[[#This Row],[Situación Actual]])</f>
        <v>SR-2346Rodando</v>
      </c>
    </row>
    <row r="795" spans="1:51" ht="12" x14ac:dyDescent="0.25">
      <c r="A795" s="223" t="s">
        <v>459</v>
      </c>
      <c r="B795" s="217" t="s">
        <v>265</v>
      </c>
      <c r="C795" s="228" t="s">
        <v>295</v>
      </c>
      <c r="D795" s="229" t="s">
        <v>384</v>
      </c>
      <c r="E795" s="255"/>
      <c r="F795" s="256" t="s">
        <v>97</v>
      </c>
      <c r="G795" s="256" t="s">
        <v>269</v>
      </c>
      <c r="H795" s="257" t="str">
        <f>IF(BASE_DATOS[[#This Row],[N-R]]="N",BASE_DATOS[[#This Row],[Diseño]],"Reencauche")</f>
        <v>AGC28</v>
      </c>
      <c r="I795" s="256" t="s">
        <v>270</v>
      </c>
      <c r="J795" s="243" t="s">
        <v>72</v>
      </c>
      <c r="K795" s="258">
        <v>16.5</v>
      </c>
      <c r="L795" s="256">
        <v>110</v>
      </c>
      <c r="M795" s="259"/>
      <c r="N795" s="260"/>
      <c r="O795" s="277"/>
      <c r="P795" s="278"/>
      <c r="Q795" s="279"/>
      <c r="R795" s="309" t="s">
        <v>509</v>
      </c>
      <c r="S795" s="310">
        <v>45385</v>
      </c>
      <c r="T795" s="313"/>
      <c r="U795" s="279"/>
      <c r="V795" s="227">
        <v>16</v>
      </c>
      <c r="W795" s="281">
        <v>16</v>
      </c>
      <c r="X795" s="282">
        <v>16</v>
      </c>
      <c r="Y795" s="293">
        <f t="shared" ref="Y795:Y796" si="33">IFERROR(MIN(V795:X795),"")</f>
        <v>16</v>
      </c>
      <c r="Z795" s="175" t="s">
        <v>73</v>
      </c>
      <c r="AA795" s="342">
        <f>IFERROR(BASE_DATOS[[#This Row],[NSK Original]]-BASE_DATOS[[#This Row],[NSK]]," ")</f>
        <v>0.5</v>
      </c>
      <c r="AB795" s="343">
        <f>'NSK-TRACTO'!$A$2</f>
        <v>6</v>
      </c>
      <c r="AC795" s="343">
        <f>IF(BASE_DATOS[[#This Row],[NSK]]&gt;=BASE_DATOS[[#This Row],[NSK Reen]],BASE_DATOS[[#This Row],[NSK Reen]],BASE_DATOS[[#This Row],[NSK]])</f>
        <v>6</v>
      </c>
      <c r="AD795" s="344">
        <f>IFERROR(100%-(BASE_DATOS[[#This Row],[NSK Reen]]/BASE_DATOS[[#This Row],[NSK Original]]),"")</f>
        <v>0.63636363636363635</v>
      </c>
      <c r="AE795" s="344">
        <f>IFERROR(100%-BASE_DATOS[[#This Row],[NSK]]/BASE_DATOS[[#This Row],[NSK Original]],"")</f>
        <v>3.0303030303030276E-2</v>
      </c>
      <c r="AF795" s="344">
        <f>IFERROR(BASE_DATOS[[#This Row],[% Max Des.]]-BASE_DATOS[[#This Row],[% Des]],"")</f>
        <v>0.60606060606060608</v>
      </c>
      <c r="AG795" s="287"/>
      <c r="AH795" s="273"/>
      <c r="AI795" s="363" t="str">
        <f>IF(OR(BASE_DATOS[[#This Row],[Hr.]]="",BASE_DATOS[[#This Row],[Hr. Actual]]=""),"",BASE_DATOS[[#This Row],[Hr. Actual]]-BASE_DATOS[[#This Row],[Hr.]]+BASE_DATOS[[#This Row],[Horas Acumuladas]])</f>
        <v/>
      </c>
      <c r="AJ795" s="364" t="str">
        <f>IFERROR(BASE_DATOS[[#This Row],[Precio US$]]/BASE_DATOS[[#This Row],[Horas Rodadas]],"")</f>
        <v/>
      </c>
      <c r="AK795" s="365" t="str">
        <f>IFERROR(BASE_DATOS[[#This Row],[Horas Rodadas]]/(BASE_DATOS[[#This Row],[NSK Original]]-BASE_DATOS[[#This Row],[NSK]]),"")</f>
        <v/>
      </c>
      <c r="AL79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95" s="366" t="str">
        <f>IFERROR(BASE_DATOS[[#This Row],[Precio US$]]/BASE_DATOS[[#This Row],[Horas Proy.]],"")</f>
        <v/>
      </c>
      <c r="AN795" s="176" t="str">
        <f>IF(OR(BASE_DATOS[[#This Row],[Km.]]="",BASE_DATOS[[#This Row],[Km. Actual]]=""),"",BASE_DATOS[[#This Row],[Km. Actual]]-BASE_DATOS[[#This Row],[Km.]]+BASE_DATOS[[#This Row],[Kilómetros Acumulados]])</f>
        <v/>
      </c>
      <c r="AO795" s="177" t="str">
        <f>IFERROR(BASE_DATOS[[#This Row],[Precio US$]]/BASE_DATOS[[#This Row],[Kilómetros Rodados]],"")</f>
        <v/>
      </c>
      <c r="AP795" s="176" t="str">
        <f>IFERROR(BASE_DATOS[[#This Row],[Kilómetros Rodados]]/(BASE_DATOS[[#This Row],[NSK Original]]-BASE_DATOS[[#This Row],[NSK]]),"")</f>
        <v/>
      </c>
      <c r="AQ79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95" s="177" t="str">
        <f>IFERROR(BASE_DATOS[[#This Row],[Precio US$]]/BASE_DATOS[[#This Row],[Kilómetros Proy.]],"")</f>
        <v/>
      </c>
      <c r="AS795" s="178" t="s">
        <v>62</v>
      </c>
      <c r="AT795" s="178"/>
      <c r="AU795" s="178"/>
      <c r="AV795" s="178"/>
      <c r="AW795" s="179"/>
      <c r="AX795" s="179"/>
      <c r="AY795" s="179" t="str">
        <f>CONCATENATE(BASE_DATOS[[#This Row],[Código_U]]&amp;BASE_DATOS[[#This Row],[Pos.]]&amp;BASE_DATOS[[#This Row],[Situación Actual]])</f>
        <v>SR-234RERodando</v>
      </c>
    </row>
    <row r="796" spans="1:51" ht="12" x14ac:dyDescent="0.25">
      <c r="A796" s="223" t="s">
        <v>459</v>
      </c>
      <c r="B796" s="217" t="s">
        <v>265</v>
      </c>
      <c r="C796" s="228" t="s">
        <v>295</v>
      </c>
      <c r="D796" s="229" t="s">
        <v>108</v>
      </c>
      <c r="E796" s="255"/>
      <c r="F796" s="256" t="s">
        <v>273</v>
      </c>
      <c r="G796" s="256" t="s">
        <v>271</v>
      </c>
      <c r="H796" s="257" t="str">
        <f>IF(BASE_DATOS[[#This Row],[N-R]]="N",BASE_DATOS[[#This Row],[Diseño]],"Reencauche")</f>
        <v>XMULTI2D</v>
      </c>
      <c r="I796" s="256" t="s">
        <v>299</v>
      </c>
      <c r="J796" s="243" t="s">
        <v>72</v>
      </c>
      <c r="K796" s="258">
        <v>21.4</v>
      </c>
      <c r="L796" s="256">
        <v>110</v>
      </c>
      <c r="M796" s="259"/>
      <c r="N796" s="260"/>
      <c r="O796" s="277"/>
      <c r="P796" s="278"/>
      <c r="Q796" s="279"/>
      <c r="R796" s="309" t="s">
        <v>108</v>
      </c>
      <c r="S796" s="310">
        <v>45385</v>
      </c>
      <c r="T796" s="313"/>
      <c r="U796" s="279"/>
      <c r="V796" s="227">
        <v>21</v>
      </c>
      <c r="W796" s="281"/>
      <c r="X796" s="282">
        <v>21</v>
      </c>
      <c r="Y796" s="293">
        <f t="shared" si="33"/>
        <v>21</v>
      </c>
      <c r="Z796" s="175" t="s">
        <v>73</v>
      </c>
      <c r="AA796" s="342">
        <f>IFERROR(BASE_DATOS[[#This Row],[NSK Original]]-BASE_DATOS[[#This Row],[NSK]]," ")</f>
        <v>0.39999999999999858</v>
      </c>
      <c r="AB796" s="343">
        <f>'NSK-TRACTO'!$A$2</f>
        <v>6</v>
      </c>
      <c r="AC796" s="343">
        <f>IF(BASE_DATOS[[#This Row],[NSK]]&gt;=BASE_DATOS[[#This Row],[NSK Reen]],BASE_DATOS[[#This Row],[NSK Reen]],BASE_DATOS[[#This Row],[NSK]])</f>
        <v>6</v>
      </c>
      <c r="AD796" s="344">
        <f>IFERROR(100%-(BASE_DATOS[[#This Row],[NSK Reen]]/BASE_DATOS[[#This Row],[NSK Original]]),"")</f>
        <v>0.71962616822429903</v>
      </c>
      <c r="AE796" s="344">
        <f>IFERROR(100%-BASE_DATOS[[#This Row],[NSK]]/BASE_DATOS[[#This Row],[NSK Original]],"")</f>
        <v>1.869158878504662E-2</v>
      </c>
      <c r="AF796" s="344">
        <f>IFERROR(BASE_DATOS[[#This Row],[% Max Des.]]-BASE_DATOS[[#This Row],[% Des]],"")</f>
        <v>0.70093457943925241</v>
      </c>
      <c r="AG796" s="287"/>
      <c r="AH796" s="273"/>
      <c r="AI796" s="363" t="str">
        <f>IF(OR(BASE_DATOS[[#This Row],[Hr.]]="",BASE_DATOS[[#This Row],[Hr. Actual]]=""),"",BASE_DATOS[[#This Row],[Hr. Actual]]-BASE_DATOS[[#This Row],[Hr.]]+BASE_DATOS[[#This Row],[Horas Acumuladas]])</f>
        <v/>
      </c>
      <c r="AJ796" s="364" t="str">
        <f>IFERROR(BASE_DATOS[[#This Row],[Precio US$]]/BASE_DATOS[[#This Row],[Horas Rodadas]],"")</f>
        <v/>
      </c>
      <c r="AK796" s="365" t="str">
        <f>IFERROR(BASE_DATOS[[#This Row],[Horas Rodadas]]/(BASE_DATOS[[#This Row],[NSK Original]]-BASE_DATOS[[#This Row],[NSK]]),"")</f>
        <v/>
      </c>
      <c r="AL79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96" s="366" t="str">
        <f>IFERROR(BASE_DATOS[[#This Row],[Precio US$]]/BASE_DATOS[[#This Row],[Horas Proy.]],"")</f>
        <v/>
      </c>
      <c r="AN796" s="176" t="str">
        <f>IF(OR(BASE_DATOS[[#This Row],[Km.]]="",BASE_DATOS[[#This Row],[Km. Actual]]=""),"",BASE_DATOS[[#This Row],[Km. Actual]]-BASE_DATOS[[#This Row],[Km.]]+BASE_DATOS[[#This Row],[Kilómetros Acumulados]])</f>
        <v/>
      </c>
      <c r="AO796" s="177" t="str">
        <f>IFERROR(BASE_DATOS[[#This Row],[Precio US$]]/BASE_DATOS[[#This Row],[Kilómetros Rodados]],"")</f>
        <v/>
      </c>
      <c r="AP796" s="176" t="str">
        <f>IFERROR(BASE_DATOS[[#This Row],[Kilómetros Rodados]]/(BASE_DATOS[[#This Row],[NSK Original]]-BASE_DATOS[[#This Row],[NSK]]),"")</f>
        <v/>
      </c>
      <c r="AQ79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96" s="177" t="str">
        <f>IFERROR(BASE_DATOS[[#This Row],[Precio US$]]/BASE_DATOS[[#This Row],[Kilómetros Proy.]],"")</f>
        <v/>
      </c>
      <c r="AS796" s="178" t="s">
        <v>62</v>
      </c>
      <c r="AT796" s="178"/>
      <c r="AU796" s="178"/>
      <c r="AV796" s="178"/>
      <c r="AW796" s="179"/>
      <c r="AX796" s="179"/>
      <c r="AY796" s="179" t="str">
        <f>CONCATENATE(BASE_DATOS[[#This Row],[Código_U]]&amp;BASE_DATOS[[#This Row],[Pos.]]&amp;BASE_DATOS[[#This Row],[Situación Actual]])</f>
        <v>SR-234RTRodando</v>
      </c>
    </row>
    <row r="797" spans="1:51" ht="12" x14ac:dyDescent="0.25">
      <c r="A797" s="222" t="s">
        <v>267</v>
      </c>
      <c r="B797" s="213" t="s">
        <v>268</v>
      </c>
      <c r="C797" s="225" t="s">
        <v>460</v>
      </c>
      <c r="D797" s="226" t="s">
        <v>87</v>
      </c>
      <c r="E797" s="249"/>
      <c r="F797" s="250" t="s">
        <v>97</v>
      </c>
      <c r="G797" s="250" t="s">
        <v>269</v>
      </c>
      <c r="H797" s="251" t="str">
        <f>IF(BASE_DATOS[[#This Row],[N-R]]="N",BASE_DATOS[[#This Row],[Diseño]],"Reencauche")</f>
        <v>AGC28</v>
      </c>
      <c r="I797" s="250" t="s">
        <v>270</v>
      </c>
      <c r="J797" s="235" t="s">
        <v>72</v>
      </c>
      <c r="K797" s="252">
        <v>16.5</v>
      </c>
      <c r="L797" s="250">
        <v>110</v>
      </c>
      <c r="M797" s="253"/>
      <c r="N797" s="254"/>
      <c r="O797" s="274"/>
      <c r="P797" s="275"/>
      <c r="Q797" s="276"/>
      <c r="R797" s="305" t="s">
        <v>98</v>
      </c>
      <c r="S797" s="306">
        <v>45385</v>
      </c>
      <c r="T797" s="314"/>
      <c r="U797" s="276"/>
      <c r="V797" s="224">
        <v>12</v>
      </c>
      <c r="W797" s="325">
        <v>11</v>
      </c>
      <c r="X797" s="326">
        <v>12</v>
      </c>
      <c r="Y797" s="292">
        <f t="shared" ref="Y797:Y804" si="34">IFERROR(MIN(V797:X797),"")</f>
        <v>11</v>
      </c>
      <c r="Z797" s="185" t="s">
        <v>73</v>
      </c>
      <c r="AA797" s="339">
        <f>IFERROR(BASE_DATOS[[#This Row],[NSK Original]]-BASE_DATOS[[#This Row],[NSK]]," ")</f>
        <v>5.5</v>
      </c>
      <c r="AB797" s="340">
        <f>'NSK-TRACTO'!$A$2</f>
        <v>6</v>
      </c>
      <c r="AC797" s="340">
        <f>IF(BASE_DATOS[[#This Row],[NSK]]&gt;=BASE_DATOS[[#This Row],[NSK Reen]],BASE_DATOS[[#This Row],[NSK Reen]],BASE_DATOS[[#This Row],[NSK]])</f>
        <v>6</v>
      </c>
      <c r="AD797" s="341">
        <f>IFERROR(100%-(BASE_DATOS[[#This Row],[NSK Reen]]/BASE_DATOS[[#This Row],[NSK Original]]),"")</f>
        <v>0.63636363636363635</v>
      </c>
      <c r="AE797" s="341">
        <f>IFERROR(100%-BASE_DATOS[[#This Row],[NSK]]/BASE_DATOS[[#This Row],[NSK Original]],"")</f>
        <v>0.33333333333333337</v>
      </c>
      <c r="AF797" s="341">
        <f>IFERROR(BASE_DATOS[[#This Row],[% Max Des.]]-BASE_DATOS[[#This Row],[% Des]],"")</f>
        <v>0.30303030303030298</v>
      </c>
      <c r="AG797" s="284"/>
      <c r="AH797" s="335"/>
      <c r="AI797" s="359" t="str">
        <f>IF(OR(BASE_DATOS[[#This Row],[Hr.]]="",BASE_DATOS[[#This Row],[Hr. Actual]]=""),"",BASE_DATOS[[#This Row],[Hr. Actual]]-BASE_DATOS[[#This Row],[Hr.]]+BASE_DATOS[[#This Row],[Horas Acumuladas]])</f>
        <v/>
      </c>
      <c r="AJ797" s="360" t="str">
        <f>IFERROR(BASE_DATOS[[#This Row],[Precio US$]]/BASE_DATOS[[#This Row],[Horas Rodadas]],"")</f>
        <v/>
      </c>
      <c r="AK797" s="361" t="str">
        <f>IFERROR(BASE_DATOS[[#This Row],[Horas Rodadas]]/(BASE_DATOS[[#This Row],[NSK Original]]-BASE_DATOS[[#This Row],[NSK]]),"")</f>
        <v/>
      </c>
      <c r="AL797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97" s="362" t="str">
        <f>IFERROR(BASE_DATOS[[#This Row],[Precio US$]]/BASE_DATOS[[#This Row],[Horas Proy.]],"")</f>
        <v/>
      </c>
      <c r="AN797" s="195" t="str">
        <f>IF(OR(BASE_DATOS[[#This Row],[Km.]]="",BASE_DATOS[[#This Row],[Km. Actual]]=""),"",BASE_DATOS[[#This Row],[Km. Actual]]-BASE_DATOS[[#This Row],[Km.]]+BASE_DATOS[[#This Row],[Kilómetros Acumulados]])</f>
        <v/>
      </c>
      <c r="AO797" s="196" t="str">
        <f>IFERROR(BASE_DATOS[[#This Row],[Precio US$]]/BASE_DATOS[[#This Row],[Kilómetros Rodados]],"")</f>
        <v/>
      </c>
      <c r="AP797" s="195" t="str">
        <f>IFERROR(BASE_DATOS[[#This Row],[Kilómetros Rodados]]/(BASE_DATOS[[#This Row],[NSK Original]]-BASE_DATOS[[#This Row],[NSK]]),"")</f>
        <v/>
      </c>
      <c r="AQ797" s="19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97" s="196" t="str">
        <f>IFERROR(BASE_DATOS[[#This Row],[Precio US$]]/BASE_DATOS[[#This Row],[Kilómetros Proy.]],"")</f>
        <v/>
      </c>
      <c r="AS797" s="191" t="s">
        <v>62</v>
      </c>
      <c r="AT797" s="191"/>
      <c r="AU797" s="191"/>
      <c r="AV797" s="191"/>
      <c r="AW797" s="198"/>
      <c r="AX797" s="198"/>
      <c r="AY797" s="198" t="str">
        <f>CONCATENATE(BASE_DATOS[[#This Row],[Código_U]]&amp;BASE_DATOS[[#This Row],[Pos.]]&amp;BASE_DATOS[[#This Row],[Situación Actual]])</f>
        <v>PT-081Rodando</v>
      </c>
    </row>
    <row r="798" spans="1:51" ht="12" x14ac:dyDescent="0.25">
      <c r="A798" s="223" t="s">
        <v>267</v>
      </c>
      <c r="B798" s="217" t="s">
        <v>268</v>
      </c>
      <c r="C798" s="228" t="s">
        <v>460</v>
      </c>
      <c r="D798" s="229" t="s">
        <v>87</v>
      </c>
      <c r="E798" s="255"/>
      <c r="F798" s="256" t="s">
        <v>97</v>
      </c>
      <c r="G798" s="256" t="s">
        <v>269</v>
      </c>
      <c r="H798" s="257" t="str">
        <f>IF(BASE_DATOS[[#This Row],[N-R]]="N",BASE_DATOS[[#This Row],[Diseño]],"Reencauche")</f>
        <v>AGC28</v>
      </c>
      <c r="I798" s="256" t="s">
        <v>270</v>
      </c>
      <c r="J798" s="243" t="s">
        <v>72</v>
      </c>
      <c r="K798" s="258">
        <v>16.5</v>
      </c>
      <c r="L798" s="256">
        <v>110</v>
      </c>
      <c r="M798" s="259"/>
      <c r="N798" s="260"/>
      <c r="O798" s="277"/>
      <c r="P798" s="278"/>
      <c r="Q798" s="279"/>
      <c r="R798" s="309" t="s">
        <v>99</v>
      </c>
      <c r="S798" s="310">
        <v>45385</v>
      </c>
      <c r="T798" s="313"/>
      <c r="U798" s="279"/>
      <c r="V798" s="227">
        <v>12</v>
      </c>
      <c r="W798" s="281">
        <v>11</v>
      </c>
      <c r="X798" s="282">
        <v>12</v>
      </c>
      <c r="Y798" s="293">
        <f t="shared" si="34"/>
        <v>11</v>
      </c>
      <c r="Z798" s="161" t="s">
        <v>73</v>
      </c>
      <c r="AA798" s="342">
        <f>IFERROR(BASE_DATOS[[#This Row],[NSK Original]]-BASE_DATOS[[#This Row],[NSK]]," ")</f>
        <v>5.5</v>
      </c>
      <c r="AB798" s="343">
        <f>'NSK-TRACTO'!$A$2</f>
        <v>6</v>
      </c>
      <c r="AC798" s="343">
        <f>IF(BASE_DATOS[[#This Row],[NSK]]&gt;=BASE_DATOS[[#This Row],[NSK Reen]],BASE_DATOS[[#This Row],[NSK Reen]],BASE_DATOS[[#This Row],[NSK]])</f>
        <v>6</v>
      </c>
      <c r="AD798" s="344">
        <f>IFERROR(100%-(BASE_DATOS[[#This Row],[NSK Reen]]/BASE_DATOS[[#This Row],[NSK Original]]),"")</f>
        <v>0.63636363636363635</v>
      </c>
      <c r="AE798" s="344">
        <f>IFERROR(100%-BASE_DATOS[[#This Row],[NSK]]/BASE_DATOS[[#This Row],[NSK Original]],"")</f>
        <v>0.33333333333333337</v>
      </c>
      <c r="AF798" s="344">
        <f>IFERROR(BASE_DATOS[[#This Row],[% Max Des.]]-BASE_DATOS[[#This Row],[% Des]],"")</f>
        <v>0.30303030303030298</v>
      </c>
      <c r="AG798" s="287"/>
      <c r="AH798" s="273"/>
      <c r="AI798" s="363" t="str">
        <f>IF(OR(BASE_DATOS[[#This Row],[Hr.]]="",BASE_DATOS[[#This Row],[Hr. Actual]]=""),"",BASE_DATOS[[#This Row],[Hr. Actual]]-BASE_DATOS[[#This Row],[Hr.]]+BASE_DATOS[[#This Row],[Horas Acumuladas]])</f>
        <v/>
      </c>
      <c r="AJ798" s="364" t="str">
        <f>IFERROR(BASE_DATOS[[#This Row],[Precio US$]]/BASE_DATOS[[#This Row],[Horas Rodadas]],"")</f>
        <v/>
      </c>
      <c r="AK798" s="365" t="str">
        <f>IFERROR(BASE_DATOS[[#This Row],[Horas Rodadas]]/(BASE_DATOS[[#This Row],[NSK Original]]-BASE_DATOS[[#This Row],[NSK]]),"")</f>
        <v/>
      </c>
      <c r="AL79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98" s="366" t="str">
        <f>IFERROR(BASE_DATOS[[#This Row],[Precio US$]]/BASE_DATOS[[#This Row],[Horas Proy.]],"")</f>
        <v/>
      </c>
      <c r="AN798" s="176" t="str">
        <f>IF(OR(BASE_DATOS[[#This Row],[Km.]]="",BASE_DATOS[[#This Row],[Km. Actual]]=""),"",BASE_DATOS[[#This Row],[Km. Actual]]-BASE_DATOS[[#This Row],[Km.]]+BASE_DATOS[[#This Row],[Kilómetros Acumulados]])</f>
        <v/>
      </c>
      <c r="AO798" s="177" t="str">
        <f>IFERROR(BASE_DATOS[[#This Row],[Precio US$]]/BASE_DATOS[[#This Row],[Kilómetros Rodados]],"")</f>
        <v/>
      </c>
      <c r="AP798" s="176" t="str">
        <f>IFERROR(BASE_DATOS[[#This Row],[Kilómetros Rodados]]/(BASE_DATOS[[#This Row],[NSK Original]]-BASE_DATOS[[#This Row],[NSK]]),"")</f>
        <v/>
      </c>
      <c r="AQ79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98" s="177" t="str">
        <f>IFERROR(BASE_DATOS[[#This Row],[Precio US$]]/BASE_DATOS[[#This Row],[Kilómetros Proy.]],"")</f>
        <v/>
      </c>
      <c r="AS798" s="167" t="s">
        <v>62</v>
      </c>
      <c r="AT798" s="167"/>
      <c r="AU798" s="167"/>
      <c r="AV798" s="167"/>
      <c r="AW798" s="179"/>
      <c r="AX798" s="179"/>
      <c r="AY798" s="179" t="str">
        <f>CONCATENATE(BASE_DATOS[[#This Row],[Código_U]]&amp;BASE_DATOS[[#This Row],[Pos.]]&amp;BASE_DATOS[[#This Row],[Situación Actual]])</f>
        <v>PT-082Rodando</v>
      </c>
    </row>
    <row r="799" spans="1:51" ht="12" x14ac:dyDescent="0.25">
      <c r="A799" s="223" t="s">
        <v>267</v>
      </c>
      <c r="B799" s="217" t="s">
        <v>268</v>
      </c>
      <c r="C799" s="228" t="s">
        <v>460</v>
      </c>
      <c r="D799" s="229" t="s">
        <v>87</v>
      </c>
      <c r="E799" s="255"/>
      <c r="F799" s="256" t="s">
        <v>97</v>
      </c>
      <c r="G799" s="256" t="s">
        <v>269</v>
      </c>
      <c r="H799" s="257" t="str">
        <f>IF(BASE_DATOS[[#This Row],[N-R]]="N",BASE_DATOS[[#This Row],[Diseño]],"Reencauche")</f>
        <v>AGC28</v>
      </c>
      <c r="I799" s="256" t="s">
        <v>270</v>
      </c>
      <c r="J799" s="243" t="s">
        <v>72</v>
      </c>
      <c r="K799" s="258">
        <v>16.5</v>
      </c>
      <c r="L799" s="256">
        <v>110</v>
      </c>
      <c r="M799" s="259"/>
      <c r="N799" s="260"/>
      <c r="O799" s="277"/>
      <c r="P799" s="278"/>
      <c r="Q799" s="279"/>
      <c r="R799" s="309" t="s">
        <v>100</v>
      </c>
      <c r="S799" s="310">
        <v>45385</v>
      </c>
      <c r="T799" s="313"/>
      <c r="U799" s="279"/>
      <c r="V799" s="227">
        <v>13</v>
      </c>
      <c r="W799" s="281">
        <v>12</v>
      </c>
      <c r="X799" s="282">
        <v>12</v>
      </c>
      <c r="Y799" s="293">
        <f t="shared" si="34"/>
        <v>12</v>
      </c>
      <c r="Z799" s="161" t="s">
        <v>73</v>
      </c>
      <c r="AA799" s="342">
        <f>IFERROR(BASE_DATOS[[#This Row],[NSK Original]]-BASE_DATOS[[#This Row],[NSK]]," ")</f>
        <v>4.5</v>
      </c>
      <c r="AB799" s="343">
        <f>'NSK-TRACTO'!$A$2</f>
        <v>6</v>
      </c>
      <c r="AC799" s="343">
        <f>IF(BASE_DATOS[[#This Row],[NSK]]&gt;=BASE_DATOS[[#This Row],[NSK Reen]],BASE_DATOS[[#This Row],[NSK Reen]],BASE_DATOS[[#This Row],[NSK]])</f>
        <v>6</v>
      </c>
      <c r="AD799" s="344">
        <f>IFERROR(100%-(BASE_DATOS[[#This Row],[NSK Reen]]/BASE_DATOS[[#This Row],[NSK Original]]),"")</f>
        <v>0.63636363636363635</v>
      </c>
      <c r="AE799" s="344">
        <f>IFERROR(100%-BASE_DATOS[[#This Row],[NSK]]/BASE_DATOS[[#This Row],[NSK Original]],"")</f>
        <v>0.27272727272727271</v>
      </c>
      <c r="AF799" s="344">
        <f>IFERROR(BASE_DATOS[[#This Row],[% Max Des.]]-BASE_DATOS[[#This Row],[% Des]],"")</f>
        <v>0.36363636363636365</v>
      </c>
      <c r="AG799" s="287"/>
      <c r="AH799" s="273"/>
      <c r="AI799" s="363" t="str">
        <f>IF(OR(BASE_DATOS[[#This Row],[Hr.]]="",BASE_DATOS[[#This Row],[Hr. Actual]]=""),"",BASE_DATOS[[#This Row],[Hr. Actual]]-BASE_DATOS[[#This Row],[Hr.]]+BASE_DATOS[[#This Row],[Horas Acumuladas]])</f>
        <v/>
      </c>
      <c r="AJ799" s="364" t="str">
        <f>IFERROR(BASE_DATOS[[#This Row],[Precio US$]]/BASE_DATOS[[#This Row],[Horas Rodadas]],"")</f>
        <v/>
      </c>
      <c r="AK799" s="365" t="str">
        <f>IFERROR(BASE_DATOS[[#This Row],[Horas Rodadas]]/(BASE_DATOS[[#This Row],[NSK Original]]-BASE_DATOS[[#This Row],[NSK]]),"")</f>
        <v/>
      </c>
      <c r="AL79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799" s="366" t="str">
        <f>IFERROR(BASE_DATOS[[#This Row],[Precio US$]]/BASE_DATOS[[#This Row],[Horas Proy.]],"")</f>
        <v/>
      </c>
      <c r="AN799" s="176" t="str">
        <f>IF(OR(BASE_DATOS[[#This Row],[Km.]]="",BASE_DATOS[[#This Row],[Km. Actual]]=""),"",BASE_DATOS[[#This Row],[Km. Actual]]-BASE_DATOS[[#This Row],[Km.]]+BASE_DATOS[[#This Row],[Kilómetros Acumulados]])</f>
        <v/>
      </c>
      <c r="AO799" s="177" t="str">
        <f>IFERROR(BASE_DATOS[[#This Row],[Precio US$]]/BASE_DATOS[[#This Row],[Kilómetros Rodados]],"")</f>
        <v/>
      </c>
      <c r="AP799" s="176" t="str">
        <f>IFERROR(BASE_DATOS[[#This Row],[Kilómetros Rodados]]/(BASE_DATOS[[#This Row],[NSK Original]]-BASE_DATOS[[#This Row],[NSK]]),"")</f>
        <v/>
      </c>
      <c r="AQ79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799" s="177" t="str">
        <f>IFERROR(BASE_DATOS[[#This Row],[Precio US$]]/BASE_DATOS[[#This Row],[Kilómetros Proy.]],"")</f>
        <v/>
      </c>
      <c r="AS799" s="167" t="s">
        <v>62</v>
      </c>
      <c r="AT799" s="167"/>
      <c r="AU799" s="167"/>
      <c r="AV799" s="167"/>
      <c r="AW799" s="179"/>
      <c r="AX799" s="179"/>
      <c r="AY799" s="179" t="str">
        <f>CONCATENATE(BASE_DATOS[[#This Row],[Código_U]]&amp;BASE_DATOS[[#This Row],[Pos.]]&amp;BASE_DATOS[[#This Row],[Situación Actual]])</f>
        <v>PT-083Rodando</v>
      </c>
    </row>
    <row r="800" spans="1:51" ht="12" x14ac:dyDescent="0.25">
      <c r="A800" s="223" t="s">
        <v>267</v>
      </c>
      <c r="B800" s="217" t="s">
        <v>268</v>
      </c>
      <c r="C800" s="228" t="s">
        <v>460</v>
      </c>
      <c r="D800" s="229" t="s">
        <v>87</v>
      </c>
      <c r="E800" s="255"/>
      <c r="F800" s="256" t="s">
        <v>97</v>
      </c>
      <c r="G800" s="256" t="s">
        <v>269</v>
      </c>
      <c r="H800" s="257" t="str">
        <f>IF(BASE_DATOS[[#This Row],[N-R]]="N",BASE_DATOS[[#This Row],[Diseño]],"Reencauche")</f>
        <v>AGC28</v>
      </c>
      <c r="I800" s="256" t="s">
        <v>270</v>
      </c>
      <c r="J800" s="243" t="s">
        <v>72</v>
      </c>
      <c r="K800" s="258">
        <v>16.5</v>
      </c>
      <c r="L800" s="256">
        <v>110</v>
      </c>
      <c r="M800" s="259"/>
      <c r="N800" s="260"/>
      <c r="O800" s="277"/>
      <c r="P800" s="278"/>
      <c r="Q800" s="279"/>
      <c r="R800" s="309" t="s">
        <v>101</v>
      </c>
      <c r="S800" s="310">
        <v>45385</v>
      </c>
      <c r="T800" s="313"/>
      <c r="U800" s="279"/>
      <c r="V800" s="227">
        <v>13</v>
      </c>
      <c r="W800" s="281">
        <v>12</v>
      </c>
      <c r="X800" s="282">
        <v>13</v>
      </c>
      <c r="Y800" s="293">
        <f t="shared" si="34"/>
        <v>12</v>
      </c>
      <c r="Z800" s="161" t="s">
        <v>85</v>
      </c>
      <c r="AA800" s="342">
        <f>IFERROR(BASE_DATOS[[#This Row],[NSK Original]]-BASE_DATOS[[#This Row],[NSK]]," ")</f>
        <v>4.5</v>
      </c>
      <c r="AB800" s="343">
        <f>'NSK-TRACTO'!$A$2</f>
        <v>6</v>
      </c>
      <c r="AC800" s="343">
        <f>IF(BASE_DATOS[[#This Row],[NSK]]&gt;=BASE_DATOS[[#This Row],[NSK Reen]],BASE_DATOS[[#This Row],[NSK Reen]],BASE_DATOS[[#This Row],[NSK]])</f>
        <v>6</v>
      </c>
      <c r="AD800" s="344">
        <f>IFERROR(100%-(BASE_DATOS[[#This Row],[NSK Reen]]/BASE_DATOS[[#This Row],[NSK Original]]),"")</f>
        <v>0.63636363636363635</v>
      </c>
      <c r="AE800" s="344">
        <f>IFERROR(100%-BASE_DATOS[[#This Row],[NSK]]/BASE_DATOS[[#This Row],[NSK Original]],"")</f>
        <v>0.27272727272727271</v>
      </c>
      <c r="AF800" s="344">
        <f>IFERROR(BASE_DATOS[[#This Row],[% Max Des.]]-BASE_DATOS[[#This Row],[% Des]],"")</f>
        <v>0.36363636363636365</v>
      </c>
      <c r="AG800" s="287"/>
      <c r="AH800" s="273"/>
      <c r="AI800" s="363" t="str">
        <f>IF(OR(BASE_DATOS[[#This Row],[Hr.]]="",BASE_DATOS[[#This Row],[Hr. Actual]]=""),"",BASE_DATOS[[#This Row],[Hr. Actual]]-BASE_DATOS[[#This Row],[Hr.]]+BASE_DATOS[[#This Row],[Horas Acumuladas]])</f>
        <v/>
      </c>
      <c r="AJ800" s="364" t="str">
        <f>IFERROR(BASE_DATOS[[#This Row],[Precio US$]]/BASE_DATOS[[#This Row],[Horas Rodadas]],"")</f>
        <v/>
      </c>
      <c r="AK800" s="365" t="str">
        <f>IFERROR(BASE_DATOS[[#This Row],[Horas Rodadas]]/(BASE_DATOS[[#This Row],[NSK Original]]-BASE_DATOS[[#This Row],[NSK]]),"")</f>
        <v/>
      </c>
      <c r="AL80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00" s="366" t="str">
        <f>IFERROR(BASE_DATOS[[#This Row],[Precio US$]]/BASE_DATOS[[#This Row],[Horas Proy.]],"")</f>
        <v/>
      </c>
      <c r="AN800" s="176" t="str">
        <f>IF(OR(BASE_DATOS[[#This Row],[Km.]]="",BASE_DATOS[[#This Row],[Km. Actual]]=""),"",BASE_DATOS[[#This Row],[Km. Actual]]-BASE_DATOS[[#This Row],[Km.]]+BASE_DATOS[[#This Row],[Kilómetros Acumulados]])</f>
        <v/>
      </c>
      <c r="AO800" s="177" t="str">
        <f>IFERROR(BASE_DATOS[[#This Row],[Precio US$]]/BASE_DATOS[[#This Row],[Kilómetros Rodados]],"")</f>
        <v/>
      </c>
      <c r="AP800" s="176" t="str">
        <f>IFERROR(BASE_DATOS[[#This Row],[Kilómetros Rodados]]/(BASE_DATOS[[#This Row],[NSK Original]]-BASE_DATOS[[#This Row],[NSK]]),"")</f>
        <v/>
      </c>
      <c r="AQ80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00" s="177" t="str">
        <f>IFERROR(BASE_DATOS[[#This Row],[Precio US$]]/BASE_DATOS[[#This Row],[Kilómetros Proy.]],"")</f>
        <v/>
      </c>
      <c r="AS800" s="167" t="s">
        <v>62</v>
      </c>
      <c r="AT800" s="167"/>
      <c r="AU800" s="167"/>
      <c r="AV800" s="167"/>
      <c r="AW800" s="169"/>
      <c r="AX800" s="179"/>
      <c r="AY800" s="179" t="str">
        <f>CONCATENATE(BASE_DATOS[[#This Row],[Código_U]]&amp;BASE_DATOS[[#This Row],[Pos.]]&amp;BASE_DATOS[[#This Row],[Situación Actual]])</f>
        <v>PT-084Rodando</v>
      </c>
    </row>
    <row r="801" spans="1:51" ht="12" x14ac:dyDescent="0.25">
      <c r="A801" s="223" t="s">
        <v>267</v>
      </c>
      <c r="B801" s="217" t="s">
        <v>268</v>
      </c>
      <c r="C801" s="228" t="s">
        <v>460</v>
      </c>
      <c r="D801" s="229" t="s">
        <v>87</v>
      </c>
      <c r="E801" s="255"/>
      <c r="F801" s="256" t="s">
        <v>97</v>
      </c>
      <c r="G801" s="256" t="s">
        <v>269</v>
      </c>
      <c r="H801" s="257" t="str">
        <f>IF(BASE_DATOS[[#This Row],[N-R]]="N",BASE_DATOS[[#This Row],[Diseño]],"Reencauche")</f>
        <v>AGC28</v>
      </c>
      <c r="I801" s="256" t="s">
        <v>270</v>
      </c>
      <c r="J801" s="243" t="s">
        <v>72</v>
      </c>
      <c r="K801" s="258">
        <v>16.5</v>
      </c>
      <c r="L801" s="256">
        <v>110</v>
      </c>
      <c r="M801" s="259"/>
      <c r="N801" s="260"/>
      <c r="O801" s="277"/>
      <c r="P801" s="278"/>
      <c r="Q801" s="279"/>
      <c r="R801" s="309" t="s">
        <v>102</v>
      </c>
      <c r="S801" s="310">
        <v>45385</v>
      </c>
      <c r="T801" s="313"/>
      <c r="U801" s="279"/>
      <c r="V801" s="227">
        <v>11</v>
      </c>
      <c r="W801" s="281">
        <v>10</v>
      </c>
      <c r="X801" s="282">
        <v>11</v>
      </c>
      <c r="Y801" s="293">
        <f t="shared" si="34"/>
        <v>10</v>
      </c>
      <c r="Z801" s="161" t="s">
        <v>85</v>
      </c>
      <c r="AA801" s="342">
        <f>IFERROR(BASE_DATOS[[#This Row],[NSK Original]]-BASE_DATOS[[#This Row],[NSK]]," ")</f>
        <v>6.5</v>
      </c>
      <c r="AB801" s="343">
        <f>'NSK-TRACTO'!$A$2</f>
        <v>6</v>
      </c>
      <c r="AC801" s="343">
        <f>IF(BASE_DATOS[[#This Row],[NSK]]&gt;=BASE_DATOS[[#This Row],[NSK Reen]],BASE_DATOS[[#This Row],[NSK Reen]],BASE_DATOS[[#This Row],[NSK]])</f>
        <v>6</v>
      </c>
      <c r="AD801" s="344">
        <f>IFERROR(100%-(BASE_DATOS[[#This Row],[NSK Reen]]/BASE_DATOS[[#This Row],[NSK Original]]),"")</f>
        <v>0.63636363636363635</v>
      </c>
      <c r="AE801" s="344">
        <f>IFERROR(100%-BASE_DATOS[[#This Row],[NSK]]/BASE_DATOS[[#This Row],[NSK Original]],"")</f>
        <v>0.39393939393939392</v>
      </c>
      <c r="AF801" s="344">
        <f>IFERROR(BASE_DATOS[[#This Row],[% Max Des.]]-BASE_DATOS[[#This Row],[% Des]],"")</f>
        <v>0.24242424242424243</v>
      </c>
      <c r="AG801" s="287"/>
      <c r="AH801" s="273"/>
      <c r="AI801" s="363" t="str">
        <f>IF(OR(BASE_DATOS[[#This Row],[Hr.]]="",BASE_DATOS[[#This Row],[Hr. Actual]]=""),"",BASE_DATOS[[#This Row],[Hr. Actual]]-BASE_DATOS[[#This Row],[Hr.]]+BASE_DATOS[[#This Row],[Horas Acumuladas]])</f>
        <v/>
      </c>
      <c r="AJ801" s="364" t="str">
        <f>IFERROR(BASE_DATOS[[#This Row],[Precio US$]]/BASE_DATOS[[#This Row],[Horas Rodadas]],"")</f>
        <v/>
      </c>
      <c r="AK801" s="365" t="str">
        <f>IFERROR(BASE_DATOS[[#This Row],[Horas Rodadas]]/(BASE_DATOS[[#This Row],[NSK Original]]-BASE_DATOS[[#This Row],[NSK]]),"")</f>
        <v/>
      </c>
      <c r="AL80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01" s="366" t="str">
        <f>IFERROR(BASE_DATOS[[#This Row],[Precio US$]]/BASE_DATOS[[#This Row],[Horas Proy.]],"")</f>
        <v/>
      </c>
      <c r="AN801" s="176" t="str">
        <f>IF(OR(BASE_DATOS[[#This Row],[Km.]]="",BASE_DATOS[[#This Row],[Km. Actual]]=""),"",BASE_DATOS[[#This Row],[Km. Actual]]-BASE_DATOS[[#This Row],[Km.]]+BASE_DATOS[[#This Row],[Kilómetros Acumulados]])</f>
        <v/>
      </c>
      <c r="AO801" s="177" t="str">
        <f>IFERROR(BASE_DATOS[[#This Row],[Precio US$]]/BASE_DATOS[[#This Row],[Kilómetros Rodados]],"")</f>
        <v/>
      </c>
      <c r="AP801" s="176" t="str">
        <f>IFERROR(BASE_DATOS[[#This Row],[Kilómetros Rodados]]/(BASE_DATOS[[#This Row],[NSK Original]]-BASE_DATOS[[#This Row],[NSK]]),"")</f>
        <v/>
      </c>
      <c r="AQ80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01" s="177" t="str">
        <f>IFERROR(BASE_DATOS[[#This Row],[Precio US$]]/BASE_DATOS[[#This Row],[Kilómetros Proy.]],"")</f>
        <v/>
      </c>
      <c r="AS801" s="167" t="s">
        <v>62</v>
      </c>
      <c r="AT801" s="167"/>
      <c r="AU801" s="167"/>
      <c r="AV801" s="167"/>
      <c r="AW801" s="179"/>
      <c r="AX801" s="179"/>
      <c r="AY801" s="179" t="str">
        <f>CONCATENATE(BASE_DATOS[[#This Row],[Código_U]]&amp;BASE_DATOS[[#This Row],[Pos.]]&amp;BASE_DATOS[[#This Row],[Situación Actual]])</f>
        <v>PT-085Rodando</v>
      </c>
    </row>
    <row r="802" spans="1:51" ht="12" x14ac:dyDescent="0.25">
      <c r="A802" s="223" t="s">
        <v>267</v>
      </c>
      <c r="B802" s="217" t="s">
        <v>268</v>
      </c>
      <c r="C802" s="228" t="s">
        <v>460</v>
      </c>
      <c r="D802" s="229" t="s">
        <v>87</v>
      </c>
      <c r="E802" s="255"/>
      <c r="F802" s="256" t="s">
        <v>97</v>
      </c>
      <c r="G802" s="256" t="s">
        <v>269</v>
      </c>
      <c r="H802" s="257" t="str">
        <f>IF(BASE_DATOS[[#This Row],[N-R]]="N",BASE_DATOS[[#This Row],[Diseño]],"Reencauche")</f>
        <v>AGC28</v>
      </c>
      <c r="I802" s="256" t="s">
        <v>270</v>
      </c>
      <c r="J802" s="243" t="s">
        <v>72</v>
      </c>
      <c r="K802" s="258">
        <v>16.5</v>
      </c>
      <c r="L802" s="256">
        <v>110</v>
      </c>
      <c r="M802" s="259"/>
      <c r="N802" s="260"/>
      <c r="O802" s="277"/>
      <c r="P802" s="278"/>
      <c r="Q802" s="279"/>
      <c r="R802" s="309" t="s">
        <v>103</v>
      </c>
      <c r="S802" s="310">
        <v>45385</v>
      </c>
      <c r="T802" s="313"/>
      <c r="U802" s="279"/>
      <c r="V802" s="227">
        <v>8</v>
      </c>
      <c r="W802" s="281">
        <v>6</v>
      </c>
      <c r="X802" s="282">
        <v>7</v>
      </c>
      <c r="Y802" s="293">
        <f t="shared" si="34"/>
        <v>6</v>
      </c>
      <c r="Z802" s="161" t="s">
        <v>73</v>
      </c>
      <c r="AA802" s="342">
        <f>IFERROR(BASE_DATOS[[#This Row],[NSK Original]]-BASE_DATOS[[#This Row],[NSK]]," ")</f>
        <v>10.5</v>
      </c>
      <c r="AB802" s="343">
        <f>'NSK-TRACTO'!$A$2</f>
        <v>6</v>
      </c>
      <c r="AC802" s="343">
        <f>IF(BASE_DATOS[[#This Row],[NSK]]&gt;=BASE_DATOS[[#This Row],[NSK Reen]],BASE_DATOS[[#This Row],[NSK Reen]],BASE_DATOS[[#This Row],[NSK]])</f>
        <v>6</v>
      </c>
      <c r="AD802" s="344">
        <f>IFERROR(100%-(BASE_DATOS[[#This Row],[NSK Reen]]/BASE_DATOS[[#This Row],[NSK Original]]),"")</f>
        <v>0.63636363636363635</v>
      </c>
      <c r="AE802" s="344">
        <f>IFERROR(100%-BASE_DATOS[[#This Row],[NSK]]/BASE_DATOS[[#This Row],[NSK Original]],"")</f>
        <v>0.63636363636363635</v>
      </c>
      <c r="AF802" s="344">
        <f>IFERROR(BASE_DATOS[[#This Row],[% Max Des.]]-BASE_DATOS[[#This Row],[% Des]],"")</f>
        <v>0</v>
      </c>
      <c r="AG802" s="287"/>
      <c r="AH802" s="273"/>
      <c r="AI802" s="363" t="str">
        <f>IF(OR(BASE_DATOS[[#This Row],[Hr.]]="",BASE_DATOS[[#This Row],[Hr. Actual]]=""),"",BASE_DATOS[[#This Row],[Hr. Actual]]-BASE_DATOS[[#This Row],[Hr.]]+BASE_DATOS[[#This Row],[Horas Acumuladas]])</f>
        <v/>
      </c>
      <c r="AJ802" s="364" t="str">
        <f>IFERROR(BASE_DATOS[[#This Row],[Precio US$]]/BASE_DATOS[[#This Row],[Horas Rodadas]],"")</f>
        <v/>
      </c>
      <c r="AK802" s="365" t="str">
        <f>IFERROR(BASE_DATOS[[#This Row],[Horas Rodadas]]/(BASE_DATOS[[#This Row],[NSK Original]]-BASE_DATOS[[#This Row],[NSK]]),"")</f>
        <v/>
      </c>
      <c r="AL80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02" s="366" t="str">
        <f>IFERROR(BASE_DATOS[[#This Row],[Precio US$]]/BASE_DATOS[[#This Row],[Horas Proy.]],"")</f>
        <v/>
      </c>
      <c r="AN802" s="176" t="str">
        <f>IF(OR(BASE_DATOS[[#This Row],[Km.]]="",BASE_DATOS[[#This Row],[Km. Actual]]=""),"",BASE_DATOS[[#This Row],[Km. Actual]]-BASE_DATOS[[#This Row],[Km.]]+BASE_DATOS[[#This Row],[Kilómetros Acumulados]])</f>
        <v/>
      </c>
      <c r="AO802" s="177" t="str">
        <f>IFERROR(BASE_DATOS[[#This Row],[Precio US$]]/BASE_DATOS[[#This Row],[Kilómetros Rodados]],"")</f>
        <v/>
      </c>
      <c r="AP802" s="176" t="str">
        <f>IFERROR(BASE_DATOS[[#This Row],[Kilómetros Rodados]]/(BASE_DATOS[[#This Row],[NSK Original]]-BASE_DATOS[[#This Row],[NSK]]),"")</f>
        <v/>
      </c>
      <c r="AQ80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02" s="177" t="str">
        <f>IFERROR(BASE_DATOS[[#This Row],[Precio US$]]/BASE_DATOS[[#This Row],[Kilómetros Proy.]],"")</f>
        <v/>
      </c>
      <c r="AS802" s="167" t="s">
        <v>62</v>
      </c>
      <c r="AT802" s="167"/>
      <c r="AU802" s="167"/>
      <c r="AV802" s="167"/>
      <c r="AW802" s="179"/>
      <c r="AX802" s="179"/>
      <c r="AY802" s="179" t="str">
        <f>CONCATENATE(BASE_DATOS[[#This Row],[Código_U]]&amp;BASE_DATOS[[#This Row],[Pos.]]&amp;BASE_DATOS[[#This Row],[Situación Actual]])</f>
        <v>PT-086Rodando</v>
      </c>
    </row>
    <row r="803" spans="1:51" ht="12" x14ac:dyDescent="0.25">
      <c r="A803" s="223" t="s">
        <v>267</v>
      </c>
      <c r="B803" s="217" t="s">
        <v>268</v>
      </c>
      <c r="C803" s="228" t="s">
        <v>460</v>
      </c>
      <c r="D803" s="229" t="s">
        <v>384</v>
      </c>
      <c r="E803" s="255"/>
      <c r="F803" s="256" t="s">
        <v>273</v>
      </c>
      <c r="G803" s="256" t="s">
        <v>274</v>
      </c>
      <c r="H803" s="257" t="str">
        <f>IF(BASE_DATOS[[#This Row],[N-R]]="N",BASE_DATOS[[#This Row],[Diseño]],"Reencauche")</f>
        <v>XZY3</v>
      </c>
      <c r="I803" s="256" t="s">
        <v>277</v>
      </c>
      <c r="J803" s="243" t="s">
        <v>72</v>
      </c>
      <c r="K803" s="258">
        <v>0</v>
      </c>
      <c r="L803" s="256">
        <v>110</v>
      </c>
      <c r="M803" s="259"/>
      <c r="N803" s="260"/>
      <c r="O803" s="277"/>
      <c r="P803" s="278"/>
      <c r="Q803" s="279"/>
      <c r="R803" s="304" t="s">
        <v>509</v>
      </c>
      <c r="S803" s="310">
        <v>45385</v>
      </c>
      <c r="T803" s="313"/>
      <c r="U803" s="279"/>
      <c r="V803" s="227">
        <v>10</v>
      </c>
      <c r="W803" s="281">
        <v>10</v>
      </c>
      <c r="X803" s="282">
        <v>10</v>
      </c>
      <c r="Y803" s="293">
        <f t="shared" si="34"/>
        <v>10</v>
      </c>
      <c r="Z803" s="175" t="s">
        <v>85</v>
      </c>
      <c r="AA803" s="342">
        <f>IFERROR(BASE_DATOS[[#This Row],[NSK Original]]-BASE_DATOS[[#This Row],[NSK]]," ")</f>
        <v>-10</v>
      </c>
      <c r="AB803" s="343">
        <f>'NSK-TRACTO'!$A$2</f>
        <v>6</v>
      </c>
      <c r="AC803" s="343">
        <f>IF(BASE_DATOS[[#This Row],[NSK]]&gt;=BASE_DATOS[[#This Row],[NSK Reen]],BASE_DATOS[[#This Row],[NSK Reen]],BASE_DATOS[[#This Row],[NSK]])</f>
        <v>6</v>
      </c>
      <c r="AD803" s="344" t="str">
        <f>IFERROR(100%-(BASE_DATOS[[#This Row],[NSK Reen]]/BASE_DATOS[[#This Row],[NSK Original]]),"")</f>
        <v/>
      </c>
      <c r="AE803" s="344" t="str">
        <f>IFERROR(100%-BASE_DATOS[[#This Row],[NSK]]/BASE_DATOS[[#This Row],[NSK Original]],"")</f>
        <v/>
      </c>
      <c r="AF803" s="344" t="str">
        <f>IFERROR(BASE_DATOS[[#This Row],[% Max Des.]]-BASE_DATOS[[#This Row],[% Des]],"")</f>
        <v/>
      </c>
      <c r="AG803" s="287"/>
      <c r="AH803" s="273"/>
      <c r="AI803" s="363" t="str">
        <f>IF(OR(BASE_DATOS[[#This Row],[Hr.]]="",BASE_DATOS[[#This Row],[Hr. Actual]]=""),"",BASE_DATOS[[#This Row],[Hr. Actual]]-BASE_DATOS[[#This Row],[Hr.]]+BASE_DATOS[[#This Row],[Horas Acumuladas]])</f>
        <v/>
      </c>
      <c r="AJ803" s="364" t="str">
        <f>IFERROR(BASE_DATOS[[#This Row],[Precio US$]]/BASE_DATOS[[#This Row],[Horas Rodadas]],"")</f>
        <v/>
      </c>
      <c r="AK803" s="365" t="str">
        <f>IFERROR(BASE_DATOS[[#This Row],[Horas Rodadas]]/(BASE_DATOS[[#This Row],[NSK Original]]-BASE_DATOS[[#This Row],[NSK]]),"")</f>
        <v/>
      </c>
      <c r="AL80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03" s="366" t="str">
        <f>IFERROR(BASE_DATOS[[#This Row],[Precio US$]]/BASE_DATOS[[#This Row],[Horas Proy.]],"")</f>
        <v/>
      </c>
      <c r="AN803" s="176" t="str">
        <f>IF(OR(BASE_DATOS[[#This Row],[Km.]]="",BASE_DATOS[[#This Row],[Km. Actual]]=""),"",BASE_DATOS[[#This Row],[Km. Actual]]-BASE_DATOS[[#This Row],[Km.]]+BASE_DATOS[[#This Row],[Kilómetros Acumulados]])</f>
        <v/>
      </c>
      <c r="AO803" s="177" t="str">
        <f>IFERROR(BASE_DATOS[[#This Row],[Precio US$]]/BASE_DATOS[[#This Row],[Kilómetros Rodados]],"")</f>
        <v/>
      </c>
      <c r="AP803" s="176" t="str">
        <f>IFERROR(BASE_DATOS[[#This Row],[Kilómetros Rodados]]/(BASE_DATOS[[#This Row],[NSK Original]]-BASE_DATOS[[#This Row],[NSK]]),"")</f>
        <v/>
      </c>
      <c r="AQ80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03" s="177" t="str">
        <f>IFERROR(BASE_DATOS[[#This Row],[Precio US$]]/BASE_DATOS[[#This Row],[Kilómetros Proy.]],"")</f>
        <v/>
      </c>
      <c r="AS803" s="167" t="s">
        <v>62</v>
      </c>
      <c r="AT803" s="167"/>
      <c r="AU803" s="167"/>
      <c r="AV803" s="167"/>
      <c r="AW803" s="179"/>
      <c r="AX803" s="179"/>
      <c r="AY803" s="179" t="str">
        <f>CONCATENATE(BASE_DATOS[[#This Row],[Código_U]]&amp;BASE_DATOS[[#This Row],[Pos.]]&amp;BASE_DATOS[[#This Row],[Situación Actual]])</f>
        <v>PT-08RERodando</v>
      </c>
    </row>
    <row r="804" spans="1:51" ht="12" x14ac:dyDescent="0.25">
      <c r="A804" s="223" t="s">
        <v>267</v>
      </c>
      <c r="B804" s="217" t="s">
        <v>268</v>
      </c>
      <c r="C804" s="228" t="s">
        <v>460</v>
      </c>
      <c r="D804" s="229" t="s">
        <v>108</v>
      </c>
      <c r="E804" s="255"/>
      <c r="F804" s="256" t="s">
        <v>273</v>
      </c>
      <c r="G804" s="256" t="s">
        <v>271</v>
      </c>
      <c r="H804" s="257" t="str">
        <f>IF(BASE_DATOS[[#This Row],[N-R]]="N",BASE_DATOS[[#This Row],[Diseño]],"Reencauche")</f>
        <v>Reencauche</v>
      </c>
      <c r="I804" s="256" t="s">
        <v>282</v>
      </c>
      <c r="J804" s="243" t="s">
        <v>82</v>
      </c>
      <c r="K804" s="258">
        <v>22</v>
      </c>
      <c r="L804" s="256">
        <v>110</v>
      </c>
      <c r="M804" s="259"/>
      <c r="N804" s="260"/>
      <c r="O804" s="277"/>
      <c r="P804" s="278"/>
      <c r="Q804" s="279"/>
      <c r="R804" s="304" t="s">
        <v>108</v>
      </c>
      <c r="S804" s="310">
        <v>45385</v>
      </c>
      <c r="T804" s="313"/>
      <c r="U804" s="279"/>
      <c r="V804" s="227">
        <v>21</v>
      </c>
      <c r="W804" s="281"/>
      <c r="X804" s="282">
        <v>21</v>
      </c>
      <c r="Y804" s="293">
        <f t="shared" si="34"/>
        <v>21</v>
      </c>
      <c r="Z804" s="175" t="s">
        <v>85</v>
      </c>
      <c r="AA804" s="342">
        <f>IFERROR(BASE_DATOS[[#This Row],[NSK Original]]-BASE_DATOS[[#This Row],[NSK]]," ")</f>
        <v>1</v>
      </c>
      <c r="AB804" s="343">
        <f>'NSK-TRACTO'!$A$2</f>
        <v>6</v>
      </c>
      <c r="AC804" s="343">
        <f>IF(BASE_DATOS[[#This Row],[NSK]]&gt;=BASE_DATOS[[#This Row],[NSK Reen]],BASE_DATOS[[#This Row],[NSK Reen]],BASE_DATOS[[#This Row],[NSK]])</f>
        <v>6</v>
      </c>
      <c r="AD804" s="344">
        <f>IFERROR(100%-(BASE_DATOS[[#This Row],[NSK Reen]]/BASE_DATOS[[#This Row],[NSK Original]]),"")</f>
        <v>0.72727272727272729</v>
      </c>
      <c r="AE804" s="344">
        <f>IFERROR(100%-BASE_DATOS[[#This Row],[NSK]]/BASE_DATOS[[#This Row],[NSK Original]],"")</f>
        <v>4.5454545454545414E-2</v>
      </c>
      <c r="AF804" s="344">
        <f>IFERROR(BASE_DATOS[[#This Row],[% Max Des.]]-BASE_DATOS[[#This Row],[% Des]],"")</f>
        <v>0.68181818181818188</v>
      </c>
      <c r="AG804" s="287"/>
      <c r="AH804" s="273"/>
      <c r="AI804" s="363" t="str">
        <f>IF(OR(BASE_DATOS[[#This Row],[Hr.]]="",BASE_DATOS[[#This Row],[Hr. Actual]]=""),"",BASE_DATOS[[#This Row],[Hr. Actual]]-BASE_DATOS[[#This Row],[Hr.]]+BASE_DATOS[[#This Row],[Horas Acumuladas]])</f>
        <v/>
      </c>
      <c r="AJ804" s="364" t="str">
        <f>IFERROR(BASE_DATOS[[#This Row],[Precio US$]]/BASE_DATOS[[#This Row],[Horas Rodadas]],"")</f>
        <v/>
      </c>
      <c r="AK804" s="365" t="str">
        <f>IFERROR(BASE_DATOS[[#This Row],[Horas Rodadas]]/(BASE_DATOS[[#This Row],[NSK Original]]-BASE_DATOS[[#This Row],[NSK]]),"")</f>
        <v/>
      </c>
      <c r="AL80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04" s="366" t="str">
        <f>IFERROR(BASE_DATOS[[#This Row],[Precio US$]]/BASE_DATOS[[#This Row],[Horas Proy.]],"")</f>
        <v/>
      </c>
      <c r="AN804" s="176" t="str">
        <f>IF(OR(BASE_DATOS[[#This Row],[Km.]]="",BASE_DATOS[[#This Row],[Km. Actual]]=""),"",BASE_DATOS[[#This Row],[Km. Actual]]-BASE_DATOS[[#This Row],[Km.]]+BASE_DATOS[[#This Row],[Kilómetros Acumulados]])</f>
        <v/>
      </c>
      <c r="AO804" s="177" t="str">
        <f>IFERROR(BASE_DATOS[[#This Row],[Precio US$]]/BASE_DATOS[[#This Row],[Kilómetros Rodados]],"")</f>
        <v/>
      </c>
      <c r="AP804" s="176" t="str">
        <f>IFERROR(BASE_DATOS[[#This Row],[Kilómetros Rodados]]/(BASE_DATOS[[#This Row],[NSK Original]]-BASE_DATOS[[#This Row],[NSK]]),"")</f>
        <v/>
      </c>
      <c r="AQ80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04" s="177" t="str">
        <f>IFERROR(BASE_DATOS[[#This Row],[Precio US$]]/BASE_DATOS[[#This Row],[Kilómetros Proy.]],"")</f>
        <v/>
      </c>
      <c r="AS804" s="167" t="s">
        <v>62</v>
      </c>
      <c r="AT804" s="167"/>
      <c r="AU804" s="167"/>
      <c r="AV804" s="167"/>
      <c r="AW804" s="179"/>
      <c r="AX804" s="179"/>
      <c r="AY804" s="179" t="str">
        <f>CONCATENATE(BASE_DATOS[[#This Row],[Código_U]]&amp;BASE_DATOS[[#This Row],[Pos.]]&amp;BASE_DATOS[[#This Row],[Situación Actual]])</f>
        <v>PT-08RTRodando</v>
      </c>
    </row>
    <row r="805" spans="1:51" ht="12" x14ac:dyDescent="0.25">
      <c r="A805" s="222" t="s">
        <v>400</v>
      </c>
      <c r="B805" s="213" t="s">
        <v>347</v>
      </c>
      <c r="C805" s="225" t="s">
        <v>295</v>
      </c>
      <c r="D805" s="226" t="s">
        <v>87</v>
      </c>
      <c r="E805" s="249"/>
      <c r="F805" s="250" t="s">
        <v>97</v>
      </c>
      <c r="G805" s="250" t="s">
        <v>269</v>
      </c>
      <c r="H805" s="251" t="str">
        <f>IF(BASE_DATOS[[#This Row],[N-R]]="N",BASE_DATOS[[#This Row],[Diseño]],"Reencauche")</f>
        <v>AGC28</v>
      </c>
      <c r="I805" s="250" t="s">
        <v>270</v>
      </c>
      <c r="J805" s="235" t="s">
        <v>72</v>
      </c>
      <c r="K805" s="252">
        <v>16.5</v>
      </c>
      <c r="L805" s="250">
        <v>110</v>
      </c>
      <c r="M805" s="253"/>
      <c r="N805" s="254"/>
      <c r="O805" s="274"/>
      <c r="P805" s="275"/>
      <c r="Q805" s="276"/>
      <c r="R805" s="305" t="s">
        <v>98</v>
      </c>
      <c r="S805" s="306">
        <v>45384</v>
      </c>
      <c r="T805" s="314"/>
      <c r="U805" s="276"/>
      <c r="V805" s="224">
        <v>15</v>
      </c>
      <c r="W805" s="325">
        <v>15</v>
      </c>
      <c r="X805" s="326">
        <v>15</v>
      </c>
      <c r="Y805" s="292">
        <f>IFERROR(MIN(V805:X805),"")</f>
        <v>15</v>
      </c>
      <c r="Z805" s="185" t="s">
        <v>85</v>
      </c>
      <c r="AA805" s="339">
        <f>IFERROR(BASE_DATOS[[#This Row],[NSK Original]]-BASE_DATOS[[#This Row],[NSK]]," ")</f>
        <v>1.5</v>
      </c>
      <c r="AB805" s="340">
        <f>'NSK-TRACTO'!$A$2</f>
        <v>6</v>
      </c>
      <c r="AC805" s="340">
        <f>IF(BASE_DATOS[[#This Row],[NSK]]&gt;=BASE_DATOS[[#This Row],[NSK Reen]],BASE_DATOS[[#This Row],[NSK Reen]],BASE_DATOS[[#This Row],[NSK]])</f>
        <v>6</v>
      </c>
      <c r="AD805" s="341">
        <f>IFERROR(100%-(BASE_DATOS[[#This Row],[NSK Reen]]/BASE_DATOS[[#This Row],[NSK Original]]),"")</f>
        <v>0.63636363636363635</v>
      </c>
      <c r="AE805" s="341">
        <f>IFERROR(100%-BASE_DATOS[[#This Row],[NSK]]/BASE_DATOS[[#This Row],[NSK Original]],"")</f>
        <v>9.0909090909090939E-2</v>
      </c>
      <c r="AF805" s="341">
        <f>IFERROR(BASE_DATOS[[#This Row],[% Max Des.]]-BASE_DATOS[[#This Row],[% Des]],"")</f>
        <v>0.54545454545454541</v>
      </c>
      <c r="AG805" s="284"/>
      <c r="AH805" s="335"/>
      <c r="AI805" s="359" t="str">
        <f>IF(OR(BASE_DATOS[[#This Row],[Hr.]]="",BASE_DATOS[[#This Row],[Hr. Actual]]=""),"",BASE_DATOS[[#This Row],[Hr. Actual]]-BASE_DATOS[[#This Row],[Hr.]]+BASE_DATOS[[#This Row],[Horas Acumuladas]])</f>
        <v/>
      </c>
      <c r="AJ805" s="360" t="str">
        <f>IFERROR(BASE_DATOS[[#This Row],[Precio US$]]/BASE_DATOS[[#This Row],[Horas Rodadas]],"")</f>
        <v/>
      </c>
      <c r="AK805" s="361" t="str">
        <f>IFERROR(BASE_DATOS[[#This Row],[Horas Rodadas]]/(BASE_DATOS[[#This Row],[NSK Original]]-BASE_DATOS[[#This Row],[NSK]]),"")</f>
        <v/>
      </c>
      <c r="AL805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05" s="362" t="str">
        <f>IFERROR(BASE_DATOS[[#This Row],[Precio US$]]/BASE_DATOS[[#This Row],[Horas Proy.]],"")</f>
        <v/>
      </c>
      <c r="AN805" s="199" t="str">
        <f>IF(OR(BASE_DATOS[[#This Row],[Km.]]="",BASE_DATOS[[#This Row],[Km. Actual]]=""),"",BASE_DATOS[[#This Row],[Km. Actual]]-BASE_DATOS[[#This Row],[Km.]]+BASE_DATOS[[#This Row],[Kilómetros Acumulados]])</f>
        <v/>
      </c>
      <c r="AO805" s="200" t="str">
        <f>IFERROR(BASE_DATOS[[#This Row],[Precio US$]]/BASE_DATOS[[#This Row],[Kilómetros Rodados]],"")</f>
        <v/>
      </c>
      <c r="AP805" s="199" t="str">
        <f>IFERROR(BASE_DATOS[[#This Row],[Kilómetros Rodados]]/(BASE_DATOS[[#This Row],[NSK Original]]-BASE_DATOS[[#This Row],[NSK]]),"")</f>
        <v/>
      </c>
      <c r="AQ805" s="19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05" s="200" t="str">
        <f>IFERROR(BASE_DATOS[[#This Row],[Precio US$]]/BASE_DATOS[[#This Row],[Kilómetros Proy.]],"")</f>
        <v/>
      </c>
      <c r="AS805" s="201" t="s">
        <v>62</v>
      </c>
      <c r="AT805" s="201"/>
      <c r="AU805" s="201"/>
      <c r="AV805" s="201"/>
      <c r="AW805" s="203"/>
      <c r="AX805" s="203"/>
      <c r="AY805" s="203" t="str">
        <f>CONCATENATE(BASE_DATOS[[#This Row],[Código_U]]&amp;BASE_DATOS[[#This Row],[Pos.]]&amp;BASE_DATOS[[#This Row],[Situación Actual]])</f>
        <v>SR-2461Rodando</v>
      </c>
    </row>
    <row r="806" spans="1:51" ht="12" x14ac:dyDescent="0.25">
      <c r="A806" s="223" t="s">
        <v>400</v>
      </c>
      <c r="B806" s="217" t="s">
        <v>347</v>
      </c>
      <c r="C806" s="228" t="s">
        <v>295</v>
      </c>
      <c r="D806" s="229" t="s">
        <v>87</v>
      </c>
      <c r="E806" s="255"/>
      <c r="F806" s="256" t="s">
        <v>97</v>
      </c>
      <c r="G806" s="256" t="s">
        <v>269</v>
      </c>
      <c r="H806" s="257" t="str">
        <f>IF(BASE_DATOS[[#This Row],[N-R]]="N",BASE_DATOS[[#This Row],[Diseño]],"Reencauche")</f>
        <v>AGC28</v>
      </c>
      <c r="I806" s="256" t="s">
        <v>270</v>
      </c>
      <c r="J806" s="243" t="s">
        <v>72</v>
      </c>
      <c r="K806" s="258">
        <v>16.5</v>
      </c>
      <c r="L806" s="256">
        <v>110</v>
      </c>
      <c r="M806" s="259"/>
      <c r="N806" s="260"/>
      <c r="O806" s="277"/>
      <c r="P806" s="278"/>
      <c r="Q806" s="279"/>
      <c r="R806" s="309" t="s">
        <v>99</v>
      </c>
      <c r="S806" s="310">
        <v>45384</v>
      </c>
      <c r="T806" s="313"/>
      <c r="U806" s="279"/>
      <c r="V806" s="227">
        <v>14</v>
      </c>
      <c r="W806" s="281">
        <v>14</v>
      </c>
      <c r="X806" s="282">
        <v>14</v>
      </c>
      <c r="Y806" s="293">
        <f t="shared" ref="Y806:Y812" si="35">IFERROR(MIN(V806:X806),"")</f>
        <v>14</v>
      </c>
      <c r="Z806" s="161" t="s">
        <v>85</v>
      </c>
      <c r="AA806" s="342">
        <f>IFERROR(BASE_DATOS[[#This Row],[NSK Original]]-BASE_DATOS[[#This Row],[NSK]]," ")</f>
        <v>2.5</v>
      </c>
      <c r="AB806" s="343">
        <f>'NSK-TRACTO'!$A$2</f>
        <v>6</v>
      </c>
      <c r="AC806" s="343">
        <f>IF(BASE_DATOS[[#This Row],[NSK]]&gt;=BASE_DATOS[[#This Row],[NSK Reen]],BASE_DATOS[[#This Row],[NSK Reen]],BASE_DATOS[[#This Row],[NSK]])</f>
        <v>6</v>
      </c>
      <c r="AD806" s="344">
        <f>IFERROR(100%-(BASE_DATOS[[#This Row],[NSK Reen]]/BASE_DATOS[[#This Row],[NSK Original]]),"")</f>
        <v>0.63636363636363635</v>
      </c>
      <c r="AE806" s="344">
        <f>IFERROR(100%-BASE_DATOS[[#This Row],[NSK]]/BASE_DATOS[[#This Row],[NSK Original]],"")</f>
        <v>0.15151515151515149</v>
      </c>
      <c r="AF806" s="344">
        <f>IFERROR(BASE_DATOS[[#This Row],[% Max Des.]]-BASE_DATOS[[#This Row],[% Des]],"")</f>
        <v>0.48484848484848486</v>
      </c>
      <c r="AG806" s="287"/>
      <c r="AH806" s="273"/>
      <c r="AI806" s="363" t="str">
        <f>IF(OR(BASE_DATOS[[#This Row],[Hr.]]="",BASE_DATOS[[#This Row],[Hr. Actual]]=""),"",BASE_DATOS[[#This Row],[Hr. Actual]]-BASE_DATOS[[#This Row],[Hr.]]+BASE_DATOS[[#This Row],[Horas Acumuladas]])</f>
        <v/>
      </c>
      <c r="AJ806" s="364" t="str">
        <f>IFERROR(BASE_DATOS[[#This Row],[Precio US$]]/BASE_DATOS[[#This Row],[Horas Rodadas]],"")</f>
        <v/>
      </c>
      <c r="AK806" s="365" t="str">
        <f>IFERROR(BASE_DATOS[[#This Row],[Horas Rodadas]]/(BASE_DATOS[[#This Row],[NSK Original]]-BASE_DATOS[[#This Row],[NSK]]),"")</f>
        <v/>
      </c>
      <c r="AL80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06" s="366" t="str">
        <f>IFERROR(BASE_DATOS[[#This Row],[Precio US$]]/BASE_DATOS[[#This Row],[Horas Proy.]],"")</f>
        <v/>
      </c>
      <c r="AN806" s="176" t="str">
        <f>IF(OR(BASE_DATOS[[#This Row],[Km.]]="",BASE_DATOS[[#This Row],[Km. Actual]]=""),"",BASE_DATOS[[#This Row],[Km. Actual]]-BASE_DATOS[[#This Row],[Km.]]+BASE_DATOS[[#This Row],[Kilómetros Acumulados]])</f>
        <v/>
      </c>
      <c r="AO806" s="177" t="str">
        <f>IFERROR(BASE_DATOS[[#This Row],[Precio US$]]/BASE_DATOS[[#This Row],[Kilómetros Rodados]],"")</f>
        <v/>
      </c>
      <c r="AP806" s="176" t="str">
        <f>IFERROR(BASE_DATOS[[#This Row],[Kilómetros Rodados]]/(BASE_DATOS[[#This Row],[NSK Original]]-BASE_DATOS[[#This Row],[NSK]]),"")</f>
        <v/>
      </c>
      <c r="AQ80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06" s="177" t="str">
        <f>IFERROR(BASE_DATOS[[#This Row],[Precio US$]]/BASE_DATOS[[#This Row],[Kilómetros Proy.]],"")</f>
        <v/>
      </c>
      <c r="AS806" s="170" t="s">
        <v>62</v>
      </c>
      <c r="AT806" s="170"/>
      <c r="AU806" s="170"/>
      <c r="AV806" s="170"/>
      <c r="AW806" s="179"/>
      <c r="AX806" s="179"/>
      <c r="AY806" s="179" t="str">
        <f>CONCATENATE(BASE_DATOS[[#This Row],[Código_U]]&amp;BASE_DATOS[[#This Row],[Pos.]]&amp;BASE_DATOS[[#This Row],[Situación Actual]])</f>
        <v>SR-2462Rodando</v>
      </c>
    </row>
    <row r="807" spans="1:51" ht="12" x14ac:dyDescent="0.25">
      <c r="A807" s="223" t="s">
        <v>400</v>
      </c>
      <c r="B807" s="217" t="s">
        <v>347</v>
      </c>
      <c r="C807" s="228" t="s">
        <v>295</v>
      </c>
      <c r="D807" s="229" t="s">
        <v>87</v>
      </c>
      <c r="E807" s="255"/>
      <c r="F807" s="256" t="s">
        <v>97</v>
      </c>
      <c r="G807" s="256" t="s">
        <v>269</v>
      </c>
      <c r="H807" s="257" t="str">
        <f>IF(BASE_DATOS[[#This Row],[N-R]]="N",BASE_DATOS[[#This Row],[Diseño]],"Reencauche")</f>
        <v>AGC28</v>
      </c>
      <c r="I807" s="256" t="s">
        <v>270</v>
      </c>
      <c r="J807" s="243" t="s">
        <v>72</v>
      </c>
      <c r="K807" s="258">
        <v>16.5</v>
      </c>
      <c r="L807" s="256">
        <v>110</v>
      </c>
      <c r="M807" s="259"/>
      <c r="N807" s="260"/>
      <c r="O807" s="277"/>
      <c r="P807" s="278"/>
      <c r="Q807" s="279"/>
      <c r="R807" s="309" t="s">
        <v>100</v>
      </c>
      <c r="S807" s="310">
        <v>45384</v>
      </c>
      <c r="T807" s="313"/>
      <c r="U807" s="279"/>
      <c r="V807" s="227">
        <v>14</v>
      </c>
      <c r="W807" s="281">
        <v>14</v>
      </c>
      <c r="X807" s="282">
        <v>14</v>
      </c>
      <c r="Y807" s="293">
        <f t="shared" si="35"/>
        <v>14</v>
      </c>
      <c r="Z807" s="161" t="s">
        <v>85</v>
      </c>
      <c r="AA807" s="342">
        <f>IFERROR(BASE_DATOS[[#This Row],[NSK Original]]-BASE_DATOS[[#This Row],[NSK]]," ")</f>
        <v>2.5</v>
      </c>
      <c r="AB807" s="343">
        <f>'NSK-TRACTO'!$A$2</f>
        <v>6</v>
      </c>
      <c r="AC807" s="343">
        <f>IF(BASE_DATOS[[#This Row],[NSK]]&gt;=BASE_DATOS[[#This Row],[NSK Reen]],BASE_DATOS[[#This Row],[NSK Reen]],BASE_DATOS[[#This Row],[NSK]])</f>
        <v>6</v>
      </c>
      <c r="AD807" s="344">
        <f>IFERROR(100%-(BASE_DATOS[[#This Row],[NSK Reen]]/BASE_DATOS[[#This Row],[NSK Original]]),"")</f>
        <v>0.63636363636363635</v>
      </c>
      <c r="AE807" s="344">
        <f>IFERROR(100%-BASE_DATOS[[#This Row],[NSK]]/BASE_DATOS[[#This Row],[NSK Original]],"")</f>
        <v>0.15151515151515149</v>
      </c>
      <c r="AF807" s="344">
        <f>IFERROR(BASE_DATOS[[#This Row],[% Max Des.]]-BASE_DATOS[[#This Row],[% Des]],"")</f>
        <v>0.48484848484848486</v>
      </c>
      <c r="AG807" s="287"/>
      <c r="AH807" s="273"/>
      <c r="AI807" s="363" t="str">
        <f>IF(OR(BASE_DATOS[[#This Row],[Hr.]]="",BASE_DATOS[[#This Row],[Hr. Actual]]=""),"",BASE_DATOS[[#This Row],[Hr. Actual]]-BASE_DATOS[[#This Row],[Hr.]]+BASE_DATOS[[#This Row],[Horas Acumuladas]])</f>
        <v/>
      </c>
      <c r="AJ807" s="364" t="str">
        <f>IFERROR(BASE_DATOS[[#This Row],[Precio US$]]/BASE_DATOS[[#This Row],[Horas Rodadas]],"")</f>
        <v/>
      </c>
      <c r="AK807" s="365" t="str">
        <f>IFERROR(BASE_DATOS[[#This Row],[Horas Rodadas]]/(BASE_DATOS[[#This Row],[NSK Original]]-BASE_DATOS[[#This Row],[NSK]]),"")</f>
        <v/>
      </c>
      <c r="AL80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07" s="366" t="str">
        <f>IFERROR(BASE_DATOS[[#This Row],[Precio US$]]/BASE_DATOS[[#This Row],[Horas Proy.]],"")</f>
        <v/>
      </c>
      <c r="AN807" s="176" t="str">
        <f>IF(OR(BASE_DATOS[[#This Row],[Km.]]="",BASE_DATOS[[#This Row],[Km. Actual]]=""),"",BASE_DATOS[[#This Row],[Km. Actual]]-BASE_DATOS[[#This Row],[Km.]]+BASE_DATOS[[#This Row],[Kilómetros Acumulados]])</f>
        <v/>
      </c>
      <c r="AO807" s="177" t="str">
        <f>IFERROR(BASE_DATOS[[#This Row],[Precio US$]]/BASE_DATOS[[#This Row],[Kilómetros Rodados]],"")</f>
        <v/>
      </c>
      <c r="AP807" s="176" t="str">
        <f>IFERROR(BASE_DATOS[[#This Row],[Kilómetros Rodados]]/(BASE_DATOS[[#This Row],[NSK Original]]-BASE_DATOS[[#This Row],[NSK]]),"")</f>
        <v/>
      </c>
      <c r="AQ80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07" s="177" t="str">
        <f>IFERROR(BASE_DATOS[[#This Row],[Precio US$]]/BASE_DATOS[[#This Row],[Kilómetros Proy.]],"")</f>
        <v/>
      </c>
      <c r="AS807" s="170" t="s">
        <v>62</v>
      </c>
      <c r="AT807" s="170"/>
      <c r="AU807" s="170"/>
      <c r="AV807" s="170"/>
      <c r="AW807" s="179"/>
      <c r="AX807" s="179"/>
      <c r="AY807" s="179" t="str">
        <f>CONCATENATE(BASE_DATOS[[#This Row],[Código_U]]&amp;BASE_DATOS[[#This Row],[Pos.]]&amp;BASE_DATOS[[#This Row],[Situación Actual]])</f>
        <v>SR-2463Rodando</v>
      </c>
    </row>
    <row r="808" spans="1:51" ht="12" x14ac:dyDescent="0.25">
      <c r="A808" s="223" t="s">
        <v>400</v>
      </c>
      <c r="B808" s="217" t="s">
        <v>347</v>
      </c>
      <c r="C808" s="228" t="s">
        <v>295</v>
      </c>
      <c r="D808" s="229" t="s">
        <v>87</v>
      </c>
      <c r="E808" s="255"/>
      <c r="F808" s="256" t="s">
        <v>97</v>
      </c>
      <c r="G808" s="256" t="s">
        <v>269</v>
      </c>
      <c r="H808" s="257" t="str">
        <f>IF(BASE_DATOS[[#This Row],[N-R]]="N",BASE_DATOS[[#This Row],[Diseño]],"Reencauche")</f>
        <v>AGC28</v>
      </c>
      <c r="I808" s="256" t="s">
        <v>270</v>
      </c>
      <c r="J808" s="243" t="s">
        <v>72</v>
      </c>
      <c r="K808" s="258">
        <v>16.5</v>
      </c>
      <c r="L808" s="256">
        <v>110</v>
      </c>
      <c r="M808" s="259"/>
      <c r="N808" s="260"/>
      <c r="O808" s="277"/>
      <c r="P808" s="278"/>
      <c r="Q808" s="279"/>
      <c r="R808" s="309" t="s">
        <v>101</v>
      </c>
      <c r="S808" s="310">
        <v>45384</v>
      </c>
      <c r="T808" s="313"/>
      <c r="U808" s="279"/>
      <c r="V808" s="227">
        <v>14</v>
      </c>
      <c r="W808" s="281">
        <v>14</v>
      </c>
      <c r="X808" s="282">
        <v>14</v>
      </c>
      <c r="Y808" s="293">
        <f t="shared" si="35"/>
        <v>14</v>
      </c>
      <c r="Z808" s="175" t="s">
        <v>73</v>
      </c>
      <c r="AA808" s="342">
        <f>IFERROR(BASE_DATOS[[#This Row],[NSK Original]]-BASE_DATOS[[#This Row],[NSK]]," ")</f>
        <v>2.5</v>
      </c>
      <c r="AB808" s="343">
        <f>'NSK-TRACTO'!$A$2</f>
        <v>6</v>
      </c>
      <c r="AC808" s="343">
        <f>IF(BASE_DATOS[[#This Row],[NSK]]&gt;=BASE_DATOS[[#This Row],[NSK Reen]],BASE_DATOS[[#This Row],[NSK Reen]],BASE_DATOS[[#This Row],[NSK]])</f>
        <v>6</v>
      </c>
      <c r="AD808" s="344">
        <f>IFERROR(100%-(BASE_DATOS[[#This Row],[NSK Reen]]/BASE_DATOS[[#This Row],[NSK Original]]),"")</f>
        <v>0.63636363636363635</v>
      </c>
      <c r="AE808" s="344">
        <f>IFERROR(100%-BASE_DATOS[[#This Row],[NSK]]/BASE_DATOS[[#This Row],[NSK Original]],"")</f>
        <v>0.15151515151515149</v>
      </c>
      <c r="AF808" s="344">
        <f>IFERROR(BASE_DATOS[[#This Row],[% Max Des.]]-BASE_DATOS[[#This Row],[% Des]],"")</f>
        <v>0.48484848484848486</v>
      </c>
      <c r="AG808" s="287"/>
      <c r="AH808" s="273"/>
      <c r="AI808" s="363" t="str">
        <f>IF(OR(BASE_DATOS[[#This Row],[Hr.]]="",BASE_DATOS[[#This Row],[Hr. Actual]]=""),"",BASE_DATOS[[#This Row],[Hr. Actual]]-BASE_DATOS[[#This Row],[Hr.]]+BASE_DATOS[[#This Row],[Horas Acumuladas]])</f>
        <v/>
      </c>
      <c r="AJ808" s="364" t="str">
        <f>IFERROR(BASE_DATOS[[#This Row],[Precio US$]]/BASE_DATOS[[#This Row],[Horas Rodadas]],"")</f>
        <v/>
      </c>
      <c r="AK808" s="365" t="str">
        <f>IFERROR(BASE_DATOS[[#This Row],[Horas Rodadas]]/(BASE_DATOS[[#This Row],[NSK Original]]-BASE_DATOS[[#This Row],[NSK]]),"")</f>
        <v/>
      </c>
      <c r="AL80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08" s="366" t="str">
        <f>IFERROR(BASE_DATOS[[#This Row],[Precio US$]]/BASE_DATOS[[#This Row],[Horas Proy.]],"")</f>
        <v/>
      </c>
      <c r="AN808" s="176" t="str">
        <f>IF(OR(BASE_DATOS[[#This Row],[Km.]]="",BASE_DATOS[[#This Row],[Km. Actual]]=""),"",BASE_DATOS[[#This Row],[Km. Actual]]-BASE_DATOS[[#This Row],[Km.]]+BASE_DATOS[[#This Row],[Kilómetros Acumulados]])</f>
        <v/>
      </c>
      <c r="AO808" s="177" t="str">
        <f>IFERROR(BASE_DATOS[[#This Row],[Precio US$]]/BASE_DATOS[[#This Row],[Kilómetros Rodados]],"")</f>
        <v/>
      </c>
      <c r="AP808" s="176" t="str">
        <f>IFERROR(BASE_DATOS[[#This Row],[Kilómetros Rodados]]/(BASE_DATOS[[#This Row],[NSK Original]]-BASE_DATOS[[#This Row],[NSK]]),"")</f>
        <v/>
      </c>
      <c r="AQ80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08" s="177" t="str">
        <f>IFERROR(BASE_DATOS[[#This Row],[Precio US$]]/BASE_DATOS[[#This Row],[Kilómetros Proy.]],"")</f>
        <v/>
      </c>
      <c r="AS808" s="170" t="s">
        <v>62</v>
      </c>
      <c r="AT808" s="170"/>
      <c r="AU808" s="170"/>
      <c r="AV808" s="170"/>
      <c r="AW808" s="179"/>
      <c r="AX808" s="179"/>
      <c r="AY808" s="179" t="str">
        <f>CONCATENATE(BASE_DATOS[[#This Row],[Código_U]]&amp;BASE_DATOS[[#This Row],[Pos.]]&amp;BASE_DATOS[[#This Row],[Situación Actual]])</f>
        <v>SR-2464Rodando</v>
      </c>
    </row>
    <row r="809" spans="1:51" ht="12" x14ac:dyDescent="0.25">
      <c r="A809" s="223" t="s">
        <v>400</v>
      </c>
      <c r="B809" s="217" t="s">
        <v>347</v>
      </c>
      <c r="C809" s="228" t="s">
        <v>295</v>
      </c>
      <c r="D809" s="229" t="s">
        <v>87</v>
      </c>
      <c r="E809" s="255"/>
      <c r="F809" s="256" t="s">
        <v>97</v>
      </c>
      <c r="G809" s="256" t="s">
        <v>269</v>
      </c>
      <c r="H809" s="257" t="str">
        <f>IF(BASE_DATOS[[#This Row],[N-R]]="N",BASE_DATOS[[#This Row],[Diseño]],"Reencauche")</f>
        <v>AGC28</v>
      </c>
      <c r="I809" s="256" t="s">
        <v>270</v>
      </c>
      <c r="J809" s="243" t="s">
        <v>72</v>
      </c>
      <c r="K809" s="258">
        <v>16.5</v>
      </c>
      <c r="L809" s="256">
        <v>110</v>
      </c>
      <c r="M809" s="259"/>
      <c r="N809" s="260"/>
      <c r="O809" s="277"/>
      <c r="P809" s="278"/>
      <c r="Q809" s="279"/>
      <c r="R809" s="309" t="s">
        <v>102</v>
      </c>
      <c r="S809" s="310">
        <v>45384</v>
      </c>
      <c r="T809" s="313"/>
      <c r="U809" s="279"/>
      <c r="V809" s="227">
        <v>12</v>
      </c>
      <c r="W809" s="281">
        <v>12</v>
      </c>
      <c r="X809" s="282">
        <v>12</v>
      </c>
      <c r="Y809" s="293">
        <f t="shared" si="35"/>
        <v>12</v>
      </c>
      <c r="Z809" s="161" t="s">
        <v>85</v>
      </c>
      <c r="AA809" s="342">
        <f>IFERROR(BASE_DATOS[[#This Row],[NSK Original]]-BASE_DATOS[[#This Row],[NSK]]," ")</f>
        <v>4.5</v>
      </c>
      <c r="AB809" s="343">
        <f>'NSK-TRACTO'!$A$2</f>
        <v>6</v>
      </c>
      <c r="AC809" s="343">
        <f>IF(BASE_DATOS[[#This Row],[NSK]]&gt;=BASE_DATOS[[#This Row],[NSK Reen]],BASE_DATOS[[#This Row],[NSK Reen]],BASE_DATOS[[#This Row],[NSK]])</f>
        <v>6</v>
      </c>
      <c r="AD809" s="344">
        <f>IFERROR(100%-(BASE_DATOS[[#This Row],[NSK Reen]]/BASE_DATOS[[#This Row],[NSK Original]]),"")</f>
        <v>0.63636363636363635</v>
      </c>
      <c r="AE809" s="344">
        <f>IFERROR(100%-BASE_DATOS[[#This Row],[NSK]]/BASE_DATOS[[#This Row],[NSK Original]],"")</f>
        <v>0.27272727272727271</v>
      </c>
      <c r="AF809" s="344">
        <f>IFERROR(BASE_DATOS[[#This Row],[% Max Des.]]-BASE_DATOS[[#This Row],[% Des]],"")</f>
        <v>0.36363636363636365</v>
      </c>
      <c r="AG809" s="287"/>
      <c r="AH809" s="273"/>
      <c r="AI809" s="363" t="str">
        <f>IF(OR(BASE_DATOS[[#This Row],[Hr.]]="",BASE_DATOS[[#This Row],[Hr. Actual]]=""),"",BASE_DATOS[[#This Row],[Hr. Actual]]-BASE_DATOS[[#This Row],[Hr.]]+BASE_DATOS[[#This Row],[Horas Acumuladas]])</f>
        <v/>
      </c>
      <c r="AJ809" s="364" t="str">
        <f>IFERROR(BASE_DATOS[[#This Row],[Precio US$]]/BASE_DATOS[[#This Row],[Horas Rodadas]],"")</f>
        <v/>
      </c>
      <c r="AK809" s="365" t="str">
        <f>IFERROR(BASE_DATOS[[#This Row],[Horas Rodadas]]/(BASE_DATOS[[#This Row],[NSK Original]]-BASE_DATOS[[#This Row],[NSK]]),"")</f>
        <v/>
      </c>
      <c r="AL80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09" s="366" t="str">
        <f>IFERROR(BASE_DATOS[[#This Row],[Precio US$]]/BASE_DATOS[[#This Row],[Horas Proy.]],"")</f>
        <v/>
      </c>
      <c r="AN809" s="176" t="str">
        <f>IF(OR(BASE_DATOS[[#This Row],[Km.]]="",BASE_DATOS[[#This Row],[Km. Actual]]=""),"",BASE_DATOS[[#This Row],[Km. Actual]]-BASE_DATOS[[#This Row],[Km.]]+BASE_DATOS[[#This Row],[Kilómetros Acumulados]])</f>
        <v/>
      </c>
      <c r="AO809" s="177" t="str">
        <f>IFERROR(BASE_DATOS[[#This Row],[Precio US$]]/BASE_DATOS[[#This Row],[Kilómetros Rodados]],"")</f>
        <v/>
      </c>
      <c r="AP809" s="176" t="str">
        <f>IFERROR(BASE_DATOS[[#This Row],[Kilómetros Rodados]]/(BASE_DATOS[[#This Row],[NSK Original]]-BASE_DATOS[[#This Row],[NSK]]),"")</f>
        <v/>
      </c>
      <c r="AQ80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09" s="177" t="str">
        <f>IFERROR(BASE_DATOS[[#This Row],[Precio US$]]/BASE_DATOS[[#This Row],[Kilómetros Proy.]],"")</f>
        <v/>
      </c>
      <c r="AS809" s="170" t="s">
        <v>62</v>
      </c>
      <c r="AT809" s="170"/>
      <c r="AU809" s="170"/>
      <c r="AV809" s="170"/>
      <c r="AW809" s="179"/>
      <c r="AX809" s="179"/>
      <c r="AY809" s="179" t="str">
        <f>CONCATENATE(BASE_DATOS[[#This Row],[Código_U]]&amp;BASE_DATOS[[#This Row],[Pos.]]&amp;BASE_DATOS[[#This Row],[Situación Actual]])</f>
        <v>SR-2465Rodando</v>
      </c>
    </row>
    <row r="810" spans="1:51" ht="12" x14ac:dyDescent="0.25">
      <c r="A810" s="223" t="s">
        <v>400</v>
      </c>
      <c r="B810" s="217" t="s">
        <v>347</v>
      </c>
      <c r="C810" s="228" t="s">
        <v>295</v>
      </c>
      <c r="D810" s="229" t="s">
        <v>87</v>
      </c>
      <c r="E810" s="255"/>
      <c r="F810" s="256" t="s">
        <v>97</v>
      </c>
      <c r="G810" s="256" t="s">
        <v>269</v>
      </c>
      <c r="H810" s="257" t="str">
        <f>IF(BASE_DATOS[[#This Row],[N-R]]="N",BASE_DATOS[[#This Row],[Diseño]],"Reencauche")</f>
        <v>AGC28</v>
      </c>
      <c r="I810" s="256" t="s">
        <v>270</v>
      </c>
      <c r="J810" s="243" t="s">
        <v>72</v>
      </c>
      <c r="K810" s="258">
        <v>16.5</v>
      </c>
      <c r="L810" s="256">
        <v>110</v>
      </c>
      <c r="M810" s="259"/>
      <c r="N810" s="260"/>
      <c r="O810" s="277"/>
      <c r="P810" s="278"/>
      <c r="Q810" s="279"/>
      <c r="R810" s="309" t="s">
        <v>103</v>
      </c>
      <c r="S810" s="310">
        <v>45384</v>
      </c>
      <c r="T810" s="313"/>
      <c r="U810" s="279"/>
      <c r="V810" s="227">
        <v>12</v>
      </c>
      <c r="W810" s="281">
        <v>12</v>
      </c>
      <c r="X810" s="282">
        <v>12</v>
      </c>
      <c r="Y810" s="293">
        <f t="shared" si="35"/>
        <v>12</v>
      </c>
      <c r="Z810" s="175" t="s">
        <v>73</v>
      </c>
      <c r="AA810" s="342">
        <f>IFERROR(BASE_DATOS[[#This Row],[NSK Original]]-BASE_DATOS[[#This Row],[NSK]]," ")</f>
        <v>4.5</v>
      </c>
      <c r="AB810" s="343">
        <f>'NSK-TRACTO'!$A$2</f>
        <v>6</v>
      </c>
      <c r="AC810" s="343">
        <f>IF(BASE_DATOS[[#This Row],[NSK]]&gt;=BASE_DATOS[[#This Row],[NSK Reen]],BASE_DATOS[[#This Row],[NSK Reen]],BASE_DATOS[[#This Row],[NSK]])</f>
        <v>6</v>
      </c>
      <c r="AD810" s="344">
        <f>IFERROR(100%-(BASE_DATOS[[#This Row],[NSK Reen]]/BASE_DATOS[[#This Row],[NSK Original]]),"")</f>
        <v>0.63636363636363635</v>
      </c>
      <c r="AE810" s="344">
        <f>IFERROR(100%-BASE_DATOS[[#This Row],[NSK]]/BASE_DATOS[[#This Row],[NSK Original]],"")</f>
        <v>0.27272727272727271</v>
      </c>
      <c r="AF810" s="344">
        <f>IFERROR(BASE_DATOS[[#This Row],[% Max Des.]]-BASE_DATOS[[#This Row],[% Des]],"")</f>
        <v>0.36363636363636365</v>
      </c>
      <c r="AG810" s="287"/>
      <c r="AH810" s="273"/>
      <c r="AI810" s="363" t="str">
        <f>IF(OR(BASE_DATOS[[#This Row],[Hr.]]="",BASE_DATOS[[#This Row],[Hr. Actual]]=""),"",BASE_DATOS[[#This Row],[Hr. Actual]]-BASE_DATOS[[#This Row],[Hr.]]+BASE_DATOS[[#This Row],[Horas Acumuladas]])</f>
        <v/>
      </c>
      <c r="AJ810" s="364" t="str">
        <f>IFERROR(BASE_DATOS[[#This Row],[Precio US$]]/BASE_DATOS[[#This Row],[Horas Rodadas]],"")</f>
        <v/>
      </c>
      <c r="AK810" s="365" t="str">
        <f>IFERROR(BASE_DATOS[[#This Row],[Horas Rodadas]]/(BASE_DATOS[[#This Row],[NSK Original]]-BASE_DATOS[[#This Row],[NSK]]),"")</f>
        <v/>
      </c>
      <c r="AL81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10" s="366" t="str">
        <f>IFERROR(BASE_DATOS[[#This Row],[Precio US$]]/BASE_DATOS[[#This Row],[Horas Proy.]],"")</f>
        <v/>
      </c>
      <c r="AN810" s="176" t="str">
        <f>IF(OR(BASE_DATOS[[#This Row],[Km.]]="",BASE_DATOS[[#This Row],[Km. Actual]]=""),"",BASE_DATOS[[#This Row],[Km. Actual]]-BASE_DATOS[[#This Row],[Km.]]+BASE_DATOS[[#This Row],[Kilómetros Acumulados]])</f>
        <v/>
      </c>
      <c r="AO810" s="177" t="str">
        <f>IFERROR(BASE_DATOS[[#This Row],[Precio US$]]/BASE_DATOS[[#This Row],[Kilómetros Rodados]],"")</f>
        <v/>
      </c>
      <c r="AP810" s="176" t="str">
        <f>IFERROR(BASE_DATOS[[#This Row],[Kilómetros Rodados]]/(BASE_DATOS[[#This Row],[NSK Original]]-BASE_DATOS[[#This Row],[NSK]]),"")</f>
        <v/>
      </c>
      <c r="AQ81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10" s="177" t="str">
        <f>IFERROR(BASE_DATOS[[#This Row],[Precio US$]]/BASE_DATOS[[#This Row],[Kilómetros Proy.]],"")</f>
        <v/>
      </c>
      <c r="AS810" s="170" t="s">
        <v>62</v>
      </c>
      <c r="AT810" s="170"/>
      <c r="AU810" s="170"/>
      <c r="AV810" s="170"/>
      <c r="AW810" s="179"/>
      <c r="AX810" s="179"/>
      <c r="AY810" s="179" t="str">
        <f>CONCATENATE(BASE_DATOS[[#This Row],[Código_U]]&amp;BASE_DATOS[[#This Row],[Pos.]]&amp;BASE_DATOS[[#This Row],[Situación Actual]])</f>
        <v>SR-2466Rodando</v>
      </c>
    </row>
    <row r="811" spans="1:51" ht="12" x14ac:dyDescent="0.25">
      <c r="A811" s="223" t="s">
        <v>400</v>
      </c>
      <c r="B811" s="217" t="s">
        <v>347</v>
      </c>
      <c r="C811" s="228" t="s">
        <v>295</v>
      </c>
      <c r="D811" s="229" t="s">
        <v>384</v>
      </c>
      <c r="E811" s="255"/>
      <c r="F811" s="256" t="s">
        <v>97</v>
      </c>
      <c r="G811" s="256" t="s">
        <v>269</v>
      </c>
      <c r="H811" s="257" t="str">
        <f>IF(BASE_DATOS[[#This Row],[N-R]]="N",BASE_DATOS[[#This Row],[Diseño]],"Reencauche")</f>
        <v>AGC28</v>
      </c>
      <c r="I811" s="256" t="s">
        <v>270</v>
      </c>
      <c r="J811" s="243" t="s">
        <v>72</v>
      </c>
      <c r="K811" s="258">
        <v>16.5</v>
      </c>
      <c r="L811" s="256">
        <v>110</v>
      </c>
      <c r="M811" s="259"/>
      <c r="N811" s="260"/>
      <c r="O811" s="277"/>
      <c r="P811" s="278"/>
      <c r="Q811" s="279"/>
      <c r="R811" s="304" t="s">
        <v>509</v>
      </c>
      <c r="S811" s="310">
        <v>45384</v>
      </c>
      <c r="T811" s="313"/>
      <c r="U811" s="279"/>
      <c r="V811" s="227">
        <v>16</v>
      </c>
      <c r="W811" s="281">
        <v>16</v>
      </c>
      <c r="X811" s="282">
        <v>16</v>
      </c>
      <c r="Y811" s="293">
        <f t="shared" si="35"/>
        <v>16</v>
      </c>
      <c r="Z811" s="175" t="s">
        <v>73</v>
      </c>
      <c r="AA811" s="342">
        <f>IFERROR(BASE_DATOS[[#This Row],[NSK Original]]-BASE_DATOS[[#This Row],[NSK]]," ")</f>
        <v>0.5</v>
      </c>
      <c r="AB811" s="343">
        <f>'NSK-TRACTO'!$A$2</f>
        <v>6</v>
      </c>
      <c r="AC811" s="343">
        <f>IF(BASE_DATOS[[#This Row],[NSK]]&gt;=BASE_DATOS[[#This Row],[NSK Reen]],BASE_DATOS[[#This Row],[NSK Reen]],BASE_DATOS[[#This Row],[NSK]])</f>
        <v>6</v>
      </c>
      <c r="AD811" s="344">
        <f>IFERROR(100%-(BASE_DATOS[[#This Row],[NSK Reen]]/BASE_DATOS[[#This Row],[NSK Original]]),"")</f>
        <v>0.63636363636363635</v>
      </c>
      <c r="AE811" s="344">
        <f>IFERROR(100%-BASE_DATOS[[#This Row],[NSK]]/BASE_DATOS[[#This Row],[NSK Original]],"")</f>
        <v>3.0303030303030276E-2</v>
      </c>
      <c r="AF811" s="344">
        <f>IFERROR(BASE_DATOS[[#This Row],[% Max Des.]]-BASE_DATOS[[#This Row],[% Des]],"")</f>
        <v>0.60606060606060608</v>
      </c>
      <c r="AG811" s="287"/>
      <c r="AH811" s="273"/>
      <c r="AI811" s="363" t="str">
        <f>IF(OR(BASE_DATOS[[#This Row],[Hr.]]="",BASE_DATOS[[#This Row],[Hr. Actual]]=""),"",BASE_DATOS[[#This Row],[Hr. Actual]]-BASE_DATOS[[#This Row],[Hr.]]+BASE_DATOS[[#This Row],[Horas Acumuladas]])</f>
        <v/>
      </c>
      <c r="AJ811" s="364" t="str">
        <f>IFERROR(BASE_DATOS[[#This Row],[Precio US$]]/BASE_DATOS[[#This Row],[Horas Rodadas]],"")</f>
        <v/>
      </c>
      <c r="AK811" s="365" t="str">
        <f>IFERROR(BASE_DATOS[[#This Row],[Horas Rodadas]]/(BASE_DATOS[[#This Row],[NSK Original]]-BASE_DATOS[[#This Row],[NSK]]),"")</f>
        <v/>
      </c>
      <c r="AL81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11" s="366" t="str">
        <f>IFERROR(BASE_DATOS[[#This Row],[Precio US$]]/BASE_DATOS[[#This Row],[Horas Proy.]],"")</f>
        <v/>
      </c>
      <c r="AN811" s="176" t="str">
        <f>IF(OR(BASE_DATOS[[#This Row],[Km.]]="",BASE_DATOS[[#This Row],[Km. Actual]]=""),"",BASE_DATOS[[#This Row],[Km. Actual]]-BASE_DATOS[[#This Row],[Km.]]+BASE_DATOS[[#This Row],[Kilómetros Acumulados]])</f>
        <v/>
      </c>
      <c r="AO811" s="177" t="str">
        <f>IFERROR(BASE_DATOS[[#This Row],[Precio US$]]/BASE_DATOS[[#This Row],[Kilómetros Rodados]],"")</f>
        <v/>
      </c>
      <c r="AP811" s="176" t="str">
        <f>IFERROR(BASE_DATOS[[#This Row],[Kilómetros Rodados]]/(BASE_DATOS[[#This Row],[NSK Original]]-BASE_DATOS[[#This Row],[NSK]]),"")</f>
        <v/>
      </c>
      <c r="AQ81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11" s="177" t="str">
        <f>IFERROR(BASE_DATOS[[#This Row],[Precio US$]]/BASE_DATOS[[#This Row],[Kilómetros Proy.]],"")</f>
        <v/>
      </c>
      <c r="AS811" s="170" t="s">
        <v>62</v>
      </c>
      <c r="AT811" s="170"/>
      <c r="AU811" s="170"/>
      <c r="AV811" s="170"/>
      <c r="AW811" s="179"/>
      <c r="AX811" s="179"/>
      <c r="AY811" s="179" t="str">
        <f>CONCATENATE(BASE_DATOS[[#This Row],[Código_U]]&amp;BASE_DATOS[[#This Row],[Pos.]]&amp;BASE_DATOS[[#This Row],[Situación Actual]])</f>
        <v>SR-246RERodando</v>
      </c>
    </row>
    <row r="812" spans="1:51" ht="12" x14ac:dyDescent="0.25">
      <c r="A812" s="223" t="s">
        <v>400</v>
      </c>
      <c r="B812" s="217" t="s">
        <v>347</v>
      </c>
      <c r="C812" s="228" t="s">
        <v>295</v>
      </c>
      <c r="D812" s="229" t="s">
        <v>108</v>
      </c>
      <c r="E812" s="255"/>
      <c r="F812" s="256" t="s">
        <v>273</v>
      </c>
      <c r="G812" s="256" t="s">
        <v>271</v>
      </c>
      <c r="H812" s="257" t="str">
        <f>IF(BASE_DATOS[[#This Row],[N-R]]="N",BASE_DATOS[[#This Row],[Diseño]],"Reencauche")</f>
        <v>XMULTI2D</v>
      </c>
      <c r="I812" s="256" t="s">
        <v>299</v>
      </c>
      <c r="J812" s="243" t="s">
        <v>72</v>
      </c>
      <c r="K812" s="258">
        <v>21.4</v>
      </c>
      <c r="L812" s="256">
        <v>110</v>
      </c>
      <c r="M812" s="259"/>
      <c r="N812" s="260"/>
      <c r="O812" s="277"/>
      <c r="P812" s="278"/>
      <c r="Q812" s="279"/>
      <c r="R812" s="304" t="s">
        <v>108</v>
      </c>
      <c r="S812" s="310">
        <v>45384</v>
      </c>
      <c r="T812" s="313"/>
      <c r="U812" s="279"/>
      <c r="V812" s="227">
        <v>20</v>
      </c>
      <c r="W812" s="281"/>
      <c r="X812" s="282">
        <v>20</v>
      </c>
      <c r="Y812" s="293">
        <f t="shared" si="35"/>
        <v>20</v>
      </c>
      <c r="Z812" s="175" t="s">
        <v>73</v>
      </c>
      <c r="AA812" s="342">
        <f>IFERROR(BASE_DATOS[[#This Row],[NSK Original]]-BASE_DATOS[[#This Row],[NSK]]," ")</f>
        <v>1.3999999999999986</v>
      </c>
      <c r="AB812" s="343">
        <f>'NSK-TRACTO'!$A$2</f>
        <v>6</v>
      </c>
      <c r="AC812" s="343">
        <f>IF(BASE_DATOS[[#This Row],[NSK]]&gt;=BASE_DATOS[[#This Row],[NSK Reen]],BASE_DATOS[[#This Row],[NSK Reen]],BASE_DATOS[[#This Row],[NSK]])</f>
        <v>6</v>
      </c>
      <c r="AD812" s="344">
        <f>IFERROR(100%-(BASE_DATOS[[#This Row],[NSK Reen]]/BASE_DATOS[[#This Row],[NSK Original]]),"")</f>
        <v>0.71962616822429903</v>
      </c>
      <c r="AE812" s="344">
        <f>IFERROR(100%-BASE_DATOS[[#This Row],[NSK]]/BASE_DATOS[[#This Row],[NSK Original]],"")</f>
        <v>6.5420560747663448E-2</v>
      </c>
      <c r="AF812" s="344">
        <f>IFERROR(BASE_DATOS[[#This Row],[% Max Des.]]-BASE_DATOS[[#This Row],[% Des]],"")</f>
        <v>0.65420560747663559</v>
      </c>
      <c r="AG812" s="287"/>
      <c r="AH812" s="273"/>
      <c r="AI812" s="363" t="str">
        <f>IF(OR(BASE_DATOS[[#This Row],[Hr.]]="",BASE_DATOS[[#This Row],[Hr. Actual]]=""),"",BASE_DATOS[[#This Row],[Hr. Actual]]-BASE_DATOS[[#This Row],[Hr.]]+BASE_DATOS[[#This Row],[Horas Acumuladas]])</f>
        <v/>
      </c>
      <c r="AJ812" s="364" t="str">
        <f>IFERROR(BASE_DATOS[[#This Row],[Precio US$]]/BASE_DATOS[[#This Row],[Horas Rodadas]],"")</f>
        <v/>
      </c>
      <c r="AK812" s="365" t="str">
        <f>IFERROR(BASE_DATOS[[#This Row],[Horas Rodadas]]/(BASE_DATOS[[#This Row],[NSK Original]]-BASE_DATOS[[#This Row],[NSK]]),"")</f>
        <v/>
      </c>
      <c r="AL81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12" s="366" t="str">
        <f>IFERROR(BASE_DATOS[[#This Row],[Precio US$]]/BASE_DATOS[[#This Row],[Horas Proy.]],"")</f>
        <v/>
      </c>
      <c r="AN812" s="171" t="str">
        <f>IF(OR(BASE_DATOS[[#This Row],[Km.]]="",BASE_DATOS[[#This Row],[Km. Actual]]=""),"",BASE_DATOS[[#This Row],[Km. Actual]]-BASE_DATOS[[#This Row],[Km.]]+BASE_DATOS[[#This Row],[Kilómetros Acumulados]])</f>
        <v/>
      </c>
      <c r="AO812" s="172" t="str">
        <f>IFERROR(BASE_DATOS[[#This Row],[Precio US$]]/BASE_DATOS[[#This Row],[Kilómetros Rodados]],"")</f>
        <v/>
      </c>
      <c r="AP812" s="171" t="str">
        <f>IFERROR(BASE_DATOS[[#This Row],[Kilómetros Rodados]]/(BASE_DATOS[[#This Row],[NSK Original]]-BASE_DATOS[[#This Row],[NSK]]),"")</f>
        <v/>
      </c>
      <c r="AQ812" s="17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12" s="172" t="str">
        <f>IFERROR(BASE_DATOS[[#This Row],[Precio US$]]/BASE_DATOS[[#This Row],[Kilómetros Proy.]],"")</f>
        <v/>
      </c>
      <c r="AS812" s="170" t="s">
        <v>62</v>
      </c>
      <c r="AT812" s="170"/>
      <c r="AU812" s="170"/>
      <c r="AV812" s="170"/>
      <c r="AW812" s="174"/>
      <c r="AX812" s="174"/>
      <c r="AY812" s="174" t="str">
        <f>CONCATENATE(BASE_DATOS[[#This Row],[Código_U]]&amp;BASE_DATOS[[#This Row],[Pos.]]&amp;BASE_DATOS[[#This Row],[Situación Actual]])</f>
        <v>SR-246RTRodando</v>
      </c>
    </row>
    <row r="813" spans="1:51" ht="12" x14ac:dyDescent="0.25">
      <c r="A813" s="222" t="s">
        <v>457</v>
      </c>
      <c r="B813" s="213" t="s">
        <v>348</v>
      </c>
      <c r="C813" s="225" t="s">
        <v>295</v>
      </c>
      <c r="D813" s="226" t="s">
        <v>87</v>
      </c>
      <c r="E813" s="249"/>
      <c r="F813" s="250" t="s">
        <v>97</v>
      </c>
      <c r="G813" s="250" t="s">
        <v>269</v>
      </c>
      <c r="H813" s="251" t="str">
        <f>IF(BASE_DATOS[[#This Row],[N-R]]="N",BASE_DATOS[[#This Row],[Diseño]],"Reencauche")</f>
        <v>AGC28</v>
      </c>
      <c r="I813" s="250" t="s">
        <v>270</v>
      </c>
      <c r="J813" s="235" t="s">
        <v>72</v>
      </c>
      <c r="K813" s="252">
        <v>16.5</v>
      </c>
      <c r="L813" s="250">
        <v>110</v>
      </c>
      <c r="M813" s="253"/>
      <c r="N813" s="254"/>
      <c r="O813" s="274"/>
      <c r="P813" s="275"/>
      <c r="Q813" s="276"/>
      <c r="R813" s="305" t="s">
        <v>98</v>
      </c>
      <c r="S813" s="306">
        <v>45385</v>
      </c>
      <c r="T813" s="314"/>
      <c r="U813" s="276"/>
      <c r="V813" s="224">
        <v>14</v>
      </c>
      <c r="W813" s="325">
        <v>14</v>
      </c>
      <c r="X813" s="326">
        <v>14</v>
      </c>
      <c r="Y813" s="292">
        <f t="shared" ref="Y813:Y820" si="36">IFERROR(MIN(V813:X813),"")</f>
        <v>14</v>
      </c>
      <c r="Z813" s="185" t="s">
        <v>85</v>
      </c>
      <c r="AA813" s="339">
        <f>IFERROR(BASE_DATOS[[#This Row],[NSK Original]]-BASE_DATOS[[#This Row],[NSK]]," ")</f>
        <v>2.5</v>
      </c>
      <c r="AB813" s="340">
        <f>'NSK-TRACTO'!$A$2</f>
        <v>6</v>
      </c>
      <c r="AC813" s="340">
        <f>IF(BASE_DATOS[[#This Row],[NSK]]&gt;=BASE_DATOS[[#This Row],[NSK Reen]],BASE_DATOS[[#This Row],[NSK Reen]],BASE_DATOS[[#This Row],[NSK]])</f>
        <v>6</v>
      </c>
      <c r="AD813" s="341">
        <f>IFERROR(100%-(BASE_DATOS[[#This Row],[NSK Reen]]/BASE_DATOS[[#This Row],[NSK Original]]),"")</f>
        <v>0.63636363636363635</v>
      </c>
      <c r="AE813" s="341">
        <f>IFERROR(100%-BASE_DATOS[[#This Row],[NSK]]/BASE_DATOS[[#This Row],[NSK Original]],"")</f>
        <v>0.15151515151515149</v>
      </c>
      <c r="AF813" s="341">
        <f>IFERROR(BASE_DATOS[[#This Row],[% Max Des.]]-BASE_DATOS[[#This Row],[% Des]],"")</f>
        <v>0.48484848484848486</v>
      </c>
      <c r="AG813" s="284"/>
      <c r="AH813" s="335"/>
      <c r="AI813" s="359" t="str">
        <f>IF(OR(BASE_DATOS[[#This Row],[Hr.]]="",BASE_DATOS[[#This Row],[Hr. Actual]]=""),"",BASE_DATOS[[#This Row],[Hr. Actual]]-BASE_DATOS[[#This Row],[Hr.]]+BASE_DATOS[[#This Row],[Horas Acumuladas]])</f>
        <v/>
      </c>
      <c r="AJ813" s="360" t="str">
        <f>IFERROR(BASE_DATOS[[#This Row],[Precio US$]]/BASE_DATOS[[#This Row],[Horas Rodadas]],"")</f>
        <v/>
      </c>
      <c r="AK813" s="361" t="str">
        <f>IFERROR(BASE_DATOS[[#This Row],[Horas Rodadas]]/(BASE_DATOS[[#This Row],[NSK Original]]-BASE_DATOS[[#This Row],[NSK]]),"")</f>
        <v/>
      </c>
      <c r="AL813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13" s="362" t="str">
        <f>IFERROR(BASE_DATOS[[#This Row],[Precio US$]]/BASE_DATOS[[#This Row],[Horas Proy.]],"")</f>
        <v/>
      </c>
      <c r="AN813" s="199" t="str">
        <f>IF(OR(BASE_DATOS[[#This Row],[Km.]]="",BASE_DATOS[[#This Row],[Km. Actual]]=""),"",BASE_DATOS[[#This Row],[Km. Actual]]-BASE_DATOS[[#This Row],[Km.]]+BASE_DATOS[[#This Row],[Kilómetros Acumulados]])</f>
        <v/>
      </c>
      <c r="AO813" s="200" t="str">
        <f>IFERROR(BASE_DATOS[[#This Row],[Precio US$]]/BASE_DATOS[[#This Row],[Kilómetros Rodados]],"")</f>
        <v/>
      </c>
      <c r="AP813" s="199" t="str">
        <f>IFERROR(BASE_DATOS[[#This Row],[Kilómetros Rodados]]/(BASE_DATOS[[#This Row],[NSK Original]]-BASE_DATOS[[#This Row],[NSK]]),"")</f>
        <v/>
      </c>
      <c r="AQ813" s="19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13" s="200" t="str">
        <f>IFERROR(BASE_DATOS[[#This Row],[Precio US$]]/BASE_DATOS[[#This Row],[Kilómetros Proy.]],"")</f>
        <v/>
      </c>
      <c r="AS813" s="201" t="s">
        <v>62</v>
      </c>
      <c r="AT813" s="201"/>
      <c r="AU813" s="201"/>
      <c r="AV813" s="201"/>
      <c r="AW813" s="203"/>
      <c r="AX813" s="203"/>
      <c r="AY813" s="203" t="str">
        <f>CONCATENATE(BASE_DATOS[[#This Row],[Código_U]]&amp;BASE_DATOS[[#This Row],[Pos.]]&amp;BASE_DATOS[[#This Row],[Situación Actual]])</f>
        <v>SR-2521Rodando</v>
      </c>
    </row>
    <row r="814" spans="1:51" ht="12" x14ac:dyDescent="0.25">
      <c r="A814" s="223" t="s">
        <v>457</v>
      </c>
      <c r="B814" s="217" t="s">
        <v>348</v>
      </c>
      <c r="C814" s="228" t="s">
        <v>295</v>
      </c>
      <c r="D814" s="229" t="s">
        <v>87</v>
      </c>
      <c r="E814" s="255"/>
      <c r="F814" s="256" t="s">
        <v>97</v>
      </c>
      <c r="G814" s="256" t="s">
        <v>269</v>
      </c>
      <c r="H814" s="257" t="str">
        <f>IF(BASE_DATOS[[#This Row],[N-R]]="N",BASE_DATOS[[#This Row],[Diseño]],"Reencauche")</f>
        <v>AGC28</v>
      </c>
      <c r="I814" s="256" t="s">
        <v>270</v>
      </c>
      <c r="J814" s="243" t="s">
        <v>72</v>
      </c>
      <c r="K814" s="258">
        <v>16.5</v>
      </c>
      <c r="L814" s="256">
        <v>110</v>
      </c>
      <c r="M814" s="259"/>
      <c r="N814" s="260"/>
      <c r="O814" s="277"/>
      <c r="P814" s="278"/>
      <c r="Q814" s="279"/>
      <c r="R814" s="309" t="s">
        <v>99</v>
      </c>
      <c r="S814" s="310">
        <v>45385</v>
      </c>
      <c r="T814" s="313"/>
      <c r="U814" s="279"/>
      <c r="V814" s="227">
        <v>14</v>
      </c>
      <c r="W814" s="281">
        <v>14</v>
      </c>
      <c r="X814" s="282">
        <v>14</v>
      </c>
      <c r="Y814" s="293">
        <f t="shared" si="36"/>
        <v>14</v>
      </c>
      <c r="Z814" s="175" t="s">
        <v>73</v>
      </c>
      <c r="AA814" s="342">
        <f>IFERROR(BASE_DATOS[[#This Row],[NSK Original]]-BASE_DATOS[[#This Row],[NSK]]," ")</f>
        <v>2.5</v>
      </c>
      <c r="AB814" s="343">
        <f>'NSK-TRACTO'!$A$2</f>
        <v>6</v>
      </c>
      <c r="AC814" s="343">
        <f>IF(BASE_DATOS[[#This Row],[NSK]]&gt;=BASE_DATOS[[#This Row],[NSK Reen]],BASE_DATOS[[#This Row],[NSK Reen]],BASE_DATOS[[#This Row],[NSK]])</f>
        <v>6</v>
      </c>
      <c r="AD814" s="344">
        <f>IFERROR(100%-(BASE_DATOS[[#This Row],[NSK Reen]]/BASE_DATOS[[#This Row],[NSK Original]]),"")</f>
        <v>0.63636363636363635</v>
      </c>
      <c r="AE814" s="344">
        <f>IFERROR(100%-BASE_DATOS[[#This Row],[NSK]]/BASE_DATOS[[#This Row],[NSK Original]],"")</f>
        <v>0.15151515151515149</v>
      </c>
      <c r="AF814" s="344">
        <f>IFERROR(BASE_DATOS[[#This Row],[% Max Des.]]-BASE_DATOS[[#This Row],[% Des]],"")</f>
        <v>0.48484848484848486</v>
      </c>
      <c r="AG814" s="287"/>
      <c r="AH814" s="273"/>
      <c r="AI814" s="363" t="str">
        <f>IF(OR(BASE_DATOS[[#This Row],[Hr.]]="",BASE_DATOS[[#This Row],[Hr. Actual]]=""),"",BASE_DATOS[[#This Row],[Hr. Actual]]-BASE_DATOS[[#This Row],[Hr.]]+BASE_DATOS[[#This Row],[Horas Acumuladas]])</f>
        <v/>
      </c>
      <c r="AJ814" s="364" t="str">
        <f>IFERROR(BASE_DATOS[[#This Row],[Precio US$]]/BASE_DATOS[[#This Row],[Horas Rodadas]],"")</f>
        <v/>
      </c>
      <c r="AK814" s="365" t="str">
        <f>IFERROR(BASE_DATOS[[#This Row],[Horas Rodadas]]/(BASE_DATOS[[#This Row],[NSK Original]]-BASE_DATOS[[#This Row],[NSK]]),"")</f>
        <v/>
      </c>
      <c r="AL81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14" s="366" t="str">
        <f>IFERROR(BASE_DATOS[[#This Row],[Precio US$]]/BASE_DATOS[[#This Row],[Horas Proy.]],"")</f>
        <v/>
      </c>
      <c r="AN814" s="176" t="str">
        <f>IF(OR(BASE_DATOS[[#This Row],[Km.]]="",BASE_DATOS[[#This Row],[Km. Actual]]=""),"",BASE_DATOS[[#This Row],[Km. Actual]]-BASE_DATOS[[#This Row],[Km.]]+BASE_DATOS[[#This Row],[Kilómetros Acumulados]])</f>
        <v/>
      </c>
      <c r="AO814" s="177" t="str">
        <f>IFERROR(BASE_DATOS[[#This Row],[Precio US$]]/BASE_DATOS[[#This Row],[Kilómetros Rodados]],"")</f>
        <v/>
      </c>
      <c r="AP814" s="176" t="str">
        <f>IFERROR(BASE_DATOS[[#This Row],[Kilómetros Rodados]]/(BASE_DATOS[[#This Row],[NSK Original]]-BASE_DATOS[[#This Row],[NSK]]),"")</f>
        <v/>
      </c>
      <c r="AQ81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14" s="177" t="str">
        <f>IFERROR(BASE_DATOS[[#This Row],[Precio US$]]/BASE_DATOS[[#This Row],[Kilómetros Proy.]],"")</f>
        <v/>
      </c>
      <c r="AS814" s="170" t="s">
        <v>62</v>
      </c>
      <c r="AT814" s="170"/>
      <c r="AU814" s="170"/>
      <c r="AV814" s="170"/>
      <c r="AW814" s="179"/>
      <c r="AX814" s="179"/>
      <c r="AY814" s="179" t="str">
        <f>CONCATENATE(BASE_DATOS[[#This Row],[Código_U]]&amp;BASE_DATOS[[#This Row],[Pos.]]&amp;BASE_DATOS[[#This Row],[Situación Actual]])</f>
        <v>SR-2522Rodando</v>
      </c>
    </row>
    <row r="815" spans="1:51" ht="12" x14ac:dyDescent="0.25">
      <c r="A815" s="223" t="s">
        <v>457</v>
      </c>
      <c r="B815" s="217" t="s">
        <v>348</v>
      </c>
      <c r="C815" s="228" t="s">
        <v>295</v>
      </c>
      <c r="D815" s="229" t="s">
        <v>87</v>
      </c>
      <c r="E815" s="255"/>
      <c r="F815" s="256" t="s">
        <v>97</v>
      </c>
      <c r="G815" s="256" t="s">
        <v>269</v>
      </c>
      <c r="H815" s="257" t="str">
        <f>IF(BASE_DATOS[[#This Row],[N-R]]="N",BASE_DATOS[[#This Row],[Diseño]],"Reencauche")</f>
        <v>AGC28</v>
      </c>
      <c r="I815" s="256" t="s">
        <v>270</v>
      </c>
      <c r="J815" s="243" t="s">
        <v>72</v>
      </c>
      <c r="K815" s="258">
        <v>16.5</v>
      </c>
      <c r="L815" s="256">
        <v>110</v>
      </c>
      <c r="M815" s="259"/>
      <c r="N815" s="260"/>
      <c r="O815" s="277"/>
      <c r="P815" s="278"/>
      <c r="Q815" s="279"/>
      <c r="R815" s="309" t="s">
        <v>100</v>
      </c>
      <c r="S815" s="310">
        <v>45385</v>
      </c>
      <c r="T815" s="313"/>
      <c r="U815" s="279"/>
      <c r="V815" s="227">
        <v>14</v>
      </c>
      <c r="W815" s="281">
        <v>14</v>
      </c>
      <c r="X815" s="282">
        <v>14</v>
      </c>
      <c r="Y815" s="293">
        <f t="shared" si="36"/>
        <v>14</v>
      </c>
      <c r="Z815" s="161" t="s">
        <v>85</v>
      </c>
      <c r="AA815" s="342">
        <f>IFERROR(BASE_DATOS[[#This Row],[NSK Original]]-BASE_DATOS[[#This Row],[NSK]]," ")</f>
        <v>2.5</v>
      </c>
      <c r="AB815" s="343">
        <f>'NSK-TRACTO'!$A$2</f>
        <v>6</v>
      </c>
      <c r="AC815" s="343">
        <f>IF(BASE_DATOS[[#This Row],[NSK]]&gt;=BASE_DATOS[[#This Row],[NSK Reen]],BASE_DATOS[[#This Row],[NSK Reen]],BASE_DATOS[[#This Row],[NSK]])</f>
        <v>6</v>
      </c>
      <c r="AD815" s="344">
        <f>IFERROR(100%-(BASE_DATOS[[#This Row],[NSK Reen]]/BASE_DATOS[[#This Row],[NSK Original]]),"")</f>
        <v>0.63636363636363635</v>
      </c>
      <c r="AE815" s="344">
        <f>IFERROR(100%-BASE_DATOS[[#This Row],[NSK]]/BASE_DATOS[[#This Row],[NSK Original]],"")</f>
        <v>0.15151515151515149</v>
      </c>
      <c r="AF815" s="344">
        <f>IFERROR(BASE_DATOS[[#This Row],[% Max Des.]]-BASE_DATOS[[#This Row],[% Des]],"")</f>
        <v>0.48484848484848486</v>
      </c>
      <c r="AG815" s="287"/>
      <c r="AH815" s="273"/>
      <c r="AI815" s="363" t="str">
        <f>IF(OR(BASE_DATOS[[#This Row],[Hr.]]="",BASE_DATOS[[#This Row],[Hr. Actual]]=""),"",BASE_DATOS[[#This Row],[Hr. Actual]]-BASE_DATOS[[#This Row],[Hr.]]+BASE_DATOS[[#This Row],[Horas Acumuladas]])</f>
        <v/>
      </c>
      <c r="AJ815" s="364" t="str">
        <f>IFERROR(BASE_DATOS[[#This Row],[Precio US$]]/BASE_DATOS[[#This Row],[Horas Rodadas]],"")</f>
        <v/>
      </c>
      <c r="AK815" s="365" t="str">
        <f>IFERROR(BASE_DATOS[[#This Row],[Horas Rodadas]]/(BASE_DATOS[[#This Row],[NSK Original]]-BASE_DATOS[[#This Row],[NSK]]),"")</f>
        <v/>
      </c>
      <c r="AL81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15" s="366" t="str">
        <f>IFERROR(BASE_DATOS[[#This Row],[Precio US$]]/BASE_DATOS[[#This Row],[Horas Proy.]],"")</f>
        <v/>
      </c>
      <c r="AN815" s="176" t="str">
        <f>IF(OR(BASE_DATOS[[#This Row],[Km.]]="",BASE_DATOS[[#This Row],[Km. Actual]]=""),"",BASE_DATOS[[#This Row],[Km. Actual]]-BASE_DATOS[[#This Row],[Km.]]+BASE_DATOS[[#This Row],[Kilómetros Acumulados]])</f>
        <v/>
      </c>
      <c r="AO815" s="177" t="str">
        <f>IFERROR(BASE_DATOS[[#This Row],[Precio US$]]/BASE_DATOS[[#This Row],[Kilómetros Rodados]],"")</f>
        <v/>
      </c>
      <c r="AP815" s="176" t="str">
        <f>IFERROR(BASE_DATOS[[#This Row],[Kilómetros Rodados]]/(BASE_DATOS[[#This Row],[NSK Original]]-BASE_DATOS[[#This Row],[NSK]]),"")</f>
        <v/>
      </c>
      <c r="AQ81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15" s="177" t="str">
        <f>IFERROR(BASE_DATOS[[#This Row],[Precio US$]]/BASE_DATOS[[#This Row],[Kilómetros Proy.]],"")</f>
        <v/>
      </c>
      <c r="AS815" s="170" t="s">
        <v>62</v>
      </c>
      <c r="AT815" s="170"/>
      <c r="AU815" s="170"/>
      <c r="AV815" s="170"/>
      <c r="AW815" s="179"/>
      <c r="AX815" s="179"/>
      <c r="AY815" s="179" t="str">
        <f>CONCATENATE(BASE_DATOS[[#This Row],[Código_U]]&amp;BASE_DATOS[[#This Row],[Pos.]]&amp;BASE_DATOS[[#This Row],[Situación Actual]])</f>
        <v>SR-2523Rodando</v>
      </c>
    </row>
    <row r="816" spans="1:51" ht="12" x14ac:dyDescent="0.25">
      <c r="A816" s="223" t="s">
        <v>457</v>
      </c>
      <c r="B816" s="217" t="s">
        <v>348</v>
      </c>
      <c r="C816" s="228" t="s">
        <v>295</v>
      </c>
      <c r="D816" s="229" t="s">
        <v>87</v>
      </c>
      <c r="E816" s="255"/>
      <c r="F816" s="256" t="s">
        <v>97</v>
      </c>
      <c r="G816" s="256" t="s">
        <v>269</v>
      </c>
      <c r="H816" s="257" t="str">
        <f>IF(BASE_DATOS[[#This Row],[N-R]]="N",BASE_DATOS[[#This Row],[Diseño]],"Reencauche")</f>
        <v>AGC28</v>
      </c>
      <c r="I816" s="256" t="s">
        <v>270</v>
      </c>
      <c r="J816" s="243" t="s">
        <v>72</v>
      </c>
      <c r="K816" s="258">
        <v>16.5</v>
      </c>
      <c r="L816" s="256">
        <v>110</v>
      </c>
      <c r="M816" s="259"/>
      <c r="N816" s="260"/>
      <c r="O816" s="277"/>
      <c r="P816" s="278"/>
      <c r="Q816" s="279"/>
      <c r="R816" s="309" t="s">
        <v>101</v>
      </c>
      <c r="S816" s="310">
        <v>45385</v>
      </c>
      <c r="T816" s="313"/>
      <c r="U816" s="279"/>
      <c r="V816" s="227">
        <v>14</v>
      </c>
      <c r="W816" s="281">
        <v>14</v>
      </c>
      <c r="X816" s="282">
        <v>14</v>
      </c>
      <c r="Y816" s="293">
        <f t="shared" si="36"/>
        <v>14</v>
      </c>
      <c r="Z816" s="175" t="s">
        <v>73</v>
      </c>
      <c r="AA816" s="342">
        <f>IFERROR(BASE_DATOS[[#This Row],[NSK Original]]-BASE_DATOS[[#This Row],[NSK]]," ")</f>
        <v>2.5</v>
      </c>
      <c r="AB816" s="343">
        <f>'NSK-TRACTO'!$A$2</f>
        <v>6</v>
      </c>
      <c r="AC816" s="343">
        <f>IF(BASE_DATOS[[#This Row],[NSK]]&gt;=BASE_DATOS[[#This Row],[NSK Reen]],BASE_DATOS[[#This Row],[NSK Reen]],BASE_DATOS[[#This Row],[NSK]])</f>
        <v>6</v>
      </c>
      <c r="AD816" s="344">
        <f>IFERROR(100%-(BASE_DATOS[[#This Row],[NSK Reen]]/BASE_DATOS[[#This Row],[NSK Original]]),"")</f>
        <v>0.63636363636363635</v>
      </c>
      <c r="AE816" s="344">
        <f>IFERROR(100%-BASE_DATOS[[#This Row],[NSK]]/BASE_DATOS[[#This Row],[NSK Original]],"")</f>
        <v>0.15151515151515149</v>
      </c>
      <c r="AF816" s="344">
        <f>IFERROR(BASE_DATOS[[#This Row],[% Max Des.]]-BASE_DATOS[[#This Row],[% Des]],"")</f>
        <v>0.48484848484848486</v>
      </c>
      <c r="AG816" s="287"/>
      <c r="AH816" s="273"/>
      <c r="AI816" s="363" t="str">
        <f>IF(OR(BASE_DATOS[[#This Row],[Hr.]]="",BASE_DATOS[[#This Row],[Hr. Actual]]=""),"",BASE_DATOS[[#This Row],[Hr. Actual]]-BASE_DATOS[[#This Row],[Hr.]]+BASE_DATOS[[#This Row],[Horas Acumuladas]])</f>
        <v/>
      </c>
      <c r="AJ816" s="364" t="str">
        <f>IFERROR(BASE_DATOS[[#This Row],[Precio US$]]/BASE_DATOS[[#This Row],[Horas Rodadas]],"")</f>
        <v/>
      </c>
      <c r="AK816" s="365" t="str">
        <f>IFERROR(BASE_DATOS[[#This Row],[Horas Rodadas]]/(BASE_DATOS[[#This Row],[NSK Original]]-BASE_DATOS[[#This Row],[NSK]]),"")</f>
        <v/>
      </c>
      <c r="AL81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16" s="366" t="str">
        <f>IFERROR(BASE_DATOS[[#This Row],[Precio US$]]/BASE_DATOS[[#This Row],[Horas Proy.]],"")</f>
        <v/>
      </c>
      <c r="AN816" s="176" t="str">
        <f>IF(OR(BASE_DATOS[[#This Row],[Km.]]="",BASE_DATOS[[#This Row],[Km. Actual]]=""),"",BASE_DATOS[[#This Row],[Km. Actual]]-BASE_DATOS[[#This Row],[Km.]]+BASE_DATOS[[#This Row],[Kilómetros Acumulados]])</f>
        <v/>
      </c>
      <c r="AO816" s="177" t="str">
        <f>IFERROR(BASE_DATOS[[#This Row],[Precio US$]]/BASE_DATOS[[#This Row],[Kilómetros Rodados]],"")</f>
        <v/>
      </c>
      <c r="AP816" s="176" t="str">
        <f>IFERROR(BASE_DATOS[[#This Row],[Kilómetros Rodados]]/(BASE_DATOS[[#This Row],[NSK Original]]-BASE_DATOS[[#This Row],[NSK]]),"")</f>
        <v/>
      </c>
      <c r="AQ81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16" s="177" t="str">
        <f>IFERROR(BASE_DATOS[[#This Row],[Precio US$]]/BASE_DATOS[[#This Row],[Kilómetros Proy.]],"")</f>
        <v/>
      </c>
      <c r="AS816" s="170" t="s">
        <v>62</v>
      </c>
      <c r="AT816" s="170"/>
      <c r="AU816" s="170"/>
      <c r="AV816" s="170"/>
      <c r="AW816" s="179"/>
      <c r="AX816" s="179"/>
      <c r="AY816" s="179" t="str">
        <f>CONCATENATE(BASE_DATOS[[#This Row],[Código_U]]&amp;BASE_DATOS[[#This Row],[Pos.]]&amp;BASE_DATOS[[#This Row],[Situación Actual]])</f>
        <v>SR-2524Rodando</v>
      </c>
    </row>
    <row r="817" spans="1:51" ht="12" x14ac:dyDescent="0.25">
      <c r="A817" s="223" t="s">
        <v>457</v>
      </c>
      <c r="B817" s="217" t="s">
        <v>348</v>
      </c>
      <c r="C817" s="228" t="s">
        <v>295</v>
      </c>
      <c r="D817" s="229" t="s">
        <v>87</v>
      </c>
      <c r="E817" s="255"/>
      <c r="F817" s="256" t="s">
        <v>97</v>
      </c>
      <c r="G817" s="256" t="s">
        <v>269</v>
      </c>
      <c r="H817" s="257" t="str">
        <f>IF(BASE_DATOS[[#This Row],[N-R]]="N",BASE_DATOS[[#This Row],[Diseño]],"Reencauche")</f>
        <v>AGC28</v>
      </c>
      <c r="I817" s="256" t="s">
        <v>270</v>
      </c>
      <c r="J817" s="243" t="s">
        <v>72</v>
      </c>
      <c r="K817" s="258">
        <v>16.5</v>
      </c>
      <c r="L817" s="256">
        <v>110</v>
      </c>
      <c r="M817" s="259"/>
      <c r="N817" s="260"/>
      <c r="O817" s="277"/>
      <c r="P817" s="278"/>
      <c r="Q817" s="279"/>
      <c r="R817" s="309" t="s">
        <v>102</v>
      </c>
      <c r="S817" s="310">
        <v>45385</v>
      </c>
      <c r="T817" s="313"/>
      <c r="U817" s="279"/>
      <c r="V817" s="227">
        <v>12</v>
      </c>
      <c r="W817" s="281">
        <v>12</v>
      </c>
      <c r="X817" s="282">
        <v>12</v>
      </c>
      <c r="Y817" s="293">
        <f t="shared" si="36"/>
        <v>12</v>
      </c>
      <c r="Z817" s="175" t="s">
        <v>73</v>
      </c>
      <c r="AA817" s="342">
        <f>IFERROR(BASE_DATOS[[#This Row],[NSK Original]]-BASE_DATOS[[#This Row],[NSK]]," ")</f>
        <v>4.5</v>
      </c>
      <c r="AB817" s="343">
        <f>'NSK-TRACTO'!$A$2</f>
        <v>6</v>
      </c>
      <c r="AC817" s="343">
        <f>IF(BASE_DATOS[[#This Row],[NSK]]&gt;=BASE_DATOS[[#This Row],[NSK Reen]],BASE_DATOS[[#This Row],[NSK Reen]],BASE_DATOS[[#This Row],[NSK]])</f>
        <v>6</v>
      </c>
      <c r="AD817" s="344">
        <f>IFERROR(100%-(BASE_DATOS[[#This Row],[NSK Reen]]/BASE_DATOS[[#This Row],[NSK Original]]),"")</f>
        <v>0.63636363636363635</v>
      </c>
      <c r="AE817" s="344">
        <f>IFERROR(100%-BASE_DATOS[[#This Row],[NSK]]/BASE_DATOS[[#This Row],[NSK Original]],"")</f>
        <v>0.27272727272727271</v>
      </c>
      <c r="AF817" s="344">
        <f>IFERROR(BASE_DATOS[[#This Row],[% Max Des.]]-BASE_DATOS[[#This Row],[% Des]],"")</f>
        <v>0.36363636363636365</v>
      </c>
      <c r="AG817" s="287"/>
      <c r="AH817" s="273"/>
      <c r="AI817" s="363" t="str">
        <f>IF(OR(BASE_DATOS[[#This Row],[Hr.]]="",BASE_DATOS[[#This Row],[Hr. Actual]]=""),"",BASE_DATOS[[#This Row],[Hr. Actual]]-BASE_DATOS[[#This Row],[Hr.]]+BASE_DATOS[[#This Row],[Horas Acumuladas]])</f>
        <v/>
      </c>
      <c r="AJ817" s="364" t="str">
        <f>IFERROR(BASE_DATOS[[#This Row],[Precio US$]]/BASE_DATOS[[#This Row],[Horas Rodadas]],"")</f>
        <v/>
      </c>
      <c r="AK817" s="365" t="str">
        <f>IFERROR(BASE_DATOS[[#This Row],[Horas Rodadas]]/(BASE_DATOS[[#This Row],[NSK Original]]-BASE_DATOS[[#This Row],[NSK]]),"")</f>
        <v/>
      </c>
      <c r="AL81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17" s="366" t="str">
        <f>IFERROR(BASE_DATOS[[#This Row],[Precio US$]]/BASE_DATOS[[#This Row],[Horas Proy.]],"")</f>
        <v/>
      </c>
      <c r="AN817" s="176" t="str">
        <f>IF(OR(BASE_DATOS[[#This Row],[Km.]]="",BASE_DATOS[[#This Row],[Km. Actual]]=""),"",BASE_DATOS[[#This Row],[Km. Actual]]-BASE_DATOS[[#This Row],[Km.]]+BASE_DATOS[[#This Row],[Kilómetros Acumulados]])</f>
        <v/>
      </c>
      <c r="AO817" s="177" t="str">
        <f>IFERROR(BASE_DATOS[[#This Row],[Precio US$]]/BASE_DATOS[[#This Row],[Kilómetros Rodados]],"")</f>
        <v/>
      </c>
      <c r="AP817" s="176" t="str">
        <f>IFERROR(BASE_DATOS[[#This Row],[Kilómetros Rodados]]/(BASE_DATOS[[#This Row],[NSK Original]]-BASE_DATOS[[#This Row],[NSK]]),"")</f>
        <v/>
      </c>
      <c r="AQ81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17" s="177" t="str">
        <f>IFERROR(BASE_DATOS[[#This Row],[Precio US$]]/BASE_DATOS[[#This Row],[Kilómetros Proy.]],"")</f>
        <v/>
      </c>
      <c r="AS817" s="170" t="s">
        <v>62</v>
      </c>
      <c r="AT817" s="170"/>
      <c r="AU817" s="170"/>
      <c r="AV817" s="170"/>
      <c r="AW817" s="179"/>
      <c r="AX817" s="179"/>
      <c r="AY817" s="179" t="str">
        <f>CONCATENATE(BASE_DATOS[[#This Row],[Código_U]]&amp;BASE_DATOS[[#This Row],[Pos.]]&amp;BASE_DATOS[[#This Row],[Situación Actual]])</f>
        <v>SR-2525Rodando</v>
      </c>
    </row>
    <row r="818" spans="1:51" ht="12" x14ac:dyDescent="0.25">
      <c r="A818" s="223" t="s">
        <v>457</v>
      </c>
      <c r="B818" s="217" t="s">
        <v>348</v>
      </c>
      <c r="C818" s="228" t="s">
        <v>295</v>
      </c>
      <c r="D818" s="229" t="s">
        <v>87</v>
      </c>
      <c r="E818" s="255"/>
      <c r="F818" s="256" t="s">
        <v>97</v>
      </c>
      <c r="G818" s="256" t="s">
        <v>269</v>
      </c>
      <c r="H818" s="257" t="str">
        <f>IF(BASE_DATOS[[#This Row],[N-R]]="N",BASE_DATOS[[#This Row],[Diseño]],"Reencauche")</f>
        <v>AGC28</v>
      </c>
      <c r="I818" s="256" t="s">
        <v>270</v>
      </c>
      <c r="J818" s="243" t="s">
        <v>72</v>
      </c>
      <c r="K818" s="258">
        <v>16.5</v>
      </c>
      <c r="L818" s="256">
        <v>110</v>
      </c>
      <c r="M818" s="259"/>
      <c r="N818" s="260"/>
      <c r="O818" s="277"/>
      <c r="P818" s="278"/>
      <c r="Q818" s="279"/>
      <c r="R818" s="309" t="s">
        <v>103</v>
      </c>
      <c r="S818" s="310">
        <v>45385</v>
      </c>
      <c r="T818" s="313"/>
      <c r="U818" s="279"/>
      <c r="V818" s="227">
        <v>11</v>
      </c>
      <c r="W818" s="281">
        <v>11</v>
      </c>
      <c r="X818" s="282">
        <v>11</v>
      </c>
      <c r="Y818" s="293">
        <f t="shared" si="36"/>
        <v>11</v>
      </c>
      <c r="Z818" s="175" t="s">
        <v>73</v>
      </c>
      <c r="AA818" s="342">
        <f>IFERROR(BASE_DATOS[[#This Row],[NSK Original]]-BASE_DATOS[[#This Row],[NSK]]," ")</f>
        <v>5.5</v>
      </c>
      <c r="AB818" s="343">
        <f>'NSK-TRACTO'!$A$2</f>
        <v>6</v>
      </c>
      <c r="AC818" s="343">
        <f>IF(BASE_DATOS[[#This Row],[NSK]]&gt;=BASE_DATOS[[#This Row],[NSK Reen]],BASE_DATOS[[#This Row],[NSK Reen]],BASE_DATOS[[#This Row],[NSK]])</f>
        <v>6</v>
      </c>
      <c r="AD818" s="344">
        <f>IFERROR(100%-(BASE_DATOS[[#This Row],[NSK Reen]]/BASE_DATOS[[#This Row],[NSK Original]]),"")</f>
        <v>0.63636363636363635</v>
      </c>
      <c r="AE818" s="344">
        <f>IFERROR(100%-BASE_DATOS[[#This Row],[NSK]]/BASE_DATOS[[#This Row],[NSK Original]],"")</f>
        <v>0.33333333333333337</v>
      </c>
      <c r="AF818" s="344">
        <f>IFERROR(BASE_DATOS[[#This Row],[% Max Des.]]-BASE_DATOS[[#This Row],[% Des]],"")</f>
        <v>0.30303030303030298</v>
      </c>
      <c r="AG818" s="287"/>
      <c r="AH818" s="273"/>
      <c r="AI818" s="363" t="str">
        <f>IF(OR(BASE_DATOS[[#This Row],[Hr.]]="",BASE_DATOS[[#This Row],[Hr. Actual]]=""),"",BASE_DATOS[[#This Row],[Hr. Actual]]-BASE_DATOS[[#This Row],[Hr.]]+BASE_DATOS[[#This Row],[Horas Acumuladas]])</f>
        <v/>
      </c>
      <c r="AJ818" s="364" t="str">
        <f>IFERROR(BASE_DATOS[[#This Row],[Precio US$]]/BASE_DATOS[[#This Row],[Horas Rodadas]],"")</f>
        <v/>
      </c>
      <c r="AK818" s="365" t="str">
        <f>IFERROR(BASE_DATOS[[#This Row],[Horas Rodadas]]/(BASE_DATOS[[#This Row],[NSK Original]]-BASE_DATOS[[#This Row],[NSK]]),"")</f>
        <v/>
      </c>
      <c r="AL81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18" s="366" t="str">
        <f>IFERROR(BASE_DATOS[[#This Row],[Precio US$]]/BASE_DATOS[[#This Row],[Horas Proy.]],"")</f>
        <v/>
      </c>
      <c r="AN818" s="176" t="str">
        <f>IF(OR(BASE_DATOS[[#This Row],[Km.]]="",BASE_DATOS[[#This Row],[Km. Actual]]=""),"",BASE_DATOS[[#This Row],[Km. Actual]]-BASE_DATOS[[#This Row],[Km.]]+BASE_DATOS[[#This Row],[Kilómetros Acumulados]])</f>
        <v/>
      </c>
      <c r="AO818" s="177" t="str">
        <f>IFERROR(BASE_DATOS[[#This Row],[Precio US$]]/BASE_DATOS[[#This Row],[Kilómetros Rodados]],"")</f>
        <v/>
      </c>
      <c r="AP818" s="176" t="str">
        <f>IFERROR(BASE_DATOS[[#This Row],[Kilómetros Rodados]]/(BASE_DATOS[[#This Row],[NSK Original]]-BASE_DATOS[[#This Row],[NSK]]),"")</f>
        <v/>
      </c>
      <c r="AQ81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18" s="177" t="str">
        <f>IFERROR(BASE_DATOS[[#This Row],[Precio US$]]/BASE_DATOS[[#This Row],[Kilómetros Proy.]],"")</f>
        <v/>
      </c>
      <c r="AS818" s="170" t="s">
        <v>62</v>
      </c>
      <c r="AT818" s="170"/>
      <c r="AU818" s="170"/>
      <c r="AV818" s="170"/>
      <c r="AW818" s="179"/>
      <c r="AX818" s="179"/>
      <c r="AY818" s="179" t="str">
        <f>CONCATENATE(BASE_DATOS[[#This Row],[Código_U]]&amp;BASE_DATOS[[#This Row],[Pos.]]&amp;BASE_DATOS[[#This Row],[Situación Actual]])</f>
        <v>SR-2526Rodando</v>
      </c>
    </row>
    <row r="819" spans="1:51" ht="12" x14ac:dyDescent="0.25">
      <c r="A819" s="223" t="s">
        <v>457</v>
      </c>
      <c r="B819" s="217" t="s">
        <v>348</v>
      </c>
      <c r="C819" s="228" t="s">
        <v>295</v>
      </c>
      <c r="D819" s="229" t="s">
        <v>384</v>
      </c>
      <c r="E819" s="255"/>
      <c r="F819" s="256" t="s">
        <v>97</v>
      </c>
      <c r="G819" s="256" t="s">
        <v>269</v>
      </c>
      <c r="H819" s="257" t="str">
        <f>IF(BASE_DATOS[[#This Row],[N-R]]="N",BASE_DATOS[[#This Row],[Diseño]],"Reencauche")</f>
        <v>AGC28</v>
      </c>
      <c r="I819" s="256" t="s">
        <v>270</v>
      </c>
      <c r="J819" s="243" t="s">
        <v>72</v>
      </c>
      <c r="K819" s="258">
        <v>16.5</v>
      </c>
      <c r="L819" s="256">
        <v>110</v>
      </c>
      <c r="M819" s="259"/>
      <c r="N819" s="260"/>
      <c r="O819" s="277"/>
      <c r="P819" s="278"/>
      <c r="Q819" s="279"/>
      <c r="R819" s="309" t="s">
        <v>509</v>
      </c>
      <c r="S819" s="310">
        <v>45385</v>
      </c>
      <c r="T819" s="313"/>
      <c r="U819" s="279"/>
      <c r="V819" s="227">
        <v>16</v>
      </c>
      <c r="W819" s="281">
        <v>16</v>
      </c>
      <c r="X819" s="282">
        <v>16</v>
      </c>
      <c r="Y819" s="293">
        <f t="shared" si="36"/>
        <v>16</v>
      </c>
      <c r="Z819" s="175" t="s">
        <v>73</v>
      </c>
      <c r="AA819" s="342">
        <f>IFERROR(BASE_DATOS[[#This Row],[NSK Original]]-BASE_DATOS[[#This Row],[NSK]]," ")</f>
        <v>0.5</v>
      </c>
      <c r="AB819" s="343">
        <f>'NSK-TRACTO'!$A$2</f>
        <v>6</v>
      </c>
      <c r="AC819" s="343">
        <f>IF(BASE_DATOS[[#This Row],[NSK]]&gt;=BASE_DATOS[[#This Row],[NSK Reen]],BASE_DATOS[[#This Row],[NSK Reen]],BASE_DATOS[[#This Row],[NSK]])</f>
        <v>6</v>
      </c>
      <c r="AD819" s="344">
        <f>IFERROR(100%-(BASE_DATOS[[#This Row],[NSK Reen]]/BASE_DATOS[[#This Row],[NSK Original]]),"")</f>
        <v>0.63636363636363635</v>
      </c>
      <c r="AE819" s="344">
        <f>IFERROR(100%-BASE_DATOS[[#This Row],[NSK]]/BASE_DATOS[[#This Row],[NSK Original]],"")</f>
        <v>3.0303030303030276E-2</v>
      </c>
      <c r="AF819" s="344">
        <f>IFERROR(BASE_DATOS[[#This Row],[% Max Des.]]-BASE_DATOS[[#This Row],[% Des]],"")</f>
        <v>0.60606060606060608</v>
      </c>
      <c r="AG819" s="287"/>
      <c r="AH819" s="273"/>
      <c r="AI819" s="363" t="str">
        <f>IF(OR(BASE_DATOS[[#This Row],[Hr.]]="",BASE_DATOS[[#This Row],[Hr. Actual]]=""),"",BASE_DATOS[[#This Row],[Hr. Actual]]-BASE_DATOS[[#This Row],[Hr.]]+BASE_DATOS[[#This Row],[Horas Acumuladas]])</f>
        <v/>
      </c>
      <c r="AJ819" s="364" t="str">
        <f>IFERROR(BASE_DATOS[[#This Row],[Precio US$]]/BASE_DATOS[[#This Row],[Horas Rodadas]],"")</f>
        <v/>
      </c>
      <c r="AK819" s="365" t="str">
        <f>IFERROR(BASE_DATOS[[#This Row],[Horas Rodadas]]/(BASE_DATOS[[#This Row],[NSK Original]]-BASE_DATOS[[#This Row],[NSK]]),"")</f>
        <v/>
      </c>
      <c r="AL81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19" s="366" t="str">
        <f>IFERROR(BASE_DATOS[[#This Row],[Precio US$]]/BASE_DATOS[[#This Row],[Horas Proy.]],"")</f>
        <v/>
      </c>
      <c r="AN819" s="176" t="str">
        <f>IF(OR(BASE_DATOS[[#This Row],[Km.]]="",BASE_DATOS[[#This Row],[Km. Actual]]=""),"",BASE_DATOS[[#This Row],[Km. Actual]]-BASE_DATOS[[#This Row],[Km.]]+BASE_DATOS[[#This Row],[Kilómetros Acumulados]])</f>
        <v/>
      </c>
      <c r="AO819" s="177" t="str">
        <f>IFERROR(BASE_DATOS[[#This Row],[Precio US$]]/BASE_DATOS[[#This Row],[Kilómetros Rodados]],"")</f>
        <v/>
      </c>
      <c r="AP819" s="176" t="str">
        <f>IFERROR(BASE_DATOS[[#This Row],[Kilómetros Rodados]]/(BASE_DATOS[[#This Row],[NSK Original]]-BASE_DATOS[[#This Row],[NSK]]),"")</f>
        <v/>
      </c>
      <c r="AQ81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19" s="177" t="str">
        <f>IFERROR(BASE_DATOS[[#This Row],[Precio US$]]/BASE_DATOS[[#This Row],[Kilómetros Proy.]],"")</f>
        <v/>
      </c>
      <c r="AS819" s="170" t="s">
        <v>62</v>
      </c>
      <c r="AT819" s="170"/>
      <c r="AU819" s="170"/>
      <c r="AV819" s="170"/>
      <c r="AW819" s="179"/>
      <c r="AX819" s="179"/>
      <c r="AY819" s="179" t="str">
        <f>CONCATENATE(BASE_DATOS[[#This Row],[Código_U]]&amp;BASE_DATOS[[#This Row],[Pos.]]&amp;BASE_DATOS[[#This Row],[Situación Actual]])</f>
        <v>SR-252RERodando</v>
      </c>
    </row>
    <row r="820" spans="1:51" ht="12" x14ac:dyDescent="0.25">
      <c r="A820" s="223" t="s">
        <v>457</v>
      </c>
      <c r="B820" s="217" t="s">
        <v>348</v>
      </c>
      <c r="C820" s="228" t="s">
        <v>295</v>
      </c>
      <c r="D820" s="229" t="s">
        <v>108</v>
      </c>
      <c r="E820" s="255"/>
      <c r="F820" s="256" t="s">
        <v>273</v>
      </c>
      <c r="G820" s="256" t="s">
        <v>271</v>
      </c>
      <c r="H820" s="257" t="str">
        <f>IF(BASE_DATOS[[#This Row],[N-R]]="N",BASE_DATOS[[#This Row],[Diseño]],"Reencauche")</f>
        <v>XMULTI2D</v>
      </c>
      <c r="I820" s="256" t="s">
        <v>299</v>
      </c>
      <c r="J820" s="243" t="s">
        <v>72</v>
      </c>
      <c r="K820" s="258">
        <v>21.4</v>
      </c>
      <c r="L820" s="256">
        <v>110</v>
      </c>
      <c r="M820" s="259"/>
      <c r="N820" s="260"/>
      <c r="O820" s="277"/>
      <c r="P820" s="278"/>
      <c r="Q820" s="279"/>
      <c r="R820" s="309" t="s">
        <v>108</v>
      </c>
      <c r="S820" s="310">
        <v>45385</v>
      </c>
      <c r="T820" s="313"/>
      <c r="U820" s="279"/>
      <c r="V820" s="227">
        <v>21</v>
      </c>
      <c r="W820" s="281"/>
      <c r="X820" s="282">
        <v>21</v>
      </c>
      <c r="Y820" s="293">
        <f t="shared" si="36"/>
        <v>21</v>
      </c>
      <c r="Z820" s="161" t="s">
        <v>85</v>
      </c>
      <c r="AA820" s="342">
        <f>IFERROR(BASE_DATOS[[#This Row],[NSK Original]]-BASE_DATOS[[#This Row],[NSK]]," ")</f>
        <v>0.39999999999999858</v>
      </c>
      <c r="AB820" s="343">
        <f>'NSK-TRACTO'!$A$2</f>
        <v>6</v>
      </c>
      <c r="AC820" s="343">
        <f>IF(BASE_DATOS[[#This Row],[NSK]]&gt;=BASE_DATOS[[#This Row],[NSK Reen]],BASE_DATOS[[#This Row],[NSK Reen]],BASE_DATOS[[#This Row],[NSK]])</f>
        <v>6</v>
      </c>
      <c r="AD820" s="344">
        <f>IFERROR(100%-(BASE_DATOS[[#This Row],[NSK Reen]]/BASE_DATOS[[#This Row],[NSK Original]]),"")</f>
        <v>0.71962616822429903</v>
      </c>
      <c r="AE820" s="344">
        <f>IFERROR(100%-BASE_DATOS[[#This Row],[NSK]]/BASE_DATOS[[#This Row],[NSK Original]],"")</f>
        <v>1.869158878504662E-2</v>
      </c>
      <c r="AF820" s="344">
        <f>IFERROR(BASE_DATOS[[#This Row],[% Max Des.]]-BASE_DATOS[[#This Row],[% Des]],"")</f>
        <v>0.70093457943925241</v>
      </c>
      <c r="AG820" s="287"/>
      <c r="AH820" s="273"/>
      <c r="AI820" s="363" t="str">
        <f>IF(OR(BASE_DATOS[[#This Row],[Hr.]]="",BASE_DATOS[[#This Row],[Hr. Actual]]=""),"",BASE_DATOS[[#This Row],[Hr. Actual]]-BASE_DATOS[[#This Row],[Hr.]]+BASE_DATOS[[#This Row],[Horas Acumuladas]])</f>
        <v/>
      </c>
      <c r="AJ820" s="364" t="str">
        <f>IFERROR(BASE_DATOS[[#This Row],[Precio US$]]/BASE_DATOS[[#This Row],[Horas Rodadas]],"")</f>
        <v/>
      </c>
      <c r="AK820" s="365" t="str">
        <f>IFERROR(BASE_DATOS[[#This Row],[Horas Rodadas]]/(BASE_DATOS[[#This Row],[NSK Original]]-BASE_DATOS[[#This Row],[NSK]]),"")</f>
        <v/>
      </c>
      <c r="AL82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20" s="366" t="str">
        <f>IFERROR(BASE_DATOS[[#This Row],[Precio US$]]/BASE_DATOS[[#This Row],[Horas Proy.]],"")</f>
        <v/>
      </c>
      <c r="AN820" s="171" t="str">
        <f>IF(OR(BASE_DATOS[[#This Row],[Km.]]="",BASE_DATOS[[#This Row],[Km. Actual]]=""),"",BASE_DATOS[[#This Row],[Km. Actual]]-BASE_DATOS[[#This Row],[Km.]]+BASE_DATOS[[#This Row],[Kilómetros Acumulados]])</f>
        <v/>
      </c>
      <c r="AO820" s="172" t="str">
        <f>IFERROR(BASE_DATOS[[#This Row],[Precio US$]]/BASE_DATOS[[#This Row],[Kilómetros Rodados]],"")</f>
        <v/>
      </c>
      <c r="AP820" s="171" t="str">
        <f>IFERROR(BASE_DATOS[[#This Row],[Kilómetros Rodados]]/(BASE_DATOS[[#This Row],[NSK Original]]-BASE_DATOS[[#This Row],[NSK]]),"")</f>
        <v/>
      </c>
      <c r="AQ820" s="17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20" s="172" t="str">
        <f>IFERROR(BASE_DATOS[[#This Row],[Precio US$]]/BASE_DATOS[[#This Row],[Kilómetros Proy.]],"")</f>
        <v/>
      </c>
      <c r="AS820" s="170" t="s">
        <v>62</v>
      </c>
      <c r="AT820" s="170"/>
      <c r="AU820" s="170"/>
      <c r="AV820" s="170"/>
      <c r="AW820" s="174"/>
      <c r="AX820" s="174"/>
      <c r="AY820" s="174" t="str">
        <f>CONCATENATE(BASE_DATOS[[#This Row],[Código_U]]&amp;BASE_DATOS[[#This Row],[Pos.]]&amp;BASE_DATOS[[#This Row],[Situación Actual]])</f>
        <v>SR-252RTRodando</v>
      </c>
    </row>
    <row r="821" spans="1:51" ht="12" x14ac:dyDescent="0.25">
      <c r="A821" s="224" t="s">
        <v>406</v>
      </c>
      <c r="B821" s="213" t="s">
        <v>349</v>
      </c>
      <c r="C821" s="225" t="s">
        <v>295</v>
      </c>
      <c r="D821" s="226" t="s">
        <v>87</v>
      </c>
      <c r="E821" s="249"/>
      <c r="F821" s="250" t="s">
        <v>97</v>
      </c>
      <c r="G821" s="250" t="s">
        <v>269</v>
      </c>
      <c r="H821" s="251" t="str">
        <f>IF(BASE_DATOS[[#This Row],[N-R]]="N",BASE_DATOS[[#This Row],[Diseño]],"Reencauche")</f>
        <v>AGC28</v>
      </c>
      <c r="I821" s="250" t="s">
        <v>270</v>
      </c>
      <c r="J821" s="235" t="s">
        <v>72</v>
      </c>
      <c r="K821" s="252">
        <v>16.5</v>
      </c>
      <c r="L821" s="250">
        <v>110</v>
      </c>
      <c r="M821" s="253"/>
      <c r="N821" s="254"/>
      <c r="O821" s="274"/>
      <c r="P821" s="275"/>
      <c r="Q821" s="276"/>
      <c r="R821" s="305" t="s">
        <v>98</v>
      </c>
      <c r="S821" s="306">
        <v>45385</v>
      </c>
      <c r="T821" s="314"/>
      <c r="U821" s="276"/>
      <c r="V821" s="224">
        <v>14</v>
      </c>
      <c r="W821" s="325">
        <v>14</v>
      </c>
      <c r="X821" s="326">
        <v>14</v>
      </c>
      <c r="Y821" s="292">
        <f t="shared" ref="Y821:Y828" si="37">IFERROR(MIN(V821:X821),"")</f>
        <v>14</v>
      </c>
      <c r="Z821" s="194" t="s">
        <v>73</v>
      </c>
      <c r="AA821" s="339">
        <f>IFERROR(BASE_DATOS[[#This Row],[NSK Original]]-BASE_DATOS[[#This Row],[NSK]]," ")</f>
        <v>2.5</v>
      </c>
      <c r="AB821" s="340">
        <f>'NSK-TRACTO'!$A$2</f>
        <v>6</v>
      </c>
      <c r="AC821" s="340">
        <f>IF(BASE_DATOS[[#This Row],[NSK]]&gt;=BASE_DATOS[[#This Row],[NSK Reen]],BASE_DATOS[[#This Row],[NSK Reen]],BASE_DATOS[[#This Row],[NSK]])</f>
        <v>6</v>
      </c>
      <c r="AD821" s="341">
        <f>IFERROR(100%-(BASE_DATOS[[#This Row],[NSK Reen]]/BASE_DATOS[[#This Row],[NSK Original]]),"")</f>
        <v>0.63636363636363635</v>
      </c>
      <c r="AE821" s="341">
        <f>IFERROR(100%-BASE_DATOS[[#This Row],[NSK]]/BASE_DATOS[[#This Row],[NSK Original]],"")</f>
        <v>0.15151515151515149</v>
      </c>
      <c r="AF821" s="341">
        <f>IFERROR(BASE_DATOS[[#This Row],[% Max Des.]]-BASE_DATOS[[#This Row],[% Des]],"")</f>
        <v>0.48484848484848486</v>
      </c>
      <c r="AG821" s="284"/>
      <c r="AH821" s="335"/>
      <c r="AI821" s="359" t="str">
        <f>IF(OR(BASE_DATOS[[#This Row],[Hr.]]="",BASE_DATOS[[#This Row],[Hr. Actual]]=""),"",BASE_DATOS[[#This Row],[Hr. Actual]]-BASE_DATOS[[#This Row],[Hr.]]+BASE_DATOS[[#This Row],[Horas Acumuladas]])</f>
        <v/>
      </c>
      <c r="AJ821" s="360" t="str">
        <f>IFERROR(BASE_DATOS[[#This Row],[Precio US$]]/BASE_DATOS[[#This Row],[Horas Rodadas]],"")</f>
        <v/>
      </c>
      <c r="AK821" s="361" t="str">
        <f>IFERROR(BASE_DATOS[[#This Row],[Horas Rodadas]]/(BASE_DATOS[[#This Row],[NSK Original]]-BASE_DATOS[[#This Row],[NSK]]),"")</f>
        <v/>
      </c>
      <c r="AL821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21" s="362" t="str">
        <f>IFERROR(BASE_DATOS[[#This Row],[Precio US$]]/BASE_DATOS[[#This Row],[Horas Proy.]],"")</f>
        <v/>
      </c>
      <c r="AN821" s="199" t="str">
        <f>IF(OR(BASE_DATOS[[#This Row],[Km.]]="",BASE_DATOS[[#This Row],[Km. Actual]]=""),"",BASE_DATOS[[#This Row],[Km. Actual]]-BASE_DATOS[[#This Row],[Km.]]+BASE_DATOS[[#This Row],[Kilómetros Acumulados]])</f>
        <v/>
      </c>
      <c r="AO821" s="200" t="str">
        <f>IFERROR(BASE_DATOS[[#This Row],[Precio US$]]/BASE_DATOS[[#This Row],[Kilómetros Rodados]],"")</f>
        <v/>
      </c>
      <c r="AP821" s="199" t="str">
        <f>IFERROR(BASE_DATOS[[#This Row],[Kilómetros Rodados]]/(BASE_DATOS[[#This Row],[NSK Original]]-BASE_DATOS[[#This Row],[NSK]]),"")</f>
        <v/>
      </c>
      <c r="AQ821" s="19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21" s="200" t="str">
        <f>IFERROR(BASE_DATOS[[#This Row],[Precio US$]]/BASE_DATOS[[#This Row],[Kilómetros Proy.]],"")</f>
        <v/>
      </c>
      <c r="AS821" s="202" t="s">
        <v>62</v>
      </c>
      <c r="AT821" s="202"/>
      <c r="AU821" s="202"/>
      <c r="AV821" s="202"/>
      <c r="AW821" s="203"/>
      <c r="AX821" s="203"/>
      <c r="AY821" s="203" t="str">
        <f>CONCATENATE(BASE_DATOS[[#This Row],[Código_U]]&amp;BASE_DATOS[[#This Row],[Pos.]]&amp;BASE_DATOS[[#This Row],[Situación Actual]])</f>
        <v>SR-2481Rodando</v>
      </c>
    </row>
    <row r="822" spans="1:51" ht="12" x14ac:dyDescent="0.25">
      <c r="A822" s="227" t="s">
        <v>406</v>
      </c>
      <c r="B822" s="217" t="s">
        <v>349</v>
      </c>
      <c r="C822" s="228" t="s">
        <v>295</v>
      </c>
      <c r="D822" s="229" t="s">
        <v>87</v>
      </c>
      <c r="E822" s="255"/>
      <c r="F822" s="256" t="s">
        <v>97</v>
      </c>
      <c r="G822" s="256" t="s">
        <v>269</v>
      </c>
      <c r="H822" s="257" t="str">
        <f>IF(BASE_DATOS[[#This Row],[N-R]]="N",BASE_DATOS[[#This Row],[Diseño]],"Reencauche")</f>
        <v>AGC28</v>
      </c>
      <c r="I822" s="256" t="s">
        <v>270</v>
      </c>
      <c r="J822" s="243" t="s">
        <v>72</v>
      </c>
      <c r="K822" s="258">
        <v>16.5</v>
      </c>
      <c r="L822" s="256">
        <v>110</v>
      </c>
      <c r="M822" s="259"/>
      <c r="N822" s="260"/>
      <c r="O822" s="277"/>
      <c r="P822" s="278"/>
      <c r="Q822" s="279"/>
      <c r="R822" s="309" t="s">
        <v>99</v>
      </c>
      <c r="S822" s="310">
        <v>45385</v>
      </c>
      <c r="T822" s="313"/>
      <c r="U822" s="279"/>
      <c r="V822" s="227">
        <v>14</v>
      </c>
      <c r="W822" s="281">
        <v>14</v>
      </c>
      <c r="X822" s="282">
        <v>14</v>
      </c>
      <c r="Y822" s="293">
        <f t="shared" si="37"/>
        <v>14</v>
      </c>
      <c r="Z822" s="175" t="s">
        <v>85</v>
      </c>
      <c r="AA822" s="342">
        <f>IFERROR(BASE_DATOS[[#This Row],[NSK Original]]-BASE_DATOS[[#This Row],[NSK]]," ")</f>
        <v>2.5</v>
      </c>
      <c r="AB822" s="343">
        <f>'NSK-TRACTO'!$A$2</f>
        <v>6</v>
      </c>
      <c r="AC822" s="343">
        <f>IF(BASE_DATOS[[#This Row],[NSK]]&gt;=BASE_DATOS[[#This Row],[NSK Reen]],BASE_DATOS[[#This Row],[NSK Reen]],BASE_DATOS[[#This Row],[NSK]])</f>
        <v>6</v>
      </c>
      <c r="AD822" s="344">
        <f>IFERROR(100%-(BASE_DATOS[[#This Row],[NSK Reen]]/BASE_DATOS[[#This Row],[NSK Original]]),"")</f>
        <v>0.63636363636363635</v>
      </c>
      <c r="AE822" s="344">
        <f>IFERROR(100%-BASE_DATOS[[#This Row],[NSK]]/BASE_DATOS[[#This Row],[NSK Original]],"")</f>
        <v>0.15151515151515149</v>
      </c>
      <c r="AF822" s="344">
        <f>IFERROR(BASE_DATOS[[#This Row],[% Max Des.]]-BASE_DATOS[[#This Row],[% Des]],"")</f>
        <v>0.48484848484848486</v>
      </c>
      <c r="AG822" s="287"/>
      <c r="AH822" s="273"/>
      <c r="AI822" s="363" t="str">
        <f>IF(OR(BASE_DATOS[[#This Row],[Hr.]]="",BASE_DATOS[[#This Row],[Hr. Actual]]=""),"",BASE_DATOS[[#This Row],[Hr. Actual]]-BASE_DATOS[[#This Row],[Hr.]]+BASE_DATOS[[#This Row],[Horas Acumuladas]])</f>
        <v/>
      </c>
      <c r="AJ822" s="364" t="str">
        <f>IFERROR(BASE_DATOS[[#This Row],[Precio US$]]/BASE_DATOS[[#This Row],[Horas Rodadas]],"")</f>
        <v/>
      </c>
      <c r="AK822" s="365" t="str">
        <f>IFERROR(BASE_DATOS[[#This Row],[Horas Rodadas]]/(BASE_DATOS[[#This Row],[NSK Original]]-BASE_DATOS[[#This Row],[NSK]]),"")</f>
        <v/>
      </c>
      <c r="AL82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22" s="366" t="str">
        <f>IFERROR(BASE_DATOS[[#This Row],[Precio US$]]/BASE_DATOS[[#This Row],[Horas Proy.]],"")</f>
        <v/>
      </c>
      <c r="AN822" s="176" t="str">
        <f>IF(OR(BASE_DATOS[[#This Row],[Km.]]="",BASE_DATOS[[#This Row],[Km. Actual]]=""),"",BASE_DATOS[[#This Row],[Km. Actual]]-BASE_DATOS[[#This Row],[Km.]]+BASE_DATOS[[#This Row],[Kilómetros Acumulados]])</f>
        <v/>
      </c>
      <c r="AO822" s="177" t="str">
        <f>IFERROR(BASE_DATOS[[#This Row],[Precio US$]]/BASE_DATOS[[#This Row],[Kilómetros Rodados]],"")</f>
        <v/>
      </c>
      <c r="AP822" s="176" t="str">
        <f>IFERROR(BASE_DATOS[[#This Row],[Kilómetros Rodados]]/(BASE_DATOS[[#This Row],[NSK Original]]-BASE_DATOS[[#This Row],[NSK]]),"")</f>
        <v/>
      </c>
      <c r="AQ82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22" s="177" t="str">
        <f>IFERROR(BASE_DATOS[[#This Row],[Precio US$]]/BASE_DATOS[[#This Row],[Kilómetros Proy.]],"")</f>
        <v/>
      </c>
      <c r="AS822" s="178" t="s">
        <v>62</v>
      </c>
      <c r="AT822" s="178"/>
      <c r="AU822" s="178"/>
      <c r="AV822" s="178"/>
      <c r="AW822" s="179"/>
      <c r="AX822" s="179"/>
      <c r="AY822" s="179" t="str">
        <f>CONCATENATE(BASE_DATOS[[#This Row],[Código_U]]&amp;BASE_DATOS[[#This Row],[Pos.]]&amp;BASE_DATOS[[#This Row],[Situación Actual]])</f>
        <v>SR-2482Rodando</v>
      </c>
    </row>
    <row r="823" spans="1:51" ht="12" x14ac:dyDescent="0.25">
      <c r="A823" s="227" t="s">
        <v>406</v>
      </c>
      <c r="B823" s="217" t="s">
        <v>349</v>
      </c>
      <c r="C823" s="228" t="s">
        <v>295</v>
      </c>
      <c r="D823" s="229" t="s">
        <v>87</v>
      </c>
      <c r="E823" s="255"/>
      <c r="F823" s="256" t="s">
        <v>97</v>
      </c>
      <c r="G823" s="256" t="s">
        <v>269</v>
      </c>
      <c r="H823" s="257" t="str">
        <f>IF(BASE_DATOS[[#This Row],[N-R]]="N",BASE_DATOS[[#This Row],[Diseño]],"Reencauche")</f>
        <v>AGC28</v>
      </c>
      <c r="I823" s="256" t="s">
        <v>270</v>
      </c>
      <c r="J823" s="243" t="s">
        <v>72</v>
      </c>
      <c r="K823" s="258">
        <v>16.5</v>
      </c>
      <c r="L823" s="256">
        <v>110</v>
      </c>
      <c r="M823" s="259"/>
      <c r="N823" s="260"/>
      <c r="O823" s="277"/>
      <c r="P823" s="278"/>
      <c r="Q823" s="279"/>
      <c r="R823" s="309" t="s">
        <v>100</v>
      </c>
      <c r="S823" s="310">
        <v>45385</v>
      </c>
      <c r="T823" s="313"/>
      <c r="U823" s="279"/>
      <c r="V823" s="227">
        <v>14</v>
      </c>
      <c r="W823" s="281">
        <v>14</v>
      </c>
      <c r="X823" s="282">
        <v>14</v>
      </c>
      <c r="Y823" s="293">
        <f t="shared" si="37"/>
        <v>14</v>
      </c>
      <c r="Z823" s="175" t="s">
        <v>85</v>
      </c>
      <c r="AA823" s="342">
        <f>IFERROR(BASE_DATOS[[#This Row],[NSK Original]]-BASE_DATOS[[#This Row],[NSK]]," ")</f>
        <v>2.5</v>
      </c>
      <c r="AB823" s="343">
        <f>'NSK-TRACTO'!$A$2</f>
        <v>6</v>
      </c>
      <c r="AC823" s="343">
        <f>IF(BASE_DATOS[[#This Row],[NSK]]&gt;=BASE_DATOS[[#This Row],[NSK Reen]],BASE_DATOS[[#This Row],[NSK Reen]],BASE_DATOS[[#This Row],[NSK]])</f>
        <v>6</v>
      </c>
      <c r="AD823" s="344">
        <f>IFERROR(100%-(BASE_DATOS[[#This Row],[NSK Reen]]/BASE_DATOS[[#This Row],[NSK Original]]),"")</f>
        <v>0.63636363636363635</v>
      </c>
      <c r="AE823" s="344">
        <f>IFERROR(100%-BASE_DATOS[[#This Row],[NSK]]/BASE_DATOS[[#This Row],[NSK Original]],"")</f>
        <v>0.15151515151515149</v>
      </c>
      <c r="AF823" s="344">
        <f>IFERROR(BASE_DATOS[[#This Row],[% Max Des.]]-BASE_DATOS[[#This Row],[% Des]],"")</f>
        <v>0.48484848484848486</v>
      </c>
      <c r="AG823" s="287"/>
      <c r="AH823" s="273"/>
      <c r="AI823" s="363" t="str">
        <f>IF(OR(BASE_DATOS[[#This Row],[Hr.]]="",BASE_DATOS[[#This Row],[Hr. Actual]]=""),"",BASE_DATOS[[#This Row],[Hr. Actual]]-BASE_DATOS[[#This Row],[Hr.]]+BASE_DATOS[[#This Row],[Horas Acumuladas]])</f>
        <v/>
      </c>
      <c r="AJ823" s="364" t="str">
        <f>IFERROR(BASE_DATOS[[#This Row],[Precio US$]]/BASE_DATOS[[#This Row],[Horas Rodadas]],"")</f>
        <v/>
      </c>
      <c r="AK823" s="365" t="str">
        <f>IFERROR(BASE_DATOS[[#This Row],[Horas Rodadas]]/(BASE_DATOS[[#This Row],[NSK Original]]-BASE_DATOS[[#This Row],[NSK]]),"")</f>
        <v/>
      </c>
      <c r="AL82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23" s="366" t="str">
        <f>IFERROR(BASE_DATOS[[#This Row],[Precio US$]]/BASE_DATOS[[#This Row],[Horas Proy.]],"")</f>
        <v/>
      </c>
      <c r="AN823" s="176" t="str">
        <f>IF(OR(BASE_DATOS[[#This Row],[Km.]]="",BASE_DATOS[[#This Row],[Km. Actual]]=""),"",BASE_DATOS[[#This Row],[Km. Actual]]-BASE_DATOS[[#This Row],[Km.]]+BASE_DATOS[[#This Row],[Kilómetros Acumulados]])</f>
        <v/>
      </c>
      <c r="AO823" s="177" t="str">
        <f>IFERROR(BASE_DATOS[[#This Row],[Precio US$]]/BASE_DATOS[[#This Row],[Kilómetros Rodados]],"")</f>
        <v/>
      </c>
      <c r="AP823" s="176" t="str">
        <f>IFERROR(BASE_DATOS[[#This Row],[Kilómetros Rodados]]/(BASE_DATOS[[#This Row],[NSK Original]]-BASE_DATOS[[#This Row],[NSK]]),"")</f>
        <v/>
      </c>
      <c r="AQ82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23" s="177" t="str">
        <f>IFERROR(BASE_DATOS[[#This Row],[Precio US$]]/BASE_DATOS[[#This Row],[Kilómetros Proy.]],"")</f>
        <v/>
      </c>
      <c r="AS823" s="178" t="s">
        <v>62</v>
      </c>
      <c r="AT823" s="178"/>
      <c r="AU823" s="178"/>
      <c r="AV823" s="178" t="s">
        <v>515</v>
      </c>
      <c r="AW823" s="179"/>
      <c r="AX823" s="179"/>
      <c r="AY823" s="179" t="str">
        <f>CONCATENATE(BASE_DATOS[[#This Row],[Código_U]]&amp;BASE_DATOS[[#This Row],[Pos.]]&amp;BASE_DATOS[[#This Row],[Situación Actual]])</f>
        <v>SR-2483Rodando</v>
      </c>
    </row>
    <row r="824" spans="1:51" ht="12" x14ac:dyDescent="0.25">
      <c r="A824" s="227" t="s">
        <v>406</v>
      </c>
      <c r="B824" s="217" t="s">
        <v>349</v>
      </c>
      <c r="C824" s="228" t="s">
        <v>295</v>
      </c>
      <c r="D824" s="229" t="s">
        <v>87</v>
      </c>
      <c r="E824" s="255"/>
      <c r="F824" s="256" t="s">
        <v>97</v>
      </c>
      <c r="G824" s="256" t="s">
        <v>269</v>
      </c>
      <c r="H824" s="257" t="str">
        <f>IF(BASE_DATOS[[#This Row],[N-R]]="N",BASE_DATOS[[#This Row],[Diseño]],"Reencauche")</f>
        <v>AGC28</v>
      </c>
      <c r="I824" s="256" t="s">
        <v>270</v>
      </c>
      <c r="J824" s="243" t="s">
        <v>72</v>
      </c>
      <c r="K824" s="258">
        <v>16.5</v>
      </c>
      <c r="L824" s="256">
        <v>110</v>
      </c>
      <c r="M824" s="259"/>
      <c r="N824" s="260"/>
      <c r="O824" s="277"/>
      <c r="P824" s="278"/>
      <c r="Q824" s="279"/>
      <c r="R824" s="309" t="s">
        <v>101</v>
      </c>
      <c r="S824" s="310">
        <v>45385</v>
      </c>
      <c r="T824" s="313"/>
      <c r="U824" s="279"/>
      <c r="V824" s="227">
        <v>14</v>
      </c>
      <c r="W824" s="281">
        <v>14</v>
      </c>
      <c r="X824" s="282">
        <v>14</v>
      </c>
      <c r="Y824" s="293">
        <f t="shared" si="37"/>
        <v>14</v>
      </c>
      <c r="Z824" s="175" t="s">
        <v>73</v>
      </c>
      <c r="AA824" s="342">
        <f>IFERROR(BASE_DATOS[[#This Row],[NSK Original]]-BASE_DATOS[[#This Row],[NSK]]," ")</f>
        <v>2.5</v>
      </c>
      <c r="AB824" s="343">
        <f>'NSK-TRACTO'!$A$2</f>
        <v>6</v>
      </c>
      <c r="AC824" s="343">
        <f>IF(BASE_DATOS[[#This Row],[NSK]]&gt;=BASE_DATOS[[#This Row],[NSK Reen]],BASE_DATOS[[#This Row],[NSK Reen]],BASE_DATOS[[#This Row],[NSK]])</f>
        <v>6</v>
      </c>
      <c r="AD824" s="344">
        <f>IFERROR(100%-(BASE_DATOS[[#This Row],[NSK Reen]]/BASE_DATOS[[#This Row],[NSK Original]]),"")</f>
        <v>0.63636363636363635</v>
      </c>
      <c r="AE824" s="344">
        <f>IFERROR(100%-BASE_DATOS[[#This Row],[NSK]]/BASE_DATOS[[#This Row],[NSK Original]],"")</f>
        <v>0.15151515151515149</v>
      </c>
      <c r="AF824" s="344">
        <f>IFERROR(BASE_DATOS[[#This Row],[% Max Des.]]-BASE_DATOS[[#This Row],[% Des]],"")</f>
        <v>0.48484848484848486</v>
      </c>
      <c r="AG824" s="287"/>
      <c r="AH824" s="273"/>
      <c r="AI824" s="363" t="str">
        <f>IF(OR(BASE_DATOS[[#This Row],[Hr.]]="",BASE_DATOS[[#This Row],[Hr. Actual]]=""),"",BASE_DATOS[[#This Row],[Hr. Actual]]-BASE_DATOS[[#This Row],[Hr.]]+BASE_DATOS[[#This Row],[Horas Acumuladas]])</f>
        <v/>
      </c>
      <c r="AJ824" s="364" t="str">
        <f>IFERROR(BASE_DATOS[[#This Row],[Precio US$]]/BASE_DATOS[[#This Row],[Horas Rodadas]],"")</f>
        <v/>
      </c>
      <c r="AK824" s="365" t="str">
        <f>IFERROR(BASE_DATOS[[#This Row],[Horas Rodadas]]/(BASE_DATOS[[#This Row],[NSK Original]]-BASE_DATOS[[#This Row],[NSK]]),"")</f>
        <v/>
      </c>
      <c r="AL82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24" s="366" t="str">
        <f>IFERROR(BASE_DATOS[[#This Row],[Precio US$]]/BASE_DATOS[[#This Row],[Horas Proy.]],"")</f>
        <v/>
      </c>
      <c r="AN824" s="176" t="str">
        <f>IF(OR(BASE_DATOS[[#This Row],[Km.]]="",BASE_DATOS[[#This Row],[Km. Actual]]=""),"",BASE_DATOS[[#This Row],[Km. Actual]]-BASE_DATOS[[#This Row],[Km.]]+BASE_DATOS[[#This Row],[Kilómetros Acumulados]])</f>
        <v/>
      </c>
      <c r="AO824" s="177" t="str">
        <f>IFERROR(BASE_DATOS[[#This Row],[Precio US$]]/BASE_DATOS[[#This Row],[Kilómetros Rodados]],"")</f>
        <v/>
      </c>
      <c r="AP824" s="176" t="str">
        <f>IFERROR(BASE_DATOS[[#This Row],[Kilómetros Rodados]]/(BASE_DATOS[[#This Row],[NSK Original]]-BASE_DATOS[[#This Row],[NSK]]),"")</f>
        <v/>
      </c>
      <c r="AQ82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24" s="177" t="str">
        <f>IFERROR(BASE_DATOS[[#This Row],[Precio US$]]/BASE_DATOS[[#This Row],[Kilómetros Proy.]],"")</f>
        <v/>
      </c>
      <c r="AS824" s="178" t="s">
        <v>62</v>
      </c>
      <c r="AT824" s="178"/>
      <c r="AU824" s="178"/>
      <c r="AV824" s="178" t="s">
        <v>515</v>
      </c>
      <c r="AW824" s="179"/>
      <c r="AX824" s="179"/>
      <c r="AY824" s="179" t="str">
        <f>CONCATENATE(BASE_DATOS[[#This Row],[Código_U]]&amp;BASE_DATOS[[#This Row],[Pos.]]&amp;BASE_DATOS[[#This Row],[Situación Actual]])</f>
        <v>SR-2484Rodando</v>
      </c>
    </row>
    <row r="825" spans="1:51" ht="12" x14ac:dyDescent="0.25">
      <c r="A825" s="227" t="s">
        <v>406</v>
      </c>
      <c r="B825" s="217" t="s">
        <v>349</v>
      </c>
      <c r="C825" s="228" t="s">
        <v>295</v>
      </c>
      <c r="D825" s="229" t="s">
        <v>87</v>
      </c>
      <c r="E825" s="255"/>
      <c r="F825" s="256" t="s">
        <v>97</v>
      </c>
      <c r="G825" s="256" t="s">
        <v>269</v>
      </c>
      <c r="H825" s="257" t="str">
        <f>IF(BASE_DATOS[[#This Row],[N-R]]="N",BASE_DATOS[[#This Row],[Diseño]],"Reencauche")</f>
        <v>AGC28</v>
      </c>
      <c r="I825" s="256" t="s">
        <v>270</v>
      </c>
      <c r="J825" s="243" t="s">
        <v>72</v>
      </c>
      <c r="K825" s="258">
        <v>16.5</v>
      </c>
      <c r="L825" s="256">
        <v>110</v>
      </c>
      <c r="M825" s="259"/>
      <c r="N825" s="260"/>
      <c r="O825" s="277"/>
      <c r="P825" s="278"/>
      <c r="Q825" s="279"/>
      <c r="R825" s="309" t="s">
        <v>102</v>
      </c>
      <c r="S825" s="310">
        <v>45385</v>
      </c>
      <c r="T825" s="313"/>
      <c r="U825" s="279"/>
      <c r="V825" s="227">
        <v>11</v>
      </c>
      <c r="W825" s="281">
        <v>10</v>
      </c>
      <c r="X825" s="282">
        <v>10</v>
      </c>
      <c r="Y825" s="293">
        <f t="shared" si="37"/>
        <v>10</v>
      </c>
      <c r="Z825" s="175" t="s">
        <v>85</v>
      </c>
      <c r="AA825" s="342">
        <f>IFERROR(BASE_DATOS[[#This Row],[NSK Original]]-BASE_DATOS[[#This Row],[NSK]]," ")</f>
        <v>6.5</v>
      </c>
      <c r="AB825" s="343">
        <f>'NSK-TRACTO'!$A$2</f>
        <v>6</v>
      </c>
      <c r="AC825" s="343">
        <f>IF(BASE_DATOS[[#This Row],[NSK]]&gt;=BASE_DATOS[[#This Row],[NSK Reen]],BASE_DATOS[[#This Row],[NSK Reen]],BASE_DATOS[[#This Row],[NSK]])</f>
        <v>6</v>
      </c>
      <c r="AD825" s="344">
        <f>IFERROR(100%-(BASE_DATOS[[#This Row],[NSK Reen]]/BASE_DATOS[[#This Row],[NSK Original]]),"")</f>
        <v>0.63636363636363635</v>
      </c>
      <c r="AE825" s="344">
        <f>IFERROR(100%-BASE_DATOS[[#This Row],[NSK]]/BASE_DATOS[[#This Row],[NSK Original]],"")</f>
        <v>0.39393939393939392</v>
      </c>
      <c r="AF825" s="344">
        <f>IFERROR(BASE_DATOS[[#This Row],[% Max Des.]]-BASE_DATOS[[#This Row],[% Des]],"")</f>
        <v>0.24242424242424243</v>
      </c>
      <c r="AG825" s="287"/>
      <c r="AH825" s="273"/>
      <c r="AI825" s="363" t="str">
        <f>IF(OR(BASE_DATOS[[#This Row],[Hr.]]="",BASE_DATOS[[#This Row],[Hr. Actual]]=""),"",BASE_DATOS[[#This Row],[Hr. Actual]]-BASE_DATOS[[#This Row],[Hr.]]+BASE_DATOS[[#This Row],[Horas Acumuladas]])</f>
        <v/>
      </c>
      <c r="AJ825" s="364" t="str">
        <f>IFERROR(BASE_DATOS[[#This Row],[Precio US$]]/BASE_DATOS[[#This Row],[Horas Rodadas]],"")</f>
        <v/>
      </c>
      <c r="AK825" s="365" t="str">
        <f>IFERROR(BASE_DATOS[[#This Row],[Horas Rodadas]]/(BASE_DATOS[[#This Row],[NSK Original]]-BASE_DATOS[[#This Row],[NSK]]),"")</f>
        <v/>
      </c>
      <c r="AL82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25" s="366" t="str">
        <f>IFERROR(BASE_DATOS[[#This Row],[Precio US$]]/BASE_DATOS[[#This Row],[Horas Proy.]],"")</f>
        <v/>
      </c>
      <c r="AN825" s="176" t="str">
        <f>IF(OR(BASE_DATOS[[#This Row],[Km.]]="",BASE_DATOS[[#This Row],[Km. Actual]]=""),"",BASE_DATOS[[#This Row],[Km. Actual]]-BASE_DATOS[[#This Row],[Km.]]+BASE_DATOS[[#This Row],[Kilómetros Acumulados]])</f>
        <v/>
      </c>
      <c r="AO825" s="177" t="str">
        <f>IFERROR(BASE_DATOS[[#This Row],[Precio US$]]/BASE_DATOS[[#This Row],[Kilómetros Rodados]],"")</f>
        <v/>
      </c>
      <c r="AP825" s="176" t="str">
        <f>IFERROR(BASE_DATOS[[#This Row],[Kilómetros Rodados]]/(BASE_DATOS[[#This Row],[NSK Original]]-BASE_DATOS[[#This Row],[NSK]]),"")</f>
        <v/>
      </c>
      <c r="AQ82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25" s="177" t="str">
        <f>IFERROR(BASE_DATOS[[#This Row],[Precio US$]]/BASE_DATOS[[#This Row],[Kilómetros Proy.]],"")</f>
        <v/>
      </c>
      <c r="AS825" s="178" t="s">
        <v>62</v>
      </c>
      <c r="AT825" s="178"/>
      <c r="AU825" s="178"/>
      <c r="AV825" s="178" t="s">
        <v>515</v>
      </c>
      <c r="AW825" s="179"/>
      <c r="AX825" s="179"/>
      <c r="AY825" s="179" t="str">
        <f>CONCATENATE(BASE_DATOS[[#This Row],[Código_U]]&amp;BASE_DATOS[[#This Row],[Pos.]]&amp;BASE_DATOS[[#This Row],[Situación Actual]])</f>
        <v>SR-2485Rodando</v>
      </c>
    </row>
    <row r="826" spans="1:51" ht="12" x14ac:dyDescent="0.25">
      <c r="A826" s="227" t="s">
        <v>406</v>
      </c>
      <c r="B826" s="217" t="s">
        <v>349</v>
      </c>
      <c r="C826" s="228" t="s">
        <v>295</v>
      </c>
      <c r="D826" s="229" t="s">
        <v>87</v>
      </c>
      <c r="E826" s="255"/>
      <c r="F826" s="256" t="s">
        <v>97</v>
      </c>
      <c r="G826" s="256" t="s">
        <v>269</v>
      </c>
      <c r="H826" s="257" t="str">
        <f>IF(BASE_DATOS[[#This Row],[N-R]]="N",BASE_DATOS[[#This Row],[Diseño]],"Reencauche")</f>
        <v>AGC28</v>
      </c>
      <c r="I826" s="256" t="s">
        <v>270</v>
      </c>
      <c r="J826" s="243" t="s">
        <v>72</v>
      </c>
      <c r="K826" s="258">
        <v>16.5</v>
      </c>
      <c r="L826" s="256">
        <v>110</v>
      </c>
      <c r="M826" s="259"/>
      <c r="N826" s="260"/>
      <c r="O826" s="277"/>
      <c r="P826" s="278"/>
      <c r="Q826" s="279"/>
      <c r="R826" s="309" t="s">
        <v>103</v>
      </c>
      <c r="S826" s="310">
        <v>45385</v>
      </c>
      <c r="T826" s="313"/>
      <c r="U826" s="279"/>
      <c r="V826" s="227">
        <v>10</v>
      </c>
      <c r="W826" s="281">
        <v>10</v>
      </c>
      <c r="X826" s="282">
        <v>10</v>
      </c>
      <c r="Y826" s="293">
        <f t="shared" si="37"/>
        <v>10</v>
      </c>
      <c r="Z826" s="175" t="s">
        <v>73</v>
      </c>
      <c r="AA826" s="342">
        <f>IFERROR(BASE_DATOS[[#This Row],[NSK Original]]-BASE_DATOS[[#This Row],[NSK]]," ")</f>
        <v>6.5</v>
      </c>
      <c r="AB826" s="343">
        <f>'NSK-TRACTO'!$A$2</f>
        <v>6</v>
      </c>
      <c r="AC826" s="343">
        <f>IF(BASE_DATOS[[#This Row],[NSK]]&gt;=BASE_DATOS[[#This Row],[NSK Reen]],BASE_DATOS[[#This Row],[NSK Reen]],BASE_DATOS[[#This Row],[NSK]])</f>
        <v>6</v>
      </c>
      <c r="AD826" s="344">
        <f>IFERROR(100%-(BASE_DATOS[[#This Row],[NSK Reen]]/BASE_DATOS[[#This Row],[NSK Original]]),"")</f>
        <v>0.63636363636363635</v>
      </c>
      <c r="AE826" s="344">
        <f>IFERROR(100%-BASE_DATOS[[#This Row],[NSK]]/BASE_DATOS[[#This Row],[NSK Original]],"")</f>
        <v>0.39393939393939392</v>
      </c>
      <c r="AF826" s="344">
        <f>IFERROR(BASE_DATOS[[#This Row],[% Max Des.]]-BASE_DATOS[[#This Row],[% Des]],"")</f>
        <v>0.24242424242424243</v>
      </c>
      <c r="AG826" s="287"/>
      <c r="AH826" s="273"/>
      <c r="AI826" s="363" t="str">
        <f>IF(OR(BASE_DATOS[[#This Row],[Hr.]]="",BASE_DATOS[[#This Row],[Hr. Actual]]=""),"",BASE_DATOS[[#This Row],[Hr. Actual]]-BASE_DATOS[[#This Row],[Hr.]]+BASE_DATOS[[#This Row],[Horas Acumuladas]])</f>
        <v/>
      </c>
      <c r="AJ826" s="364" t="str">
        <f>IFERROR(BASE_DATOS[[#This Row],[Precio US$]]/BASE_DATOS[[#This Row],[Horas Rodadas]],"")</f>
        <v/>
      </c>
      <c r="AK826" s="365" t="str">
        <f>IFERROR(BASE_DATOS[[#This Row],[Horas Rodadas]]/(BASE_DATOS[[#This Row],[NSK Original]]-BASE_DATOS[[#This Row],[NSK]]),"")</f>
        <v/>
      </c>
      <c r="AL82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26" s="366" t="str">
        <f>IFERROR(BASE_DATOS[[#This Row],[Precio US$]]/BASE_DATOS[[#This Row],[Horas Proy.]],"")</f>
        <v/>
      </c>
      <c r="AN826" s="176" t="str">
        <f>IF(OR(BASE_DATOS[[#This Row],[Km.]]="",BASE_DATOS[[#This Row],[Km. Actual]]=""),"",BASE_DATOS[[#This Row],[Km. Actual]]-BASE_DATOS[[#This Row],[Km.]]+BASE_DATOS[[#This Row],[Kilómetros Acumulados]])</f>
        <v/>
      </c>
      <c r="AO826" s="177" t="str">
        <f>IFERROR(BASE_DATOS[[#This Row],[Precio US$]]/BASE_DATOS[[#This Row],[Kilómetros Rodados]],"")</f>
        <v/>
      </c>
      <c r="AP826" s="176" t="str">
        <f>IFERROR(BASE_DATOS[[#This Row],[Kilómetros Rodados]]/(BASE_DATOS[[#This Row],[NSK Original]]-BASE_DATOS[[#This Row],[NSK]]),"")</f>
        <v/>
      </c>
      <c r="AQ82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26" s="177" t="str">
        <f>IFERROR(BASE_DATOS[[#This Row],[Precio US$]]/BASE_DATOS[[#This Row],[Kilómetros Proy.]],"")</f>
        <v/>
      </c>
      <c r="AS826" s="178" t="s">
        <v>62</v>
      </c>
      <c r="AT826" s="178"/>
      <c r="AU826" s="178"/>
      <c r="AV826" s="178" t="s">
        <v>515</v>
      </c>
      <c r="AW826" s="179"/>
      <c r="AX826" s="179"/>
      <c r="AY826" s="179" t="str">
        <f>CONCATENATE(BASE_DATOS[[#This Row],[Código_U]]&amp;BASE_DATOS[[#This Row],[Pos.]]&amp;BASE_DATOS[[#This Row],[Situación Actual]])</f>
        <v>SR-2486Rodando</v>
      </c>
    </row>
    <row r="827" spans="1:51" ht="12" x14ac:dyDescent="0.25">
      <c r="A827" s="227" t="s">
        <v>406</v>
      </c>
      <c r="B827" s="217" t="s">
        <v>349</v>
      </c>
      <c r="C827" s="228" t="s">
        <v>295</v>
      </c>
      <c r="D827" s="229" t="s">
        <v>384</v>
      </c>
      <c r="E827" s="255"/>
      <c r="F827" s="256" t="s">
        <v>97</v>
      </c>
      <c r="G827" s="256" t="s">
        <v>269</v>
      </c>
      <c r="H827" s="257" t="str">
        <f>IF(BASE_DATOS[[#This Row],[N-R]]="N",BASE_DATOS[[#This Row],[Diseño]],"Reencauche")</f>
        <v>AGC28</v>
      </c>
      <c r="I827" s="256" t="s">
        <v>270</v>
      </c>
      <c r="J827" s="243" t="s">
        <v>72</v>
      </c>
      <c r="K827" s="258">
        <v>16.5</v>
      </c>
      <c r="L827" s="256">
        <v>110</v>
      </c>
      <c r="M827" s="259"/>
      <c r="N827" s="260"/>
      <c r="O827" s="277"/>
      <c r="P827" s="278"/>
      <c r="Q827" s="279"/>
      <c r="R827" s="309" t="s">
        <v>509</v>
      </c>
      <c r="S827" s="310">
        <v>45385</v>
      </c>
      <c r="T827" s="313"/>
      <c r="U827" s="279"/>
      <c r="V827" s="227">
        <v>16</v>
      </c>
      <c r="W827" s="281">
        <v>16</v>
      </c>
      <c r="X827" s="282">
        <v>16</v>
      </c>
      <c r="Y827" s="293">
        <f t="shared" si="37"/>
        <v>16</v>
      </c>
      <c r="Z827" s="175" t="s">
        <v>85</v>
      </c>
      <c r="AA827" s="342">
        <f>IFERROR(BASE_DATOS[[#This Row],[NSK Original]]-BASE_DATOS[[#This Row],[NSK]]," ")</f>
        <v>0.5</v>
      </c>
      <c r="AB827" s="343">
        <f>'NSK-TRACTO'!$A$2</f>
        <v>6</v>
      </c>
      <c r="AC827" s="343">
        <f>IF(BASE_DATOS[[#This Row],[NSK]]&gt;=BASE_DATOS[[#This Row],[NSK Reen]],BASE_DATOS[[#This Row],[NSK Reen]],BASE_DATOS[[#This Row],[NSK]])</f>
        <v>6</v>
      </c>
      <c r="AD827" s="344">
        <f>IFERROR(100%-(BASE_DATOS[[#This Row],[NSK Reen]]/BASE_DATOS[[#This Row],[NSK Original]]),"")</f>
        <v>0.63636363636363635</v>
      </c>
      <c r="AE827" s="344">
        <f>IFERROR(100%-BASE_DATOS[[#This Row],[NSK]]/BASE_DATOS[[#This Row],[NSK Original]],"")</f>
        <v>3.0303030303030276E-2</v>
      </c>
      <c r="AF827" s="344">
        <f>IFERROR(BASE_DATOS[[#This Row],[% Max Des.]]-BASE_DATOS[[#This Row],[% Des]],"")</f>
        <v>0.60606060606060608</v>
      </c>
      <c r="AG827" s="287"/>
      <c r="AH827" s="273"/>
      <c r="AI827" s="363" t="str">
        <f>IF(OR(BASE_DATOS[[#This Row],[Hr.]]="",BASE_DATOS[[#This Row],[Hr. Actual]]=""),"",BASE_DATOS[[#This Row],[Hr. Actual]]-BASE_DATOS[[#This Row],[Hr.]]+BASE_DATOS[[#This Row],[Horas Acumuladas]])</f>
        <v/>
      </c>
      <c r="AJ827" s="364" t="str">
        <f>IFERROR(BASE_DATOS[[#This Row],[Precio US$]]/BASE_DATOS[[#This Row],[Horas Rodadas]],"")</f>
        <v/>
      </c>
      <c r="AK827" s="365" t="str">
        <f>IFERROR(BASE_DATOS[[#This Row],[Horas Rodadas]]/(BASE_DATOS[[#This Row],[NSK Original]]-BASE_DATOS[[#This Row],[NSK]]),"")</f>
        <v/>
      </c>
      <c r="AL82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27" s="366" t="str">
        <f>IFERROR(BASE_DATOS[[#This Row],[Precio US$]]/BASE_DATOS[[#This Row],[Horas Proy.]],"")</f>
        <v/>
      </c>
      <c r="AN827" s="176" t="str">
        <f>IF(OR(BASE_DATOS[[#This Row],[Km.]]="",BASE_DATOS[[#This Row],[Km. Actual]]=""),"",BASE_DATOS[[#This Row],[Km. Actual]]-BASE_DATOS[[#This Row],[Km.]]+BASE_DATOS[[#This Row],[Kilómetros Acumulados]])</f>
        <v/>
      </c>
      <c r="AO827" s="177" t="str">
        <f>IFERROR(BASE_DATOS[[#This Row],[Precio US$]]/BASE_DATOS[[#This Row],[Kilómetros Rodados]],"")</f>
        <v/>
      </c>
      <c r="AP827" s="176" t="str">
        <f>IFERROR(BASE_DATOS[[#This Row],[Kilómetros Rodados]]/(BASE_DATOS[[#This Row],[NSK Original]]-BASE_DATOS[[#This Row],[NSK]]),"")</f>
        <v/>
      </c>
      <c r="AQ82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27" s="177" t="str">
        <f>IFERROR(BASE_DATOS[[#This Row],[Precio US$]]/BASE_DATOS[[#This Row],[Kilómetros Proy.]],"")</f>
        <v/>
      </c>
      <c r="AS827" s="178" t="s">
        <v>62</v>
      </c>
      <c r="AT827" s="178"/>
      <c r="AU827" s="178"/>
      <c r="AV827" s="178"/>
      <c r="AW827" s="179"/>
      <c r="AX827" s="179"/>
      <c r="AY827" s="179" t="str">
        <f>CONCATENATE(BASE_DATOS[[#This Row],[Código_U]]&amp;BASE_DATOS[[#This Row],[Pos.]]&amp;BASE_DATOS[[#This Row],[Situación Actual]])</f>
        <v>SR-248RERodando</v>
      </c>
    </row>
    <row r="828" spans="1:51" ht="12" x14ac:dyDescent="0.25">
      <c r="A828" s="227" t="s">
        <v>406</v>
      </c>
      <c r="B828" s="217" t="s">
        <v>349</v>
      </c>
      <c r="C828" s="228" t="s">
        <v>295</v>
      </c>
      <c r="D828" s="229" t="s">
        <v>108</v>
      </c>
      <c r="E828" s="255"/>
      <c r="F828" s="256" t="s">
        <v>273</v>
      </c>
      <c r="G828" s="256" t="s">
        <v>271</v>
      </c>
      <c r="H828" s="257" t="str">
        <f>IF(BASE_DATOS[[#This Row],[N-R]]="N",BASE_DATOS[[#This Row],[Diseño]],"Reencauche")</f>
        <v>XMULTI2D</v>
      </c>
      <c r="I828" s="256" t="s">
        <v>299</v>
      </c>
      <c r="J828" s="243" t="s">
        <v>72</v>
      </c>
      <c r="K828" s="258">
        <v>21.4</v>
      </c>
      <c r="L828" s="256">
        <v>110</v>
      </c>
      <c r="M828" s="259"/>
      <c r="N828" s="260"/>
      <c r="O828" s="277"/>
      <c r="P828" s="278"/>
      <c r="Q828" s="279"/>
      <c r="R828" s="309" t="s">
        <v>108</v>
      </c>
      <c r="S828" s="310">
        <v>45385</v>
      </c>
      <c r="T828" s="313"/>
      <c r="U828" s="279"/>
      <c r="V828" s="227">
        <v>20</v>
      </c>
      <c r="W828" s="281"/>
      <c r="X828" s="282">
        <v>20</v>
      </c>
      <c r="Y828" s="293">
        <f t="shared" si="37"/>
        <v>20</v>
      </c>
      <c r="Z828" s="175" t="s">
        <v>73</v>
      </c>
      <c r="AA828" s="342">
        <f>IFERROR(BASE_DATOS[[#This Row],[NSK Original]]-BASE_DATOS[[#This Row],[NSK]]," ")</f>
        <v>1.3999999999999986</v>
      </c>
      <c r="AB828" s="343">
        <f>'NSK-TRACTO'!$A$2</f>
        <v>6</v>
      </c>
      <c r="AC828" s="343">
        <f>IF(BASE_DATOS[[#This Row],[NSK]]&gt;=BASE_DATOS[[#This Row],[NSK Reen]],BASE_DATOS[[#This Row],[NSK Reen]],BASE_DATOS[[#This Row],[NSK]])</f>
        <v>6</v>
      </c>
      <c r="AD828" s="344">
        <f>IFERROR(100%-(BASE_DATOS[[#This Row],[NSK Reen]]/BASE_DATOS[[#This Row],[NSK Original]]),"")</f>
        <v>0.71962616822429903</v>
      </c>
      <c r="AE828" s="344">
        <f>IFERROR(100%-BASE_DATOS[[#This Row],[NSK]]/BASE_DATOS[[#This Row],[NSK Original]],"")</f>
        <v>6.5420560747663448E-2</v>
      </c>
      <c r="AF828" s="344">
        <f>IFERROR(BASE_DATOS[[#This Row],[% Max Des.]]-BASE_DATOS[[#This Row],[% Des]],"")</f>
        <v>0.65420560747663559</v>
      </c>
      <c r="AG828" s="287"/>
      <c r="AH828" s="273"/>
      <c r="AI828" s="363" t="str">
        <f>IF(OR(BASE_DATOS[[#This Row],[Hr.]]="",BASE_DATOS[[#This Row],[Hr. Actual]]=""),"",BASE_DATOS[[#This Row],[Hr. Actual]]-BASE_DATOS[[#This Row],[Hr.]]+BASE_DATOS[[#This Row],[Horas Acumuladas]])</f>
        <v/>
      </c>
      <c r="AJ828" s="364" t="str">
        <f>IFERROR(BASE_DATOS[[#This Row],[Precio US$]]/BASE_DATOS[[#This Row],[Horas Rodadas]],"")</f>
        <v/>
      </c>
      <c r="AK828" s="365" t="str">
        <f>IFERROR(BASE_DATOS[[#This Row],[Horas Rodadas]]/(BASE_DATOS[[#This Row],[NSK Original]]-BASE_DATOS[[#This Row],[NSK]]),"")</f>
        <v/>
      </c>
      <c r="AL82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28" s="366" t="str">
        <f>IFERROR(BASE_DATOS[[#This Row],[Precio US$]]/BASE_DATOS[[#This Row],[Horas Proy.]],"")</f>
        <v/>
      </c>
      <c r="AN828" s="171" t="str">
        <f>IF(OR(BASE_DATOS[[#This Row],[Km.]]="",BASE_DATOS[[#This Row],[Km. Actual]]=""),"",BASE_DATOS[[#This Row],[Km. Actual]]-BASE_DATOS[[#This Row],[Km.]]+BASE_DATOS[[#This Row],[Kilómetros Acumulados]])</f>
        <v/>
      </c>
      <c r="AO828" s="172" t="str">
        <f>IFERROR(BASE_DATOS[[#This Row],[Precio US$]]/BASE_DATOS[[#This Row],[Kilómetros Rodados]],"")</f>
        <v/>
      </c>
      <c r="AP828" s="171" t="str">
        <f>IFERROR(BASE_DATOS[[#This Row],[Kilómetros Rodados]]/(BASE_DATOS[[#This Row],[NSK Original]]-BASE_DATOS[[#This Row],[NSK]]),"")</f>
        <v/>
      </c>
      <c r="AQ828" s="17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28" s="172" t="str">
        <f>IFERROR(BASE_DATOS[[#This Row],[Precio US$]]/BASE_DATOS[[#This Row],[Kilómetros Proy.]],"")</f>
        <v/>
      </c>
      <c r="AS828" s="178" t="s">
        <v>62</v>
      </c>
      <c r="AT828" s="173"/>
      <c r="AU828" s="173"/>
      <c r="AV828" s="173"/>
      <c r="AW828" s="174"/>
      <c r="AX828" s="174"/>
      <c r="AY828" s="174" t="str">
        <f>CONCATENATE(BASE_DATOS[[#This Row],[Código_U]]&amp;BASE_DATOS[[#This Row],[Pos.]]&amp;BASE_DATOS[[#This Row],[Situación Actual]])</f>
        <v>SR-248RTRodando</v>
      </c>
    </row>
    <row r="829" spans="1:51" ht="12" x14ac:dyDescent="0.25">
      <c r="A829" s="222" t="s">
        <v>409</v>
      </c>
      <c r="B829" s="213" t="s">
        <v>350</v>
      </c>
      <c r="C829" s="225" t="s">
        <v>295</v>
      </c>
      <c r="D829" s="226" t="s">
        <v>87</v>
      </c>
      <c r="E829" s="249"/>
      <c r="F829" s="250" t="s">
        <v>97</v>
      </c>
      <c r="G829" s="250" t="s">
        <v>269</v>
      </c>
      <c r="H829" s="251" t="str">
        <f>IF(BASE_DATOS[[#This Row],[N-R]]="N",BASE_DATOS[[#This Row],[Diseño]],"Reencauche")</f>
        <v>AGC28</v>
      </c>
      <c r="I829" s="250" t="s">
        <v>270</v>
      </c>
      <c r="J829" s="235" t="s">
        <v>72</v>
      </c>
      <c r="K829" s="252">
        <v>16.5</v>
      </c>
      <c r="L829" s="250">
        <v>110</v>
      </c>
      <c r="M829" s="253"/>
      <c r="N829" s="254"/>
      <c r="O829" s="274"/>
      <c r="P829" s="275"/>
      <c r="Q829" s="276"/>
      <c r="R829" s="305" t="s">
        <v>98</v>
      </c>
      <c r="S829" s="306">
        <v>45385</v>
      </c>
      <c r="T829" s="314"/>
      <c r="U829" s="276"/>
      <c r="V829" s="224">
        <v>14</v>
      </c>
      <c r="W829" s="325">
        <v>14</v>
      </c>
      <c r="X829" s="326">
        <v>14</v>
      </c>
      <c r="Y829" s="292">
        <f t="shared" ref="Y829:Y836" si="38">IFERROR(MIN(V829:X829),"")</f>
        <v>14</v>
      </c>
      <c r="Z829" s="185" t="s">
        <v>85</v>
      </c>
      <c r="AA829" s="339">
        <f>IFERROR(BASE_DATOS[[#This Row],[NSK Original]]-BASE_DATOS[[#This Row],[NSK]]," ")</f>
        <v>2.5</v>
      </c>
      <c r="AB829" s="340">
        <f>'NSK-TRACTO'!$A$2</f>
        <v>6</v>
      </c>
      <c r="AC829" s="340">
        <f>IF(BASE_DATOS[[#This Row],[NSK]]&gt;=BASE_DATOS[[#This Row],[NSK Reen]],BASE_DATOS[[#This Row],[NSK Reen]],BASE_DATOS[[#This Row],[NSK]])</f>
        <v>6</v>
      </c>
      <c r="AD829" s="341">
        <f>IFERROR(100%-(BASE_DATOS[[#This Row],[NSK Reen]]/BASE_DATOS[[#This Row],[NSK Original]]),"")</f>
        <v>0.63636363636363635</v>
      </c>
      <c r="AE829" s="341">
        <f>IFERROR(100%-BASE_DATOS[[#This Row],[NSK]]/BASE_DATOS[[#This Row],[NSK Original]],"")</f>
        <v>0.15151515151515149</v>
      </c>
      <c r="AF829" s="341">
        <f>IFERROR(BASE_DATOS[[#This Row],[% Max Des.]]-BASE_DATOS[[#This Row],[% Des]],"")</f>
        <v>0.48484848484848486</v>
      </c>
      <c r="AG829" s="284"/>
      <c r="AH829" s="335"/>
      <c r="AI829" s="359" t="str">
        <f>IF(OR(BASE_DATOS[[#This Row],[Hr.]]="",BASE_DATOS[[#This Row],[Hr. Actual]]=""),"",BASE_DATOS[[#This Row],[Hr. Actual]]-BASE_DATOS[[#This Row],[Hr.]]+BASE_DATOS[[#This Row],[Horas Acumuladas]])</f>
        <v/>
      </c>
      <c r="AJ829" s="360" t="str">
        <f>IFERROR(BASE_DATOS[[#This Row],[Precio US$]]/BASE_DATOS[[#This Row],[Horas Rodadas]],"")</f>
        <v/>
      </c>
      <c r="AK829" s="361" t="str">
        <f>IFERROR(BASE_DATOS[[#This Row],[Horas Rodadas]]/(BASE_DATOS[[#This Row],[NSK Original]]-BASE_DATOS[[#This Row],[NSK]]),"")</f>
        <v/>
      </c>
      <c r="AL829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29" s="362" t="str">
        <f>IFERROR(BASE_DATOS[[#This Row],[Precio US$]]/BASE_DATOS[[#This Row],[Horas Proy.]],"")</f>
        <v/>
      </c>
      <c r="AN829" s="199" t="str">
        <f>IF(OR(BASE_DATOS[[#This Row],[Km.]]="",BASE_DATOS[[#This Row],[Km. Actual]]=""),"",BASE_DATOS[[#This Row],[Km. Actual]]-BASE_DATOS[[#This Row],[Km.]]+BASE_DATOS[[#This Row],[Kilómetros Acumulados]])</f>
        <v/>
      </c>
      <c r="AO829" s="200" t="str">
        <f>IFERROR(BASE_DATOS[[#This Row],[Precio US$]]/BASE_DATOS[[#This Row],[Kilómetros Rodados]],"")</f>
        <v/>
      </c>
      <c r="AP829" s="199" t="str">
        <f>IFERROR(BASE_DATOS[[#This Row],[Kilómetros Rodados]]/(BASE_DATOS[[#This Row],[NSK Original]]-BASE_DATOS[[#This Row],[NSK]]),"")</f>
        <v/>
      </c>
      <c r="AQ829" s="19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29" s="200" t="str">
        <f>IFERROR(BASE_DATOS[[#This Row],[Precio US$]]/BASE_DATOS[[#This Row],[Kilómetros Proy.]],"")</f>
        <v/>
      </c>
      <c r="AS829" s="201" t="s">
        <v>62</v>
      </c>
      <c r="AT829" s="201"/>
      <c r="AU829" s="201"/>
      <c r="AV829" s="201"/>
      <c r="AW829" s="203"/>
      <c r="AX829" s="203"/>
      <c r="AY829" s="203" t="str">
        <f>CONCATENATE(BASE_DATOS[[#This Row],[Código_U]]&amp;BASE_DATOS[[#This Row],[Pos.]]&amp;BASE_DATOS[[#This Row],[Situación Actual]])</f>
        <v>SR-2501Rodando</v>
      </c>
    </row>
    <row r="830" spans="1:51" ht="12" x14ac:dyDescent="0.25">
      <c r="A830" s="223" t="s">
        <v>409</v>
      </c>
      <c r="B830" s="217" t="s">
        <v>350</v>
      </c>
      <c r="C830" s="228" t="s">
        <v>295</v>
      </c>
      <c r="D830" s="229" t="s">
        <v>87</v>
      </c>
      <c r="E830" s="255"/>
      <c r="F830" s="256" t="s">
        <v>97</v>
      </c>
      <c r="G830" s="256" t="s">
        <v>269</v>
      </c>
      <c r="H830" s="257" t="str">
        <f>IF(BASE_DATOS[[#This Row],[N-R]]="N",BASE_DATOS[[#This Row],[Diseño]],"Reencauche")</f>
        <v>AGC28</v>
      </c>
      <c r="I830" s="256" t="s">
        <v>270</v>
      </c>
      <c r="J830" s="243" t="s">
        <v>72</v>
      </c>
      <c r="K830" s="258">
        <v>16.5</v>
      </c>
      <c r="L830" s="256">
        <v>110</v>
      </c>
      <c r="M830" s="259"/>
      <c r="N830" s="260"/>
      <c r="O830" s="277"/>
      <c r="P830" s="278"/>
      <c r="Q830" s="279"/>
      <c r="R830" s="309" t="s">
        <v>99</v>
      </c>
      <c r="S830" s="310">
        <v>45385</v>
      </c>
      <c r="T830" s="313"/>
      <c r="U830" s="279"/>
      <c r="V830" s="227">
        <v>14</v>
      </c>
      <c r="W830" s="281">
        <v>14</v>
      </c>
      <c r="X830" s="282">
        <v>14</v>
      </c>
      <c r="Y830" s="293">
        <f t="shared" si="38"/>
        <v>14</v>
      </c>
      <c r="Z830" s="161" t="s">
        <v>85</v>
      </c>
      <c r="AA830" s="342">
        <f>IFERROR(BASE_DATOS[[#This Row],[NSK Original]]-BASE_DATOS[[#This Row],[NSK]]," ")</f>
        <v>2.5</v>
      </c>
      <c r="AB830" s="343">
        <f>'NSK-TRACTO'!$A$2</f>
        <v>6</v>
      </c>
      <c r="AC830" s="343">
        <f>IF(BASE_DATOS[[#This Row],[NSK]]&gt;=BASE_DATOS[[#This Row],[NSK Reen]],BASE_DATOS[[#This Row],[NSK Reen]],BASE_DATOS[[#This Row],[NSK]])</f>
        <v>6</v>
      </c>
      <c r="AD830" s="344">
        <f>IFERROR(100%-(BASE_DATOS[[#This Row],[NSK Reen]]/BASE_DATOS[[#This Row],[NSK Original]]),"")</f>
        <v>0.63636363636363635</v>
      </c>
      <c r="AE830" s="344">
        <f>IFERROR(100%-BASE_DATOS[[#This Row],[NSK]]/BASE_DATOS[[#This Row],[NSK Original]],"")</f>
        <v>0.15151515151515149</v>
      </c>
      <c r="AF830" s="344">
        <f>IFERROR(BASE_DATOS[[#This Row],[% Max Des.]]-BASE_DATOS[[#This Row],[% Des]],"")</f>
        <v>0.48484848484848486</v>
      </c>
      <c r="AG830" s="287"/>
      <c r="AH830" s="273"/>
      <c r="AI830" s="363" t="str">
        <f>IF(OR(BASE_DATOS[[#This Row],[Hr.]]="",BASE_DATOS[[#This Row],[Hr. Actual]]=""),"",BASE_DATOS[[#This Row],[Hr. Actual]]-BASE_DATOS[[#This Row],[Hr.]]+BASE_DATOS[[#This Row],[Horas Acumuladas]])</f>
        <v/>
      </c>
      <c r="AJ830" s="364" t="str">
        <f>IFERROR(BASE_DATOS[[#This Row],[Precio US$]]/BASE_DATOS[[#This Row],[Horas Rodadas]],"")</f>
        <v/>
      </c>
      <c r="AK830" s="365" t="str">
        <f>IFERROR(BASE_DATOS[[#This Row],[Horas Rodadas]]/(BASE_DATOS[[#This Row],[NSK Original]]-BASE_DATOS[[#This Row],[NSK]]),"")</f>
        <v/>
      </c>
      <c r="AL83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30" s="366" t="str">
        <f>IFERROR(BASE_DATOS[[#This Row],[Precio US$]]/BASE_DATOS[[#This Row],[Horas Proy.]],"")</f>
        <v/>
      </c>
      <c r="AN830" s="176" t="str">
        <f>IF(OR(BASE_DATOS[[#This Row],[Km.]]="",BASE_DATOS[[#This Row],[Km. Actual]]=""),"",BASE_DATOS[[#This Row],[Km. Actual]]-BASE_DATOS[[#This Row],[Km.]]+BASE_DATOS[[#This Row],[Kilómetros Acumulados]])</f>
        <v/>
      </c>
      <c r="AO830" s="177" t="str">
        <f>IFERROR(BASE_DATOS[[#This Row],[Precio US$]]/BASE_DATOS[[#This Row],[Kilómetros Rodados]],"")</f>
        <v/>
      </c>
      <c r="AP830" s="176" t="str">
        <f>IFERROR(BASE_DATOS[[#This Row],[Kilómetros Rodados]]/(BASE_DATOS[[#This Row],[NSK Original]]-BASE_DATOS[[#This Row],[NSK]]),"")</f>
        <v/>
      </c>
      <c r="AQ83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30" s="177" t="str">
        <f>IFERROR(BASE_DATOS[[#This Row],[Precio US$]]/BASE_DATOS[[#This Row],[Kilómetros Proy.]],"")</f>
        <v/>
      </c>
      <c r="AS830" s="167" t="s">
        <v>62</v>
      </c>
      <c r="AT830" s="167"/>
      <c r="AU830" s="167"/>
      <c r="AV830" s="167"/>
      <c r="AW830" s="179"/>
      <c r="AX830" s="179"/>
      <c r="AY830" s="179" t="str">
        <f>CONCATENATE(BASE_DATOS[[#This Row],[Código_U]]&amp;BASE_DATOS[[#This Row],[Pos.]]&amp;BASE_DATOS[[#This Row],[Situación Actual]])</f>
        <v>SR-2502Rodando</v>
      </c>
    </row>
    <row r="831" spans="1:51" ht="12" x14ac:dyDescent="0.25">
      <c r="A831" s="223" t="s">
        <v>409</v>
      </c>
      <c r="B831" s="217" t="s">
        <v>350</v>
      </c>
      <c r="C831" s="228" t="s">
        <v>295</v>
      </c>
      <c r="D831" s="229" t="s">
        <v>87</v>
      </c>
      <c r="E831" s="255"/>
      <c r="F831" s="256" t="s">
        <v>97</v>
      </c>
      <c r="G831" s="256" t="s">
        <v>269</v>
      </c>
      <c r="H831" s="257" t="str">
        <f>IF(BASE_DATOS[[#This Row],[N-R]]="N",BASE_DATOS[[#This Row],[Diseño]],"Reencauche")</f>
        <v>AGC28</v>
      </c>
      <c r="I831" s="256" t="s">
        <v>270</v>
      </c>
      <c r="J831" s="243" t="s">
        <v>72</v>
      </c>
      <c r="K831" s="258">
        <v>16.5</v>
      </c>
      <c r="L831" s="256">
        <v>110</v>
      </c>
      <c r="M831" s="259"/>
      <c r="N831" s="260"/>
      <c r="O831" s="277"/>
      <c r="P831" s="278"/>
      <c r="Q831" s="279"/>
      <c r="R831" s="309" t="s">
        <v>100</v>
      </c>
      <c r="S831" s="310">
        <v>45385</v>
      </c>
      <c r="T831" s="313"/>
      <c r="U831" s="279"/>
      <c r="V831" s="227">
        <v>13</v>
      </c>
      <c r="W831" s="281">
        <v>12</v>
      </c>
      <c r="X831" s="282">
        <v>13</v>
      </c>
      <c r="Y831" s="293">
        <f t="shared" si="38"/>
        <v>12</v>
      </c>
      <c r="Z831" s="161" t="s">
        <v>85</v>
      </c>
      <c r="AA831" s="342">
        <f>IFERROR(BASE_DATOS[[#This Row],[NSK Original]]-BASE_DATOS[[#This Row],[NSK]]," ")</f>
        <v>4.5</v>
      </c>
      <c r="AB831" s="343">
        <f>'NSK-TRACTO'!$A$2</f>
        <v>6</v>
      </c>
      <c r="AC831" s="343">
        <f>IF(BASE_DATOS[[#This Row],[NSK]]&gt;=BASE_DATOS[[#This Row],[NSK Reen]],BASE_DATOS[[#This Row],[NSK Reen]],BASE_DATOS[[#This Row],[NSK]])</f>
        <v>6</v>
      </c>
      <c r="AD831" s="344">
        <f>IFERROR(100%-(BASE_DATOS[[#This Row],[NSK Reen]]/BASE_DATOS[[#This Row],[NSK Original]]),"")</f>
        <v>0.63636363636363635</v>
      </c>
      <c r="AE831" s="344">
        <f>IFERROR(100%-BASE_DATOS[[#This Row],[NSK]]/BASE_DATOS[[#This Row],[NSK Original]],"")</f>
        <v>0.27272727272727271</v>
      </c>
      <c r="AF831" s="344">
        <f>IFERROR(BASE_DATOS[[#This Row],[% Max Des.]]-BASE_DATOS[[#This Row],[% Des]],"")</f>
        <v>0.36363636363636365</v>
      </c>
      <c r="AG831" s="287"/>
      <c r="AH831" s="273"/>
      <c r="AI831" s="363" t="str">
        <f>IF(OR(BASE_DATOS[[#This Row],[Hr.]]="",BASE_DATOS[[#This Row],[Hr. Actual]]=""),"",BASE_DATOS[[#This Row],[Hr. Actual]]-BASE_DATOS[[#This Row],[Hr.]]+BASE_DATOS[[#This Row],[Horas Acumuladas]])</f>
        <v/>
      </c>
      <c r="AJ831" s="364" t="str">
        <f>IFERROR(BASE_DATOS[[#This Row],[Precio US$]]/BASE_DATOS[[#This Row],[Horas Rodadas]],"")</f>
        <v/>
      </c>
      <c r="AK831" s="365" t="str">
        <f>IFERROR(BASE_DATOS[[#This Row],[Horas Rodadas]]/(BASE_DATOS[[#This Row],[NSK Original]]-BASE_DATOS[[#This Row],[NSK]]),"")</f>
        <v/>
      </c>
      <c r="AL83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31" s="366" t="str">
        <f>IFERROR(BASE_DATOS[[#This Row],[Precio US$]]/BASE_DATOS[[#This Row],[Horas Proy.]],"")</f>
        <v/>
      </c>
      <c r="AN831" s="176" t="str">
        <f>IF(OR(BASE_DATOS[[#This Row],[Km.]]="",BASE_DATOS[[#This Row],[Km. Actual]]=""),"",BASE_DATOS[[#This Row],[Km. Actual]]-BASE_DATOS[[#This Row],[Km.]]+BASE_DATOS[[#This Row],[Kilómetros Acumulados]])</f>
        <v/>
      </c>
      <c r="AO831" s="177" t="str">
        <f>IFERROR(BASE_DATOS[[#This Row],[Precio US$]]/BASE_DATOS[[#This Row],[Kilómetros Rodados]],"")</f>
        <v/>
      </c>
      <c r="AP831" s="176" t="str">
        <f>IFERROR(BASE_DATOS[[#This Row],[Kilómetros Rodados]]/(BASE_DATOS[[#This Row],[NSK Original]]-BASE_DATOS[[#This Row],[NSK]]),"")</f>
        <v/>
      </c>
      <c r="AQ83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31" s="177" t="str">
        <f>IFERROR(BASE_DATOS[[#This Row],[Precio US$]]/BASE_DATOS[[#This Row],[Kilómetros Proy.]],"")</f>
        <v/>
      </c>
      <c r="AS831" s="167" t="s">
        <v>62</v>
      </c>
      <c r="AT831" s="167"/>
      <c r="AU831" s="167"/>
      <c r="AV831" s="167"/>
      <c r="AW831" s="179"/>
      <c r="AX831" s="179"/>
      <c r="AY831" s="179" t="str">
        <f>CONCATENATE(BASE_DATOS[[#This Row],[Código_U]]&amp;BASE_DATOS[[#This Row],[Pos.]]&amp;BASE_DATOS[[#This Row],[Situación Actual]])</f>
        <v>SR-2503Rodando</v>
      </c>
    </row>
    <row r="832" spans="1:51" ht="12" x14ac:dyDescent="0.25">
      <c r="A832" s="223" t="s">
        <v>409</v>
      </c>
      <c r="B832" s="217" t="s">
        <v>350</v>
      </c>
      <c r="C832" s="228" t="s">
        <v>295</v>
      </c>
      <c r="D832" s="229" t="s">
        <v>87</v>
      </c>
      <c r="E832" s="255"/>
      <c r="F832" s="256" t="s">
        <v>97</v>
      </c>
      <c r="G832" s="256" t="s">
        <v>269</v>
      </c>
      <c r="H832" s="257" t="str">
        <f>IF(BASE_DATOS[[#This Row],[N-R]]="N",BASE_DATOS[[#This Row],[Diseño]],"Reencauche")</f>
        <v>AGC28</v>
      </c>
      <c r="I832" s="256" t="s">
        <v>270</v>
      </c>
      <c r="J832" s="243" t="s">
        <v>72</v>
      </c>
      <c r="K832" s="258">
        <v>16.5</v>
      </c>
      <c r="L832" s="256">
        <v>110</v>
      </c>
      <c r="M832" s="259"/>
      <c r="N832" s="260"/>
      <c r="O832" s="277"/>
      <c r="P832" s="278"/>
      <c r="Q832" s="279"/>
      <c r="R832" s="309" t="s">
        <v>101</v>
      </c>
      <c r="S832" s="310">
        <v>45385</v>
      </c>
      <c r="T832" s="313"/>
      <c r="U832" s="279"/>
      <c r="V832" s="227">
        <v>14</v>
      </c>
      <c r="W832" s="281">
        <v>14</v>
      </c>
      <c r="X832" s="282">
        <v>14</v>
      </c>
      <c r="Y832" s="293">
        <f t="shared" si="38"/>
        <v>14</v>
      </c>
      <c r="Z832" s="161" t="s">
        <v>85</v>
      </c>
      <c r="AA832" s="342">
        <f>IFERROR(BASE_DATOS[[#This Row],[NSK Original]]-BASE_DATOS[[#This Row],[NSK]]," ")</f>
        <v>2.5</v>
      </c>
      <c r="AB832" s="343">
        <f>'NSK-TRACTO'!$A$2</f>
        <v>6</v>
      </c>
      <c r="AC832" s="343">
        <f>IF(BASE_DATOS[[#This Row],[NSK]]&gt;=BASE_DATOS[[#This Row],[NSK Reen]],BASE_DATOS[[#This Row],[NSK Reen]],BASE_DATOS[[#This Row],[NSK]])</f>
        <v>6</v>
      </c>
      <c r="AD832" s="344">
        <f>IFERROR(100%-(BASE_DATOS[[#This Row],[NSK Reen]]/BASE_DATOS[[#This Row],[NSK Original]]),"")</f>
        <v>0.63636363636363635</v>
      </c>
      <c r="AE832" s="344">
        <f>IFERROR(100%-BASE_DATOS[[#This Row],[NSK]]/BASE_DATOS[[#This Row],[NSK Original]],"")</f>
        <v>0.15151515151515149</v>
      </c>
      <c r="AF832" s="344">
        <f>IFERROR(BASE_DATOS[[#This Row],[% Max Des.]]-BASE_DATOS[[#This Row],[% Des]],"")</f>
        <v>0.48484848484848486</v>
      </c>
      <c r="AG832" s="287"/>
      <c r="AH832" s="273"/>
      <c r="AI832" s="363" t="str">
        <f>IF(OR(BASE_DATOS[[#This Row],[Hr.]]="",BASE_DATOS[[#This Row],[Hr. Actual]]=""),"",BASE_DATOS[[#This Row],[Hr. Actual]]-BASE_DATOS[[#This Row],[Hr.]]+BASE_DATOS[[#This Row],[Horas Acumuladas]])</f>
        <v/>
      </c>
      <c r="AJ832" s="364" t="str">
        <f>IFERROR(BASE_DATOS[[#This Row],[Precio US$]]/BASE_DATOS[[#This Row],[Horas Rodadas]],"")</f>
        <v/>
      </c>
      <c r="AK832" s="365" t="str">
        <f>IFERROR(BASE_DATOS[[#This Row],[Horas Rodadas]]/(BASE_DATOS[[#This Row],[NSK Original]]-BASE_DATOS[[#This Row],[NSK]]),"")</f>
        <v/>
      </c>
      <c r="AL83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32" s="366" t="str">
        <f>IFERROR(BASE_DATOS[[#This Row],[Precio US$]]/BASE_DATOS[[#This Row],[Horas Proy.]],"")</f>
        <v/>
      </c>
      <c r="AN832" s="176" t="str">
        <f>IF(OR(BASE_DATOS[[#This Row],[Km.]]="",BASE_DATOS[[#This Row],[Km. Actual]]=""),"",BASE_DATOS[[#This Row],[Km. Actual]]-BASE_DATOS[[#This Row],[Km.]]+BASE_DATOS[[#This Row],[Kilómetros Acumulados]])</f>
        <v/>
      </c>
      <c r="AO832" s="177" t="str">
        <f>IFERROR(BASE_DATOS[[#This Row],[Precio US$]]/BASE_DATOS[[#This Row],[Kilómetros Rodados]],"")</f>
        <v/>
      </c>
      <c r="AP832" s="176" t="str">
        <f>IFERROR(BASE_DATOS[[#This Row],[Kilómetros Rodados]]/(BASE_DATOS[[#This Row],[NSK Original]]-BASE_DATOS[[#This Row],[NSK]]),"")</f>
        <v/>
      </c>
      <c r="AQ83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32" s="177" t="str">
        <f>IFERROR(BASE_DATOS[[#This Row],[Precio US$]]/BASE_DATOS[[#This Row],[Kilómetros Proy.]],"")</f>
        <v/>
      </c>
      <c r="AS832" s="167" t="s">
        <v>62</v>
      </c>
      <c r="AT832" s="167"/>
      <c r="AU832" s="167"/>
      <c r="AV832" s="167"/>
      <c r="AW832" s="179"/>
      <c r="AX832" s="179"/>
      <c r="AY832" s="179" t="str">
        <f>CONCATENATE(BASE_DATOS[[#This Row],[Código_U]]&amp;BASE_DATOS[[#This Row],[Pos.]]&amp;BASE_DATOS[[#This Row],[Situación Actual]])</f>
        <v>SR-2504Rodando</v>
      </c>
    </row>
    <row r="833" spans="1:51" ht="12" x14ac:dyDescent="0.25">
      <c r="A833" s="223" t="s">
        <v>409</v>
      </c>
      <c r="B833" s="217" t="s">
        <v>350</v>
      </c>
      <c r="C833" s="228" t="s">
        <v>295</v>
      </c>
      <c r="D833" s="229" t="s">
        <v>87</v>
      </c>
      <c r="E833" s="255"/>
      <c r="F833" s="256" t="s">
        <v>97</v>
      </c>
      <c r="G833" s="256" t="s">
        <v>269</v>
      </c>
      <c r="H833" s="257" t="str">
        <f>IF(BASE_DATOS[[#This Row],[N-R]]="N",BASE_DATOS[[#This Row],[Diseño]],"Reencauche")</f>
        <v>AGC28</v>
      </c>
      <c r="I833" s="256" t="s">
        <v>270</v>
      </c>
      <c r="J833" s="243" t="s">
        <v>72</v>
      </c>
      <c r="K833" s="258">
        <v>16.5</v>
      </c>
      <c r="L833" s="256">
        <v>110</v>
      </c>
      <c r="M833" s="259"/>
      <c r="N833" s="260"/>
      <c r="O833" s="277"/>
      <c r="P833" s="278"/>
      <c r="Q833" s="279"/>
      <c r="R833" s="309" t="s">
        <v>102</v>
      </c>
      <c r="S833" s="310">
        <v>45385</v>
      </c>
      <c r="T833" s="313"/>
      <c r="U833" s="279"/>
      <c r="V833" s="227">
        <v>12</v>
      </c>
      <c r="W833" s="281">
        <v>11</v>
      </c>
      <c r="X833" s="282">
        <v>12</v>
      </c>
      <c r="Y833" s="293">
        <f t="shared" si="38"/>
        <v>11</v>
      </c>
      <c r="Z833" s="161" t="s">
        <v>85</v>
      </c>
      <c r="AA833" s="342">
        <f>IFERROR(BASE_DATOS[[#This Row],[NSK Original]]-BASE_DATOS[[#This Row],[NSK]]," ")</f>
        <v>5.5</v>
      </c>
      <c r="AB833" s="343">
        <f>'NSK-TRACTO'!$A$2</f>
        <v>6</v>
      </c>
      <c r="AC833" s="343">
        <f>IF(BASE_DATOS[[#This Row],[NSK]]&gt;=BASE_DATOS[[#This Row],[NSK Reen]],BASE_DATOS[[#This Row],[NSK Reen]],BASE_DATOS[[#This Row],[NSK]])</f>
        <v>6</v>
      </c>
      <c r="AD833" s="344">
        <f>IFERROR(100%-(BASE_DATOS[[#This Row],[NSK Reen]]/BASE_DATOS[[#This Row],[NSK Original]]),"")</f>
        <v>0.63636363636363635</v>
      </c>
      <c r="AE833" s="344">
        <f>IFERROR(100%-BASE_DATOS[[#This Row],[NSK]]/BASE_DATOS[[#This Row],[NSK Original]],"")</f>
        <v>0.33333333333333337</v>
      </c>
      <c r="AF833" s="344">
        <f>IFERROR(BASE_DATOS[[#This Row],[% Max Des.]]-BASE_DATOS[[#This Row],[% Des]],"")</f>
        <v>0.30303030303030298</v>
      </c>
      <c r="AG833" s="287"/>
      <c r="AH833" s="273"/>
      <c r="AI833" s="363" t="str">
        <f>IF(OR(BASE_DATOS[[#This Row],[Hr.]]="",BASE_DATOS[[#This Row],[Hr. Actual]]=""),"",BASE_DATOS[[#This Row],[Hr. Actual]]-BASE_DATOS[[#This Row],[Hr.]]+BASE_DATOS[[#This Row],[Horas Acumuladas]])</f>
        <v/>
      </c>
      <c r="AJ833" s="364" t="str">
        <f>IFERROR(BASE_DATOS[[#This Row],[Precio US$]]/BASE_DATOS[[#This Row],[Horas Rodadas]],"")</f>
        <v/>
      </c>
      <c r="AK833" s="365" t="str">
        <f>IFERROR(BASE_DATOS[[#This Row],[Horas Rodadas]]/(BASE_DATOS[[#This Row],[NSK Original]]-BASE_DATOS[[#This Row],[NSK]]),"")</f>
        <v/>
      </c>
      <c r="AL83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33" s="366" t="str">
        <f>IFERROR(BASE_DATOS[[#This Row],[Precio US$]]/BASE_DATOS[[#This Row],[Horas Proy.]],"")</f>
        <v/>
      </c>
      <c r="AN833" s="176" t="str">
        <f>IF(OR(BASE_DATOS[[#This Row],[Km.]]="",BASE_DATOS[[#This Row],[Km. Actual]]=""),"",BASE_DATOS[[#This Row],[Km. Actual]]-BASE_DATOS[[#This Row],[Km.]]+BASE_DATOS[[#This Row],[Kilómetros Acumulados]])</f>
        <v/>
      </c>
      <c r="AO833" s="177" t="str">
        <f>IFERROR(BASE_DATOS[[#This Row],[Precio US$]]/BASE_DATOS[[#This Row],[Kilómetros Rodados]],"")</f>
        <v/>
      </c>
      <c r="AP833" s="176" t="str">
        <f>IFERROR(BASE_DATOS[[#This Row],[Kilómetros Rodados]]/(BASE_DATOS[[#This Row],[NSK Original]]-BASE_DATOS[[#This Row],[NSK]]),"")</f>
        <v/>
      </c>
      <c r="AQ83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33" s="177" t="str">
        <f>IFERROR(BASE_DATOS[[#This Row],[Precio US$]]/BASE_DATOS[[#This Row],[Kilómetros Proy.]],"")</f>
        <v/>
      </c>
      <c r="AS833" s="167" t="s">
        <v>62</v>
      </c>
      <c r="AT833" s="167"/>
      <c r="AU833" s="167"/>
      <c r="AV833" s="167"/>
      <c r="AW833" s="179"/>
      <c r="AX833" s="179"/>
      <c r="AY833" s="179" t="str">
        <f>CONCATENATE(BASE_DATOS[[#This Row],[Código_U]]&amp;BASE_DATOS[[#This Row],[Pos.]]&amp;BASE_DATOS[[#This Row],[Situación Actual]])</f>
        <v>SR-2505Rodando</v>
      </c>
    </row>
    <row r="834" spans="1:51" ht="12" x14ac:dyDescent="0.25">
      <c r="A834" s="223" t="s">
        <v>409</v>
      </c>
      <c r="B834" s="217" t="s">
        <v>350</v>
      </c>
      <c r="C834" s="228" t="s">
        <v>295</v>
      </c>
      <c r="D834" s="229" t="s">
        <v>87</v>
      </c>
      <c r="E834" s="255"/>
      <c r="F834" s="256" t="s">
        <v>97</v>
      </c>
      <c r="G834" s="256" t="s">
        <v>269</v>
      </c>
      <c r="H834" s="257" t="str">
        <f>IF(BASE_DATOS[[#This Row],[N-R]]="N",BASE_DATOS[[#This Row],[Diseño]],"Reencauche")</f>
        <v>AGC28</v>
      </c>
      <c r="I834" s="256" t="s">
        <v>270</v>
      </c>
      <c r="J834" s="243" t="s">
        <v>72</v>
      </c>
      <c r="K834" s="258">
        <v>16.5</v>
      </c>
      <c r="L834" s="256">
        <v>110</v>
      </c>
      <c r="M834" s="259"/>
      <c r="N834" s="260"/>
      <c r="O834" s="277"/>
      <c r="P834" s="278"/>
      <c r="Q834" s="279"/>
      <c r="R834" s="309" t="s">
        <v>103</v>
      </c>
      <c r="S834" s="310">
        <v>45385</v>
      </c>
      <c r="T834" s="313"/>
      <c r="U834" s="279"/>
      <c r="V834" s="227">
        <v>11</v>
      </c>
      <c r="W834" s="281">
        <v>11</v>
      </c>
      <c r="X834" s="282">
        <v>12</v>
      </c>
      <c r="Y834" s="293">
        <f t="shared" si="38"/>
        <v>11</v>
      </c>
      <c r="Z834" s="161" t="s">
        <v>85</v>
      </c>
      <c r="AA834" s="342">
        <f>IFERROR(BASE_DATOS[[#This Row],[NSK Original]]-BASE_DATOS[[#This Row],[NSK]]," ")</f>
        <v>5.5</v>
      </c>
      <c r="AB834" s="343">
        <f>'NSK-TRACTO'!$A$2</f>
        <v>6</v>
      </c>
      <c r="AC834" s="343">
        <f>IF(BASE_DATOS[[#This Row],[NSK]]&gt;=BASE_DATOS[[#This Row],[NSK Reen]],BASE_DATOS[[#This Row],[NSK Reen]],BASE_DATOS[[#This Row],[NSK]])</f>
        <v>6</v>
      </c>
      <c r="AD834" s="344">
        <f>IFERROR(100%-(BASE_DATOS[[#This Row],[NSK Reen]]/BASE_DATOS[[#This Row],[NSK Original]]),"")</f>
        <v>0.63636363636363635</v>
      </c>
      <c r="AE834" s="344">
        <f>IFERROR(100%-BASE_DATOS[[#This Row],[NSK]]/BASE_DATOS[[#This Row],[NSK Original]],"")</f>
        <v>0.33333333333333337</v>
      </c>
      <c r="AF834" s="344">
        <f>IFERROR(BASE_DATOS[[#This Row],[% Max Des.]]-BASE_DATOS[[#This Row],[% Des]],"")</f>
        <v>0.30303030303030298</v>
      </c>
      <c r="AG834" s="287"/>
      <c r="AH834" s="273"/>
      <c r="AI834" s="363" t="str">
        <f>IF(OR(BASE_DATOS[[#This Row],[Hr.]]="",BASE_DATOS[[#This Row],[Hr. Actual]]=""),"",BASE_DATOS[[#This Row],[Hr. Actual]]-BASE_DATOS[[#This Row],[Hr.]]+BASE_DATOS[[#This Row],[Horas Acumuladas]])</f>
        <v/>
      </c>
      <c r="AJ834" s="364" t="str">
        <f>IFERROR(BASE_DATOS[[#This Row],[Precio US$]]/BASE_DATOS[[#This Row],[Horas Rodadas]],"")</f>
        <v/>
      </c>
      <c r="AK834" s="365" t="str">
        <f>IFERROR(BASE_DATOS[[#This Row],[Horas Rodadas]]/(BASE_DATOS[[#This Row],[NSK Original]]-BASE_DATOS[[#This Row],[NSK]]),"")</f>
        <v/>
      </c>
      <c r="AL83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34" s="366" t="str">
        <f>IFERROR(BASE_DATOS[[#This Row],[Precio US$]]/BASE_DATOS[[#This Row],[Horas Proy.]],"")</f>
        <v/>
      </c>
      <c r="AN834" s="176" t="str">
        <f>IF(OR(BASE_DATOS[[#This Row],[Km.]]="",BASE_DATOS[[#This Row],[Km. Actual]]=""),"",BASE_DATOS[[#This Row],[Km. Actual]]-BASE_DATOS[[#This Row],[Km.]]+BASE_DATOS[[#This Row],[Kilómetros Acumulados]])</f>
        <v/>
      </c>
      <c r="AO834" s="177" t="str">
        <f>IFERROR(BASE_DATOS[[#This Row],[Precio US$]]/BASE_DATOS[[#This Row],[Kilómetros Rodados]],"")</f>
        <v/>
      </c>
      <c r="AP834" s="176" t="str">
        <f>IFERROR(BASE_DATOS[[#This Row],[Kilómetros Rodados]]/(BASE_DATOS[[#This Row],[NSK Original]]-BASE_DATOS[[#This Row],[NSK]]),"")</f>
        <v/>
      </c>
      <c r="AQ83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34" s="177" t="str">
        <f>IFERROR(BASE_DATOS[[#This Row],[Precio US$]]/BASE_DATOS[[#This Row],[Kilómetros Proy.]],"")</f>
        <v/>
      </c>
      <c r="AS834" s="167" t="s">
        <v>62</v>
      </c>
      <c r="AT834" s="167"/>
      <c r="AU834" s="167"/>
      <c r="AV834" s="167"/>
      <c r="AW834" s="179"/>
      <c r="AX834" s="179"/>
      <c r="AY834" s="179" t="str">
        <f>CONCATENATE(BASE_DATOS[[#This Row],[Código_U]]&amp;BASE_DATOS[[#This Row],[Pos.]]&amp;BASE_DATOS[[#This Row],[Situación Actual]])</f>
        <v>SR-2506Rodando</v>
      </c>
    </row>
    <row r="835" spans="1:51" ht="12" x14ac:dyDescent="0.25">
      <c r="A835" s="223" t="s">
        <v>409</v>
      </c>
      <c r="B835" s="217" t="s">
        <v>350</v>
      </c>
      <c r="C835" s="228" t="s">
        <v>295</v>
      </c>
      <c r="D835" s="229" t="s">
        <v>384</v>
      </c>
      <c r="E835" s="255"/>
      <c r="F835" s="256" t="s">
        <v>97</v>
      </c>
      <c r="G835" s="256" t="s">
        <v>269</v>
      </c>
      <c r="H835" s="257" t="str">
        <f>IF(BASE_DATOS[[#This Row],[N-R]]="N",BASE_DATOS[[#This Row],[Diseño]],"Reencauche")</f>
        <v>AGC28</v>
      </c>
      <c r="I835" s="256" t="s">
        <v>270</v>
      </c>
      <c r="J835" s="243" t="s">
        <v>72</v>
      </c>
      <c r="K835" s="258">
        <v>16.5</v>
      </c>
      <c r="L835" s="256">
        <v>110</v>
      </c>
      <c r="M835" s="259"/>
      <c r="N835" s="260"/>
      <c r="O835" s="277"/>
      <c r="P835" s="278"/>
      <c r="Q835" s="279"/>
      <c r="R835" s="309" t="s">
        <v>509</v>
      </c>
      <c r="S835" s="310">
        <v>45385</v>
      </c>
      <c r="T835" s="313"/>
      <c r="U835" s="279"/>
      <c r="V835" s="227">
        <v>16</v>
      </c>
      <c r="W835" s="281">
        <v>16</v>
      </c>
      <c r="X835" s="282">
        <v>16</v>
      </c>
      <c r="Y835" s="293">
        <f t="shared" si="38"/>
        <v>16</v>
      </c>
      <c r="Z835" s="161" t="s">
        <v>85</v>
      </c>
      <c r="AA835" s="342">
        <f>IFERROR(BASE_DATOS[[#This Row],[NSK Original]]-BASE_DATOS[[#This Row],[NSK]]," ")</f>
        <v>0.5</v>
      </c>
      <c r="AB835" s="343">
        <f>'NSK-TRACTO'!$A$2</f>
        <v>6</v>
      </c>
      <c r="AC835" s="343">
        <f>IF(BASE_DATOS[[#This Row],[NSK]]&gt;=BASE_DATOS[[#This Row],[NSK Reen]],BASE_DATOS[[#This Row],[NSK Reen]],BASE_DATOS[[#This Row],[NSK]])</f>
        <v>6</v>
      </c>
      <c r="AD835" s="344">
        <f>IFERROR(100%-(BASE_DATOS[[#This Row],[NSK Reen]]/BASE_DATOS[[#This Row],[NSK Original]]),"")</f>
        <v>0.63636363636363635</v>
      </c>
      <c r="AE835" s="344">
        <f>IFERROR(100%-BASE_DATOS[[#This Row],[NSK]]/BASE_DATOS[[#This Row],[NSK Original]],"")</f>
        <v>3.0303030303030276E-2</v>
      </c>
      <c r="AF835" s="344">
        <f>IFERROR(BASE_DATOS[[#This Row],[% Max Des.]]-BASE_DATOS[[#This Row],[% Des]],"")</f>
        <v>0.60606060606060608</v>
      </c>
      <c r="AG835" s="287"/>
      <c r="AH835" s="273"/>
      <c r="AI835" s="363" t="str">
        <f>IF(OR(BASE_DATOS[[#This Row],[Hr.]]="",BASE_DATOS[[#This Row],[Hr. Actual]]=""),"",BASE_DATOS[[#This Row],[Hr. Actual]]-BASE_DATOS[[#This Row],[Hr.]]+BASE_DATOS[[#This Row],[Horas Acumuladas]])</f>
        <v/>
      </c>
      <c r="AJ835" s="364" t="str">
        <f>IFERROR(BASE_DATOS[[#This Row],[Precio US$]]/BASE_DATOS[[#This Row],[Horas Rodadas]],"")</f>
        <v/>
      </c>
      <c r="AK835" s="365" t="str">
        <f>IFERROR(BASE_DATOS[[#This Row],[Horas Rodadas]]/(BASE_DATOS[[#This Row],[NSK Original]]-BASE_DATOS[[#This Row],[NSK]]),"")</f>
        <v/>
      </c>
      <c r="AL83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35" s="366" t="str">
        <f>IFERROR(BASE_DATOS[[#This Row],[Precio US$]]/BASE_DATOS[[#This Row],[Horas Proy.]],"")</f>
        <v/>
      </c>
      <c r="AN835" s="176" t="str">
        <f>IF(OR(BASE_DATOS[[#This Row],[Km.]]="",BASE_DATOS[[#This Row],[Km. Actual]]=""),"",BASE_DATOS[[#This Row],[Km. Actual]]-BASE_DATOS[[#This Row],[Km.]]+BASE_DATOS[[#This Row],[Kilómetros Acumulados]])</f>
        <v/>
      </c>
      <c r="AO835" s="177" t="str">
        <f>IFERROR(BASE_DATOS[[#This Row],[Precio US$]]/BASE_DATOS[[#This Row],[Kilómetros Rodados]],"")</f>
        <v/>
      </c>
      <c r="AP835" s="176" t="str">
        <f>IFERROR(BASE_DATOS[[#This Row],[Kilómetros Rodados]]/(BASE_DATOS[[#This Row],[NSK Original]]-BASE_DATOS[[#This Row],[NSK]]),"")</f>
        <v/>
      </c>
      <c r="AQ83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35" s="177" t="str">
        <f>IFERROR(BASE_DATOS[[#This Row],[Precio US$]]/BASE_DATOS[[#This Row],[Kilómetros Proy.]],"")</f>
        <v/>
      </c>
      <c r="AS835" s="167" t="s">
        <v>62</v>
      </c>
      <c r="AT835" s="167"/>
      <c r="AU835" s="167"/>
      <c r="AV835" s="167"/>
      <c r="AW835" s="179"/>
      <c r="AX835" s="179"/>
      <c r="AY835" s="179" t="str">
        <f>CONCATENATE(BASE_DATOS[[#This Row],[Código_U]]&amp;BASE_DATOS[[#This Row],[Pos.]]&amp;BASE_DATOS[[#This Row],[Situación Actual]])</f>
        <v>SR-250RERodando</v>
      </c>
    </row>
    <row r="836" spans="1:51" ht="12" x14ac:dyDescent="0.25">
      <c r="A836" s="223" t="s">
        <v>409</v>
      </c>
      <c r="B836" s="217" t="s">
        <v>350</v>
      </c>
      <c r="C836" s="228" t="s">
        <v>295</v>
      </c>
      <c r="D836" s="229" t="s">
        <v>108</v>
      </c>
      <c r="E836" s="255"/>
      <c r="F836" s="256" t="s">
        <v>273</v>
      </c>
      <c r="G836" s="256" t="s">
        <v>271</v>
      </c>
      <c r="H836" s="257" t="str">
        <f>IF(BASE_DATOS[[#This Row],[N-R]]="N",BASE_DATOS[[#This Row],[Diseño]],"Reencauche")</f>
        <v>XMULTI2D</v>
      </c>
      <c r="I836" s="256" t="s">
        <v>299</v>
      </c>
      <c r="J836" s="243" t="s">
        <v>72</v>
      </c>
      <c r="K836" s="258">
        <v>21.4</v>
      </c>
      <c r="L836" s="256">
        <v>110</v>
      </c>
      <c r="M836" s="259"/>
      <c r="N836" s="260"/>
      <c r="O836" s="277"/>
      <c r="P836" s="278"/>
      <c r="Q836" s="279"/>
      <c r="R836" s="309" t="s">
        <v>108</v>
      </c>
      <c r="S836" s="310">
        <v>45385</v>
      </c>
      <c r="T836" s="313"/>
      <c r="U836" s="279"/>
      <c r="V836" s="227">
        <v>20</v>
      </c>
      <c r="W836" s="281"/>
      <c r="X836" s="282">
        <v>20</v>
      </c>
      <c r="Y836" s="293">
        <f t="shared" si="38"/>
        <v>20</v>
      </c>
      <c r="Z836" s="175" t="s">
        <v>73</v>
      </c>
      <c r="AA836" s="342">
        <f>IFERROR(BASE_DATOS[[#This Row],[NSK Original]]-BASE_DATOS[[#This Row],[NSK]]," ")</f>
        <v>1.3999999999999986</v>
      </c>
      <c r="AB836" s="343">
        <f>'NSK-TRACTO'!$A$2</f>
        <v>6</v>
      </c>
      <c r="AC836" s="343">
        <f>IF(BASE_DATOS[[#This Row],[NSK]]&gt;=BASE_DATOS[[#This Row],[NSK Reen]],BASE_DATOS[[#This Row],[NSK Reen]],BASE_DATOS[[#This Row],[NSK]])</f>
        <v>6</v>
      </c>
      <c r="AD836" s="344">
        <f>IFERROR(100%-(BASE_DATOS[[#This Row],[NSK Reen]]/BASE_DATOS[[#This Row],[NSK Original]]),"")</f>
        <v>0.71962616822429903</v>
      </c>
      <c r="AE836" s="344">
        <f>IFERROR(100%-BASE_DATOS[[#This Row],[NSK]]/BASE_DATOS[[#This Row],[NSK Original]],"")</f>
        <v>6.5420560747663448E-2</v>
      </c>
      <c r="AF836" s="344">
        <f>IFERROR(BASE_DATOS[[#This Row],[% Max Des.]]-BASE_DATOS[[#This Row],[% Des]],"")</f>
        <v>0.65420560747663559</v>
      </c>
      <c r="AG836" s="287"/>
      <c r="AH836" s="273"/>
      <c r="AI836" s="363" t="str">
        <f>IF(OR(BASE_DATOS[[#This Row],[Hr.]]="",BASE_DATOS[[#This Row],[Hr. Actual]]=""),"",BASE_DATOS[[#This Row],[Hr. Actual]]-BASE_DATOS[[#This Row],[Hr.]]+BASE_DATOS[[#This Row],[Horas Acumuladas]])</f>
        <v/>
      </c>
      <c r="AJ836" s="364" t="str">
        <f>IFERROR(BASE_DATOS[[#This Row],[Precio US$]]/BASE_DATOS[[#This Row],[Horas Rodadas]],"")</f>
        <v/>
      </c>
      <c r="AK836" s="365" t="str">
        <f>IFERROR(BASE_DATOS[[#This Row],[Horas Rodadas]]/(BASE_DATOS[[#This Row],[NSK Original]]-BASE_DATOS[[#This Row],[NSK]]),"")</f>
        <v/>
      </c>
      <c r="AL83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36" s="366" t="str">
        <f>IFERROR(BASE_DATOS[[#This Row],[Precio US$]]/BASE_DATOS[[#This Row],[Horas Proy.]],"")</f>
        <v/>
      </c>
      <c r="AN836" s="171" t="str">
        <f>IF(OR(BASE_DATOS[[#This Row],[Km.]]="",BASE_DATOS[[#This Row],[Km. Actual]]=""),"",BASE_DATOS[[#This Row],[Km. Actual]]-BASE_DATOS[[#This Row],[Km.]]+BASE_DATOS[[#This Row],[Kilómetros Acumulados]])</f>
        <v/>
      </c>
      <c r="AO836" s="172" t="str">
        <f>IFERROR(BASE_DATOS[[#This Row],[Precio US$]]/BASE_DATOS[[#This Row],[Kilómetros Rodados]],"")</f>
        <v/>
      </c>
      <c r="AP836" s="171" t="str">
        <f>IFERROR(BASE_DATOS[[#This Row],[Kilómetros Rodados]]/(BASE_DATOS[[#This Row],[NSK Original]]-BASE_DATOS[[#This Row],[NSK]]),"")</f>
        <v/>
      </c>
      <c r="AQ836" s="17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36" s="172" t="str">
        <f>IFERROR(BASE_DATOS[[#This Row],[Precio US$]]/BASE_DATOS[[#This Row],[Kilómetros Proy.]],"")</f>
        <v/>
      </c>
      <c r="AS836" s="167" t="s">
        <v>62</v>
      </c>
      <c r="AT836" s="170"/>
      <c r="AU836" s="170"/>
      <c r="AV836" s="170"/>
      <c r="AW836" s="174"/>
      <c r="AX836" s="174"/>
      <c r="AY836" s="174" t="str">
        <f>CONCATENATE(BASE_DATOS[[#This Row],[Código_U]]&amp;BASE_DATOS[[#This Row],[Pos.]]&amp;BASE_DATOS[[#This Row],[Situación Actual]])</f>
        <v>SR-250RTRodando</v>
      </c>
    </row>
    <row r="837" spans="1:51" ht="12" x14ac:dyDescent="0.25">
      <c r="A837" s="222" t="s">
        <v>408</v>
      </c>
      <c r="B837" s="213" t="s">
        <v>353</v>
      </c>
      <c r="C837" s="225" t="s">
        <v>296</v>
      </c>
      <c r="D837" s="226" t="s">
        <v>86</v>
      </c>
      <c r="E837" s="249"/>
      <c r="F837" s="250" t="s">
        <v>273</v>
      </c>
      <c r="G837" s="250" t="s">
        <v>271</v>
      </c>
      <c r="H837" s="251" t="str">
        <f>IF(BASE_DATOS[[#This Row],[N-R]]="N",BASE_DATOS[[#This Row],[Diseño]],"Reencauche")</f>
        <v>XMULTI+Z</v>
      </c>
      <c r="I837" s="250" t="s">
        <v>297</v>
      </c>
      <c r="J837" s="235" t="s">
        <v>72</v>
      </c>
      <c r="K837" s="252">
        <v>16</v>
      </c>
      <c r="L837" s="233">
        <v>100</v>
      </c>
      <c r="M837" s="253"/>
      <c r="N837" s="254"/>
      <c r="O837" s="274"/>
      <c r="P837" s="275"/>
      <c r="Q837" s="276"/>
      <c r="R837" s="305">
        <v>1</v>
      </c>
      <c r="S837" s="306">
        <v>45385</v>
      </c>
      <c r="T837" s="307"/>
      <c r="U837" s="308"/>
      <c r="V837" s="224">
        <v>11</v>
      </c>
      <c r="W837" s="325">
        <v>12</v>
      </c>
      <c r="X837" s="326">
        <v>12</v>
      </c>
      <c r="Y837" s="292">
        <f t="shared" ref="Y837:Y854" si="39">IFERROR(MIN(V837:X837),"")</f>
        <v>11</v>
      </c>
      <c r="Z837" s="185" t="s">
        <v>85</v>
      </c>
      <c r="AA837" s="339">
        <f>IFERROR(BASE_DATOS[[#This Row],[NSK Original]]-BASE_DATOS[[#This Row],[NSK]]," ")</f>
        <v>5</v>
      </c>
      <c r="AB837" s="340">
        <f>'NSK-TRACTO'!$A$2</f>
        <v>6</v>
      </c>
      <c r="AC837" s="340">
        <f>IF(BASE_DATOS[[#This Row],[NSK]]&gt;=BASE_DATOS[[#This Row],[NSK Reen]],BASE_DATOS[[#This Row],[NSK Reen]],BASE_DATOS[[#This Row],[NSK]])</f>
        <v>6</v>
      </c>
      <c r="AD837" s="341">
        <f>IFERROR(100%-(BASE_DATOS[[#This Row],[NSK Reen]]/BASE_DATOS[[#This Row],[NSK Original]]),"")</f>
        <v>0.625</v>
      </c>
      <c r="AE837" s="341">
        <f>IFERROR(100%-BASE_DATOS[[#This Row],[NSK]]/BASE_DATOS[[#This Row],[NSK Original]],"")</f>
        <v>0.3125</v>
      </c>
      <c r="AF837" s="341">
        <f>IFERROR(BASE_DATOS[[#This Row],[% Max Des.]]-BASE_DATOS[[#This Row],[% Des]],"")</f>
        <v>0.3125</v>
      </c>
      <c r="AG837" s="284"/>
      <c r="AH837" s="335"/>
      <c r="AI837" s="359" t="str">
        <f>IF(OR(BASE_DATOS[[#This Row],[Hr.]]="",BASE_DATOS[[#This Row],[Hr. Actual]]=""),"",BASE_DATOS[[#This Row],[Hr. Actual]]-BASE_DATOS[[#This Row],[Hr.]]+BASE_DATOS[[#This Row],[Horas Acumuladas]])</f>
        <v/>
      </c>
      <c r="AJ837" s="360" t="str">
        <f>IFERROR(BASE_DATOS[[#This Row],[Precio US$]]/BASE_DATOS[[#This Row],[Horas Rodadas]],"")</f>
        <v/>
      </c>
      <c r="AK837" s="361" t="str">
        <f>IFERROR(BASE_DATOS[[#This Row],[Horas Rodadas]]/(BASE_DATOS[[#This Row],[NSK Original]]-BASE_DATOS[[#This Row],[NSK]]),"")</f>
        <v/>
      </c>
      <c r="AL837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37" s="362" t="str">
        <f>IFERROR(BASE_DATOS[[#This Row],[Precio US$]]/BASE_DATOS[[#This Row],[Horas Proy.]],"")</f>
        <v/>
      </c>
      <c r="AN837" s="199" t="str">
        <f>IF(OR(BASE_DATOS[[#This Row],[Km.]]="",BASE_DATOS[[#This Row],[Km. Actual]]=""),"",BASE_DATOS[[#This Row],[Km. Actual]]-BASE_DATOS[[#This Row],[Km.]]+BASE_DATOS[[#This Row],[Kilómetros Acumulados]])</f>
        <v/>
      </c>
      <c r="AO837" s="200" t="str">
        <f>IFERROR(BASE_DATOS[[#This Row],[Precio US$]]/BASE_DATOS[[#This Row],[Kilómetros Rodados]],"")</f>
        <v/>
      </c>
      <c r="AP837" s="199" t="str">
        <f>IFERROR(BASE_DATOS[[#This Row],[Kilómetros Rodados]]/(BASE_DATOS[[#This Row],[NSK Original]]-BASE_DATOS[[#This Row],[NSK]]),"")</f>
        <v/>
      </c>
      <c r="AQ837" s="19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37" s="200" t="str">
        <f>IFERROR(BASE_DATOS[[#This Row],[Precio US$]]/BASE_DATOS[[#This Row],[Kilómetros Proy.]],"")</f>
        <v/>
      </c>
      <c r="AS837" s="201" t="s">
        <v>62</v>
      </c>
      <c r="AT837" s="201"/>
      <c r="AU837" s="201"/>
      <c r="AV837" s="201"/>
      <c r="AW837" s="203"/>
      <c r="AX837" s="203"/>
      <c r="AY837" s="203" t="str">
        <f>CONCATENATE(BASE_DATOS[[#This Row],[Código_U]]&amp;BASE_DATOS[[#This Row],[Pos.]]&amp;BASE_DATOS[[#This Row],[Situación Actual]])</f>
        <v>TC-2641Rodando</v>
      </c>
    </row>
    <row r="838" spans="1:51" ht="12" x14ac:dyDescent="0.25">
      <c r="A838" s="223" t="s">
        <v>408</v>
      </c>
      <c r="B838" s="217" t="s">
        <v>353</v>
      </c>
      <c r="C838" s="228" t="s">
        <v>296</v>
      </c>
      <c r="D838" s="229" t="s">
        <v>86</v>
      </c>
      <c r="E838" s="255"/>
      <c r="F838" s="256" t="s">
        <v>273</v>
      </c>
      <c r="G838" s="256" t="s">
        <v>271</v>
      </c>
      <c r="H838" s="257" t="str">
        <f>IF(BASE_DATOS[[#This Row],[N-R]]="N",BASE_DATOS[[#This Row],[Diseño]],"Reencauche")</f>
        <v>XMULTI+Z</v>
      </c>
      <c r="I838" s="256" t="s">
        <v>297</v>
      </c>
      <c r="J838" s="243" t="s">
        <v>72</v>
      </c>
      <c r="K838" s="258">
        <v>16</v>
      </c>
      <c r="L838" s="241">
        <v>100</v>
      </c>
      <c r="M838" s="259"/>
      <c r="N838" s="260"/>
      <c r="O838" s="277"/>
      <c r="P838" s="278"/>
      <c r="Q838" s="279"/>
      <c r="R838" s="309">
        <v>2</v>
      </c>
      <c r="S838" s="310">
        <v>45385</v>
      </c>
      <c r="T838" s="311"/>
      <c r="U838" s="315"/>
      <c r="V838" s="227">
        <v>11</v>
      </c>
      <c r="W838" s="281">
        <v>12</v>
      </c>
      <c r="X838" s="282">
        <v>12</v>
      </c>
      <c r="Y838" s="293">
        <f t="shared" si="39"/>
        <v>11</v>
      </c>
      <c r="Z838" s="161" t="s">
        <v>85</v>
      </c>
      <c r="AA838" s="342">
        <f>IFERROR(BASE_DATOS[[#This Row],[NSK Original]]-BASE_DATOS[[#This Row],[NSK]]," ")</f>
        <v>5</v>
      </c>
      <c r="AB838" s="343">
        <f>'NSK-TRACTO'!$A$2</f>
        <v>6</v>
      </c>
      <c r="AC838" s="343">
        <f>IF(BASE_DATOS[[#This Row],[NSK]]&gt;=BASE_DATOS[[#This Row],[NSK Reen]],BASE_DATOS[[#This Row],[NSK Reen]],BASE_DATOS[[#This Row],[NSK]])</f>
        <v>6</v>
      </c>
      <c r="AD838" s="344">
        <f>IFERROR(100%-(BASE_DATOS[[#This Row],[NSK Reen]]/BASE_DATOS[[#This Row],[NSK Original]]),"")</f>
        <v>0.625</v>
      </c>
      <c r="AE838" s="344">
        <f>IFERROR(100%-BASE_DATOS[[#This Row],[NSK]]/BASE_DATOS[[#This Row],[NSK Original]],"")</f>
        <v>0.3125</v>
      </c>
      <c r="AF838" s="344">
        <f>IFERROR(BASE_DATOS[[#This Row],[% Max Des.]]-BASE_DATOS[[#This Row],[% Des]],"")</f>
        <v>0.3125</v>
      </c>
      <c r="AG838" s="287"/>
      <c r="AH838" s="273"/>
      <c r="AI838" s="363" t="str">
        <f>IF(OR(BASE_DATOS[[#This Row],[Hr.]]="",BASE_DATOS[[#This Row],[Hr. Actual]]=""),"",BASE_DATOS[[#This Row],[Hr. Actual]]-BASE_DATOS[[#This Row],[Hr.]]+BASE_DATOS[[#This Row],[Horas Acumuladas]])</f>
        <v/>
      </c>
      <c r="AJ838" s="364" t="str">
        <f>IFERROR(BASE_DATOS[[#This Row],[Precio US$]]/BASE_DATOS[[#This Row],[Horas Rodadas]],"")</f>
        <v/>
      </c>
      <c r="AK838" s="365" t="str">
        <f>IFERROR(BASE_DATOS[[#This Row],[Horas Rodadas]]/(BASE_DATOS[[#This Row],[NSK Original]]-BASE_DATOS[[#This Row],[NSK]]),"")</f>
        <v/>
      </c>
      <c r="AL83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38" s="366" t="str">
        <f>IFERROR(BASE_DATOS[[#This Row],[Precio US$]]/BASE_DATOS[[#This Row],[Horas Proy.]],"")</f>
        <v/>
      </c>
      <c r="AN838" s="176" t="str">
        <f>IF(OR(BASE_DATOS[[#This Row],[Km.]]="",BASE_DATOS[[#This Row],[Km. Actual]]=""),"",BASE_DATOS[[#This Row],[Km. Actual]]-BASE_DATOS[[#This Row],[Km.]]+BASE_DATOS[[#This Row],[Kilómetros Acumulados]])</f>
        <v/>
      </c>
      <c r="AO838" s="177" t="str">
        <f>IFERROR(BASE_DATOS[[#This Row],[Precio US$]]/BASE_DATOS[[#This Row],[Kilómetros Rodados]],"")</f>
        <v/>
      </c>
      <c r="AP838" s="176" t="str">
        <f>IFERROR(BASE_DATOS[[#This Row],[Kilómetros Rodados]]/(BASE_DATOS[[#This Row],[NSK Original]]-BASE_DATOS[[#This Row],[NSK]]),"")</f>
        <v/>
      </c>
      <c r="AQ83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38" s="177" t="str">
        <f>IFERROR(BASE_DATOS[[#This Row],[Precio US$]]/BASE_DATOS[[#This Row],[Kilómetros Proy.]],"")</f>
        <v/>
      </c>
      <c r="AS838" s="170" t="s">
        <v>62</v>
      </c>
      <c r="AT838" s="170"/>
      <c r="AU838" s="170"/>
      <c r="AV838" s="170"/>
      <c r="AW838" s="179"/>
      <c r="AX838" s="179"/>
      <c r="AY838" s="179" t="str">
        <f>CONCATENATE(BASE_DATOS[[#This Row],[Código_U]]&amp;BASE_DATOS[[#This Row],[Pos.]]&amp;BASE_DATOS[[#This Row],[Situación Actual]])</f>
        <v>TC-2642Rodando</v>
      </c>
    </row>
    <row r="839" spans="1:51" ht="12" x14ac:dyDescent="0.25">
      <c r="A839" s="223" t="s">
        <v>408</v>
      </c>
      <c r="B839" s="217" t="s">
        <v>353</v>
      </c>
      <c r="C839" s="228" t="s">
        <v>296</v>
      </c>
      <c r="D839" s="229" t="s">
        <v>61</v>
      </c>
      <c r="E839" s="255"/>
      <c r="F839" s="256" t="s">
        <v>273</v>
      </c>
      <c r="G839" s="256" t="s">
        <v>271</v>
      </c>
      <c r="H839" s="257" t="str">
        <f>IF(BASE_DATOS[[#This Row],[N-R]]="N",BASE_DATOS[[#This Row],[Diseño]],"Reencauche")</f>
        <v>XMULTI2D</v>
      </c>
      <c r="I839" s="256" t="s">
        <v>299</v>
      </c>
      <c r="J839" s="243" t="s">
        <v>72</v>
      </c>
      <c r="K839" s="258">
        <v>21.4</v>
      </c>
      <c r="L839" s="241">
        <v>110</v>
      </c>
      <c r="M839" s="259"/>
      <c r="N839" s="260"/>
      <c r="O839" s="277"/>
      <c r="P839" s="278"/>
      <c r="Q839" s="279"/>
      <c r="R839" s="309">
        <v>3</v>
      </c>
      <c r="S839" s="310">
        <v>45385</v>
      </c>
      <c r="T839" s="311"/>
      <c r="U839" s="312"/>
      <c r="V839" s="227">
        <v>16</v>
      </c>
      <c r="W839" s="281"/>
      <c r="X839" s="282">
        <v>16</v>
      </c>
      <c r="Y839" s="293">
        <f t="shared" si="39"/>
        <v>16</v>
      </c>
      <c r="Z839" s="161" t="s">
        <v>85</v>
      </c>
      <c r="AA839" s="342">
        <f>IFERROR(BASE_DATOS[[#This Row],[NSK Original]]-BASE_DATOS[[#This Row],[NSK]]," ")</f>
        <v>5.3999999999999986</v>
      </c>
      <c r="AB839" s="343">
        <f>'NSK-TRACTO'!$A$2</f>
        <v>6</v>
      </c>
      <c r="AC839" s="343">
        <f>IF(BASE_DATOS[[#This Row],[NSK]]&gt;=BASE_DATOS[[#This Row],[NSK Reen]],BASE_DATOS[[#This Row],[NSK Reen]],BASE_DATOS[[#This Row],[NSK]])</f>
        <v>6</v>
      </c>
      <c r="AD839" s="344">
        <f>IFERROR(100%-(BASE_DATOS[[#This Row],[NSK Reen]]/BASE_DATOS[[#This Row],[NSK Original]]),"")</f>
        <v>0.71962616822429903</v>
      </c>
      <c r="AE839" s="344">
        <f>IFERROR(100%-BASE_DATOS[[#This Row],[NSK]]/BASE_DATOS[[#This Row],[NSK Original]],"")</f>
        <v>0.25233644859813076</v>
      </c>
      <c r="AF839" s="344">
        <f>IFERROR(BASE_DATOS[[#This Row],[% Max Des.]]-BASE_DATOS[[#This Row],[% Des]],"")</f>
        <v>0.46728971962616828</v>
      </c>
      <c r="AG839" s="287"/>
      <c r="AH839" s="273"/>
      <c r="AI839" s="363" t="str">
        <f>IF(OR(BASE_DATOS[[#This Row],[Hr.]]="",BASE_DATOS[[#This Row],[Hr. Actual]]=""),"",BASE_DATOS[[#This Row],[Hr. Actual]]-BASE_DATOS[[#This Row],[Hr.]]+BASE_DATOS[[#This Row],[Horas Acumuladas]])</f>
        <v/>
      </c>
      <c r="AJ839" s="364" t="str">
        <f>IFERROR(BASE_DATOS[[#This Row],[Precio US$]]/BASE_DATOS[[#This Row],[Horas Rodadas]],"")</f>
        <v/>
      </c>
      <c r="AK839" s="365" t="str">
        <f>IFERROR(BASE_DATOS[[#This Row],[Horas Rodadas]]/(BASE_DATOS[[#This Row],[NSK Original]]-BASE_DATOS[[#This Row],[NSK]]),"")</f>
        <v/>
      </c>
      <c r="AL83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39" s="366" t="str">
        <f>IFERROR(BASE_DATOS[[#This Row],[Precio US$]]/BASE_DATOS[[#This Row],[Horas Proy.]],"")</f>
        <v/>
      </c>
      <c r="AN839" s="176" t="str">
        <f>IF(OR(BASE_DATOS[[#This Row],[Km.]]="",BASE_DATOS[[#This Row],[Km. Actual]]=""),"",BASE_DATOS[[#This Row],[Km. Actual]]-BASE_DATOS[[#This Row],[Km.]]+BASE_DATOS[[#This Row],[Kilómetros Acumulados]])</f>
        <v/>
      </c>
      <c r="AO839" s="177" t="str">
        <f>IFERROR(BASE_DATOS[[#This Row],[Precio US$]]/BASE_DATOS[[#This Row],[Kilómetros Rodados]],"")</f>
        <v/>
      </c>
      <c r="AP839" s="176" t="str">
        <f>IFERROR(BASE_DATOS[[#This Row],[Kilómetros Rodados]]/(BASE_DATOS[[#This Row],[NSK Original]]-BASE_DATOS[[#This Row],[NSK]]),"")</f>
        <v/>
      </c>
      <c r="AQ83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39" s="177" t="str">
        <f>IFERROR(BASE_DATOS[[#This Row],[Precio US$]]/BASE_DATOS[[#This Row],[Kilómetros Proy.]],"")</f>
        <v/>
      </c>
      <c r="AS839" s="170" t="s">
        <v>62</v>
      </c>
      <c r="AT839" s="170"/>
      <c r="AU839" s="170"/>
      <c r="AV839" s="170"/>
      <c r="AW839" s="179"/>
      <c r="AX839" s="179"/>
      <c r="AY839" s="179" t="str">
        <f>CONCATENATE(BASE_DATOS[[#This Row],[Código_U]]&amp;BASE_DATOS[[#This Row],[Pos.]]&amp;BASE_DATOS[[#This Row],[Situación Actual]])</f>
        <v>TC-2643Rodando</v>
      </c>
    </row>
    <row r="840" spans="1:51" ht="12" x14ac:dyDescent="0.25">
      <c r="A840" s="223" t="s">
        <v>408</v>
      </c>
      <c r="B840" s="217" t="s">
        <v>353</v>
      </c>
      <c r="C840" s="228" t="s">
        <v>296</v>
      </c>
      <c r="D840" s="229" t="s">
        <v>61</v>
      </c>
      <c r="E840" s="255"/>
      <c r="F840" s="256" t="s">
        <v>273</v>
      </c>
      <c r="G840" s="256" t="s">
        <v>271</v>
      </c>
      <c r="H840" s="257" t="str">
        <f>IF(BASE_DATOS[[#This Row],[N-R]]="N",BASE_DATOS[[#This Row],[Diseño]],"Reencauche")</f>
        <v>XMULTI2D</v>
      </c>
      <c r="I840" s="256" t="s">
        <v>299</v>
      </c>
      <c r="J840" s="243" t="s">
        <v>72</v>
      </c>
      <c r="K840" s="258">
        <v>21.4</v>
      </c>
      <c r="L840" s="241">
        <v>110</v>
      </c>
      <c r="M840" s="259"/>
      <c r="N840" s="260"/>
      <c r="O840" s="277"/>
      <c r="P840" s="278"/>
      <c r="Q840" s="279"/>
      <c r="R840" s="309">
        <v>4</v>
      </c>
      <c r="S840" s="310">
        <v>45385</v>
      </c>
      <c r="T840" s="311"/>
      <c r="U840" s="312"/>
      <c r="V840" s="227">
        <v>16</v>
      </c>
      <c r="W840" s="281"/>
      <c r="X840" s="282">
        <v>16</v>
      </c>
      <c r="Y840" s="293">
        <f t="shared" si="39"/>
        <v>16</v>
      </c>
      <c r="Z840" s="161" t="s">
        <v>85</v>
      </c>
      <c r="AA840" s="342">
        <f>IFERROR(BASE_DATOS[[#This Row],[NSK Original]]-BASE_DATOS[[#This Row],[NSK]]," ")</f>
        <v>5.3999999999999986</v>
      </c>
      <c r="AB840" s="343">
        <f>'NSK-TRACTO'!$A$2</f>
        <v>6</v>
      </c>
      <c r="AC840" s="343">
        <f>IF(BASE_DATOS[[#This Row],[NSK]]&gt;=BASE_DATOS[[#This Row],[NSK Reen]],BASE_DATOS[[#This Row],[NSK Reen]],BASE_DATOS[[#This Row],[NSK]])</f>
        <v>6</v>
      </c>
      <c r="AD840" s="344">
        <f>IFERROR(100%-(BASE_DATOS[[#This Row],[NSK Reen]]/BASE_DATOS[[#This Row],[NSK Original]]),"")</f>
        <v>0.71962616822429903</v>
      </c>
      <c r="AE840" s="344">
        <f>IFERROR(100%-BASE_DATOS[[#This Row],[NSK]]/BASE_DATOS[[#This Row],[NSK Original]],"")</f>
        <v>0.25233644859813076</v>
      </c>
      <c r="AF840" s="344">
        <f>IFERROR(BASE_DATOS[[#This Row],[% Max Des.]]-BASE_DATOS[[#This Row],[% Des]],"")</f>
        <v>0.46728971962616828</v>
      </c>
      <c r="AG840" s="287"/>
      <c r="AH840" s="273"/>
      <c r="AI840" s="363" t="str">
        <f>IF(OR(BASE_DATOS[[#This Row],[Hr.]]="",BASE_DATOS[[#This Row],[Hr. Actual]]=""),"",BASE_DATOS[[#This Row],[Hr. Actual]]-BASE_DATOS[[#This Row],[Hr.]]+BASE_DATOS[[#This Row],[Horas Acumuladas]])</f>
        <v/>
      </c>
      <c r="AJ840" s="364" t="str">
        <f>IFERROR(BASE_DATOS[[#This Row],[Precio US$]]/BASE_DATOS[[#This Row],[Horas Rodadas]],"")</f>
        <v/>
      </c>
      <c r="AK840" s="365" t="str">
        <f>IFERROR(BASE_DATOS[[#This Row],[Horas Rodadas]]/(BASE_DATOS[[#This Row],[NSK Original]]-BASE_DATOS[[#This Row],[NSK]]),"")</f>
        <v/>
      </c>
      <c r="AL84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40" s="366" t="str">
        <f>IFERROR(BASE_DATOS[[#This Row],[Precio US$]]/BASE_DATOS[[#This Row],[Horas Proy.]],"")</f>
        <v/>
      </c>
      <c r="AN840" s="176" t="str">
        <f>IF(OR(BASE_DATOS[[#This Row],[Km.]]="",BASE_DATOS[[#This Row],[Km. Actual]]=""),"",BASE_DATOS[[#This Row],[Km. Actual]]-BASE_DATOS[[#This Row],[Km.]]+BASE_DATOS[[#This Row],[Kilómetros Acumulados]])</f>
        <v/>
      </c>
      <c r="AO840" s="177" t="str">
        <f>IFERROR(BASE_DATOS[[#This Row],[Precio US$]]/BASE_DATOS[[#This Row],[Kilómetros Rodados]],"")</f>
        <v/>
      </c>
      <c r="AP840" s="176" t="str">
        <f>IFERROR(BASE_DATOS[[#This Row],[Kilómetros Rodados]]/(BASE_DATOS[[#This Row],[NSK Original]]-BASE_DATOS[[#This Row],[NSK]]),"")</f>
        <v/>
      </c>
      <c r="AQ84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40" s="177" t="str">
        <f>IFERROR(BASE_DATOS[[#This Row],[Precio US$]]/BASE_DATOS[[#This Row],[Kilómetros Proy.]],"")</f>
        <v/>
      </c>
      <c r="AS840" s="170" t="s">
        <v>62</v>
      </c>
      <c r="AT840" s="170"/>
      <c r="AU840" s="170"/>
      <c r="AV840" s="170"/>
      <c r="AW840" s="179"/>
      <c r="AX840" s="179"/>
      <c r="AY840" s="179" t="str">
        <f>CONCATENATE(BASE_DATOS[[#This Row],[Código_U]]&amp;BASE_DATOS[[#This Row],[Pos.]]&amp;BASE_DATOS[[#This Row],[Situación Actual]])</f>
        <v>TC-2644Rodando</v>
      </c>
    </row>
    <row r="841" spans="1:51" ht="12" x14ac:dyDescent="0.25">
      <c r="A841" s="223" t="s">
        <v>408</v>
      </c>
      <c r="B841" s="217" t="s">
        <v>353</v>
      </c>
      <c r="C841" s="228" t="s">
        <v>296</v>
      </c>
      <c r="D841" s="229" t="s">
        <v>61</v>
      </c>
      <c r="E841" s="255"/>
      <c r="F841" s="256" t="s">
        <v>273</v>
      </c>
      <c r="G841" s="256" t="s">
        <v>271</v>
      </c>
      <c r="H841" s="257" t="str">
        <f>IF(BASE_DATOS[[#This Row],[N-R]]="N",BASE_DATOS[[#This Row],[Diseño]],"Reencauche")</f>
        <v>XMULTI2D</v>
      </c>
      <c r="I841" s="256" t="s">
        <v>299</v>
      </c>
      <c r="J841" s="243" t="s">
        <v>72</v>
      </c>
      <c r="K841" s="258">
        <v>21.4</v>
      </c>
      <c r="L841" s="241">
        <v>110</v>
      </c>
      <c r="M841" s="259"/>
      <c r="N841" s="260"/>
      <c r="O841" s="277"/>
      <c r="P841" s="278"/>
      <c r="Q841" s="279"/>
      <c r="R841" s="309">
        <v>5</v>
      </c>
      <c r="S841" s="310">
        <v>45385</v>
      </c>
      <c r="T841" s="311"/>
      <c r="U841" s="312"/>
      <c r="V841" s="227">
        <v>16</v>
      </c>
      <c r="W841" s="281"/>
      <c r="X841" s="282">
        <v>16</v>
      </c>
      <c r="Y841" s="293">
        <f t="shared" si="39"/>
        <v>16</v>
      </c>
      <c r="Z841" s="161" t="s">
        <v>85</v>
      </c>
      <c r="AA841" s="342">
        <f>IFERROR(BASE_DATOS[[#This Row],[NSK Original]]-BASE_DATOS[[#This Row],[NSK]]," ")</f>
        <v>5.3999999999999986</v>
      </c>
      <c r="AB841" s="343">
        <f>'NSK-TRACTO'!$A$2</f>
        <v>6</v>
      </c>
      <c r="AC841" s="343">
        <f>IF(BASE_DATOS[[#This Row],[NSK]]&gt;=BASE_DATOS[[#This Row],[NSK Reen]],BASE_DATOS[[#This Row],[NSK Reen]],BASE_DATOS[[#This Row],[NSK]])</f>
        <v>6</v>
      </c>
      <c r="AD841" s="344">
        <f>IFERROR(100%-(BASE_DATOS[[#This Row],[NSK Reen]]/BASE_DATOS[[#This Row],[NSK Original]]),"")</f>
        <v>0.71962616822429903</v>
      </c>
      <c r="AE841" s="344">
        <f>IFERROR(100%-BASE_DATOS[[#This Row],[NSK]]/BASE_DATOS[[#This Row],[NSK Original]],"")</f>
        <v>0.25233644859813076</v>
      </c>
      <c r="AF841" s="344">
        <f>IFERROR(BASE_DATOS[[#This Row],[% Max Des.]]-BASE_DATOS[[#This Row],[% Des]],"")</f>
        <v>0.46728971962616828</v>
      </c>
      <c r="AG841" s="287"/>
      <c r="AH841" s="273"/>
      <c r="AI841" s="363" t="str">
        <f>IF(OR(BASE_DATOS[[#This Row],[Hr.]]="",BASE_DATOS[[#This Row],[Hr. Actual]]=""),"",BASE_DATOS[[#This Row],[Hr. Actual]]-BASE_DATOS[[#This Row],[Hr.]]+BASE_DATOS[[#This Row],[Horas Acumuladas]])</f>
        <v/>
      </c>
      <c r="AJ841" s="364" t="str">
        <f>IFERROR(BASE_DATOS[[#This Row],[Precio US$]]/BASE_DATOS[[#This Row],[Horas Rodadas]],"")</f>
        <v/>
      </c>
      <c r="AK841" s="365" t="str">
        <f>IFERROR(BASE_DATOS[[#This Row],[Horas Rodadas]]/(BASE_DATOS[[#This Row],[NSK Original]]-BASE_DATOS[[#This Row],[NSK]]),"")</f>
        <v/>
      </c>
      <c r="AL84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41" s="366" t="str">
        <f>IFERROR(BASE_DATOS[[#This Row],[Precio US$]]/BASE_DATOS[[#This Row],[Horas Proy.]],"")</f>
        <v/>
      </c>
      <c r="AN841" s="176" t="str">
        <f>IF(OR(BASE_DATOS[[#This Row],[Km.]]="",BASE_DATOS[[#This Row],[Km. Actual]]=""),"",BASE_DATOS[[#This Row],[Km. Actual]]-BASE_DATOS[[#This Row],[Km.]]+BASE_DATOS[[#This Row],[Kilómetros Acumulados]])</f>
        <v/>
      </c>
      <c r="AO841" s="177" t="str">
        <f>IFERROR(BASE_DATOS[[#This Row],[Precio US$]]/BASE_DATOS[[#This Row],[Kilómetros Rodados]],"")</f>
        <v/>
      </c>
      <c r="AP841" s="176" t="str">
        <f>IFERROR(BASE_DATOS[[#This Row],[Kilómetros Rodados]]/(BASE_DATOS[[#This Row],[NSK Original]]-BASE_DATOS[[#This Row],[NSK]]),"")</f>
        <v/>
      </c>
      <c r="AQ84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41" s="177" t="str">
        <f>IFERROR(BASE_DATOS[[#This Row],[Precio US$]]/BASE_DATOS[[#This Row],[Kilómetros Proy.]],"")</f>
        <v/>
      </c>
      <c r="AS841" s="170" t="s">
        <v>62</v>
      </c>
      <c r="AT841" s="170"/>
      <c r="AU841" s="170"/>
      <c r="AV841" s="170"/>
      <c r="AW841" s="179"/>
      <c r="AX841" s="179"/>
      <c r="AY841" s="179" t="str">
        <f>CONCATENATE(BASE_DATOS[[#This Row],[Código_U]]&amp;BASE_DATOS[[#This Row],[Pos.]]&amp;BASE_DATOS[[#This Row],[Situación Actual]])</f>
        <v>TC-2645Rodando</v>
      </c>
    </row>
    <row r="842" spans="1:51" ht="12" x14ac:dyDescent="0.25">
      <c r="A842" s="223" t="s">
        <v>408</v>
      </c>
      <c r="B842" s="217" t="s">
        <v>353</v>
      </c>
      <c r="C842" s="228" t="s">
        <v>296</v>
      </c>
      <c r="D842" s="229" t="s">
        <v>61</v>
      </c>
      <c r="E842" s="255"/>
      <c r="F842" s="256" t="s">
        <v>273</v>
      </c>
      <c r="G842" s="256" t="s">
        <v>271</v>
      </c>
      <c r="H842" s="257" t="str">
        <f>IF(BASE_DATOS[[#This Row],[N-R]]="N",BASE_DATOS[[#This Row],[Diseño]],"Reencauche")</f>
        <v>XMULTI2D</v>
      </c>
      <c r="I842" s="256" t="s">
        <v>299</v>
      </c>
      <c r="J842" s="243" t="s">
        <v>72</v>
      </c>
      <c r="K842" s="258">
        <v>21.4</v>
      </c>
      <c r="L842" s="241">
        <v>110</v>
      </c>
      <c r="M842" s="259"/>
      <c r="N842" s="260"/>
      <c r="O842" s="277"/>
      <c r="P842" s="278"/>
      <c r="Q842" s="279"/>
      <c r="R842" s="309">
        <v>6</v>
      </c>
      <c r="S842" s="310">
        <v>45385</v>
      </c>
      <c r="T842" s="311"/>
      <c r="U842" s="312"/>
      <c r="V842" s="227">
        <v>16</v>
      </c>
      <c r="W842" s="281"/>
      <c r="X842" s="282">
        <v>16</v>
      </c>
      <c r="Y842" s="293">
        <f t="shared" si="39"/>
        <v>16</v>
      </c>
      <c r="Z842" s="161" t="s">
        <v>85</v>
      </c>
      <c r="AA842" s="342">
        <f>IFERROR(BASE_DATOS[[#This Row],[NSK Original]]-BASE_DATOS[[#This Row],[NSK]]," ")</f>
        <v>5.3999999999999986</v>
      </c>
      <c r="AB842" s="343">
        <f>'NSK-TRACTO'!$A$2</f>
        <v>6</v>
      </c>
      <c r="AC842" s="343">
        <f>IF(BASE_DATOS[[#This Row],[NSK]]&gt;=BASE_DATOS[[#This Row],[NSK Reen]],BASE_DATOS[[#This Row],[NSK Reen]],BASE_DATOS[[#This Row],[NSK]])</f>
        <v>6</v>
      </c>
      <c r="AD842" s="344">
        <f>IFERROR(100%-(BASE_DATOS[[#This Row],[NSK Reen]]/BASE_DATOS[[#This Row],[NSK Original]]),"")</f>
        <v>0.71962616822429903</v>
      </c>
      <c r="AE842" s="344">
        <f>IFERROR(100%-BASE_DATOS[[#This Row],[NSK]]/BASE_DATOS[[#This Row],[NSK Original]],"")</f>
        <v>0.25233644859813076</v>
      </c>
      <c r="AF842" s="344">
        <f>IFERROR(BASE_DATOS[[#This Row],[% Max Des.]]-BASE_DATOS[[#This Row],[% Des]],"")</f>
        <v>0.46728971962616828</v>
      </c>
      <c r="AG842" s="287"/>
      <c r="AH842" s="273"/>
      <c r="AI842" s="363" t="str">
        <f>IF(OR(BASE_DATOS[[#This Row],[Hr.]]="",BASE_DATOS[[#This Row],[Hr. Actual]]=""),"",BASE_DATOS[[#This Row],[Hr. Actual]]-BASE_DATOS[[#This Row],[Hr.]]+BASE_DATOS[[#This Row],[Horas Acumuladas]])</f>
        <v/>
      </c>
      <c r="AJ842" s="364" t="str">
        <f>IFERROR(BASE_DATOS[[#This Row],[Precio US$]]/BASE_DATOS[[#This Row],[Horas Rodadas]],"")</f>
        <v/>
      </c>
      <c r="AK842" s="365" t="str">
        <f>IFERROR(BASE_DATOS[[#This Row],[Horas Rodadas]]/(BASE_DATOS[[#This Row],[NSK Original]]-BASE_DATOS[[#This Row],[NSK]]),"")</f>
        <v/>
      </c>
      <c r="AL84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42" s="366" t="str">
        <f>IFERROR(BASE_DATOS[[#This Row],[Precio US$]]/BASE_DATOS[[#This Row],[Horas Proy.]],"")</f>
        <v/>
      </c>
      <c r="AN842" s="176" t="str">
        <f>IF(OR(BASE_DATOS[[#This Row],[Km.]]="",BASE_DATOS[[#This Row],[Km. Actual]]=""),"",BASE_DATOS[[#This Row],[Km. Actual]]-BASE_DATOS[[#This Row],[Km.]]+BASE_DATOS[[#This Row],[Kilómetros Acumulados]])</f>
        <v/>
      </c>
      <c r="AO842" s="177" t="str">
        <f>IFERROR(BASE_DATOS[[#This Row],[Precio US$]]/BASE_DATOS[[#This Row],[Kilómetros Rodados]],"")</f>
        <v/>
      </c>
      <c r="AP842" s="176" t="str">
        <f>IFERROR(BASE_DATOS[[#This Row],[Kilómetros Rodados]]/(BASE_DATOS[[#This Row],[NSK Original]]-BASE_DATOS[[#This Row],[NSK]]),"")</f>
        <v/>
      </c>
      <c r="AQ84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42" s="177" t="str">
        <f>IFERROR(BASE_DATOS[[#This Row],[Precio US$]]/BASE_DATOS[[#This Row],[Kilómetros Proy.]],"")</f>
        <v/>
      </c>
      <c r="AS842" s="170" t="s">
        <v>62</v>
      </c>
      <c r="AT842" s="170"/>
      <c r="AU842" s="170"/>
      <c r="AV842" s="170"/>
      <c r="AW842" s="179"/>
      <c r="AX842" s="179"/>
      <c r="AY842" s="179" t="str">
        <f>CONCATENATE(BASE_DATOS[[#This Row],[Código_U]]&amp;BASE_DATOS[[#This Row],[Pos.]]&amp;BASE_DATOS[[#This Row],[Situación Actual]])</f>
        <v>TC-2646Rodando</v>
      </c>
    </row>
    <row r="843" spans="1:51" ht="12" x14ac:dyDescent="0.25">
      <c r="A843" s="223" t="s">
        <v>408</v>
      </c>
      <c r="B843" s="217" t="s">
        <v>353</v>
      </c>
      <c r="C843" s="228" t="s">
        <v>296</v>
      </c>
      <c r="D843" s="229" t="s">
        <v>61</v>
      </c>
      <c r="E843" s="255"/>
      <c r="F843" s="256" t="s">
        <v>273</v>
      </c>
      <c r="G843" s="256" t="s">
        <v>271</v>
      </c>
      <c r="H843" s="257" t="str">
        <f>IF(BASE_DATOS[[#This Row],[N-R]]="N",BASE_DATOS[[#This Row],[Diseño]],"Reencauche")</f>
        <v>XMULTI2D</v>
      </c>
      <c r="I843" s="256" t="s">
        <v>299</v>
      </c>
      <c r="J843" s="243" t="s">
        <v>72</v>
      </c>
      <c r="K843" s="258">
        <v>21.4</v>
      </c>
      <c r="L843" s="241">
        <v>110</v>
      </c>
      <c r="M843" s="259"/>
      <c r="N843" s="260"/>
      <c r="O843" s="277"/>
      <c r="P843" s="278"/>
      <c r="Q843" s="279"/>
      <c r="R843" s="309">
        <v>7</v>
      </c>
      <c r="S843" s="310">
        <v>45385</v>
      </c>
      <c r="T843" s="311"/>
      <c r="U843" s="312"/>
      <c r="V843" s="227">
        <v>15</v>
      </c>
      <c r="W843" s="281"/>
      <c r="X843" s="282">
        <v>16</v>
      </c>
      <c r="Y843" s="293">
        <f t="shared" si="39"/>
        <v>15</v>
      </c>
      <c r="Z843" s="161" t="s">
        <v>85</v>
      </c>
      <c r="AA843" s="342">
        <f>IFERROR(BASE_DATOS[[#This Row],[NSK Original]]-BASE_DATOS[[#This Row],[NSK]]," ")</f>
        <v>6.3999999999999986</v>
      </c>
      <c r="AB843" s="343">
        <f>'NSK-TRACTO'!$A$2</f>
        <v>6</v>
      </c>
      <c r="AC843" s="343">
        <f>IF(BASE_DATOS[[#This Row],[NSK]]&gt;=BASE_DATOS[[#This Row],[NSK Reen]],BASE_DATOS[[#This Row],[NSK Reen]],BASE_DATOS[[#This Row],[NSK]])</f>
        <v>6</v>
      </c>
      <c r="AD843" s="344">
        <f>IFERROR(100%-(BASE_DATOS[[#This Row],[NSK Reen]]/BASE_DATOS[[#This Row],[NSK Original]]),"")</f>
        <v>0.71962616822429903</v>
      </c>
      <c r="AE843" s="344">
        <f>IFERROR(100%-BASE_DATOS[[#This Row],[NSK]]/BASE_DATOS[[#This Row],[NSK Original]],"")</f>
        <v>0.29906542056074759</v>
      </c>
      <c r="AF843" s="344">
        <f>IFERROR(BASE_DATOS[[#This Row],[% Max Des.]]-BASE_DATOS[[#This Row],[% Des]],"")</f>
        <v>0.42056074766355145</v>
      </c>
      <c r="AG843" s="287"/>
      <c r="AH843" s="273"/>
      <c r="AI843" s="363" t="str">
        <f>IF(OR(BASE_DATOS[[#This Row],[Hr.]]="",BASE_DATOS[[#This Row],[Hr. Actual]]=""),"",BASE_DATOS[[#This Row],[Hr. Actual]]-BASE_DATOS[[#This Row],[Hr.]]+BASE_DATOS[[#This Row],[Horas Acumuladas]])</f>
        <v/>
      </c>
      <c r="AJ843" s="364" t="str">
        <f>IFERROR(BASE_DATOS[[#This Row],[Precio US$]]/BASE_DATOS[[#This Row],[Horas Rodadas]],"")</f>
        <v/>
      </c>
      <c r="AK843" s="365" t="str">
        <f>IFERROR(BASE_DATOS[[#This Row],[Horas Rodadas]]/(BASE_DATOS[[#This Row],[NSK Original]]-BASE_DATOS[[#This Row],[NSK]]),"")</f>
        <v/>
      </c>
      <c r="AL84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43" s="366" t="str">
        <f>IFERROR(BASE_DATOS[[#This Row],[Precio US$]]/BASE_DATOS[[#This Row],[Horas Proy.]],"")</f>
        <v/>
      </c>
      <c r="AN843" s="176" t="str">
        <f>IF(OR(BASE_DATOS[[#This Row],[Km.]]="",BASE_DATOS[[#This Row],[Km. Actual]]=""),"",BASE_DATOS[[#This Row],[Km. Actual]]-BASE_DATOS[[#This Row],[Km.]]+BASE_DATOS[[#This Row],[Kilómetros Acumulados]])</f>
        <v/>
      </c>
      <c r="AO843" s="177" t="str">
        <f>IFERROR(BASE_DATOS[[#This Row],[Precio US$]]/BASE_DATOS[[#This Row],[Kilómetros Rodados]],"")</f>
        <v/>
      </c>
      <c r="AP843" s="176" t="str">
        <f>IFERROR(BASE_DATOS[[#This Row],[Kilómetros Rodados]]/(BASE_DATOS[[#This Row],[NSK Original]]-BASE_DATOS[[#This Row],[NSK]]),"")</f>
        <v/>
      </c>
      <c r="AQ84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43" s="177" t="str">
        <f>IFERROR(BASE_DATOS[[#This Row],[Precio US$]]/BASE_DATOS[[#This Row],[Kilómetros Proy.]],"")</f>
        <v/>
      </c>
      <c r="AS843" s="170" t="s">
        <v>62</v>
      </c>
      <c r="AT843" s="170"/>
      <c r="AU843" s="170"/>
      <c r="AV843" s="170"/>
      <c r="AW843" s="179"/>
      <c r="AX843" s="179"/>
      <c r="AY843" s="179" t="str">
        <f>CONCATENATE(BASE_DATOS[[#This Row],[Código_U]]&amp;BASE_DATOS[[#This Row],[Pos.]]&amp;BASE_DATOS[[#This Row],[Situación Actual]])</f>
        <v>TC-2647Rodando</v>
      </c>
    </row>
    <row r="844" spans="1:51" ht="12" x14ac:dyDescent="0.25">
      <c r="A844" s="223" t="s">
        <v>408</v>
      </c>
      <c r="B844" s="217" t="s">
        <v>353</v>
      </c>
      <c r="C844" s="228" t="s">
        <v>296</v>
      </c>
      <c r="D844" s="229" t="s">
        <v>61</v>
      </c>
      <c r="E844" s="255"/>
      <c r="F844" s="256" t="s">
        <v>273</v>
      </c>
      <c r="G844" s="256" t="s">
        <v>271</v>
      </c>
      <c r="H844" s="257" t="str">
        <f>IF(BASE_DATOS[[#This Row],[N-R]]="N",BASE_DATOS[[#This Row],[Diseño]],"Reencauche")</f>
        <v>XMULTI2D</v>
      </c>
      <c r="I844" s="256" t="s">
        <v>299</v>
      </c>
      <c r="J844" s="243" t="s">
        <v>72</v>
      </c>
      <c r="K844" s="258">
        <v>21.4</v>
      </c>
      <c r="L844" s="241">
        <v>110</v>
      </c>
      <c r="M844" s="259"/>
      <c r="N844" s="260"/>
      <c r="O844" s="277"/>
      <c r="P844" s="278"/>
      <c r="Q844" s="279"/>
      <c r="R844" s="309">
        <v>8</v>
      </c>
      <c r="S844" s="310">
        <v>45385</v>
      </c>
      <c r="T844" s="311"/>
      <c r="U844" s="312"/>
      <c r="V844" s="227">
        <v>15</v>
      </c>
      <c r="W844" s="281"/>
      <c r="X844" s="282">
        <v>16</v>
      </c>
      <c r="Y844" s="293">
        <f t="shared" si="39"/>
        <v>15</v>
      </c>
      <c r="Z844" s="161" t="s">
        <v>85</v>
      </c>
      <c r="AA844" s="342">
        <f>IFERROR(BASE_DATOS[[#This Row],[NSK Original]]-BASE_DATOS[[#This Row],[NSK]]," ")</f>
        <v>6.3999999999999986</v>
      </c>
      <c r="AB844" s="343">
        <f>'NSK-TRACTO'!$A$2</f>
        <v>6</v>
      </c>
      <c r="AC844" s="343">
        <f>IF(BASE_DATOS[[#This Row],[NSK]]&gt;=BASE_DATOS[[#This Row],[NSK Reen]],BASE_DATOS[[#This Row],[NSK Reen]],BASE_DATOS[[#This Row],[NSK]])</f>
        <v>6</v>
      </c>
      <c r="AD844" s="344">
        <f>IFERROR(100%-(BASE_DATOS[[#This Row],[NSK Reen]]/BASE_DATOS[[#This Row],[NSK Original]]),"")</f>
        <v>0.71962616822429903</v>
      </c>
      <c r="AE844" s="344">
        <f>IFERROR(100%-BASE_DATOS[[#This Row],[NSK]]/BASE_DATOS[[#This Row],[NSK Original]],"")</f>
        <v>0.29906542056074759</v>
      </c>
      <c r="AF844" s="344">
        <f>IFERROR(BASE_DATOS[[#This Row],[% Max Des.]]-BASE_DATOS[[#This Row],[% Des]],"")</f>
        <v>0.42056074766355145</v>
      </c>
      <c r="AG844" s="287"/>
      <c r="AH844" s="273"/>
      <c r="AI844" s="363" t="str">
        <f>IF(OR(BASE_DATOS[[#This Row],[Hr.]]="",BASE_DATOS[[#This Row],[Hr. Actual]]=""),"",BASE_DATOS[[#This Row],[Hr. Actual]]-BASE_DATOS[[#This Row],[Hr.]]+BASE_DATOS[[#This Row],[Horas Acumuladas]])</f>
        <v/>
      </c>
      <c r="AJ844" s="364" t="str">
        <f>IFERROR(BASE_DATOS[[#This Row],[Precio US$]]/BASE_DATOS[[#This Row],[Horas Rodadas]],"")</f>
        <v/>
      </c>
      <c r="AK844" s="365" t="str">
        <f>IFERROR(BASE_DATOS[[#This Row],[Horas Rodadas]]/(BASE_DATOS[[#This Row],[NSK Original]]-BASE_DATOS[[#This Row],[NSK]]),"")</f>
        <v/>
      </c>
      <c r="AL84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44" s="366" t="str">
        <f>IFERROR(BASE_DATOS[[#This Row],[Precio US$]]/BASE_DATOS[[#This Row],[Horas Proy.]],"")</f>
        <v/>
      </c>
      <c r="AN844" s="176" t="str">
        <f>IF(OR(BASE_DATOS[[#This Row],[Km.]]="",BASE_DATOS[[#This Row],[Km. Actual]]=""),"",BASE_DATOS[[#This Row],[Km. Actual]]-BASE_DATOS[[#This Row],[Km.]]+BASE_DATOS[[#This Row],[Kilómetros Acumulados]])</f>
        <v/>
      </c>
      <c r="AO844" s="177" t="str">
        <f>IFERROR(BASE_DATOS[[#This Row],[Precio US$]]/BASE_DATOS[[#This Row],[Kilómetros Rodados]],"")</f>
        <v/>
      </c>
      <c r="AP844" s="176" t="str">
        <f>IFERROR(BASE_DATOS[[#This Row],[Kilómetros Rodados]]/(BASE_DATOS[[#This Row],[NSK Original]]-BASE_DATOS[[#This Row],[NSK]]),"")</f>
        <v/>
      </c>
      <c r="AQ84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44" s="177" t="str">
        <f>IFERROR(BASE_DATOS[[#This Row],[Precio US$]]/BASE_DATOS[[#This Row],[Kilómetros Proy.]],"")</f>
        <v/>
      </c>
      <c r="AS844" s="170" t="s">
        <v>62</v>
      </c>
      <c r="AT844" s="170"/>
      <c r="AU844" s="170"/>
      <c r="AV844" s="170"/>
      <c r="AW844" s="179"/>
      <c r="AX844" s="179"/>
      <c r="AY844" s="179" t="str">
        <f>CONCATENATE(BASE_DATOS[[#This Row],[Código_U]]&amp;BASE_DATOS[[#This Row],[Pos.]]&amp;BASE_DATOS[[#This Row],[Situación Actual]])</f>
        <v>TC-2648Rodando</v>
      </c>
    </row>
    <row r="845" spans="1:51" ht="12" x14ac:dyDescent="0.25">
      <c r="A845" s="223" t="s">
        <v>408</v>
      </c>
      <c r="B845" s="217" t="s">
        <v>353</v>
      </c>
      <c r="C845" s="228" t="s">
        <v>296</v>
      </c>
      <c r="D845" s="229" t="s">
        <v>61</v>
      </c>
      <c r="E845" s="255"/>
      <c r="F845" s="256" t="s">
        <v>273</v>
      </c>
      <c r="G845" s="256" t="s">
        <v>271</v>
      </c>
      <c r="H845" s="257" t="str">
        <f>IF(BASE_DATOS[[#This Row],[N-R]]="N",BASE_DATOS[[#This Row],[Diseño]],"Reencauche")</f>
        <v>XMULTI2D</v>
      </c>
      <c r="I845" s="256" t="s">
        <v>299</v>
      </c>
      <c r="J845" s="243" t="s">
        <v>72</v>
      </c>
      <c r="K845" s="258">
        <v>21.4</v>
      </c>
      <c r="L845" s="241">
        <v>110</v>
      </c>
      <c r="M845" s="259"/>
      <c r="N845" s="260"/>
      <c r="O845" s="277"/>
      <c r="P845" s="278"/>
      <c r="Q845" s="279"/>
      <c r="R845" s="309">
        <v>9</v>
      </c>
      <c r="S845" s="310">
        <v>45385</v>
      </c>
      <c r="T845" s="311"/>
      <c r="U845" s="312"/>
      <c r="V845" s="227">
        <v>15</v>
      </c>
      <c r="W845" s="281"/>
      <c r="X845" s="282">
        <v>16</v>
      </c>
      <c r="Y845" s="293">
        <f t="shared" si="39"/>
        <v>15</v>
      </c>
      <c r="Z845" s="161" t="s">
        <v>85</v>
      </c>
      <c r="AA845" s="342">
        <f>IFERROR(BASE_DATOS[[#This Row],[NSK Original]]-BASE_DATOS[[#This Row],[NSK]]," ")</f>
        <v>6.3999999999999986</v>
      </c>
      <c r="AB845" s="343">
        <f>'NSK-TRACTO'!$A$2</f>
        <v>6</v>
      </c>
      <c r="AC845" s="343">
        <f>IF(BASE_DATOS[[#This Row],[NSK]]&gt;=BASE_DATOS[[#This Row],[NSK Reen]],BASE_DATOS[[#This Row],[NSK Reen]],BASE_DATOS[[#This Row],[NSK]])</f>
        <v>6</v>
      </c>
      <c r="AD845" s="344">
        <f>IFERROR(100%-(BASE_DATOS[[#This Row],[NSK Reen]]/BASE_DATOS[[#This Row],[NSK Original]]),"")</f>
        <v>0.71962616822429903</v>
      </c>
      <c r="AE845" s="344">
        <f>IFERROR(100%-BASE_DATOS[[#This Row],[NSK]]/BASE_DATOS[[#This Row],[NSK Original]],"")</f>
        <v>0.29906542056074759</v>
      </c>
      <c r="AF845" s="344">
        <f>IFERROR(BASE_DATOS[[#This Row],[% Max Des.]]-BASE_DATOS[[#This Row],[% Des]],"")</f>
        <v>0.42056074766355145</v>
      </c>
      <c r="AG845" s="287"/>
      <c r="AH845" s="273"/>
      <c r="AI845" s="363" t="str">
        <f>IF(OR(BASE_DATOS[[#This Row],[Hr.]]="",BASE_DATOS[[#This Row],[Hr. Actual]]=""),"",BASE_DATOS[[#This Row],[Hr. Actual]]-BASE_DATOS[[#This Row],[Hr.]]+BASE_DATOS[[#This Row],[Horas Acumuladas]])</f>
        <v/>
      </c>
      <c r="AJ845" s="364" t="str">
        <f>IFERROR(BASE_DATOS[[#This Row],[Precio US$]]/BASE_DATOS[[#This Row],[Horas Rodadas]],"")</f>
        <v/>
      </c>
      <c r="AK845" s="365" t="str">
        <f>IFERROR(BASE_DATOS[[#This Row],[Horas Rodadas]]/(BASE_DATOS[[#This Row],[NSK Original]]-BASE_DATOS[[#This Row],[NSK]]),"")</f>
        <v/>
      </c>
      <c r="AL84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45" s="366" t="str">
        <f>IFERROR(BASE_DATOS[[#This Row],[Precio US$]]/BASE_DATOS[[#This Row],[Horas Proy.]],"")</f>
        <v/>
      </c>
      <c r="AN845" s="176" t="str">
        <f>IF(OR(BASE_DATOS[[#This Row],[Km.]]="",BASE_DATOS[[#This Row],[Km. Actual]]=""),"",BASE_DATOS[[#This Row],[Km. Actual]]-BASE_DATOS[[#This Row],[Km.]]+BASE_DATOS[[#This Row],[Kilómetros Acumulados]])</f>
        <v/>
      </c>
      <c r="AO845" s="177" t="str">
        <f>IFERROR(BASE_DATOS[[#This Row],[Precio US$]]/BASE_DATOS[[#This Row],[Kilómetros Rodados]],"")</f>
        <v/>
      </c>
      <c r="AP845" s="176" t="str">
        <f>IFERROR(BASE_DATOS[[#This Row],[Kilómetros Rodados]]/(BASE_DATOS[[#This Row],[NSK Original]]-BASE_DATOS[[#This Row],[NSK]]),"")</f>
        <v/>
      </c>
      <c r="AQ84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45" s="177" t="str">
        <f>IFERROR(BASE_DATOS[[#This Row],[Precio US$]]/BASE_DATOS[[#This Row],[Kilómetros Proy.]],"")</f>
        <v/>
      </c>
      <c r="AS845" s="170" t="s">
        <v>62</v>
      </c>
      <c r="AT845" s="170"/>
      <c r="AU845" s="170"/>
      <c r="AV845" s="170"/>
      <c r="AW845" s="179"/>
      <c r="AX845" s="179"/>
      <c r="AY845" s="179" t="str">
        <f>CONCATENATE(BASE_DATOS[[#This Row],[Código_U]]&amp;BASE_DATOS[[#This Row],[Pos.]]&amp;BASE_DATOS[[#This Row],[Situación Actual]])</f>
        <v>TC-2649Rodando</v>
      </c>
    </row>
    <row r="846" spans="1:51" ht="12" x14ac:dyDescent="0.25">
      <c r="A846" s="223" t="s">
        <v>408</v>
      </c>
      <c r="B846" s="217" t="s">
        <v>353</v>
      </c>
      <c r="C846" s="228" t="s">
        <v>296</v>
      </c>
      <c r="D846" s="229" t="s">
        <v>61</v>
      </c>
      <c r="E846" s="255"/>
      <c r="F846" s="256" t="s">
        <v>273</v>
      </c>
      <c r="G846" s="256" t="s">
        <v>271</v>
      </c>
      <c r="H846" s="257" t="str">
        <f>IF(BASE_DATOS[[#This Row],[N-R]]="N",BASE_DATOS[[#This Row],[Diseño]],"Reencauche")</f>
        <v>XMULTI2D</v>
      </c>
      <c r="I846" s="256" t="s">
        <v>299</v>
      </c>
      <c r="J846" s="243" t="s">
        <v>72</v>
      </c>
      <c r="K846" s="258">
        <v>21.4</v>
      </c>
      <c r="L846" s="241">
        <v>110</v>
      </c>
      <c r="M846" s="259"/>
      <c r="N846" s="260"/>
      <c r="O846" s="277"/>
      <c r="P846" s="278"/>
      <c r="Q846" s="279"/>
      <c r="R846" s="309">
        <v>10</v>
      </c>
      <c r="S846" s="310">
        <v>45385</v>
      </c>
      <c r="T846" s="311"/>
      <c r="U846" s="312"/>
      <c r="V846" s="227">
        <v>15</v>
      </c>
      <c r="W846" s="281"/>
      <c r="X846" s="282">
        <v>16</v>
      </c>
      <c r="Y846" s="293">
        <f t="shared" si="39"/>
        <v>15</v>
      </c>
      <c r="Z846" s="161" t="s">
        <v>85</v>
      </c>
      <c r="AA846" s="342">
        <f>IFERROR(BASE_DATOS[[#This Row],[NSK Original]]-BASE_DATOS[[#This Row],[NSK]]," ")</f>
        <v>6.3999999999999986</v>
      </c>
      <c r="AB846" s="343">
        <f>'NSK-TRACTO'!$A$2</f>
        <v>6</v>
      </c>
      <c r="AC846" s="343">
        <f>IF(BASE_DATOS[[#This Row],[NSK]]&gt;=BASE_DATOS[[#This Row],[NSK Reen]],BASE_DATOS[[#This Row],[NSK Reen]],BASE_DATOS[[#This Row],[NSK]])</f>
        <v>6</v>
      </c>
      <c r="AD846" s="344">
        <f>IFERROR(100%-(BASE_DATOS[[#This Row],[NSK Reen]]/BASE_DATOS[[#This Row],[NSK Original]]),"")</f>
        <v>0.71962616822429903</v>
      </c>
      <c r="AE846" s="344">
        <f>IFERROR(100%-BASE_DATOS[[#This Row],[NSK]]/BASE_DATOS[[#This Row],[NSK Original]],"")</f>
        <v>0.29906542056074759</v>
      </c>
      <c r="AF846" s="344">
        <f>IFERROR(BASE_DATOS[[#This Row],[% Max Des.]]-BASE_DATOS[[#This Row],[% Des]],"")</f>
        <v>0.42056074766355145</v>
      </c>
      <c r="AG846" s="287"/>
      <c r="AH846" s="273"/>
      <c r="AI846" s="363" t="str">
        <f>IF(OR(BASE_DATOS[[#This Row],[Hr.]]="",BASE_DATOS[[#This Row],[Hr. Actual]]=""),"",BASE_DATOS[[#This Row],[Hr. Actual]]-BASE_DATOS[[#This Row],[Hr.]]+BASE_DATOS[[#This Row],[Horas Acumuladas]])</f>
        <v/>
      </c>
      <c r="AJ846" s="364" t="str">
        <f>IFERROR(BASE_DATOS[[#This Row],[Precio US$]]/BASE_DATOS[[#This Row],[Horas Rodadas]],"")</f>
        <v/>
      </c>
      <c r="AK846" s="365" t="str">
        <f>IFERROR(BASE_DATOS[[#This Row],[Horas Rodadas]]/(BASE_DATOS[[#This Row],[NSK Original]]-BASE_DATOS[[#This Row],[NSK]]),"")</f>
        <v/>
      </c>
      <c r="AL84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46" s="366" t="str">
        <f>IFERROR(BASE_DATOS[[#This Row],[Precio US$]]/BASE_DATOS[[#This Row],[Horas Proy.]],"")</f>
        <v/>
      </c>
      <c r="AN846" s="171" t="str">
        <f>IF(OR(BASE_DATOS[[#This Row],[Km.]]="",BASE_DATOS[[#This Row],[Km. Actual]]=""),"",BASE_DATOS[[#This Row],[Km. Actual]]-BASE_DATOS[[#This Row],[Km.]]+BASE_DATOS[[#This Row],[Kilómetros Acumulados]])</f>
        <v/>
      </c>
      <c r="AO846" s="172" t="str">
        <f>IFERROR(BASE_DATOS[[#This Row],[Precio US$]]/BASE_DATOS[[#This Row],[Kilómetros Rodados]],"")</f>
        <v/>
      </c>
      <c r="AP846" s="171" t="str">
        <f>IFERROR(BASE_DATOS[[#This Row],[Kilómetros Rodados]]/(BASE_DATOS[[#This Row],[NSK Original]]-BASE_DATOS[[#This Row],[NSK]]),"")</f>
        <v/>
      </c>
      <c r="AQ846" s="17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46" s="172" t="str">
        <f>IFERROR(BASE_DATOS[[#This Row],[Precio US$]]/BASE_DATOS[[#This Row],[Kilómetros Proy.]],"")</f>
        <v/>
      </c>
      <c r="AS846" s="170" t="s">
        <v>62</v>
      </c>
      <c r="AT846" s="170"/>
      <c r="AU846" s="170"/>
      <c r="AV846" s="170"/>
      <c r="AW846" s="174"/>
      <c r="AX846" s="174"/>
      <c r="AY846" s="174" t="str">
        <f>CONCATENATE(BASE_DATOS[[#This Row],[Código_U]]&amp;BASE_DATOS[[#This Row],[Pos.]]&amp;BASE_DATOS[[#This Row],[Situación Actual]])</f>
        <v>TC-26410Rodando</v>
      </c>
    </row>
    <row r="847" spans="1:51" ht="12" x14ac:dyDescent="0.25">
      <c r="A847" s="222" t="s">
        <v>442</v>
      </c>
      <c r="B847" s="213" t="s">
        <v>441</v>
      </c>
      <c r="C847" s="225" t="s">
        <v>460</v>
      </c>
      <c r="D847" s="226" t="s">
        <v>87</v>
      </c>
      <c r="E847" s="249"/>
      <c r="F847" s="250" t="s">
        <v>97</v>
      </c>
      <c r="G847" s="250" t="s">
        <v>269</v>
      </c>
      <c r="H847" s="251" t="str">
        <f>IF(BASE_DATOS[[#This Row],[N-R]]="N",BASE_DATOS[[#This Row],[Diseño]],"Reencauche")</f>
        <v>AGC28</v>
      </c>
      <c r="I847" s="250" t="s">
        <v>270</v>
      </c>
      <c r="J847" s="235" t="s">
        <v>72</v>
      </c>
      <c r="K847" s="252">
        <v>16.5</v>
      </c>
      <c r="L847" s="250">
        <v>110</v>
      </c>
      <c r="M847" s="253"/>
      <c r="N847" s="254"/>
      <c r="O847" s="274"/>
      <c r="P847" s="275"/>
      <c r="Q847" s="276"/>
      <c r="R847" s="305" t="s">
        <v>98</v>
      </c>
      <c r="S847" s="306">
        <v>45385</v>
      </c>
      <c r="T847" s="314"/>
      <c r="U847" s="276"/>
      <c r="V847" s="224">
        <v>16</v>
      </c>
      <c r="W847" s="325">
        <v>16</v>
      </c>
      <c r="X847" s="326">
        <v>16</v>
      </c>
      <c r="Y847" s="292">
        <f t="shared" si="39"/>
        <v>16</v>
      </c>
      <c r="Z847" s="185" t="s">
        <v>73</v>
      </c>
      <c r="AA847" s="339">
        <f>IFERROR(BASE_DATOS[[#This Row],[NSK Original]]-BASE_DATOS[[#This Row],[NSK]]," ")</f>
        <v>0.5</v>
      </c>
      <c r="AB847" s="340">
        <f>'NSK-TRACTO'!$A$2</f>
        <v>6</v>
      </c>
      <c r="AC847" s="340">
        <f>IF(BASE_DATOS[[#This Row],[NSK]]&gt;=BASE_DATOS[[#This Row],[NSK Reen]],BASE_DATOS[[#This Row],[NSK Reen]],BASE_DATOS[[#This Row],[NSK]])</f>
        <v>6</v>
      </c>
      <c r="AD847" s="341">
        <f>IFERROR(100%-(BASE_DATOS[[#This Row],[NSK Reen]]/BASE_DATOS[[#This Row],[NSK Original]]),"")</f>
        <v>0.63636363636363635</v>
      </c>
      <c r="AE847" s="341">
        <f>IFERROR(100%-BASE_DATOS[[#This Row],[NSK]]/BASE_DATOS[[#This Row],[NSK Original]],"")</f>
        <v>3.0303030303030276E-2</v>
      </c>
      <c r="AF847" s="341">
        <f>IFERROR(BASE_DATOS[[#This Row],[% Max Des.]]-BASE_DATOS[[#This Row],[% Des]],"")</f>
        <v>0.60606060606060608</v>
      </c>
      <c r="AG847" s="284"/>
      <c r="AH847" s="335"/>
      <c r="AI847" s="359" t="str">
        <f>IF(OR(BASE_DATOS[[#This Row],[Hr.]]="",BASE_DATOS[[#This Row],[Hr. Actual]]=""),"",BASE_DATOS[[#This Row],[Hr. Actual]]-BASE_DATOS[[#This Row],[Hr.]]+BASE_DATOS[[#This Row],[Horas Acumuladas]])</f>
        <v/>
      </c>
      <c r="AJ847" s="360" t="str">
        <f>IFERROR(BASE_DATOS[[#This Row],[Precio US$]]/BASE_DATOS[[#This Row],[Horas Rodadas]],"")</f>
        <v/>
      </c>
      <c r="AK847" s="361" t="str">
        <f>IFERROR(BASE_DATOS[[#This Row],[Horas Rodadas]]/(BASE_DATOS[[#This Row],[NSK Original]]-BASE_DATOS[[#This Row],[NSK]]),"")</f>
        <v/>
      </c>
      <c r="AL847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47" s="362" t="str">
        <f>IFERROR(BASE_DATOS[[#This Row],[Precio US$]]/BASE_DATOS[[#This Row],[Horas Proy.]],"")</f>
        <v/>
      </c>
      <c r="AN847" s="199" t="str">
        <f>IF(OR(BASE_DATOS[[#This Row],[Km.]]="",BASE_DATOS[[#This Row],[Km. Actual]]=""),"",BASE_DATOS[[#This Row],[Km. Actual]]-BASE_DATOS[[#This Row],[Km.]]+BASE_DATOS[[#This Row],[Kilómetros Acumulados]])</f>
        <v/>
      </c>
      <c r="AO847" s="200" t="str">
        <f>IFERROR(BASE_DATOS[[#This Row],[Precio US$]]/BASE_DATOS[[#This Row],[Kilómetros Rodados]],"")</f>
        <v/>
      </c>
      <c r="AP847" s="199" t="str">
        <f>IFERROR(BASE_DATOS[[#This Row],[Kilómetros Rodados]]/(BASE_DATOS[[#This Row],[NSK Original]]-BASE_DATOS[[#This Row],[NSK]]),"")</f>
        <v/>
      </c>
      <c r="AQ847" s="19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47" s="200" t="str">
        <f>IFERROR(BASE_DATOS[[#This Row],[Precio US$]]/BASE_DATOS[[#This Row],[Kilómetros Proy.]],"")</f>
        <v/>
      </c>
      <c r="AS847" s="201" t="s">
        <v>62</v>
      </c>
      <c r="AT847" s="201"/>
      <c r="AU847" s="201"/>
      <c r="AV847" s="201"/>
      <c r="AW847" s="203"/>
      <c r="AX847" s="203"/>
      <c r="AY847" s="203" t="str">
        <f>CONCATENATE(BASE_DATOS[[#This Row],[Código_U]]&amp;BASE_DATOS[[#This Row],[Pos.]]&amp;BASE_DATOS[[#This Row],[Situación Actual]])</f>
        <v>PT-151Rodando</v>
      </c>
    </row>
    <row r="848" spans="1:51" ht="12" x14ac:dyDescent="0.25">
      <c r="A848" s="223" t="s">
        <v>442</v>
      </c>
      <c r="B848" s="217" t="s">
        <v>441</v>
      </c>
      <c r="C848" s="228" t="s">
        <v>460</v>
      </c>
      <c r="D848" s="229" t="s">
        <v>87</v>
      </c>
      <c r="E848" s="255"/>
      <c r="F848" s="256" t="s">
        <v>97</v>
      </c>
      <c r="G848" s="256" t="s">
        <v>269</v>
      </c>
      <c r="H848" s="257" t="str">
        <f>IF(BASE_DATOS[[#This Row],[N-R]]="N",BASE_DATOS[[#This Row],[Diseño]],"Reencauche")</f>
        <v>AGC28</v>
      </c>
      <c r="I848" s="256" t="s">
        <v>270</v>
      </c>
      <c r="J848" s="243" t="s">
        <v>72</v>
      </c>
      <c r="K848" s="258">
        <v>16.5</v>
      </c>
      <c r="L848" s="256">
        <v>110</v>
      </c>
      <c r="M848" s="259"/>
      <c r="N848" s="260"/>
      <c r="O848" s="277"/>
      <c r="P848" s="278"/>
      <c r="Q848" s="279"/>
      <c r="R848" s="309" t="s">
        <v>99</v>
      </c>
      <c r="S848" s="310">
        <v>45385</v>
      </c>
      <c r="T848" s="313"/>
      <c r="U848" s="279"/>
      <c r="V848" s="227">
        <v>16</v>
      </c>
      <c r="W848" s="281">
        <v>16</v>
      </c>
      <c r="X848" s="282">
        <v>16</v>
      </c>
      <c r="Y848" s="293">
        <f t="shared" si="39"/>
        <v>16</v>
      </c>
      <c r="Z848" s="161" t="s">
        <v>85</v>
      </c>
      <c r="AA848" s="342">
        <f>IFERROR(BASE_DATOS[[#This Row],[NSK Original]]-BASE_DATOS[[#This Row],[NSK]]," ")</f>
        <v>0.5</v>
      </c>
      <c r="AB848" s="343">
        <f>'NSK-TRACTO'!$A$2</f>
        <v>6</v>
      </c>
      <c r="AC848" s="343">
        <f>IF(BASE_DATOS[[#This Row],[NSK]]&gt;=BASE_DATOS[[#This Row],[NSK Reen]],BASE_DATOS[[#This Row],[NSK Reen]],BASE_DATOS[[#This Row],[NSK]])</f>
        <v>6</v>
      </c>
      <c r="AD848" s="344">
        <f>IFERROR(100%-(BASE_DATOS[[#This Row],[NSK Reen]]/BASE_DATOS[[#This Row],[NSK Original]]),"")</f>
        <v>0.63636363636363635</v>
      </c>
      <c r="AE848" s="344">
        <f>IFERROR(100%-BASE_DATOS[[#This Row],[NSK]]/BASE_DATOS[[#This Row],[NSK Original]],"")</f>
        <v>3.0303030303030276E-2</v>
      </c>
      <c r="AF848" s="344">
        <f>IFERROR(BASE_DATOS[[#This Row],[% Max Des.]]-BASE_DATOS[[#This Row],[% Des]],"")</f>
        <v>0.60606060606060608</v>
      </c>
      <c r="AG848" s="287"/>
      <c r="AH848" s="273"/>
      <c r="AI848" s="363" t="str">
        <f>IF(OR(BASE_DATOS[[#This Row],[Hr.]]="",BASE_DATOS[[#This Row],[Hr. Actual]]=""),"",BASE_DATOS[[#This Row],[Hr. Actual]]-BASE_DATOS[[#This Row],[Hr.]]+BASE_DATOS[[#This Row],[Horas Acumuladas]])</f>
        <v/>
      </c>
      <c r="AJ848" s="364" t="str">
        <f>IFERROR(BASE_DATOS[[#This Row],[Precio US$]]/BASE_DATOS[[#This Row],[Horas Rodadas]],"")</f>
        <v/>
      </c>
      <c r="AK848" s="365" t="str">
        <f>IFERROR(BASE_DATOS[[#This Row],[Horas Rodadas]]/(BASE_DATOS[[#This Row],[NSK Original]]-BASE_DATOS[[#This Row],[NSK]]),"")</f>
        <v/>
      </c>
      <c r="AL84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48" s="366" t="str">
        <f>IFERROR(BASE_DATOS[[#This Row],[Precio US$]]/BASE_DATOS[[#This Row],[Horas Proy.]],"")</f>
        <v/>
      </c>
      <c r="AN848" s="176" t="str">
        <f>IF(OR(BASE_DATOS[[#This Row],[Km.]]="",BASE_DATOS[[#This Row],[Km. Actual]]=""),"",BASE_DATOS[[#This Row],[Km. Actual]]-BASE_DATOS[[#This Row],[Km.]]+BASE_DATOS[[#This Row],[Kilómetros Acumulados]])</f>
        <v/>
      </c>
      <c r="AO848" s="177" t="str">
        <f>IFERROR(BASE_DATOS[[#This Row],[Precio US$]]/BASE_DATOS[[#This Row],[Kilómetros Rodados]],"")</f>
        <v/>
      </c>
      <c r="AP848" s="176" t="str">
        <f>IFERROR(BASE_DATOS[[#This Row],[Kilómetros Rodados]]/(BASE_DATOS[[#This Row],[NSK Original]]-BASE_DATOS[[#This Row],[NSK]]),"")</f>
        <v/>
      </c>
      <c r="AQ84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48" s="177" t="str">
        <f>IFERROR(BASE_DATOS[[#This Row],[Precio US$]]/BASE_DATOS[[#This Row],[Kilómetros Proy.]],"")</f>
        <v/>
      </c>
      <c r="AS848" s="167" t="s">
        <v>62</v>
      </c>
      <c r="AT848" s="167"/>
      <c r="AU848" s="167"/>
      <c r="AV848" s="167"/>
      <c r="AW848" s="179"/>
      <c r="AX848" s="179"/>
      <c r="AY848" s="179" t="str">
        <f>CONCATENATE(BASE_DATOS[[#This Row],[Código_U]]&amp;BASE_DATOS[[#This Row],[Pos.]]&amp;BASE_DATOS[[#This Row],[Situación Actual]])</f>
        <v>PT-152Rodando</v>
      </c>
    </row>
    <row r="849" spans="1:51" ht="12" x14ac:dyDescent="0.25">
      <c r="A849" s="223" t="s">
        <v>442</v>
      </c>
      <c r="B849" s="217" t="s">
        <v>441</v>
      </c>
      <c r="C849" s="228" t="s">
        <v>460</v>
      </c>
      <c r="D849" s="229" t="s">
        <v>87</v>
      </c>
      <c r="E849" s="255"/>
      <c r="F849" s="256" t="s">
        <v>97</v>
      </c>
      <c r="G849" s="256" t="s">
        <v>269</v>
      </c>
      <c r="H849" s="257" t="str">
        <f>IF(BASE_DATOS[[#This Row],[N-R]]="N",BASE_DATOS[[#This Row],[Diseño]],"Reencauche")</f>
        <v>AGC28</v>
      </c>
      <c r="I849" s="256" t="s">
        <v>270</v>
      </c>
      <c r="J849" s="243" t="s">
        <v>72</v>
      </c>
      <c r="K849" s="258">
        <v>16.5</v>
      </c>
      <c r="L849" s="256">
        <v>110</v>
      </c>
      <c r="M849" s="259"/>
      <c r="N849" s="260"/>
      <c r="O849" s="277"/>
      <c r="P849" s="278"/>
      <c r="Q849" s="279"/>
      <c r="R849" s="309" t="s">
        <v>100</v>
      </c>
      <c r="S849" s="310">
        <v>45385</v>
      </c>
      <c r="T849" s="313"/>
      <c r="U849" s="279"/>
      <c r="V849" s="227">
        <v>16</v>
      </c>
      <c r="W849" s="281">
        <v>16</v>
      </c>
      <c r="X849" s="282">
        <v>16</v>
      </c>
      <c r="Y849" s="293">
        <f t="shared" si="39"/>
        <v>16</v>
      </c>
      <c r="Z849" s="161" t="s">
        <v>73</v>
      </c>
      <c r="AA849" s="342">
        <f>IFERROR(BASE_DATOS[[#This Row],[NSK Original]]-BASE_DATOS[[#This Row],[NSK]]," ")</f>
        <v>0.5</v>
      </c>
      <c r="AB849" s="343">
        <f>'NSK-TRACTO'!$A$2</f>
        <v>6</v>
      </c>
      <c r="AC849" s="343">
        <f>IF(BASE_DATOS[[#This Row],[NSK]]&gt;=BASE_DATOS[[#This Row],[NSK Reen]],BASE_DATOS[[#This Row],[NSK Reen]],BASE_DATOS[[#This Row],[NSK]])</f>
        <v>6</v>
      </c>
      <c r="AD849" s="344">
        <f>IFERROR(100%-(BASE_DATOS[[#This Row],[NSK Reen]]/BASE_DATOS[[#This Row],[NSK Original]]),"")</f>
        <v>0.63636363636363635</v>
      </c>
      <c r="AE849" s="344">
        <f>IFERROR(100%-BASE_DATOS[[#This Row],[NSK]]/BASE_DATOS[[#This Row],[NSK Original]],"")</f>
        <v>3.0303030303030276E-2</v>
      </c>
      <c r="AF849" s="344">
        <f>IFERROR(BASE_DATOS[[#This Row],[% Max Des.]]-BASE_DATOS[[#This Row],[% Des]],"")</f>
        <v>0.60606060606060608</v>
      </c>
      <c r="AG849" s="287"/>
      <c r="AH849" s="273"/>
      <c r="AI849" s="363" t="str">
        <f>IF(OR(BASE_DATOS[[#This Row],[Hr.]]="",BASE_DATOS[[#This Row],[Hr. Actual]]=""),"",BASE_DATOS[[#This Row],[Hr. Actual]]-BASE_DATOS[[#This Row],[Hr.]]+BASE_DATOS[[#This Row],[Horas Acumuladas]])</f>
        <v/>
      </c>
      <c r="AJ849" s="364" t="str">
        <f>IFERROR(BASE_DATOS[[#This Row],[Precio US$]]/BASE_DATOS[[#This Row],[Horas Rodadas]],"")</f>
        <v/>
      </c>
      <c r="AK849" s="365" t="str">
        <f>IFERROR(BASE_DATOS[[#This Row],[Horas Rodadas]]/(BASE_DATOS[[#This Row],[NSK Original]]-BASE_DATOS[[#This Row],[NSK]]),"")</f>
        <v/>
      </c>
      <c r="AL84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49" s="366" t="str">
        <f>IFERROR(BASE_DATOS[[#This Row],[Precio US$]]/BASE_DATOS[[#This Row],[Horas Proy.]],"")</f>
        <v/>
      </c>
      <c r="AN849" s="176" t="str">
        <f>IF(OR(BASE_DATOS[[#This Row],[Km.]]="",BASE_DATOS[[#This Row],[Km. Actual]]=""),"",BASE_DATOS[[#This Row],[Km. Actual]]-BASE_DATOS[[#This Row],[Km.]]+BASE_DATOS[[#This Row],[Kilómetros Acumulados]])</f>
        <v/>
      </c>
      <c r="AO849" s="177" t="str">
        <f>IFERROR(BASE_DATOS[[#This Row],[Precio US$]]/BASE_DATOS[[#This Row],[Kilómetros Rodados]],"")</f>
        <v/>
      </c>
      <c r="AP849" s="176" t="str">
        <f>IFERROR(BASE_DATOS[[#This Row],[Kilómetros Rodados]]/(BASE_DATOS[[#This Row],[NSK Original]]-BASE_DATOS[[#This Row],[NSK]]),"")</f>
        <v/>
      </c>
      <c r="AQ84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49" s="177" t="str">
        <f>IFERROR(BASE_DATOS[[#This Row],[Precio US$]]/BASE_DATOS[[#This Row],[Kilómetros Proy.]],"")</f>
        <v/>
      </c>
      <c r="AS849" s="167" t="s">
        <v>62</v>
      </c>
      <c r="AT849" s="167"/>
      <c r="AU849" s="167"/>
      <c r="AV849" s="167"/>
      <c r="AW849" s="179"/>
      <c r="AX849" s="179"/>
      <c r="AY849" s="179" t="str">
        <f>CONCATENATE(BASE_DATOS[[#This Row],[Código_U]]&amp;BASE_DATOS[[#This Row],[Pos.]]&amp;BASE_DATOS[[#This Row],[Situación Actual]])</f>
        <v>PT-153Rodando</v>
      </c>
    </row>
    <row r="850" spans="1:51" ht="12" x14ac:dyDescent="0.25">
      <c r="A850" s="223" t="s">
        <v>442</v>
      </c>
      <c r="B850" s="217" t="s">
        <v>441</v>
      </c>
      <c r="C850" s="228" t="s">
        <v>460</v>
      </c>
      <c r="D850" s="229" t="s">
        <v>87</v>
      </c>
      <c r="E850" s="255"/>
      <c r="F850" s="256" t="s">
        <v>97</v>
      </c>
      <c r="G850" s="256" t="s">
        <v>269</v>
      </c>
      <c r="H850" s="257" t="str">
        <f>IF(BASE_DATOS[[#This Row],[N-R]]="N",BASE_DATOS[[#This Row],[Diseño]],"Reencauche")</f>
        <v>AGC28</v>
      </c>
      <c r="I850" s="256" t="s">
        <v>270</v>
      </c>
      <c r="J850" s="243" t="s">
        <v>72</v>
      </c>
      <c r="K850" s="258">
        <v>16.5</v>
      </c>
      <c r="L850" s="256">
        <v>110</v>
      </c>
      <c r="M850" s="259"/>
      <c r="N850" s="260"/>
      <c r="O850" s="277"/>
      <c r="P850" s="278"/>
      <c r="Q850" s="279"/>
      <c r="R850" s="309" t="s">
        <v>101</v>
      </c>
      <c r="S850" s="310">
        <v>45385</v>
      </c>
      <c r="T850" s="313"/>
      <c r="U850" s="279"/>
      <c r="V850" s="227">
        <v>16</v>
      </c>
      <c r="W850" s="281">
        <v>16</v>
      </c>
      <c r="X850" s="282">
        <v>16</v>
      </c>
      <c r="Y850" s="293">
        <f t="shared" si="39"/>
        <v>16</v>
      </c>
      <c r="Z850" s="161" t="s">
        <v>85</v>
      </c>
      <c r="AA850" s="342">
        <f>IFERROR(BASE_DATOS[[#This Row],[NSK Original]]-BASE_DATOS[[#This Row],[NSK]]," ")</f>
        <v>0.5</v>
      </c>
      <c r="AB850" s="343">
        <f>'NSK-TRACTO'!$A$2</f>
        <v>6</v>
      </c>
      <c r="AC850" s="343">
        <f>IF(BASE_DATOS[[#This Row],[NSK]]&gt;=BASE_DATOS[[#This Row],[NSK Reen]],BASE_DATOS[[#This Row],[NSK Reen]],BASE_DATOS[[#This Row],[NSK]])</f>
        <v>6</v>
      </c>
      <c r="AD850" s="344">
        <f>IFERROR(100%-(BASE_DATOS[[#This Row],[NSK Reen]]/BASE_DATOS[[#This Row],[NSK Original]]),"")</f>
        <v>0.63636363636363635</v>
      </c>
      <c r="AE850" s="344">
        <f>IFERROR(100%-BASE_DATOS[[#This Row],[NSK]]/BASE_DATOS[[#This Row],[NSK Original]],"")</f>
        <v>3.0303030303030276E-2</v>
      </c>
      <c r="AF850" s="344">
        <f>IFERROR(BASE_DATOS[[#This Row],[% Max Des.]]-BASE_DATOS[[#This Row],[% Des]],"")</f>
        <v>0.60606060606060608</v>
      </c>
      <c r="AG850" s="287"/>
      <c r="AH850" s="273"/>
      <c r="AI850" s="363" t="str">
        <f>IF(OR(BASE_DATOS[[#This Row],[Hr.]]="",BASE_DATOS[[#This Row],[Hr. Actual]]=""),"",BASE_DATOS[[#This Row],[Hr. Actual]]-BASE_DATOS[[#This Row],[Hr.]]+BASE_DATOS[[#This Row],[Horas Acumuladas]])</f>
        <v/>
      </c>
      <c r="AJ850" s="364" t="str">
        <f>IFERROR(BASE_DATOS[[#This Row],[Precio US$]]/BASE_DATOS[[#This Row],[Horas Rodadas]],"")</f>
        <v/>
      </c>
      <c r="AK850" s="365" t="str">
        <f>IFERROR(BASE_DATOS[[#This Row],[Horas Rodadas]]/(BASE_DATOS[[#This Row],[NSK Original]]-BASE_DATOS[[#This Row],[NSK]]),"")</f>
        <v/>
      </c>
      <c r="AL85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50" s="366" t="str">
        <f>IFERROR(BASE_DATOS[[#This Row],[Precio US$]]/BASE_DATOS[[#This Row],[Horas Proy.]],"")</f>
        <v/>
      </c>
      <c r="AN850" s="176" t="str">
        <f>IF(OR(BASE_DATOS[[#This Row],[Km.]]="",BASE_DATOS[[#This Row],[Km. Actual]]=""),"",BASE_DATOS[[#This Row],[Km. Actual]]-BASE_DATOS[[#This Row],[Km.]]+BASE_DATOS[[#This Row],[Kilómetros Acumulados]])</f>
        <v/>
      </c>
      <c r="AO850" s="177" t="str">
        <f>IFERROR(BASE_DATOS[[#This Row],[Precio US$]]/BASE_DATOS[[#This Row],[Kilómetros Rodados]],"")</f>
        <v/>
      </c>
      <c r="AP850" s="176" t="str">
        <f>IFERROR(BASE_DATOS[[#This Row],[Kilómetros Rodados]]/(BASE_DATOS[[#This Row],[NSK Original]]-BASE_DATOS[[#This Row],[NSK]]),"")</f>
        <v/>
      </c>
      <c r="AQ85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50" s="177" t="str">
        <f>IFERROR(BASE_DATOS[[#This Row],[Precio US$]]/BASE_DATOS[[#This Row],[Kilómetros Proy.]],"")</f>
        <v/>
      </c>
      <c r="AS850" s="167" t="s">
        <v>62</v>
      </c>
      <c r="AT850" s="167"/>
      <c r="AU850" s="167"/>
      <c r="AV850" s="167"/>
      <c r="AW850" s="179"/>
      <c r="AX850" s="179"/>
      <c r="AY850" s="179" t="str">
        <f>CONCATENATE(BASE_DATOS[[#This Row],[Código_U]]&amp;BASE_DATOS[[#This Row],[Pos.]]&amp;BASE_DATOS[[#This Row],[Situación Actual]])</f>
        <v>PT-154Rodando</v>
      </c>
    </row>
    <row r="851" spans="1:51" ht="12" x14ac:dyDescent="0.25">
      <c r="A851" s="223" t="s">
        <v>442</v>
      </c>
      <c r="B851" s="217" t="s">
        <v>441</v>
      </c>
      <c r="C851" s="228" t="s">
        <v>460</v>
      </c>
      <c r="D851" s="229" t="s">
        <v>87</v>
      </c>
      <c r="E851" s="255"/>
      <c r="F851" s="256" t="s">
        <v>97</v>
      </c>
      <c r="G851" s="256" t="s">
        <v>269</v>
      </c>
      <c r="H851" s="257" t="str">
        <f>IF(BASE_DATOS[[#This Row],[N-R]]="N",BASE_DATOS[[#This Row],[Diseño]],"Reencauche")</f>
        <v>AGC28</v>
      </c>
      <c r="I851" s="256" t="s">
        <v>270</v>
      </c>
      <c r="J851" s="243" t="s">
        <v>72</v>
      </c>
      <c r="K851" s="258">
        <v>16.5</v>
      </c>
      <c r="L851" s="256">
        <v>110</v>
      </c>
      <c r="M851" s="259"/>
      <c r="N851" s="260"/>
      <c r="O851" s="277"/>
      <c r="P851" s="278"/>
      <c r="Q851" s="279"/>
      <c r="R851" s="309" t="s">
        <v>102</v>
      </c>
      <c r="S851" s="310">
        <v>45385</v>
      </c>
      <c r="T851" s="313"/>
      <c r="U851" s="279"/>
      <c r="V851" s="227">
        <v>16</v>
      </c>
      <c r="W851" s="281">
        <v>16</v>
      </c>
      <c r="X851" s="282">
        <v>16</v>
      </c>
      <c r="Y851" s="293">
        <f t="shared" si="39"/>
        <v>16</v>
      </c>
      <c r="Z851" s="161" t="s">
        <v>85</v>
      </c>
      <c r="AA851" s="342">
        <f>IFERROR(BASE_DATOS[[#This Row],[NSK Original]]-BASE_DATOS[[#This Row],[NSK]]," ")</f>
        <v>0.5</v>
      </c>
      <c r="AB851" s="343">
        <f>'NSK-TRACTO'!$A$2</f>
        <v>6</v>
      </c>
      <c r="AC851" s="343">
        <f>IF(BASE_DATOS[[#This Row],[NSK]]&gt;=BASE_DATOS[[#This Row],[NSK Reen]],BASE_DATOS[[#This Row],[NSK Reen]],BASE_DATOS[[#This Row],[NSK]])</f>
        <v>6</v>
      </c>
      <c r="AD851" s="344">
        <f>IFERROR(100%-(BASE_DATOS[[#This Row],[NSK Reen]]/BASE_DATOS[[#This Row],[NSK Original]]),"")</f>
        <v>0.63636363636363635</v>
      </c>
      <c r="AE851" s="344">
        <f>IFERROR(100%-BASE_DATOS[[#This Row],[NSK]]/BASE_DATOS[[#This Row],[NSK Original]],"")</f>
        <v>3.0303030303030276E-2</v>
      </c>
      <c r="AF851" s="344">
        <f>IFERROR(BASE_DATOS[[#This Row],[% Max Des.]]-BASE_DATOS[[#This Row],[% Des]],"")</f>
        <v>0.60606060606060608</v>
      </c>
      <c r="AG851" s="287"/>
      <c r="AH851" s="273"/>
      <c r="AI851" s="363" t="str">
        <f>IF(OR(BASE_DATOS[[#This Row],[Hr.]]="",BASE_DATOS[[#This Row],[Hr. Actual]]=""),"",BASE_DATOS[[#This Row],[Hr. Actual]]-BASE_DATOS[[#This Row],[Hr.]]+BASE_DATOS[[#This Row],[Horas Acumuladas]])</f>
        <v/>
      </c>
      <c r="AJ851" s="364" t="str">
        <f>IFERROR(BASE_DATOS[[#This Row],[Precio US$]]/BASE_DATOS[[#This Row],[Horas Rodadas]],"")</f>
        <v/>
      </c>
      <c r="AK851" s="365" t="str">
        <f>IFERROR(BASE_DATOS[[#This Row],[Horas Rodadas]]/(BASE_DATOS[[#This Row],[NSK Original]]-BASE_DATOS[[#This Row],[NSK]]),"")</f>
        <v/>
      </c>
      <c r="AL85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51" s="366" t="str">
        <f>IFERROR(BASE_DATOS[[#This Row],[Precio US$]]/BASE_DATOS[[#This Row],[Horas Proy.]],"")</f>
        <v/>
      </c>
      <c r="AN851" s="176" t="str">
        <f>IF(OR(BASE_DATOS[[#This Row],[Km.]]="",BASE_DATOS[[#This Row],[Km. Actual]]=""),"",BASE_DATOS[[#This Row],[Km. Actual]]-BASE_DATOS[[#This Row],[Km.]]+BASE_DATOS[[#This Row],[Kilómetros Acumulados]])</f>
        <v/>
      </c>
      <c r="AO851" s="177" t="str">
        <f>IFERROR(BASE_DATOS[[#This Row],[Precio US$]]/BASE_DATOS[[#This Row],[Kilómetros Rodados]],"")</f>
        <v/>
      </c>
      <c r="AP851" s="176" t="str">
        <f>IFERROR(BASE_DATOS[[#This Row],[Kilómetros Rodados]]/(BASE_DATOS[[#This Row],[NSK Original]]-BASE_DATOS[[#This Row],[NSK]]),"")</f>
        <v/>
      </c>
      <c r="AQ85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51" s="177" t="str">
        <f>IFERROR(BASE_DATOS[[#This Row],[Precio US$]]/BASE_DATOS[[#This Row],[Kilómetros Proy.]],"")</f>
        <v/>
      </c>
      <c r="AS851" s="167" t="s">
        <v>62</v>
      </c>
      <c r="AT851" s="167"/>
      <c r="AU851" s="167"/>
      <c r="AV851" s="167"/>
      <c r="AW851" s="179"/>
      <c r="AX851" s="179"/>
      <c r="AY851" s="179" t="str">
        <f>CONCATENATE(BASE_DATOS[[#This Row],[Código_U]]&amp;BASE_DATOS[[#This Row],[Pos.]]&amp;BASE_DATOS[[#This Row],[Situación Actual]])</f>
        <v>PT-155Rodando</v>
      </c>
    </row>
    <row r="852" spans="1:51" ht="12" x14ac:dyDescent="0.25">
      <c r="A852" s="223" t="s">
        <v>442</v>
      </c>
      <c r="B852" s="217" t="s">
        <v>441</v>
      </c>
      <c r="C852" s="228" t="s">
        <v>460</v>
      </c>
      <c r="D852" s="229" t="s">
        <v>87</v>
      </c>
      <c r="E852" s="255"/>
      <c r="F852" s="256" t="s">
        <v>97</v>
      </c>
      <c r="G852" s="256" t="s">
        <v>269</v>
      </c>
      <c r="H852" s="257" t="str">
        <f>IF(BASE_DATOS[[#This Row],[N-R]]="N",BASE_DATOS[[#This Row],[Diseño]],"Reencauche")</f>
        <v>AGC28</v>
      </c>
      <c r="I852" s="256" t="s">
        <v>270</v>
      </c>
      <c r="J852" s="243" t="s">
        <v>72</v>
      </c>
      <c r="K852" s="258">
        <v>16.5</v>
      </c>
      <c r="L852" s="256">
        <v>110</v>
      </c>
      <c r="M852" s="259"/>
      <c r="N852" s="260"/>
      <c r="O852" s="277"/>
      <c r="P852" s="278"/>
      <c r="Q852" s="279"/>
      <c r="R852" s="309" t="s">
        <v>103</v>
      </c>
      <c r="S852" s="310">
        <v>45385</v>
      </c>
      <c r="T852" s="313"/>
      <c r="U852" s="279"/>
      <c r="V852" s="227">
        <v>16</v>
      </c>
      <c r="W852" s="281">
        <v>16</v>
      </c>
      <c r="X852" s="282">
        <v>16</v>
      </c>
      <c r="Y852" s="293">
        <f t="shared" si="39"/>
        <v>16</v>
      </c>
      <c r="Z852" s="161" t="s">
        <v>85</v>
      </c>
      <c r="AA852" s="342">
        <f>IFERROR(BASE_DATOS[[#This Row],[NSK Original]]-BASE_DATOS[[#This Row],[NSK]]," ")</f>
        <v>0.5</v>
      </c>
      <c r="AB852" s="343">
        <f>'NSK-TRACTO'!$A$2</f>
        <v>6</v>
      </c>
      <c r="AC852" s="343">
        <f>IF(BASE_DATOS[[#This Row],[NSK]]&gt;=BASE_DATOS[[#This Row],[NSK Reen]],BASE_DATOS[[#This Row],[NSK Reen]],BASE_DATOS[[#This Row],[NSK]])</f>
        <v>6</v>
      </c>
      <c r="AD852" s="344">
        <f>IFERROR(100%-(BASE_DATOS[[#This Row],[NSK Reen]]/BASE_DATOS[[#This Row],[NSK Original]]),"")</f>
        <v>0.63636363636363635</v>
      </c>
      <c r="AE852" s="344">
        <f>IFERROR(100%-BASE_DATOS[[#This Row],[NSK]]/BASE_DATOS[[#This Row],[NSK Original]],"")</f>
        <v>3.0303030303030276E-2</v>
      </c>
      <c r="AF852" s="344">
        <f>IFERROR(BASE_DATOS[[#This Row],[% Max Des.]]-BASE_DATOS[[#This Row],[% Des]],"")</f>
        <v>0.60606060606060608</v>
      </c>
      <c r="AG852" s="287"/>
      <c r="AH852" s="273"/>
      <c r="AI852" s="363" t="str">
        <f>IF(OR(BASE_DATOS[[#This Row],[Hr.]]="",BASE_DATOS[[#This Row],[Hr. Actual]]=""),"",BASE_DATOS[[#This Row],[Hr. Actual]]-BASE_DATOS[[#This Row],[Hr.]]+BASE_DATOS[[#This Row],[Horas Acumuladas]])</f>
        <v/>
      </c>
      <c r="AJ852" s="364" t="str">
        <f>IFERROR(BASE_DATOS[[#This Row],[Precio US$]]/BASE_DATOS[[#This Row],[Horas Rodadas]],"")</f>
        <v/>
      </c>
      <c r="AK852" s="365" t="str">
        <f>IFERROR(BASE_DATOS[[#This Row],[Horas Rodadas]]/(BASE_DATOS[[#This Row],[NSK Original]]-BASE_DATOS[[#This Row],[NSK]]),"")</f>
        <v/>
      </c>
      <c r="AL85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52" s="366" t="str">
        <f>IFERROR(BASE_DATOS[[#This Row],[Precio US$]]/BASE_DATOS[[#This Row],[Horas Proy.]],"")</f>
        <v/>
      </c>
      <c r="AN852" s="176" t="str">
        <f>IF(OR(BASE_DATOS[[#This Row],[Km.]]="",BASE_DATOS[[#This Row],[Km. Actual]]=""),"",BASE_DATOS[[#This Row],[Km. Actual]]-BASE_DATOS[[#This Row],[Km.]]+BASE_DATOS[[#This Row],[Kilómetros Acumulados]])</f>
        <v/>
      </c>
      <c r="AO852" s="177" t="str">
        <f>IFERROR(BASE_DATOS[[#This Row],[Precio US$]]/BASE_DATOS[[#This Row],[Kilómetros Rodados]],"")</f>
        <v/>
      </c>
      <c r="AP852" s="176" t="str">
        <f>IFERROR(BASE_DATOS[[#This Row],[Kilómetros Rodados]]/(BASE_DATOS[[#This Row],[NSK Original]]-BASE_DATOS[[#This Row],[NSK]]),"")</f>
        <v/>
      </c>
      <c r="AQ85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52" s="177" t="str">
        <f>IFERROR(BASE_DATOS[[#This Row],[Precio US$]]/BASE_DATOS[[#This Row],[Kilómetros Proy.]],"")</f>
        <v/>
      </c>
      <c r="AS852" s="167" t="s">
        <v>62</v>
      </c>
      <c r="AT852" s="167"/>
      <c r="AU852" s="167"/>
      <c r="AV852" s="167"/>
      <c r="AW852" s="179"/>
      <c r="AX852" s="179"/>
      <c r="AY852" s="179" t="str">
        <f>CONCATENATE(BASE_DATOS[[#This Row],[Código_U]]&amp;BASE_DATOS[[#This Row],[Pos.]]&amp;BASE_DATOS[[#This Row],[Situación Actual]])</f>
        <v>PT-156Rodando</v>
      </c>
    </row>
    <row r="853" spans="1:51" ht="12" x14ac:dyDescent="0.25">
      <c r="A853" s="223" t="s">
        <v>442</v>
      </c>
      <c r="B853" s="217" t="s">
        <v>441</v>
      </c>
      <c r="C853" s="228" t="s">
        <v>460</v>
      </c>
      <c r="D853" s="229" t="s">
        <v>384</v>
      </c>
      <c r="E853" s="255"/>
      <c r="F853" s="256" t="s">
        <v>97</v>
      </c>
      <c r="G853" s="256" t="s">
        <v>269</v>
      </c>
      <c r="H853" s="257" t="str">
        <f>IF(BASE_DATOS[[#This Row],[N-R]]="N",BASE_DATOS[[#This Row],[Diseño]],"Reencauche")</f>
        <v>AGC28</v>
      </c>
      <c r="I853" s="256" t="s">
        <v>270</v>
      </c>
      <c r="J853" s="243" t="s">
        <v>72</v>
      </c>
      <c r="K853" s="258">
        <v>16.5</v>
      </c>
      <c r="L853" s="256">
        <v>110</v>
      </c>
      <c r="M853" s="259"/>
      <c r="N853" s="260"/>
      <c r="O853" s="277"/>
      <c r="P853" s="278"/>
      <c r="Q853" s="279"/>
      <c r="R853" s="309" t="s">
        <v>509</v>
      </c>
      <c r="S853" s="310">
        <v>45385</v>
      </c>
      <c r="T853" s="313"/>
      <c r="U853" s="279"/>
      <c r="V853" s="227">
        <v>16</v>
      </c>
      <c r="W853" s="281">
        <v>16</v>
      </c>
      <c r="X853" s="282">
        <v>16</v>
      </c>
      <c r="Y853" s="293">
        <f t="shared" si="39"/>
        <v>16</v>
      </c>
      <c r="Z853" s="161" t="s">
        <v>85</v>
      </c>
      <c r="AA853" s="342">
        <f>IFERROR(BASE_DATOS[[#This Row],[NSK Original]]-BASE_DATOS[[#This Row],[NSK]]," ")</f>
        <v>0.5</v>
      </c>
      <c r="AB853" s="343">
        <f>'NSK-TRACTO'!$A$2</f>
        <v>6</v>
      </c>
      <c r="AC853" s="343">
        <f>IF(BASE_DATOS[[#This Row],[NSK]]&gt;=BASE_DATOS[[#This Row],[NSK Reen]],BASE_DATOS[[#This Row],[NSK Reen]],BASE_DATOS[[#This Row],[NSK]])</f>
        <v>6</v>
      </c>
      <c r="AD853" s="344">
        <f>IFERROR(100%-(BASE_DATOS[[#This Row],[NSK Reen]]/BASE_DATOS[[#This Row],[NSK Original]]),"")</f>
        <v>0.63636363636363635</v>
      </c>
      <c r="AE853" s="344">
        <f>IFERROR(100%-BASE_DATOS[[#This Row],[NSK]]/BASE_DATOS[[#This Row],[NSK Original]],"")</f>
        <v>3.0303030303030276E-2</v>
      </c>
      <c r="AF853" s="344">
        <f>IFERROR(BASE_DATOS[[#This Row],[% Max Des.]]-BASE_DATOS[[#This Row],[% Des]],"")</f>
        <v>0.60606060606060608</v>
      </c>
      <c r="AG853" s="287"/>
      <c r="AH853" s="273"/>
      <c r="AI853" s="363" t="str">
        <f>IF(OR(BASE_DATOS[[#This Row],[Hr.]]="",BASE_DATOS[[#This Row],[Hr. Actual]]=""),"",BASE_DATOS[[#This Row],[Hr. Actual]]-BASE_DATOS[[#This Row],[Hr.]]+BASE_DATOS[[#This Row],[Horas Acumuladas]])</f>
        <v/>
      </c>
      <c r="AJ853" s="364" t="str">
        <f>IFERROR(BASE_DATOS[[#This Row],[Precio US$]]/BASE_DATOS[[#This Row],[Horas Rodadas]],"")</f>
        <v/>
      </c>
      <c r="AK853" s="365" t="str">
        <f>IFERROR(BASE_DATOS[[#This Row],[Horas Rodadas]]/(BASE_DATOS[[#This Row],[NSK Original]]-BASE_DATOS[[#This Row],[NSK]]),"")</f>
        <v/>
      </c>
      <c r="AL85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53" s="366" t="str">
        <f>IFERROR(BASE_DATOS[[#This Row],[Precio US$]]/BASE_DATOS[[#This Row],[Horas Proy.]],"")</f>
        <v/>
      </c>
      <c r="AN853" s="176" t="str">
        <f>IF(OR(BASE_DATOS[[#This Row],[Km.]]="",BASE_DATOS[[#This Row],[Km. Actual]]=""),"",BASE_DATOS[[#This Row],[Km. Actual]]-BASE_DATOS[[#This Row],[Km.]]+BASE_DATOS[[#This Row],[Kilómetros Acumulados]])</f>
        <v/>
      </c>
      <c r="AO853" s="177" t="str">
        <f>IFERROR(BASE_DATOS[[#This Row],[Precio US$]]/BASE_DATOS[[#This Row],[Kilómetros Rodados]],"")</f>
        <v/>
      </c>
      <c r="AP853" s="176" t="str">
        <f>IFERROR(BASE_DATOS[[#This Row],[Kilómetros Rodados]]/(BASE_DATOS[[#This Row],[NSK Original]]-BASE_DATOS[[#This Row],[NSK]]),"")</f>
        <v/>
      </c>
      <c r="AQ85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53" s="177" t="str">
        <f>IFERROR(BASE_DATOS[[#This Row],[Precio US$]]/BASE_DATOS[[#This Row],[Kilómetros Proy.]],"")</f>
        <v/>
      </c>
      <c r="AS853" s="167" t="s">
        <v>62</v>
      </c>
      <c r="AT853" s="167"/>
      <c r="AU853" s="167"/>
      <c r="AV853" s="167"/>
      <c r="AW853" s="179"/>
      <c r="AX853" s="179"/>
      <c r="AY853" s="179" t="str">
        <f>CONCATENATE(BASE_DATOS[[#This Row],[Código_U]]&amp;BASE_DATOS[[#This Row],[Pos.]]&amp;BASE_DATOS[[#This Row],[Situación Actual]])</f>
        <v>PT-15RERodando</v>
      </c>
    </row>
    <row r="854" spans="1:51" ht="12" x14ac:dyDescent="0.25">
      <c r="A854" s="223" t="s">
        <v>442</v>
      </c>
      <c r="B854" s="217" t="s">
        <v>441</v>
      </c>
      <c r="C854" s="228" t="s">
        <v>460</v>
      </c>
      <c r="D854" s="229" t="s">
        <v>108</v>
      </c>
      <c r="E854" s="255"/>
      <c r="F854" s="256" t="s">
        <v>278</v>
      </c>
      <c r="G854" s="256" t="s">
        <v>271</v>
      </c>
      <c r="H854" s="257" t="str">
        <f>IF(BASE_DATOS[[#This Row],[N-R]]="N",BASE_DATOS[[#This Row],[Diseño]],"Reencauche")</f>
        <v>HD3</v>
      </c>
      <c r="I854" s="256" t="s">
        <v>286</v>
      </c>
      <c r="J854" s="243" t="s">
        <v>72</v>
      </c>
      <c r="K854" s="258">
        <v>0</v>
      </c>
      <c r="L854" s="256">
        <v>110</v>
      </c>
      <c r="M854" s="259"/>
      <c r="N854" s="260"/>
      <c r="O854" s="277"/>
      <c r="P854" s="278"/>
      <c r="Q854" s="279"/>
      <c r="R854" s="309" t="s">
        <v>108</v>
      </c>
      <c r="S854" s="310">
        <v>45385</v>
      </c>
      <c r="T854" s="313"/>
      <c r="U854" s="279"/>
      <c r="V854" s="227">
        <v>10</v>
      </c>
      <c r="W854" s="281">
        <v>7</v>
      </c>
      <c r="X854" s="282">
        <v>6</v>
      </c>
      <c r="Y854" s="293">
        <f t="shared" si="39"/>
        <v>6</v>
      </c>
      <c r="Z854" s="161" t="s">
        <v>85</v>
      </c>
      <c r="AA854" s="342">
        <f>IFERROR(BASE_DATOS[[#This Row],[NSK Original]]-BASE_DATOS[[#This Row],[NSK]]," ")</f>
        <v>-6</v>
      </c>
      <c r="AB854" s="343">
        <f>'NSK-TRACTO'!$A$2</f>
        <v>6</v>
      </c>
      <c r="AC854" s="343">
        <f>IF(BASE_DATOS[[#This Row],[NSK]]&gt;=BASE_DATOS[[#This Row],[NSK Reen]],BASE_DATOS[[#This Row],[NSK Reen]],BASE_DATOS[[#This Row],[NSK]])</f>
        <v>6</v>
      </c>
      <c r="AD854" s="344" t="str">
        <f>IFERROR(100%-(BASE_DATOS[[#This Row],[NSK Reen]]/BASE_DATOS[[#This Row],[NSK Original]]),"")</f>
        <v/>
      </c>
      <c r="AE854" s="344" t="str">
        <f>IFERROR(100%-BASE_DATOS[[#This Row],[NSK]]/BASE_DATOS[[#This Row],[NSK Original]],"")</f>
        <v/>
      </c>
      <c r="AF854" s="344" t="str">
        <f>IFERROR(BASE_DATOS[[#This Row],[% Max Des.]]-BASE_DATOS[[#This Row],[% Des]],"")</f>
        <v/>
      </c>
      <c r="AG854" s="287"/>
      <c r="AH854" s="273"/>
      <c r="AI854" s="363" t="str">
        <f>IF(OR(BASE_DATOS[[#This Row],[Hr.]]="",BASE_DATOS[[#This Row],[Hr. Actual]]=""),"",BASE_DATOS[[#This Row],[Hr. Actual]]-BASE_DATOS[[#This Row],[Hr.]]+BASE_DATOS[[#This Row],[Horas Acumuladas]])</f>
        <v/>
      </c>
      <c r="AJ854" s="364" t="str">
        <f>IFERROR(BASE_DATOS[[#This Row],[Precio US$]]/BASE_DATOS[[#This Row],[Horas Rodadas]],"")</f>
        <v/>
      </c>
      <c r="AK854" s="365" t="str">
        <f>IFERROR(BASE_DATOS[[#This Row],[Horas Rodadas]]/(BASE_DATOS[[#This Row],[NSK Original]]-BASE_DATOS[[#This Row],[NSK]]),"")</f>
        <v/>
      </c>
      <c r="AL85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54" s="366" t="str">
        <f>IFERROR(BASE_DATOS[[#This Row],[Precio US$]]/BASE_DATOS[[#This Row],[Horas Proy.]],"")</f>
        <v/>
      </c>
      <c r="AN854" s="171" t="str">
        <f>IF(OR(BASE_DATOS[[#This Row],[Km.]]="",BASE_DATOS[[#This Row],[Km. Actual]]=""),"",BASE_DATOS[[#This Row],[Km. Actual]]-BASE_DATOS[[#This Row],[Km.]]+BASE_DATOS[[#This Row],[Kilómetros Acumulados]])</f>
        <v/>
      </c>
      <c r="AO854" s="172" t="str">
        <f>IFERROR(BASE_DATOS[[#This Row],[Precio US$]]/BASE_DATOS[[#This Row],[Kilómetros Rodados]],"")</f>
        <v/>
      </c>
      <c r="AP854" s="171" t="str">
        <f>IFERROR(BASE_DATOS[[#This Row],[Kilómetros Rodados]]/(BASE_DATOS[[#This Row],[NSK Original]]-BASE_DATOS[[#This Row],[NSK]]),"")</f>
        <v/>
      </c>
      <c r="AQ854" s="17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54" s="172" t="str">
        <f>IFERROR(BASE_DATOS[[#This Row],[Precio US$]]/BASE_DATOS[[#This Row],[Kilómetros Proy.]],"")</f>
        <v/>
      </c>
      <c r="AS854" s="167" t="s">
        <v>62</v>
      </c>
      <c r="AT854" s="170"/>
      <c r="AU854" s="170" t="s">
        <v>515</v>
      </c>
      <c r="AV854" s="170"/>
      <c r="AW854" s="174"/>
      <c r="AX854" s="180" t="s">
        <v>371</v>
      </c>
      <c r="AY854" s="180" t="str">
        <f>CONCATENATE(BASE_DATOS[[#This Row],[Código_U]]&amp;BASE_DATOS[[#This Row],[Pos.]]&amp;BASE_DATOS[[#This Row],[Situación Actual]])</f>
        <v>PT-15RTRodando</v>
      </c>
    </row>
    <row r="855" spans="1:51" ht="12" x14ac:dyDescent="0.25">
      <c r="A855" s="222" t="s">
        <v>450</v>
      </c>
      <c r="B855" s="213" t="s">
        <v>449</v>
      </c>
      <c r="C855" s="225" t="s">
        <v>460</v>
      </c>
      <c r="D855" s="226" t="s">
        <v>87</v>
      </c>
      <c r="E855" s="249"/>
      <c r="F855" s="250" t="s">
        <v>97</v>
      </c>
      <c r="G855" s="250" t="s">
        <v>269</v>
      </c>
      <c r="H855" s="251" t="str">
        <f>IF(BASE_DATOS[[#This Row],[N-R]]="N",BASE_DATOS[[#This Row],[Diseño]],"Reencauche")</f>
        <v>AGC28</v>
      </c>
      <c r="I855" s="250" t="s">
        <v>270</v>
      </c>
      <c r="J855" s="235" t="s">
        <v>72</v>
      </c>
      <c r="K855" s="252">
        <v>16.5</v>
      </c>
      <c r="L855" s="250">
        <v>110</v>
      </c>
      <c r="M855" s="253"/>
      <c r="N855" s="254"/>
      <c r="O855" s="274"/>
      <c r="P855" s="275"/>
      <c r="Q855" s="276"/>
      <c r="R855" s="305" t="s">
        <v>98</v>
      </c>
      <c r="S855" s="306">
        <v>45385</v>
      </c>
      <c r="T855" s="314"/>
      <c r="U855" s="276"/>
      <c r="V855" s="224">
        <v>16</v>
      </c>
      <c r="W855" s="325">
        <v>16</v>
      </c>
      <c r="X855" s="326">
        <v>16</v>
      </c>
      <c r="Y855" s="292">
        <f t="shared" ref="Y855:Y861" si="40">IFERROR(MIN(V855:X855),"")</f>
        <v>16</v>
      </c>
      <c r="Z855" s="185" t="s">
        <v>85</v>
      </c>
      <c r="AA855" s="339">
        <f>IFERROR(BASE_DATOS[[#This Row],[NSK Original]]-BASE_DATOS[[#This Row],[NSK]]," ")</f>
        <v>0.5</v>
      </c>
      <c r="AB855" s="340">
        <f>'NSK-TRACTO'!$A$2</f>
        <v>6</v>
      </c>
      <c r="AC855" s="340">
        <f>IF(BASE_DATOS[[#This Row],[NSK]]&gt;=BASE_DATOS[[#This Row],[NSK Reen]],BASE_DATOS[[#This Row],[NSK Reen]],BASE_DATOS[[#This Row],[NSK]])</f>
        <v>6</v>
      </c>
      <c r="AD855" s="341">
        <f>IFERROR(100%-(BASE_DATOS[[#This Row],[NSK Reen]]/BASE_DATOS[[#This Row],[NSK Original]]),"")</f>
        <v>0.63636363636363635</v>
      </c>
      <c r="AE855" s="341">
        <f>IFERROR(100%-BASE_DATOS[[#This Row],[NSK]]/BASE_DATOS[[#This Row],[NSK Original]],"")</f>
        <v>3.0303030303030276E-2</v>
      </c>
      <c r="AF855" s="341">
        <f>IFERROR(BASE_DATOS[[#This Row],[% Max Des.]]-BASE_DATOS[[#This Row],[% Des]],"")</f>
        <v>0.60606060606060608</v>
      </c>
      <c r="AG855" s="284"/>
      <c r="AH855" s="335"/>
      <c r="AI855" s="359" t="str">
        <f>IF(OR(BASE_DATOS[[#This Row],[Hr.]]="",BASE_DATOS[[#This Row],[Hr. Actual]]=""),"",BASE_DATOS[[#This Row],[Hr. Actual]]-BASE_DATOS[[#This Row],[Hr.]]+BASE_DATOS[[#This Row],[Horas Acumuladas]])</f>
        <v/>
      </c>
      <c r="AJ855" s="360" t="str">
        <f>IFERROR(BASE_DATOS[[#This Row],[Precio US$]]/BASE_DATOS[[#This Row],[Horas Rodadas]],"")</f>
        <v/>
      </c>
      <c r="AK855" s="361" t="str">
        <f>IFERROR(BASE_DATOS[[#This Row],[Horas Rodadas]]/(BASE_DATOS[[#This Row],[NSK Original]]-BASE_DATOS[[#This Row],[NSK]]),"")</f>
        <v/>
      </c>
      <c r="AL855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55" s="362" t="str">
        <f>IFERROR(BASE_DATOS[[#This Row],[Precio US$]]/BASE_DATOS[[#This Row],[Horas Proy.]],"")</f>
        <v/>
      </c>
      <c r="AN855" s="199" t="str">
        <f>IF(OR(BASE_DATOS[[#This Row],[Km.]]="",BASE_DATOS[[#This Row],[Km. Actual]]=""),"",BASE_DATOS[[#This Row],[Km. Actual]]-BASE_DATOS[[#This Row],[Km.]]+BASE_DATOS[[#This Row],[Kilómetros Acumulados]])</f>
        <v/>
      </c>
      <c r="AO855" s="200" t="str">
        <f>IFERROR(BASE_DATOS[[#This Row],[Precio US$]]/BASE_DATOS[[#This Row],[Kilómetros Rodados]],"")</f>
        <v/>
      </c>
      <c r="AP855" s="199" t="str">
        <f>IFERROR(BASE_DATOS[[#This Row],[Kilómetros Rodados]]/(BASE_DATOS[[#This Row],[NSK Original]]-BASE_DATOS[[#This Row],[NSK]]),"")</f>
        <v/>
      </c>
      <c r="AQ855" s="19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55" s="200" t="str">
        <f>IFERROR(BASE_DATOS[[#This Row],[Precio US$]]/BASE_DATOS[[#This Row],[Kilómetros Proy.]],"")</f>
        <v/>
      </c>
      <c r="AS855" s="201" t="s">
        <v>62</v>
      </c>
      <c r="AT855" s="201"/>
      <c r="AU855" s="201"/>
      <c r="AV855" s="201"/>
      <c r="AW855" s="203"/>
      <c r="AX855" s="203"/>
      <c r="AY855" s="203" t="str">
        <f>CONCATENATE(BASE_DATOS[[#This Row],[Código_U]]&amp;BASE_DATOS[[#This Row],[Pos.]]&amp;BASE_DATOS[[#This Row],[Situación Actual]])</f>
        <v>PT-131Rodando</v>
      </c>
    </row>
    <row r="856" spans="1:51" ht="12" x14ac:dyDescent="0.25">
      <c r="A856" s="223" t="s">
        <v>450</v>
      </c>
      <c r="B856" s="217" t="s">
        <v>449</v>
      </c>
      <c r="C856" s="228" t="s">
        <v>460</v>
      </c>
      <c r="D856" s="229" t="s">
        <v>87</v>
      </c>
      <c r="E856" s="255"/>
      <c r="F856" s="256" t="s">
        <v>97</v>
      </c>
      <c r="G856" s="256" t="s">
        <v>269</v>
      </c>
      <c r="H856" s="257" t="str">
        <f>IF(BASE_DATOS[[#This Row],[N-R]]="N",BASE_DATOS[[#This Row],[Diseño]],"Reencauche")</f>
        <v>AGC28</v>
      </c>
      <c r="I856" s="256" t="s">
        <v>270</v>
      </c>
      <c r="J856" s="243" t="s">
        <v>72</v>
      </c>
      <c r="K856" s="258">
        <v>16.5</v>
      </c>
      <c r="L856" s="256">
        <v>110</v>
      </c>
      <c r="M856" s="259"/>
      <c r="N856" s="260"/>
      <c r="O856" s="277"/>
      <c r="P856" s="278"/>
      <c r="Q856" s="279"/>
      <c r="R856" s="309" t="s">
        <v>99</v>
      </c>
      <c r="S856" s="310">
        <v>45385</v>
      </c>
      <c r="T856" s="313"/>
      <c r="U856" s="279"/>
      <c r="V856" s="227">
        <v>16</v>
      </c>
      <c r="W856" s="281">
        <v>16</v>
      </c>
      <c r="X856" s="282">
        <v>16</v>
      </c>
      <c r="Y856" s="293">
        <f t="shared" si="40"/>
        <v>16</v>
      </c>
      <c r="Z856" s="161" t="s">
        <v>73</v>
      </c>
      <c r="AA856" s="342">
        <f>IFERROR(BASE_DATOS[[#This Row],[NSK Original]]-BASE_DATOS[[#This Row],[NSK]]," ")</f>
        <v>0.5</v>
      </c>
      <c r="AB856" s="343">
        <f>'NSK-TRACTO'!$A$2</f>
        <v>6</v>
      </c>
      <c r="AC856" s="343">
        <f>IF(BASE_DATOS[[#This Row],[NSK]]&gt;=BASE_DATOS[[#This Row],[NSK Reen]],BASE_DATOS[[#This Row],[NSK Reen]],BASE_DATOS[[#This Row],[NSK]])</f>
        <v>6</v>
      </c>
      <c r="AD856" s="344">
        <f>IFERROR(100%-(BASE_DATOS[[#This Row],[NSK Reen]]/BASE_DATOS[[#This Row],[NSK Original]]),"")</f>
        <v>0.63636363636363635</v>
      </c>
      <c r="AE856" s="344">
        <f>IFERROR(100%-BASE_DATOS[[#This Row],[NSK]]/BASE_DATOS[[#This Row],[NSK Original]],"")</f>
        <v>3.0303030303030276E-2</v>
      </c>
      <c r="AF856" s="344">
        <f>IFERROR(BASE_DATOS[[#This Row],[% Max Des.]]-BASE_DATOS[[#This Row],[% Des]],"")</f>
        <v>0.60606060606060608</v>
      </c>
      <c r="AG856" s="287"/>
      <c r="AH856" s="273"/>
      <c r="AI856" s="363" t="str">
        <f>IF(OR(BASE_DATOS[[#This Row],[Hr.]]="",BASE_DATOS[[#This Row],[Hr. Actual]]=""),"",BASE_DATOS[[#This Row],[Hr. Actual]]-BASE_DATOS[[#This Row],[Hr.]]+BASE_DATOS[[#This Row],[Horas Acumuladas]])</f>
        <v/>
      </c>
      <c r="AJ856" s="364" t="str">
        <f>IFERROR(BASE_DATOS[[#This Row],[Precio US$]]/BASE_DATOS[[#This Row],[Horas Rodadas]],"")</f>
        <v/>
      </c>
      <c r="AK856" s="365" t="str">
        <f>IFERROR(BASE_DATOS[[#This Row],[Horas Rodadas]]/(BASE_DATOS[[#This Row],[NSK Original]]-BASE_DATOS[[#This Row],[NSK]]),"")</f>
        <v/>
      </c>
      <c r="AL85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56" s="366" t="str">
        <f>IFERROR(BASE_DATOS[[#This Row],[Precio US$]]/BASE_DATOS[[#This Row],[Horas Proy.]],"")</f>
        <v/>
      </c>
      <c r="AN856" s="176" t="str">
        <f>IF(OR(BASE_DATOS[[#This Row],[Km.]]="",BASE_DATOS[[#This Row],[Km. Actual]]=""),"",BASE_DATOS[[#This Row],[Km. Actual]]-BASE_DATOS[[#This Row],[Km.]]+BASE_DATOS[[#This Row],[Kilómetros Acumulados]])</f>
        <v/>
      </c>
      <c r="AO856" s="177" t="str">
        <f>IFERROR(BASE_DATOS[[#This Row],[Precio US$]]/BASE_DATOS[[#This Row],[Kilómetros Rodados]],"")</f>
        <v/>
      </c>
      <c r="AP856" s="176" t="str">
        <f>IFERROR(BASE_DATOS[[#This Row],[Kilómetros Rodados]]/(BASE_DATOS[[#This Row],[NSK Original]]-BASE_DATOS[[#This Row],[NSK]]),"")</f>
        <v/>
      </c>
      <c r="AQ85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56" s="177" t="str">
        <f>IFERROR(BASE_DATOS[[#This Row],[Precio US$]]/BASE_DATOS[[#This Row],[Kilómetros Proy.]],"")</f>
        <v/>
      </c>
      <c r="AS856" s="167" t="s">
        <v>62</v>
      </c>
      <c r="AT856" s="167"/>
      <c r="AU856" s="167"/>
      <c r="AV856" s="167"/>
      <c r="AW856" s="179"/>
      <c r="AX856" s="179"/>
      <c r="AY856" s="179" t="str">
        <f>CONCATENATE(BASE_DATOS[[#This Row],[Código_U]]&amp;BASE_DATOS[[#This Row],[Pos.]]&amp;BASE_DATOS[[#This Row],[Situación Actual]])</f>
        <v>PT-132Rodando</v>
      </c>
    </row>
    <row r="857" spans="1:51" ht="12" x14ac:dyDescent="0.25">
      <c r="A857" s="223" t="s">
        <v>450</v>
      </c>
      <c r="B857" s="217" t="s">
        <v>449</v>
      </c>
      <c r="C857" s="228" t="s">
        <v>460</v>
      </c>
      <c r="D857" s="229" t="s">
        <v>87</v>
      </c>
      <c r="E857" s="255"/>
      <c r="F857" s="256" t="s">
        <v>97</v>
      </c>
      <c r="G857" s="256" t="s">
        <v>269</v>
      </c>
      <c r="H857" s="257" t="str">
        <f>IF(BASE_DATOS[[#This Row],[N-R]]="N",BASE_DATOS[[#This Row],[Diseño]],"Reencauche")</f>
        <v>AGC28</v>
      </c>
      <c r="I857" s="256" t="s">
        <v>270</v>
      </c>
      <c r="J857" s="243" t="s">
        <v>72</v>
      </c>
      <c r="K857" s="258">
        <v>16.5</v>
      </c>
      <c r="L857" s="256">
        <v>110</v>
      </c>
      <c r="M857" s="259"/>
      <c r="N857" s="260"/>
      <c r="O857" s="277"/>
      <c r="P857" s="278"/>
      <c r="Q857" s="279"/>
      <c r="R857" s="309" t="s">
        <v>100</v>
      </c>
      <c r="S857" s="310">
        <v>45385</v>
      </c>
      <c r="T857" s="313"/>
      <c r="U857" s="279"/>
      <c r="V857" s="227">
        <v>16</v>
      </c>
      <c r="W857" s="281">
        <v>16</v>
      </c>
      <c r="X857" s="282">
        <v>16</v>
      </c>
      <c r="Y857" s="293">
        <f t="shared" si="40"/>
        <v>16</v>
      </c>
      <c r="Z857" s="161" t="s">
        <v>85</v>
      </c>
      <c r="AA857" s="342">
        <f>IFERROR(BASE_DATOS[[#This Row],[NSK Original]]-BASE_DATOS[[#This Row],[NSK]]," ")</f>
        <v>0.5</v>
      </c>
      <c r="AB857" s="343">
        <f>'NSK-TRACTO'!$A$2</f>
        <v>6</v>
      </c>
      <c r="AC857" s="343">
        <f>IF(BASE_DATOS[[#This Row],[NSK]]&gt;=BASE_DATOS[[#This Row],[NSK Reen]],BASE_DATOS[[#This Row],[NSK Reen]],BASE_DATOS[[#This Row],[NSK]])</f>
        <v>6</v>
      </c>
      <c r="AD857" s="344">
        <f>IFERROR(100%-(BASE_DATOS[[#This Row],[NSK Reen]]/BASE_DATOS[[#This Row],[NSK Original]]),"")</f>
        <v>0.63636363636363635</v>
      </c>
      <c r="AE857" s="344">
        <f>IFERROR(100%-BASE_DATOS[[#This Row],[NSK]]/BASE_DATOS[[#This Row],[NSK Original]],"")</f>
        <v>3.0303030303030276E-2</v>
      </c>
      <c r="AF857" s="344">
        <f>IFERROR(BASE_DATOS[[#This Row],[% Max Des.]]-BASE_DATOS[[#This Row],[% Des]],"")</f>
        <v>0.60606060606060608</v>
      </c>
      <c r="AG857" s="287"/>
      <c r="AH857" s="273"/>
      <c r="AI857" s="363" t="str">
        <f>IF(OR(BASE_DATOS[[#This Row],[Hr.]]="",BASE_DATOS[[#This Row],[Hr. Actual]]=""),"",BASE_DATOS[[#This Row],[Hr. Actual]]-BASE_DATOS[[#This Row],[Hr.]]+BASE_DATOS[[#This Row],[Horas Acumuladas]])</f>
        <v/>
      </c>
      <c r="AJ857" s="364" t="str">
        <f>IFERROR(BASE_DATOS[[#This Row],[Precio US$]]/BASE_DATOS[[#This Row],[Horas Rodadas]],"")</f>
        <v/>
      </c>
      <c r="AK857" s="365" t="str">
        <f>IFERROR(BASE_DATOS[[#This Row],[Horas Rodadas]]/(BASE_DATOS[[#This Row],[NSK Original]]-BASE_DATOS[[#This Row],[NSK]]),"")</f>
        <v/>
      </c>
      <c r="AL85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57" s="366" t="str">
        <f>IFERROR(BASE_DATOS[[#This Row],[Precio US$]]/BASE_DATOS[[#This Row],[Horas Proy.]],"")</f>
        <v/>
      </c>
      <c r="AN857" s="176" t="str">
        <f>IF(OR(BASE_DATOS[[#This Row],[Km.]]="",BASE_DATOS[[#This Row],[Km. Actual]]=""),"",BASE_DATOS[[#This Row],[Km. Actual]]-BASE_DATOS[[#This Row],[Km.]]+BASE_DATOS[[#This Row],[Kilómetros Acumulados]])</f>
        <v/>
      </c>
      <c r="AO857" s="177" t="str">
        <f>IFERROR(BASE_DATOS[[#This Row],[Precio US$]]/BASE_DATOS[[#This Row],[Kilómetros Rodados]],"")</f>
        <v/>
      </c>
      <c r="AP857" s="176" t="str">
        <f>IFERROR(BASE_DATOS[[#This Row],[Kilómetros Rodados]]/(BASE_DATOS[[#This Row],[NSK Original]]-BASE_DATOS[[#This Row],[NSK]]),"")</f>
        <v/>
      </c>
      <c r="AQ85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57" s="177" t="str">
        <f>IFERROR(BASE_DATOS[[#This Row],[Precio US$]]/BASE_DATOS[[#This Row],[Kilómetros Proy.]],"")</f>
        <v/>
      </c>
      <c r="AS857" s="167" t="s">
        <v>62</v>
      </c>
      <c r="AT857" s="167"/>
      <c r="AU857" s="167"/>
      <c r="AV857" s="167"/>
      <c r="AW857" s="179"/>
      <c r="AX857" s="179"/>
      <c r="AY857" s="179" t="str">
        <f>CONCATENATE(BASE_DATOS[[#This Row],[Código_U]]&amp;BASE_DATOS[[#This Row],[Pos.]]&amp;BASE_DATOS[[#This Row],[Situación Actual]])</f>
        <v>PT-133Rodando</v>
      </c>
    </row>
    <row r="858" spans="1:51" ht="12" x14ac:dyDescent="0.25">
      <c r="A858" s="223" t="s">
        <v>450</v>
      </c>
      <c r="B858" s="217" t="s">
        <v>449</v>
      </c>
      <c r="C858" s="228" t="s">
        <v>460</v>
      </c>
      <c r="D858" s="229" t="s">
        <v>87</v>
      </c>
      <c r="E858" s="255"/>
      <c r="F858" s="256" t="s">
        <v>97</v>
      </c>
      <c r="G858" s="256" t="s">
        <v>269</v>
      </c>
      <c r="H858" s="257" t="str">
        <f>IF(BASE_DATOS[[#This Row],[N-R]]="N",BASE_DATOS[[#This Row],[Diseño]],"Reencauche")</f>
        <v>AGC28</v>
      </c>
      <c r="I858" s="256" t="s">
        <v>270</v>
      </c>
      <c r="J858" s="243" t="s">
        <v>72</v>
      </c>
      <c r="K858" s="258">
        <v>16.5</v>
      </c>
      <c r="L858" s="256">
        <v>110</v>
      </c>
      <c r="M858" s="259"/>
      <c r="N858" s="260"/>
      <c r="O858" s="277"/>
      <c r="P858" s="278"/>
      <c r="Q858" s="279"/>
      <c r="R858" s="309" t="s">
        <v>101</v>
      </c>
      <c r="S858" s="310">
        <v>45385</v>
      </c>
      <c r="T858" s="313"/>
      <c r="U858" s="279"/>
      <c r="V858" s="227">
        <v>16</v>
      </c>
      <c r="W858" s="281">
        <v>16</v>
      </c>
      <c r="X858" s="282">
        <v>16</v>
      </c>
      <c r="Y858" s="293">
        <f t="shared" si="40"/>
        <v>16</v>
      </c>
      <c r="Z858" s="161" t="s">
        <v>73</v>
      </c>
      <c r="AA858" s="342">
        <f>IFERROR(BASE_DATOS[[#This Row],[NSK Original]]-BASE_DATOS[[#This Row],[NSK]]," ")</f>
        <v>0.5</v>
      </c>
      <c r="AB858" s="343">
        <f>'NSK-TRACTO'!$A$2</f>
        <v>6</v>
      </c>
      <c r="AC858" s="343">
        <f>IF(BASE_DATOS[[#This Row],[NSK]]&gt;=BASE_DATOS[[#This Row],[NSK Reen]],BASE_DATOS[[#This Row],[NSK Reen]],BASE_DATOS[[#This Row],[NSK]])</f>
        <v>6</v>
      </c>
      <c r="AD858" s="344">
        <f>IFERROR(100%-(BASE_DATOS[[#This Row],[NSK Reen]]/BASE_DATOS[[#This Row],[NSK Original]]),"")</f>
        <v>0.63636363636363635</v>
      </c>
      <c r="AE858" s="344">
        <f>IFERROR(100%-BASE_DATOS[[#This Row],[NSK]]/BASE_DATOS[[#This Row],[NSK Original]],"")</f>
        <v>3.0303030303030276E-2</v>
      </c>
      <c r="AF858" s="344">
        <f>IFERROR(BASE_DATOS[[#This Row],[% Max Des.]]-BASE_DATOS[[#This Row],[% Des]],"")</f>
        <v>0.60606060606060608</v>
      </c>
      <c r="AG858" s="287"/>
      <c r="AH858" s="273"/>
      <c r="AI858" s="363" t="str">
        <f>IF(OR(BASE_DATOS[[#This Row],[Hr.]]="",BASE_DATOS[[#This Row],[Hr. Actual]]=""),"",BASE_DATOS[[#This Row],[Hr. Actual]]-BASE_DATOS[[#This Row],[Hr.]]+BASE_DATOS[[#This Row],[Horas Acumuladas]])</f>
        <v/>
      </c>
      <c r="AJ858" s="364" t="str">
        <f>IFERROR(BASE_DATOS[[#This Row],[Precio US$]]/BASE_DATOS[[#This Row],[Horas Rodadas]],"")</f>
        <v/>
      </c>
      <c r="AK858" s="365" t="str">
        <f>IFERROR(BASE_DATOS[[#This Row],[Horas Rodadas]]/(BASE_DATOS[[#This Row],[NSK Original]]-BASE_DATOS[[#This Row],[NSK]]),"")</f>
        <v/>
      </c>
      <c r="AL85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58" s="366" t="str">
        <f>IFERROR(BASE_DATOS[[#This Row],[Precio US$]]/BASE_DATOS[[#This Row],[Horas Proy.]],"")</f>
        <v/>
      </c>
      <c r="AN858" s="176" t="str">
        <f>IF(OR(BASE_DATOS[[#This Row],[Km.]]="",BASE_DATOS[[#This Row],[Km. Actual]]=""),"",BASE_DATOS[[#This Row],[Km. Actual]]-BASE_DATOS[[#This Row],[Km.]]+BASE_DATOS[[#This Row],[Kilómetros Acumulados]])</f>
        <v/>
      </c>
      <c r="AO858" s="177" t="str">
        <f>IFERROR(BASE_DATOS[[#This Row],[Precio US$]]/BASE_DATOS[[#This Row],[Kilómetros Rodados]],"")</f>
        <v/>
      </c>
      <c r="AP858" s="176" t="str">
        <f>IFERROR(BASE_DATOS[[#This Row],[Kilómetros Rodados]]/(BASE_DATOS[[#This Row],[NSK Original]]-BASE_DATOS[[#This Row],[NSK]]),"")</f>
        <v/>
      </c>
      <c r="AQ85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58" s="177" t="str">
        <f>IFERROR(BASE_DATOS[[#This Row],[Precio US$]]/BASE_DATOS[[#This Row],[Kilómetros Proy.]],"")</f>
        <v/>
      </c>
      <c r="AS858" s="167" t="s">
        <v>62</v>
      </c>
      <c r="AT858" s="167"/>
      <c r="AU858" s="167"/>
      <c r="AV858" s="167"/>
      <c r="AW858" s="179"/>
      <c r="AX858" s="179"/>
      <c r="AY858" s="179" t="str">
        <f>CONCATENATE(BASE_DATOS[[#This Row],[Código_U]]&amp;BASE_DATOS[[#This Row],[Pos.]]&amp;BASE_DATOS[[#This Row],[Situación Actual]])</f>
        <v>PT-134Rodando</v>
      </c>
    </row>
    <row r="859" spans="1:51" ht="12" x14ac:dyDescent="0.25">
      <c r="A859" s="223" t="s">
        <v>450</v>
      </c>
      <c r="B859" s="217" t="s">
        <v>449</v>
      </c>
      <c r="C859" s="228" t="s">
        <v>460</v>
      </c>
      <c r="D859" s="229" t="s">
        <v>87</v>
      </c>
      <c r="E859" s="255"/>
      <c r="F859" s="256" t="s">
        <v>97</v>
      </c>
      <c r="G859" s="256" t="s">
        <v>269</v>
      </c>
      <c r="H859" s="257" t="str">
        <f>IF(BASE_DATOS[[#This Row],[N-R]]="N",BASE_DATOS[[#This Row],[Diseño]],"Reencauche")</f>
        <v>AGC28</v>
      </c>
      <c r="I859" s="256" t="s">
        <v>270</v>
      </c>
      <c r="J859" s="243" t="s">
        <v>72</v>
      </c>
      <c r="K859" s="258">
        <v>16.5</v>
      </c>
      <c r="L859" s="256">
        <v>110</v>
      </c>
      <c r="M859" s="259"/>
      <c r="N859" s="260"/>
      <c r="O859" s="277"/>
      <c r="P859" s="278"/>
      <c r="Q859" s="279"/>
      <c r="R859" s="309" t="s">
        <v>102</v>
      </c>
      <c r="S859" s="310">
        <v>45385</v>
      </c>
      <c r="T859" s="313"/>
      <c r="U859" s="279"/>
      <c r="V859" s="227">
        <v>16</v>
      </c>
      <c r="W859" s="281">
        <v>16</v>
      </c>
      <c r="X859" s="282">
        <v>16</v>
      </c>
      <c r="Y859" s="293">
        <f t="shared" si="40"/>
        <v>16</v>
      </c>
      <c r="Z859" s="161" t="s">
        <v>85</v>
      </c>
      <c r="AA859" s="342">
        <f>IFERROR(BASE_DATOS[[#This Row],[NSK Original]]-BASE_DATOS[[#This Row],[NSK]]," ")</f>
        <v>0.5</v>
      </c>
      <c r="AB859" s="343">
        <f>'NSK-TRACTO'!$A$2</f>
        <v>6</v>
      </c>
      <c r="AC859" s="343">
        <f>IF(BASE_DATOS[[#This Row],[NSK]]&gt;=BASE_DATOS[[#This Row],[NSK Reen]],BASE_DATOS[[#This Row],[NSK Reen]],BASE_DATOS[[#This Row],[NSK]])</f>
        <v>6</v>
      </c>
      <c r="AD859" s="344">
        <f>IFERROR(100%-(BASE_DATOS[[#This Row],[NSK Reen]]/BASE_DATOS[[#This Row],[NSK Original]]),"")</f>
        <v>0.63636363636363635</v>
      </c>
      <c r="AE859" s="344">
        <f>IFERROR(100%-BASE_DATOS[[#This Row],[NSK]]/BASE_DATOS[[#This Row],[NSK Original]],"")</f>
        <v>3.0303030303030276E-2</v>
      </c>
      <c r="AF859" s="344">
        <f>IFERROR(BASE_DATOS[[#This Row],[% Max Des.]]-BASE_DATOS[[#This Row],[% Des]],"")</f>
        <v>0.60606060606060608</v>
      </c>
      <c r="AG859" s="287"/>
      <c r="AH859" s="273"/>
      <c r="AI859" s="363" t="str">
        <f>IF(OR(BASE_DATOS[[#This Row],[Hr.]]="",BASE_DATOS[[#This Row],[Hr. Actual]]=""),"",BASE_DATOS[[#This Row],[Hr. Actual]]-BASE_DATOS[[#This Row],[Hr.]]+BASE_DATOS[[#This Row],[Horas Acumuladas]])</f>
        <v/>
      </c>
      <c r="AJ859" s="364" t="str">
        <f>IFERROR(BASE_DATOS[[#This Row],[Precio US$]]/BASE_DATOS[[#This Row],[Horas Rodadas]],"")</f>
        <v/>
      </c>
      <c r="AK859" s="365" t="str">
        <f>IFERROR(BASE_DATOS[[#This Row],[Horas Rodadas]]/(BASE_DATOS[[#This Row],[NSK Original]]-BASE_DATOS[[#This Row],[NSK]]),"")</f>
        <v/>
      </c>
      <c r="AL85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59" s="366" t="str">
        <f>IFERROR(BASE_DATOS[[#This Row],[Precio US$]]/BASE_DATOS[[#This Row],[Horas Proy.]],"")</f>
        <v/>
      </c>
      <c r="AN859" s="176" t="str">
        <f>IF(OR(BASE_DATOS[[#This Row],[Km.]]="",BASE_DATOS[[#This Row],[Km. Actual]]=""),"",BASE_DATOS[[#This Row],[Km. Actual]]-BASE_DATOS[[#This Row],[Km.]]+BASE_DATOS[[#This Row],[Kilómetros Acumulados]])</f>
        <v/>
      </c>
      <c r="AO859" s="177" t="str">
        <f>IFERROR(BASE_DATOS[[#This Row],[Precio US$]]/BASE_DATOS[[#This Row],[Kilómetros Rodados]],"")</f>
        <v/>
      </c>
      <c r="AP859" s="176" t="str">
        <f>IFERROR(BASE_DATOS[[#This Row],[Kilómetros Rodados]]/(BASE_DATOS[[#This Row],[NSK Original]]-BASE_DATOS[[#This Row],[NSK]]),"")</f>
        <v/>
      </c>
      <c r="AQ85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59" s="177" t="str">
        <f>IFERROR(BASE_DATOS[[#This Row],[Precio US$]]/BASE_DATOS[[#This Row],[Kilómetros Proy.]],"")</f>
        <v/>
      </c>
      <c r="AS859" s="167" t="s">
        <v>62</v>
      </c>
      <c r="AT859" s="167"/>
      <c r="AU859" s="167"/>
      <c r="AV859" s="167"/>
      <c r="AW859" s="179"/>
      <c r="AX859" s="179"/>
      <c r="AY859" s="179" t="str">
        <f>CONCATENATE(BASE_DATOS[[#This Row],[Código_U]]&amp;BASE_DATOS[[#This Row],[Pos.]]&amp;BASE_DATOS[[#This Row],[Situación Actual]])</f>
        <v>PT-135Rodando</v>
      </c>
    </row>
    <row r="860" spans="1:51" ht="12" x14ac:dyDescent="0.25">
      <c r="A860" s="223" t="s">
        <v>450</v>
      </c>
      <c r="B860" s="217" t="s">
        <v>449</v>
      </c>
      <c r="C860" s="228" t="s">
        <v>460</v>
      </c>
      <c r="D860" s="229" t="s">
        <v>87</v>
      </c>
      <c r="E860" s="255"/>
      <c r="F860" s="256" t="s">
        <v>97</v>
      </c>
      <c r="G860" s="256" t="s">
        <v>269</v>
      </c>
      <c r="H860" s="257" t="str">
        <f>IF(BASE_DATOS[[#This Row],[N-R]]="N",BASE_DATOS[[#This Row],[Diseño]],"Reencauche")</f>
        <v>AGC28</v>
      </c>
      <c r="I860" s="256" t="s">
        <v>270</v>
      </c>
      <c r="J860" s="243" t="s">
        <v>72</v>
      </c>
      <c r="K860" s="258">
        <v>16.5</v>
      </c>
      <c r="L860" s="256">
        <v>110</v>
      </c>
      <c r="M860" s="259"/>
      <c r="N860" s="260"/>
      <c r="O860" s="277"/>
      <c r="P860" s="278"/>
      <c r="Q860" s="279"/>
      <c r="R860" s="309" t="s">
        <v>103</v>
      </c>
      <c r="S860" s="310">
        <v>45385</v>
      </c>
      <c r="T860" s="313"/>
      <c r="U860" s="279"/>
      <c r="V860" s="227">
        <v>16</v>
      </c>
      <c r="W860" s="281">
        <v>16</v>
      </c>
      <c r="X860" s="282">
        <v>16</v>
      </c>
      <c r="Y860" s="293">
        <f t="shared" si="40"/>
        <v>16</v>
      </c>
      <c r="Z860" s="161" t="s">
        <v>85</v>
      </c>
      <c r="AA860" s="342">
        <f>IFERROR(BASE_DATOS[[#This Row],[NSK Original]]-BASE_DATOS[[#This Row],[NSK]]," ")</f>
        <v>0.5</v>
      </c>
      <c r="AB860" s="343">
        <f>'NSK-TRACTO'!$A$2</f>
        <v>6</v>
      </c>
      <c r="AC860" s="343">
        <f>IF(BASE_DATOS[[#This Row],[NSK]]&gt;=BASE_DATOS[[#This Row],[NSK Reen]],BASE_DATOS[[#This Row],[NSK Reen]],BASE_DATOS[[#This Row],[NSK]])</f>
        <v>6</v>
      </c>
      <c r="AD860" s="344">
        <f>IFERROR(100%-(BASE_DATOS[[#This Row],[NSK Reen]]/BASE_DATOS[[#This Row],[NSK Original]]),"")</f>
        <v>0.63636363636363635</v>
      </c>
      <c r="AE860" s="344">
        <f>IFERROR(100%-BASE_DATOS[[#This Row],[NSK]]/BASE_DATOS[[#This Row],[NSK Original]],"")</f>
        <v>3.0303030303030276E-2</v>
      </c>
      <c r="AF860" s="344">
        <f>IFERROR(BASE_DATOS[[#This Row],[% Max Des.]]-BASE_DATOS[[#This Row],[% Des]],"")</f>
        <v>0.60606060606060608</v>
      </c>
      <c r="AG860" s="287"/>
      <c r="AH860" s="273"/>
      <c r="AI860" s="363" t="str">
        <f>IF(OR(BASE_DATOS[[#This Row],[Hr.]]="",BASE_DATOS[[#This Row],[Hr. Actual]]=""),"",BASE_DATOS[[#This Row],[Hr. Actual]]-BASE_DATOS[[#This Row],[Hr.]]+BASE_DATOS[[#This Row],[Horas Acumuladas]])</f>
        <v/>
      </c>
      <c r="AJ860" s="364" t="str">
        <f>IFERROR(BASE_DATOS[[#This Row],[Precio US$]]/BASE_DATOS[[#This Row],[Horas Rodadas]],"")</f>
        <v/>
      </c>
      <c r="AK860" s="365" t="str">
        <f>IFERROR(BASE_DATOS[[#This Row],[Horas Rodadas]]/(BASE_DATOS[[#This Row],[NSK Original]]-BASE_DATOS[[#This Row],[NSK]]),"")</f>
        <v/>
      </c>
      <c r="AL86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60" s="366" t="str">
        <f>IFERROR(BASE_DATOS[[#This Row],[Precio US$]]/BASE_DATOS[[#This Row],[Horas Proy.]],"")</f>
        <v/>
      </c>
      <c r="AN860" s="176" t="str">
        <f>IF(OR(BASE_DATOS[[#This Row],[Km.]]="",BASE_DATOS[[#This Row],[Km. Actual]]=""),"",BASE_DATOS[[#This Row],[Km. Actual]]-BASE_DATOS[[#This Row],[Km.]]+BASE_DATOS[[#This Row],[Kilómetros Acumulados]])</f>
        <v/>
      </c>
      <c r="AO860" s="177" t="str">
        <f>IFERROR(BASE_DATOS[[#This Row],[Precio US$]]/BASE_DATOS[[#This Row],[Kilómetros Rodados]],"")</f>
        <v/>
      </c>
      <c r="AP860" s="176" t="str">
        <f>IFERROR(BASE_DATOS[[#This Row],[Kilómetros Rodados]]/(BASE_DATOS[[#This Row],[NSK Original]]-BASE_DATOS[[#This Row],[NSK]]),"")</f>
        <v/>
      </c>
      <c r="AQ86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60" s="177" t="str">
        <f>IFERROR(BASE_DATOS[[#This Row],[Precio US$]]/BASE_DATOS[[#This Row],[Kilómetros Proy.]],"")</f>
        <v/>
      </c>
      <c r="AS860" s="167" t="s">
        <v>62</v>
      </c>
      <c r="AT860" s="167"/>
      <c r="AU860" s="167"/>
      <c r="AV860" s="167"/>
      <c r="AW860" s="179"/>
      <c r="AX860" s="179"/>
      <c r="AY860" s="179" t="str">
        <f>CONCATENATE(BASE_DATOS[[#This Row],[Código_U]]&amp;BASE_DATOS[[#This Row],[Pos.]]&amp;BASE_DATOS[[#This Row],[Situación Actual]])</f>
        <v>PT-136Rodando</v>
      </c>
    </row>
    <row r="861" spans="1:51" ht="12" x14ac:dyDescent="0.25">
      <c r="A861" s="223" t="s">
        <v>450</v>
      </c>
      <c r="B861" s="217" t="s">
        <v>449</v>
      </c>
      <c r="C861" s="228" t="s">
        <v>460</v>
      </c>
      <c r="D861" s="229" t="s">
        <v>384</v>
      </c>
      <c r="E861" s="255"/>
      <c r="F861" s="256" t="s">
        <v>97</v>
      </c>
      <c r="G861" s="256" t="s">
        <v>269</v>
      </c>
      <c r="H861" s="257" t="str">
        <f>IF(BASE_DATOS[[#This Row],[N-R]]="N",BASE_DATOS[[#This Row],[Diseño]],"Reencauche")</f>
        <v>AGC28</v>
      </c>
      <c r="I861" s="256" t="s">
        <v>270</v>
      </c>
      <c r="J861" s="243" t="s">
        <v>72</v>
      </c>
      <c r="K861" s="258">
        <v>16.5</v>
      </c>
      <c r="L861" s="256">
        <v>110</v>
      </c>
      <c r="M861" s="259"/>
      <c r="N861" s="260"/>
      <c r="O861" s="277"/>
      <c r="P861" s="278"/>
      <c r="Q861" s="279"/>
      <c r="R861" s="309" t="s">
        <v>509</v>
      </c>
      <c r="S861" s="310">
        <v>45385</v>
      </c>
      <c r="T861" s="313"/>
      <c r="U861" s="279"/>
      <c r="V861" s="227">
        <v>16</v>
      </c>
      <c r="W861" s="281">
        <v>16</v>
      </c>
      <c r="X861" s="282">
        <v>16</v>
      </c>
      <c r="Y861" s="293">
        <f t="shared" si="40"/>
        <v>16</v>
      </c>
      <c r="Z861" s="161" t="s">
        <v>73</v>
      </c>
      <c r="AA861" s="342">
        <f>IFERROR(BASE_DATOS[[#This Row],[NSK Original]]-BASE_DATOS[[#This Row],[NSK]]," ")</f>
        <v>0.5</v>
      </c>
      <c r="AB861" s="343">
        <f>'NSK-TRACTO'!$A$2</f>
        <v>6</v>
      </c>
      <c r="AC861" s="343">
        <f>IF(BASE_DATOS[[#This Row],[NSK]]&gt;=BASE_DATOS[[#This Row],[NSK Reen]],BASE_DATOS[[#This Row],[NSK Reen]],BASE_DATOS[[#This Row],[NSK]])</f>
        <v>6</v>
      </c>
      <c r="AD861" s="344">
        <f>IFERROR(100%-(BASE_DATOS[[#This Row],[NSK Reen]]/BASE_DATOS[[#This Row],[NSK Original]]),"")</f>
        <v>0.63636363636363635</v>
      </c>
      <c r="AE861" s="344">
        <f>IFERROR(100%-BASE_DATOS[[#This Row],[NSK]]/BASE_DATOS[[#This Row],[NSK Original]],"")</f>
        <v>3.0303030303030276E-2</v>
      </c>
      <c r="AF861" s="344">
        <f>IFERROR(BASE_DATOS[[#This Row],[% Max Des.]]-BASE_DATOS[[#This Row],[% Des]],"")</f>
        <v>0.60606060606060608</v>
      </c>
      <c r="AG861" s="287"/>
      <c r="AH861" s="273"/>
      <c r="AI861" s="363" t="str">
        <f>IF(OR(BASE_DATOS[[#This Row],[Hr.]]="",BASE_DATOS[[#This Row],[Hr. Actual]]=""),"",BASE_DATOS[[#This Row],[Hr. Actual]]-BASE_DATOS[[#This Row],[Hr.]]+BASE_DATOS[[#This Row],[Horas Acumuladas]])</f>
        <v/>
      </c>
      <c r="AJ861" s="364" t="str">
        <f>IFERROR(BASE_DATOS[[#This Row],[Precio US$]]/BASE_DATOS[[#This Row],[Horas Rodadas]],"")</f>
        <v/>
      </c>
      <c r="AK861" s="365" t="str">
        <f>IFERROR(BASE_DATOS[[#This Row],[Horas Rodadas]]/(BASE_DATOS[[#This Row],[NSK Original]]-BASE_DATOS[[#This Row],[NSK]]),"")</f>
        <v/>
      </c>
      <c r="AL86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61" s="366" t="str">
        <f>IFERROR(BASE_DATOS[[#This Row],[Precio US$]]/BASE_DATOS[[#This Row],[Horas Proy.]],"")</f>
        <v/>
      </c>
      <c r="AN861" s="176" t="str">
        <f>IF(OR(BASE_DATOS[[#This Row],[Km.]]="",BASE_DATOS[[#This Row],[Km. Actual]]=""),"",BASE_DATOS[[#This Row],[Km. Actual]]-BASE_DATOS[[#This Row],[Km.]]+BASE_DATOS[[#This Row],[Kilómetros Acumulados]])</f>
        <v/>
      </c>
      <c r="AO861" s="177" t="str">
        <f>IFERROR(BASE_DATOS[[#This Row],[Precio US$]]/BASE_DATOS[[#This Row],[Kilómetros Rodados]],"")</f>
        <v/>
      </c>
      <c r="AP861" s="176" t="str">
        <f>IFERROR(BASE_DATOS[[#This Row],[Kilómetros Rodados]]/(BASE_DATOS[[#This Row],[NSK Original]]-BASE_DATOS[[#This Row],[NSK]]),"")</f>
        <v/>
      </c>
      <c r="AQ86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61" s="177" t="str">
        <f>IFERROR(BASE_DATOS[[#This Row],[Precio US$]]/BASE_DATOS[[#This Row],[Kilómetros Proy.]],"")</f>
        <v/>
      </c>
      <c r="AS861" s="167" t="s">
        <v>62</v>
      </c>
      <c r="AT861" s="167"/>
      <c r="AU861" s="167"/>
      <c r="AV861" s="167"/>
      <c r="AW861" s="179"/>
      <c r="AX861" s="179"/>
      <c r="AY861" s="179" t="str">
        <f>CONCATENATE(BASE_DATOS[[#This Row],[Código_U]]&amp;BASE_DATOS[[#This Row],[Pos.]]&amp;BASE_DATOS[[#This Row],[Situación Actual]])</f>
        <v>PT-13RERodando</v>
      </c>
    </row>
    <row r="862" spans="1:51" ht="12" x14ac:dyDescent="0.25">
      <c r="A862" s="222" t="s">
        <v>444</v>
      </c>
      <c r="B862" s="213" t="s">
        <v>443</v>
      </c>
      <c r="C862" s="225" t="s">
        <v>460</v>
      </c>
      <c r="D862" s="226" t="s">
        <v>87</v>
      </c>
      <c r="E862" s="249"/>
      <c r="F862" s="250" t="s">
        <v>97</v>
      </c>
      <c r="G862" s="250" t="s">
        <v>269</v>
      </c>
      <c r="H862" s="251" t="str">
        <f>IF(BASE_DATOS[[#This Row],[N-R]]="N",BASE_DATOS[[#This Row],[Diseño]],"Reencauche")</f>
        <v>AGC28</v>
      </c>
      <c r="I862" s="250" t="s">
        <v>270</v>
      </c>
      <c r="J862" s="235" t="s">
        <v>72</v>
      </c>
      <c r="K862" s="252">
        <v>16.5</v>
      </c>
      <c r="L862" s="250">
        <v>110</v>
      </c>
      <c r="M862" s="253"/>
      <c r="N862" s="254"/>
      <c r="O862" s="274"/>
      <c r="P862" s="275"/>
      <c r="Q862" s="276"/>
      <c r="R862" s="305" t="s">
        <v>98</v>
      </c>
      <c r="S862" s="306">
        <v>45385</v>
      </c>
      <c r="T862" s="314"/>
      <c r="U862" s="276"/>
      <c r="V862" s="224">
        <v>15</v>
      </c>
      <c r="W862" s="325">
        <v>15</v>
      </c>
      <c r="X862" s="326">
        <v>15</v>
      </c>
      <c r="Y862" s="292">
        <f t="shared" ref="Y862:Y868" si="41">IFERROR(MIN(V862:X862),"")</f>
        <v>15</v>
      </c>
      <c r="Z862" s="185" t="s">
        <v>85</v>
      </c>
      <c r="AA862" s="339">
        <f>IFERROR(BASE_DATOS[[#This Row],[NSK Original]]-BASE_DATOS[[#This Row],[NSK]]," ")</f>
        <v>1.5</v>
      </c>
      <c r="AB862" s="340">
        <f>'NSK-TRACTO'!$A$2</f>
        <v>6</v>
      </c>
      <c r="AC862" s="340">
        <f>IF(BASE_DATOS[[#This Row],[NSK]]&gt;=BASE_DATOS[[#This Row],[NSK Reen]],BASE_DATOS[[#This Row],[NSK Reen]],BASE_DATOS[[#This Row],[NSK]])</f>
        <v>6</v>
      </c>
      <c r="AD862" s="341">
        <f>IFERROR(100%-(BASE_DATOS[[#This Row],[NSK Reen]]/BASE_DATOS[[#This Row],[NSK Original]]),"")</f>
        <v>0.63636363636363635</v>
      </c>
      <c r="AE862" s="341">
        <f>IFERROR(100%-BASE_DATOS[[#This Row],[NSK]]/BASE_DATOS[[#This Row],[NSK Original]],"")</f>
        <v>9.0909090909090939E-2</v>
      </c>
      <c r="AF862" s="341">
        <f>IFERROR(BASE_DATOS[[#This Row],[% Max Des.]]-BASE_DATOS[[#This Row],[% Des]],"")</f>
        <v>0.54545454545454541</v>
      </c>
      <c r="AG862" s="284"/>
      <c r="AH862" s="335"/>
      <c r="AI862" s="359" t="str">
        <f>IF(OR(BASE_DATOS[[#This Row],[Hr.]]="",BASE_DATOS[[#This Row],[Hr. Actual]]=""),"",BASE_DATOS[[#This Row],[Hr. Actual]]-BASE_DATOS[[#This Row],[Hr.]]+BASE_DATOS[[#This Row],[Horas Acumuladas]])</f>
        <v/>
      </c>
      <c r="AJ862" s="360" t="str">
        <f>IFERROR(BASE_DATOS[[#This Row],[Precio US$]]/BASE_DATOS[[#This Row],[Horas Rodadas]],"")</f>
        <v/>
      </c>
      <c r="AK862" s="361" t="str">
        <f>IFERROR(BASE_DATOS[[#This Row],[Horas Rodadas]]/(BASE_DATOS[[#This Row],[NSK Original]]-BASE_DATOS[[#This Row],[NSK]]),"")</f>
        <v/>
      </c>
      <c r="AL862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62" s="362" t="str">
        <f>IFERROR(BASE_DATOS[[#This Row],[Precio US$]]/BASE_DATOS[[#This Row],[Horas Proy.]],"")</f>
        <v/>
      </c>
      <c r="AN862" s="199" t="str">
        <f>IF(OR(BASE_DATOS[[#This Row],[Km.]]="",BASE_DATOS[[#This Row],[Km. Actual]]=""),"",BASE_DATOS[[#This Row],[Km. Actual]]-BASE_DATOS[[#This Row],[Km.]]+BASE_DATOS[[#This Row],[Kilómetros Acumulados]])</f>
        <v/>
      </c>
      <c r="AO862" s="200" t="str">
        <f>IFERROR(BASE_DATOS[[#This Row],[Precio US$]]/BASE_DATOS[[#This Row],[Kilómetros Rodados]],"")</f>
        <v/>
      </c>
      <c r="AP862" s="199" t="str">
        <f>IFERROR(BASE_DATOS[[#This Row],[Kilómetros Rodados]]/(BASE_DATOS[[#This Row],[NSK Original]]-BASE_DATOS[[#This Row],[NSK]]),"")</f>
        <v/>
      </c>
      <c r="AQ862" s="19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62" s="200" t="str">
        <f>IFERROR(BASE_DATOS[[#This Row],[Precio US$]]/BASE_DATOS[[#This Row],[Kilómetros Proy.]],"")</f>
        <v/>
      </c>
      <c r="AS862" s="201" t="s">
        <v>62</v>
      </c>
      <c r="AT862" s="201"/>
      <c r="AU862" s="201"/>
      <c r="AV862" s="201"/>
      <c r="AW862" s="203"/>
      <c r="AX862" s="203"/>
      <c r="AY862" s="203" t="str">
        <f>CONCATENATE(BASE_DATOS[[#This Row],[Código_U]]&amp;BASE_DATOS[[#This Row],[Pos.]]&amp;BASE_DATOS[[#This Row],[Situación Actual]])</f>
        <v>PT-171Rodando</v>
      </c>
    </row>
    <row r="863" spans="1:51" ht="12" x14ac:dyDescent="0.25">
      <c r="A863" s="223" t="s">
        <v>444</v>
      </c>
      <c r="B863" s="217" t="s">
        <v>443</v>
      </c>
      <c r="C863" s="228" t="s">
        <v>460</v>
      </c>
      <c r="D863" s="229" t="s">
        <v>87</v>
      </c>
      <c r="E863" s="255"/>
      <c r="F863" s="256" t="s">
        <v>97</v>
      </c>
      <c r="G863" s="256" t="s">
        <v>269</v>
      </c>
      <c r="H863" s="257" t="str">
        <f>IF(BASE_DATOS[[#This Row],[N-R]]="N",BASE_DATOS[[#This Row],[Diseño]],"Reencauche")</f>
        <v>AGC28</v>
      </c>
      <c r="I863" s="256" t="s">
        <v>270</v>
      </c>
      <c r="J863" s="243" t="s">
        <v>72</v>
      </c>
      <c r="K863" s="258">
        <v>16.5</v>
      </c>
      <c r="L863" s="256">
        <v>110</v>
      </c>
      <c r="M863" s="259"/>
      <c r="N863" s="260"/>
      <c r="O863" s="277"/>
      <c r="P863" s="278"/>
      <c r="Q863" s="279"/>
      <c r="R863" s="309" t="s">
        <v>99</v>
      </c>
      <c r="S863" s="310">
        <v>45385</v>
      </c>
      <c r="T863" s="313"/>
      <c r="U863" s="279"/>
      <c r="V863" s="227">
        <v>15</v>
      </c>
      <c r="W863" s="281">
        <v>15</v>
      </c>
      <c r="X863" s="282">
        <v>15</v>
      </c>
      <c r="Y863" s="293">
        <f t="shared" si="41"/>
        <v>15</v>
      </c>
      <c r="Z863" s="161" t="s">
        <v>73</v>
      </c>
      <c r="AA863" s="342">
        <f>IFERROR(BASE_DATOS[[#This Row],[NSK Original]]-BASE_DATOS[[#This Row],[NSK]]," ")</f>
        <v>1.5</v>
      </c>
      <c r="AB863" s="343">
        <f>'NSK-TRACTO'!$A$2</f>
        <v>6</v>
      </c>
      <c r="AC863" s="343">
        <f>IF(BASE_DATOS[[#This Row],[NSK]]&gt;=BASE_DATOS[[#This Row],[NSK Reen]],BASE_DATOS[[#This Row],[NSK Reen]],BASE_DATOS[[#This Row],[NSK]])</f>
        <v>6</v>
      </c>
      <c r="AD863" s="344">
        <f>IFERROR(100%-(BASE_DATOS[[#This Row],[NSK Reen]]/BASE_DATOS[[#This Row],[NSK Original]]),"")</f>
        <v>0.63636363636363635</v>
      </c>
      <c r="AE863" s="344">
        <f>IFERROR(100%-BASE_DATOS[[#This Row],[NSK]]/BASE_DATOS[[#This Row],[NSK Original]],"")</f>
        <v>9.0909090909090939E-2</v>
      </c>
      <c r="AF863" s="344">
        <f>IFERROR(BASE_DATOS[[#This Row],[% Max Des.]]-BASE_DATOS[[#This Row],[% Des]],"")</f>
        <v>0.54545454545454541</v>
      </c>
      <c r="AG863" s="287"/>
      <c r="AH863" s="273"/>
      <c r="AI863" s="363" t="str">
        <f>IF(OR(BASE_DATOS[[#This Row],[Hr.]]="",BASE_DATOS[[#This Row],[Hr. Actual]]=""),"",BASE_DATOS[[#This Row],[Hr. Actual]]-BASE_DATOS[[#This Row],[Hr.]]+BASE_DATOS[[#This Row],[Horas Acumuladas]])</f>
        <v/>
      </c>
      <c r="AJ863" s="364" t="str">
        <f>IFERROR(BASE_DATOS[[#This Row],[Precio US$]]/BASE_DATOS[[#This Row],[Horas Rodadas]],"")</f>
        <v/>
      </c>
      <c r="AK863" s="365" t="str">
        <f>IFERROR(BASE_DATOS[[#This Row],[Horas Rodadas]]/(BASE_DATOS[[#This Row],[NSK Original]]-BASE_DATOS[[#This Row],[NSK]]),"")</f>
        <v/>
      </c>
      <c r="AL86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63" s="366" t="str">
        <f>IFERROR(BASE_DATOS[[#This Row],[Precio US$]]/BASE_DATOS[[#This Row],[Horas Proy.]],"")</f>
        <v/>
      </c>
      <c r="AN863" s="176" t="str">
        <f>IF(OR(BASE_DATOS[[#This Row],[Km.]]="",BASE_DATOS[[#This Row],[Km. Actual]]=""),"",BASE_DATOS[[#This Row],[Km. Actual]]-BASE_DATOS[[#This Row],[Km.]]+BASE_DATOS[[#This Row],[Kilómetros Acumulados]])</f>
        <v/>
      </c>
      <c r="AO863" s="177" t="str">
        <f>IFERROR(BASE_DATOS[[#This Row],[Precio US$]]/BASE_DATOS[[#This Row],[Kilómetros Rodados]],"")</f>
        <v/>
      </c>
      <c r="AP863" s="176" t="str">
        <f>IFERROR(BASE_DATOS[[#This Row],[Kilómetros Rodados]]/(BASE_DATOS[[#This Row],[NSK Original]]-BASE_DATOS[[#This Row],[NSK]]),"")</f>
        <v/>
      </c>
      <c r="AQ86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63" s="177" t="str">
        <f>IFERROR(BASE_DATOS[[#This Row],[Precio US$]]/BASE_DATOS[[#This Row],[Kilómetros Proy.]],"")</f>
        <v/>
      </c>
      <c r="AS863" s="167" t="s">
        <v>62</v>
      </c>
      <c r="AT863" s="167"/>
      <c r="AU863" s="167"/>
      <c r="AV863" s="167"/>
      <c r="AW863" s="179"/>
      <c r="AX863" s="179"/>
      <c r="AY863" s="179" t="str">
        <f>CONCATENATE(BASE_DATOS[[#This Row],[Código_U]]&amp;BASE_DATOS[[#This Row],[Pos.]]&amp;BASE_DATOS[[#This Row],[Situación Actual]])</f>
        <v>PT-172Rodando</v>
      </c>
    </row>
    <row r="864" spans="1:51" ht="12" x14ac:dyDescent="0.25">
      <c r="A864" s="223" t="s">
        <v>444</v>
      </c>
      <c r="B864" s="217" t="s">
        <v>443</v>
      </c>
      <c r="C864" s="228" t="s">
        <v>460</v>
      </c>
      <c r="D864" s="229" t="s">
        <v>87</v>
      </c>
      <c r="E864" s="255"/>
      <c r="F864" s="256" t="s">
        <v>97</v>
      </c>
      <c r="G864" s="256" t="s">
        <v>269</v>
      </c>
      <c r="H864" s="257" t="str">
        <f>IF(BASE_DATOS[[#This Row],[N-R]]="N",BASE_DATOS[[#This Row],[Diseño]],"Reencauche")</f>
        <v>AGC28</v>
      </c>
      <c r="I864" s="256" t="s">
        <v>270</v>
      </c>
      <c r="J864" s="243" t="s">
        <v>72</v>
      </c>
      <c r="K864" s="258">
        <v>16.5</v>
      </c>
      <c r="L864" s="256">
        <v>110</v>
      </c>
      <c r="M864" s="259"/>
      <c r="N864" s="260"/>
      <c r="O864" s="277"/>
      <c r="P864" s="278"/>
      <c r="Q864" s="279"/>
      <c r="R864" s="309" t="s">
        <v>100</v>
      </c>
      <c r="S864" s="310">
        <v>45385</v>
      </c>
      <c r="T864" s="313"/>
      <c r="U864" s="279"/>
      <c r="V864" s="227">
        <v>15</v>
      </c>
      <c r="W864" s="281">
        <v>15</v>
      </c>
      <c r="X864" s="282">
        <v>15</v>
      </c>
      <c r="Y864" s="293">
        <f t="shared" si="41"/>
        <v>15</v>
      </c>
      <c r="Z864" s="161" t="s">
        <v>85</v>
      </c>
      <c r="AA864" s="342">
        <f>IFERROR(BASE_DATOS[[#This Row],[NSK Original]]-BASE_DATOS[[#This Row],[NSK]]," ")</f>
        <v>1.5</v>
      </c>
      <c r="AB864" s="343">
        <f>'NSK-TRACTO'!$A$2</f>
        <v>6</v>
      </c>
      <c r="AC864" s="343">
        <f>IF(BASE_DATOS[[#This Row],[NSK]]&gt;=BASE_DATOS[[#This Row],[NSK Reen]],BASE_DATOS[[#This Row],[NSK Reen]],BASE_DATOS[[#This Row],[NSK]])</f>
        <v>6</v>
      </c>
      <c r="AD864" s="344">
        <f>IFERROR(100%-(BASE_DATOS[[#This Row],[NSK Reen]]/BASE_DATOS[[#This Row],[NSK Original]]),"")</f>
        <v>0.63636363636363635</v>
      </c>
      <c r="AE864" s="344">
        <f>IFERROR(100%-BASE_DATOS[[#This Row],[NSK]]/BASE_DATOS[[#This Row],[NSK Original]],"")</f>
        <v>9.0909090909090939E-2</v>
      </c>
      <c r="AF864" s="344">
        <f>IFERROR(BASE_DATOS[[#This Row],[% Max Des.]]-BASE_DATOS[[#This Row],[% Des]],"")</f>
        <v>0.54545454545454541</v>
      </c>
      <c r="AG864" s="287"/>
      <c r="AH864" s="273"/>
      <c r="AI864" s="363" t="str">
        <f>IF(OR(BASE_DATOS[[#This Row],[Hr.]]="",BASE_DATOS[[#This Row],[Hr. Actual]]=""),"",BASE_DATOS[[#This Row],[Hr. Actual]]-BASE_DATOS[[#This Row],[Hr.]]+BASE_DATOS[[#This Row],[Horas Acumuladas]])</f>
        <v/>
      </c>
      <c r="AJ864" s="364" t="str">
        <f>IFERROR(BASE_DATOS[[#This Row],[Precio US$]]/BASE_DATOS[[#This Row],[Horas Rodadas]],"")</f>
        <v/>
      </c>
      <c r="AK864" s="365" t="str">
        <f>IFERROR(BASE_DATOS[[#This Row],[Horas Rodadas]]/(BASE_DATOS[[#This Row],[NSK Original]]-BASE_DATOS[[#This Row],[NSK]]),"")</f>
        <v/>
      </c>
      <c r="AL86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64" s="366" t="str">
        <f>IFERROR(BASE_DATOS[[#This Row],[Precio US$]]/BASE_DATOS[[#This Row],[Horas Proy.]],"")</f>
        <v/>
      </c>
      <c r="AN864" s="176" t="str">
        <f>IF(OR(BASE_DATOS[[#This Row],[Km.]]="",BASE_DATOS[[#This Row],[Km. Actual]]=""),"",BASE_DATOS[[#This Row],[Km. Actual]]-BASE_DATOS[[#This Row],[Km.]]+BASE_DATOS[[#This Row],[Kilómetros Acumulados]])</f>
        <v/>
      </c>
      <c r="AO864" s="177" t="str">
        <f>IFERROR(BASE_DATOS[[#This Row],[Precio US$]]/BASE_DATOS[[#This Row],[Kilómetros Rodados]],"")</f>
        <v/>
      </c>
      <c r="AP864" s="176" t="str">
        <f>IFERROR(BASE_DATOS[[#This Row],[Kilómetros Rodados]]/(BASE_DATOS[[#This Row],[NSK Original]]-BASE_DATOS[[#This Row],[NSK]]),"")</f>
        <v/>
      </c>
      <c r="AQ86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64" s="177" t="str">
        <f>IFERROR(BASE_DATOS[[#This Row],[Precio US$]]/BASE_DATOS[[#This Row],[Kilómetros Proy.]],"")</f>
        <v/>
      </c>
      <c r="AS864" s="167" t="s">
        <v>62</v>
      </c>
      <c r="AT864" s="167"/>
      <c r="AU864" s="167"/>
      <c r="AV864" s="167"/>
      <c r="AW864" s="179"/>
      <c r="AX864" s="179"/>
      <c r="AY864" s="179" t="str">
        <f>CONCATENATE(BASE_DATOS[[#This Row],[Código_U]]&amp;BASE_DATOS[[#This Row],[Pos.]]&amp;BASE_DATOS[[#This Row],[Situación Actual]])</f>
        <v>PT-173Rodando</v>
      </c>
    </row>
    <row r="865" spans="1:51" ht="12" x14ac:dyDescent="0.25">
      <c r="A865" s="223" t="s">
        <v>444</v>
      </c>
      <c r="B865" s="217" t="s">
        <v>443</v>
      </c>
      <c r="C865" s="228" t="s">
        <v>460</v>
      </c>
      <c r="D865" s="229" t="s">
        <v>87</v>
      </c>
      <c r="E865" s="255"/>
      <c r="F865" s="256" t="s">
        <v>97</v>
      </c>
      <c r="G865" s="256" t="s">
        <v>269</v>
      </c>
      <c r="H865" s="257" t="str">
        <f>IF(BASE_DATOS[[#This Row],[N-R]]="N",BASE_DATOS[[#This Row],[Diseño]],"Reencauche")</f>
        <v>AGC28</v>
      </c>
      <c r="I865" s="256" t="s">
        <v>270</v>
      </c>
      <c r="J865" s="243" t="s">
        <v>72</v>
      </c>
      <c r="K865" s="258">
        <v>16.5</v>
      </c>
      <c r="L865" s="256">
        <v>110</v>
      </c>
      <c r="M865" s="259"/>
      <c r="N865" s="260"/>
      <c r="O865" s="277"/>
      <c r="P865" s="278"/>
      <c r="Q865" s="279"/>
      <c r="R865" s="309" t="s">
        <v>101</v>
      </c>
      <c r="S865" s="310">
        <v>45385</v>
      </c>
      <c r="T865" s="313"/>
      <c r="U865" s="279"/>
      <c r="V865" s="227">
        <v>15</v>
      </c>
      <c r="W865" s="281">
        <v>15</v>
      </c>
      <c r="X865" s="282">
        <v>15</v>
      </c>
      <c r="Y865" s="293">
        <f t="shared" si="41"/>
        <v>15</v>
      </c>
      <c r="Z865" s="161" t="s">
        <v>73</v>
      </c>
      <c r="AA865" s="342">
        <f>IFERROR(BASE_DATOS[[#This Row],[NSK Original]]-BASE_DATOS[[#This Row],[NSK]]," ")</f>
        <v>1.5</v>
      </c>
      <c r="AB865" s="343">
        <f>'NSK-TRACTO'!$A$2</f>
        <v>6</v>
      </c>
      <c r="AC865" s="343">
        <f>IF(BASE_DATOS[[#This Row],[NSK]]&gt;=BASE_DATOS[[#This Row],[NSK Reen]],BASE_DATOS[[#This Row],[NSK Reen]],BASE_DATOS[[#This Row],[NSK]])</f>
        <v>6</v>
      </c>
      <c r="AD865" s="344">
        <f>IFERROR(100%-(BASE_DATOS[[#This Row],[NSK Reen]]/BASE_DATOS[[#This Row],[NSK Original]]),"")</f>
        <v>0.63636363636363635</v>
      </c>
      <c r="AE865" s="344">
        <f>IFERROR(100%-BASE_DATOS[[#This Row],[NSK]]/BASE_DATOS[[#This Row],[NSK Original]],"")</f>
        <v>9.0909090909090939E-2</v>
      </c>
      <c r="AF865" s="344">
        <f>IFERROR(BASE_DATOS[[#This Row],[% Max Des.]]-BASE_DATOS[[#This Row],[% Des]],"")</f>
        <v>0.54545454545454541</v>
      </c>
      <c r="AG865" s="287"/>
      <c r="AH865" s="273"/>
      <c r="AI865" s="363" t="str">
        <f>IF(OR(BASE_DATOS[[#This Row],[Hr.]]="",BASE_DATOS[[#This Row],[Hr. Actual]]=""),"",BASE_DATOS[[#This Row],[Hr. Actual]]-BASE_DATOS[[#This Row],[Hr.]]+BASE_DATOS[[#This Row],[Horas Acumuladas]])</f>
        <v/>
      </c>
      <c r="AJ865" s="364" t="str">
        <f>IFERROR(BASE_DATOS[[#This Row],[Precio US$]]/BASE_DATOS[[#This Row],[Horas Rodadas]],"")</f>
        <v/>
      </c>
      <c r="AK865" s="365" t="str">
        <f>IFERROR(BASE_DATOS[[#This Row],[Horas Rodadas]]/(BASE_DATOS[[#This Row],[NSK Original]]-BASE_DATOS[[#This Row],[NSK]]),"")</f>
        <v/>
      </c>
      <c r="AL86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65" s="366" t="str">
        <f>IFERROR(BASE_DATOS[[#This Row],[Precio US$]]/BASE_DATOS[[#This Row],[Horas Proy.]],"")</f>
        <v/>
      </c>
      <c r="AN865" s="176" t="str">
        <f>IF(OR(BASE_DATOS[[#This Row],[Km.]]="",BASE_DATOS[[#This Row],[Km. Actual]]=""),"",BASE_DATOS[[#This Row],[Km. Actual]]-BASE_DATOS[[#This Row],[Km.]]+BASE_DATOS[[#This Row],[Kilómetros Acumulados]])</f>
        <v/>
      </c>
      <c r="AO865" s="177" t="str">
        <f>IFERROR(BASE_DATOS[[#This Row],[Precio US$]]/BASE_DATOS[[#This Row],[Kilómetros Rodados]],"")</f>
        <v/>
      </c>
      <c r="AP865" s="176" t="str">
        <f>IFERROR(BASE_DATOS[[#This Row],[Kilómetros Rodados]]/(BASE_DATOS[[#This Row],[NSK Original]]-BASE_DATOS[[#This Row],[NSK]]),"")</f>
        <v/>
      </c>
      <c r="AQ86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65" s="177" t="str">
        <f>IFERROR(BASE_DATOS[[#This Row],[Precio US$]]/BASE_DATOS[[#This Row],[Kilómetros Proy.]],"")</f>
        <v/>
      </c>
      <c r="AS865" s="167" t="s">
        <v>62</v>
      </c>
      <c r="AT865" s="167"/>
      <c r="AU865" s="167"/>
      <c r="AV865" s="167"/>
      <c r="AW865" s="179"/>
      <c r="AX865" s="179"/>
      <c r="AY865" s="179" t="str">
        <f>CONCATENATE(BASE_DATOS[[#This Row],[Código_U]]&amp;BASE_DATOS[[#This Row],[Pos.]]&amp;BASE_DATOS[[#This Row],[Situación Actual]])</f>
        <v>PT-174Rodando</v>
      </c>
    </row>
    <row r="866" spans="1:51" ht="12" x14ac:dyDescent="0.25">
      <c r="A866" s="223" t="s">
        <v>444</v>
      </c>
      <c r="B866" s="217" t="s">
        <v>443</v>
      </c>
      <c r="C866" s="228" t="s">
        <v>460</v>
      </c>
      <c r="D866" s="229" t="s">
        <v>87</v>
      </c>
      <c r="E866" s="255"/>
      <c r="F866" s="256" t="s">
        <v>97</v>
      </c>
      <c r="G866" s="256" t="s">
        <v>269</v>
      </c>
      <c r="H866" s="257" t="str">
        <f>IF(BASE_DATOS[[#This Row],[N-R]]="N",BASE_DATOS[[#This Row],[Diseño]],"Reencauche")</f>
        <v>AGC28</v>
      </c>
      <c r="I866" s="256" t="s">
        <v>270</v>
      </c>
      <c r="J866" s="243" t="s">
        <v>72</v>
      </c>
      <c r="K866" s="258">
        <v>16.5</v>
      </c>
      <c r="L866" s="256">
        <v>110</v>
      </c>
      <c r="M866" s="259"/>
      <c r="N866" s="260"/>
      <c r="O866" s="277"/>
      <c r="P866" s="278"/>
      <c r="Q866" s="279"/>
      <c r="R866" s="309" t="s">
        <v>102</v>
      </c>
      <c r="S866" s="310">
        <v>45385</v>
      </c>
      <c r="T866" s="313"/>
      <c r="U866" s="279"/>
      <c r="V866" s="227">
        <v>15</v>
      </c>
      <c r="W866" s="281">
        <v>15</v>
      </c>
      <c r="X866" s="282">
        <v>15</v>
      </c>
      <c r="Y866" s="293">
        <f t="shared" si="41"/>
        <v>15</v>
      </c>
      <c r="Z866" s="161" t="s">
        <v>85</v>
      </c>
      <c r="AA866" s="342">
        <f>IFERROR(BASE_DATOS[[#This Row],[NSK Original]]-BASE_DATOS[[#This Row],[NSK]]," ")</f>
        <v>1.5</v>
      </c>
      <c r="AB866" s="343">
        <f>'NSK-TRACTO'!$A$2</f>
        <v>6</v>
      </c>
      <c r="AC866" s="343">
        <f>IF(BASE_DATOS[[#This Row],[NSK]]&gt;=BASE_DATOS[[#This Row],[NSK Reen]],BASE_DATOS[[#This Row],[NSK Reen]],BASE_DATOS[[#This Row],[NSK]])</f>
        <v>6</v>
      </c>
      <c r="AD866" s="344">
        <f>IFERROR(100%-(BASE_DATOS[[#This Row],[NSK Reen]]/BASE_DATOS[[#This Row],[NSK Original]]),"")</f>
        <v>0.63636363636363635</v>
      </c>
      <c r="AE866" s="344">
        <f>IFERROR(100%-BASE_DATOS[[#This Row],[NSK]]/BASE_DATOS[[#This Row],[NSK Original]],"")</f>
        <v>9.0909090909090939E-2</v>
      </c>
      <c r="AF866" s="344">
        <f>IFERROR(BASE_DATOS[[#This Row],[% Max Des.]]-BASE_DATOS[[#This Row],[% Des]],"")</f>
        <v>0.54545454545454541</v>
      </c>
      <c r="AG866" s="287"/>
      <c r="AH866" s="273"/>
      <c r="AI866" s="363" t="str">
        <f>IF(OR(BASE_DATOS[[#This Row],[Hr.]]="",BASE_DATOS[[#This Row],[Hr. Actual]]=""),"",BASE_DATOS[[#This Row],[Hr. Actual]]-BASE_DATOS[[#This Row],[Hr.]]+BASE_DATOS[[#This Row],[Horas Acumuladas]])</f>
        <v/>
      </c>
      <c r="AJ866" s="364" t="str">
        <f>IFERROR(BASE_DATOS[[#This Row],[Precio US$]]/BASE_DATOS[[#This Row],[Horas Rodadas]],"")</f>
        <v/>
      </c>
      <c r="AK866" s="365" t="str">
        <f>IFERROR(BASE_DATOS[[#This Row],[Horas Rodadas]]/(BASE_DATOS[[#This Row],[NSK Original]]-BASE_DATOS[[#This Row],[NSK]]),"")</f>
        <v/>
      </c>
      <c r="AL86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66" s="366" t="str">
        <f>IFERROR(BASE_DATOS[[#This Row],[Precio US$]]/BASE_DATOS[[#This Row],[Horas Proy.]],"")</f>
        <v/>
      </c>
      <c r="AN866" s="176" t="str">
        <f>IF(OR(BASE_DATOS[[#This Row],[Km.]]="",BASE_DATOS[[#This Row],[Km. Actual]]=""),"",BASE_DATOS[[#This Row],[Km. Actual]]-BASE_DATOS[[#This Row],[Km.]]+BASE_DATOS[[#This Row],[Kilómetros Acumulados]])</f>
        <v/>
      </c>
      <c r="AO866" s="177" t="str">
        <f>IFERROR(BASE_DATOS[[#This Row],[Precio US$]]/BASE_DATOS[[#This Row],[Kilómetros Rodados]],"")</f>
        <v/>
      </c>
      <c r="AP866" s="176" t="str">
        <f>IFERROR(BASE_DATOS[[#This Row],[Kilómetros Rodados]]/(BASE_DATOS[[#This Row],[NSK Original]]-BASE_DATOS[[#This Row],[NSK]]),"")</f>
        <v/>
      </c>
      <c r="AQ86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66" s="177" t="str">
        <f>IFERROR(BASE_DATOS[[#This Row],[Precio US$]]/BASE_DATOS[[#This Row],[Kilómetros Proy.]],"")</f>
        <v/>
      </c>
      <c r="AS866" s="167" t="s">
        <v>62</v>
      </c>
      <c r="AT866" s="167"/>
      <c r="AU866" s="167"/>
      <c r="AV866" s="167"/>
      <c r="AW866" s="179"/>
      <c r="AX866" s="179"/>
      <c r="AY866" s="179" t="str">
        <f>CONCATENATE(BASE_DATOS[[#This Row],[Código_U]]&amp;BASE_DATOS[[#This Row],[Pos.]]&amp;BASE_DATOS[[#This Row],[Situación Actual]])</f>
        <v>PT-175Rodando</v>
      </c>
    </row>
    <row r="867" spans="1:51" ht="12" x14ac:dyDescent="0.25">
      <c r="A867" s="223" t="s">
        <v>444</v>
      </c>
      <c r="B867" s="217" t="s">
        <v>443</v>
      </c>
      <c r="C867" s="228" t="s">
        <v>460</v>
      </c>
      <c r="D867" s="229" t="s">
        <v>87</v>
      </c>
      <c r="E867" s="255"/>
      <c r="F867" s="256" t="s">
        <v>97</v>
      </c>
      <c r="G867" s="256" t="s">
        <v>269</v>
      </c>
      <c r="H867" s="257" t="str">
        <f>IF(BASE_DATOS[[#This Row],[N-R]]="N",BASE_DATOS[[#This Row],[Diseño]],"Reencauche")</f>
        <v>AGC28</v>
      </c>
      <c r="I867" s="256" t="s">
        <v>270</v>
      </c>
      <c r="J867" s="243" t="s">
        <v>72</v>
      </c>
      <c r="K867" s="258">
        <v>16.5</v>
      </c>
      <c r="L867" s="256">
        <v>110</v>
      </c>
      <c r="M867" s="259"/>
      <c r="N867" s="260"/>
      <c r="O867" s="277"/>
      <c r="P867" s="278"/>
      <c r="Q867" s="279"/>
      <c r="R867" s="309" t="s">
        <v>103</v>
      </c>
      <c r="S867" s="310">
        <v>45385</v>
      </c>
      <c r="T867" s="313"/>
      <c r="U867" s="279"/>
      <c r="V867" s="227">
        <v>15</v>
      </c>
      <c r="W867" s="281">
        <v>15</v>
      </c>
      <c r="X867" s="282">
        <v>15</v>
      </c>
      <c r="Y867" s="293">
        <f t="shared" si="41"/>
        <v>15</v>
      </c>
      <c r="Z867" s="161" t="s">
        <v>73</v>
      </c>
      <c r="AA867" s="342">
        <f>IFERROR(BASE_DATOS[[#This Row],[NSK Original]]-BASE_DATOS[[#This Row],[NSK]]," ")</f>
        <v>1.5</v>
      </c>
      <c r="AB867" s="343">
        <f>'NSK-TRACTO'!$A$2</f>
        <v>6</v>
      </c>
      <c r="AC867" s="343">
        <f>IF(BASE_DATOS[[#This Row],[NSK]]&gt;=BASE_DATOS[[#This Row],[NSK Reen]],BASE_DATOS[[#This Row],[NSK Reen]],BASE_DATOS[[#This Row],[NSK]])</f>
        <v>6</v>
      </c>
      <c r="AD867" s="344">
        <f>IFERROR(100%-(BASE_DATOS[[#This Row],[NSK Reen]]/BASE_DATOS[[#This Row],[NSK Original]]),"")</f>
        <v>0.63636363636363635</v>
      </c>
      <c r="AE867" s="344">
        <f>IFERROR(100%-BASE_DATOS[[#This Row],[NSK]]/BASE_DATOS[[#This Row],[NSK Original]],"")</f>
        <v>9.0909090909090939E-2</v>
      </c>
      <c r="AF867" s="344">
        <f>IFERROR(BASE_DATOS[[#This Row],[% Max Des.]]-BASE_DATOS[[#This Row],[% Des]],"")</f>
        <v>0.54545454545454541</v>
      </c>
      <c r="AG867" s="287"/>
      <c r="AH867" s="273"/>
      <c r="AI867" s="363" t="str">
        <f>IF(OR(BASE_DATOS[[#This Row],[Hr.]]="",BASE_DATOS[[#This Row],[Hr. Actual]]=""),"",BASE_DATOS[[#This Row],[Hr. Actual]]-BASE_DATOS[[#This Row],[Hr.]]+BASE_DATOS[[#This Row],[Horas Acumuladas]])</f>
        <v/>
      </c>
      <c r="AJ867" s="364" t="str">
        <f>IFERROR(BASE_DATOS[[#This Row],[Precio US$]]/BASE_DATOS[[#This Row],[Horas Rodadas]],"")</f>
        <v/>
      </c>
      <c r="AK867" s="365" t="str">
        <f>IFERROR(BASE_DATOS[[#This Row],[Horas Rodadas]]/(BASE_DATOS[[#This Row],[NSK Original]]-BASE_DATOS[[#This Row],[NSK]]),"")</f>
        <v/>
      </c>
      <c r="AL86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67" s="366" t="str">
        <f>IFERROR(BASE_DATOS[[#This Row],[Precio US$]]/BASE_DATOS[[#This Row],[Horas Proy.]],"")</f>
        <v/>
      </c>
      <c r="AN867" s="176" t="str">
        <f>IF(OR(BASE_DATOS[[#This Row],[Km.]]="",BASE_DATOS[[#This Row],[Km. Actual]]=""),"",BASE_DATOS[[#This Row],[Km. Actual]]-BASE_DATOS[[#This Row],[Km.]]+BASE_DATOS[[#This Row],[Kilómetros Acumulados]])</f>
        <v/>
      </c>
      <c r="AO867" s="177" t="str">
        <f>IFERROR(BASE_DATOS[[#This Row],[Precio US$]]/BASE_DATOS[[#This Row],[Kilómetros Rodados]],"")</f>
        <v/>
      </c>
      <c r="AP867" s="176" t="str">
        <f>IFERROR(BASE_DATOS[[#This Row],[Kilómetros Rodados]]/(BASE_DATOS[[#This Row],[NSK Original]]-BASE_DATOS[[#This Row],[NSK]]),"")</f>
        <v/>
      </c>
      <c r="AQ86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67" s="177" t="str">
        <f>IFERROR(BASE_DATOS[[#This Row],[Precio US$]]/BASE_DATOS[[#This Row],[Kilómetros Proy.]],"")</f>
        <v/>
      </c>
      <c r="AS867" s="167" t="s">
        <v>62</v>
      </c>
      <c r="AT867" s="167"/>
      <c r="AU867" s="167"/>
      <c r="AV867" s="167"/>
      <c r="AW867" s="179"/>
      <c r="AX867" s="179"/>
      <c r="AY867" s="179" t="str">
        <f>CONCATENATE(BASE_DATOS[[#This Row],[Código_U]]&amp;BASE_DATOS[[#This Row],[Pos.]]&amp;BASE_DATOS[[#This Row],[Situación Actual]])</f>
        <v>PT-176Rodando</v>
      </c>
    </row>
    <row r="868" spans="1:51" ht="12" x14ac:dyDescent="0.25">
      <c r="A868" s="223" t="s">
        <v>444</v>
      </c>
      <c r="B868" s="217" t="s">
        <v>443</v>
      </c>
      <c r="C868" s="228" t="s">
        <v>460</v>
      </c>
      <c r="D868" s="229" t="s">
        <v>384</v>
      </c>
      <c r="E868" s="255"/>
      <c r="F868" s="256" t="s">
        <v>97</v>
      </c>
      <c r="G868" s="256" t="s">
        <v>269</v>
      </c>
      <c r="H868" s="257" t="str">
        <f>IF(BASE_DATOS[[#This Row],[N-R]]="N",BASE_DATOS[[#This Row],[Diseño]],"Reencauche")</f>
        <v>AGC28</v>
      </c>
      <c r="I868" s="256" t="s">
        <v>270</v>
      </c>
      <c r="J868" s="243" t="s">
        <v>72</v>
      </c>
      <c r="K868" s="258">
        <v>16.5</v>
      </c>
      <c r="L868" s="256">
        <v>110</v>
      </c>
      <c r="M868" s="259"/>
      <c r="N868" s="260"/>
      <c r="O868" s="277"/>
      <c r="P868" s="278"/>
      <c r="Q868" s="279"/>
      <c r="R868" s="309" t="s">
        <v>509</v>
      </c>
      <c r="S868" s="310">
        <v>45385</v>
      </c>
      <c r="T868" s="313"/>
      <c r="U868" s="279"/>
      <c r="V868" s="227">
        <v>16</v>
      </c>
      <c r="W868" s="281">
        <v>16</v>
      </c>
      <c r="X868" s="282">
        <v>16</v>
      </c>
      <c r="Y868" s="293">
        <f t="shared" si="41"/>
        <v>16</v>
      </c>
      <c r="Z868" s="161" t="s">
        <v>85</v>
      </c>
      <c r="AA868" s="342">
        <f>IFERROR(BASE_DATOS[[#This Row],[NSK Original]]-BASE_DATOS[[#This Row],[NSK]]," ")</f>
        <v>0.5</v>
      </c>
      <c r="AB868" s="343">
        <f>'NSK-TRACTO'!$A$2</f>
        <v>6</v>
      </c>
      <c r="AC868" s="343">
        <f>IF(BASE_DATOS[[#This Row],[NSK]]&gt;=BASE_DATOS[[#This Row],[NSK Reen]],BASE_DATOS[[#This Row],[NSK Reen]],BASE_DATOS[[#This Row],[NSK]])</f>
        <v>6</v>
      </c>
      <c r="AD868" s="344">
        <f>IFERROR(100%-(BASE_DATOS[[#This Row],[NSK Reen]]/BASE_DATOS[[#This Row],[NSK Original]]),"")</f>
        <v>0.63636363636363635</v>
      </c>
      <c r="AE868" s="344">
        <f>IFERROR(100%-BASE_DATOS[[#This Row],[NSK]]/BASE_DATOS[[#This Row],[NSK Original]],"")</f>
        <v>3.0303030303030276E-2</v>
      </c>
      <c r="AF868" s="344">
        <f>IFERROR(BASE_DATOS[[#This Row],[% Max Des.]]-BASE_DATOS[[#This Row],[% Des]],"")</f>
        <v>0.60606060606060608</v>
      </c>
      <c r="AG868" s="287"/>
      <c r="AH868" s="273"/>
      <c r="AI868" s="363" t="str">
        <f>IF(OR(BASE_DATOS[[#This Row],[Hr.]]="",BASE_DATOS[[#This Row],[Hr. Actual]]=""),"",BASE_DATOS[[#This Row],[Hr. Actual]]-BASE_DATOS[[#This Row],[Hr.]]+BASE_DATOS[[#This Row],[Horas Acumuladas]])</f>
        <v/>
      </c>
      <c r="AJ868" s="364" t="str">
        <f>IFERROR(BASE_DATOS[[#This Row],[Precio US$]]/BASE_DATOS[[#This Row],[Horas Rodadas]],"")</f>
        <v/>
      </c>
      <c r="AK868" s="365" t="str">
        <f>IFERROR(BASE_DATOS[[#This Row],[Horas Rodadas]]/(BASE_DATOS[[#This Row],[NSK Original]]-BASE_DATOS[[#This Row],[NSK]]),"")</f>
        <v/>
      </c>
      <c r="AL86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68" s="366" t="str">
        <f>IFERROR(BASE_DATOS[[#This Row],[Precio US$]]/BASE_DATOS[[#This Row],[Horas Proy.]],"")</f>
        <v/>
      </c>
      <c r="AN868" s="176" t="str">
        <f>IF(OR(BASE_DATOS[[#This Row],[Km.]]="",BASE_DATOS[[#This Row],[Km. Actual]]=""),"",BASE_DATOS[[#This Row],[Km. Actual]]-BASE_DATOS[[#This Row],[Km.]]+BASE_DATOS[[#This Row],[Kilómetros Acumulados]])</f>
        <v/>
      </c>
      <c r="AO868" s="177" t="str">
        <f>IFERROR(BASE_DATOS[[#This Row],[Precio US$]]/BASE_DATOS[[#This Row],[Kilómetros Rodados]],"")</f>
        <v/>
      </c>
      <c r="AP868" s="176" t="str">
        <f>IFERROR(BASE_DATOS[[#This Row],[Kilómetros Rodados]]/(BASE_DATOS[[#This Row],[NSK Original]]-BASE_DATOS[[#This Row],[NSK]]),"")</f>
        <v/>
      </c>
      <c r="AQ86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68" s="177" t="str">
        <f>IFERROR(BASE_DATOS[[#This Row],[Precio US$]]/BASE_DATOS[[#This Row],[Kilómetros Proy.]],"")</f>
        <v/>
      </c>
      <c r="AS868" s="167" t="s">
        <v>62</v>
      </c>
      <c r="AT868" s="167"/>
      <c r="AU868" s="167"/>
      <c r="AV868" s="167"/>
      <c r="AW868" s="179"/>
      <c r="AX868" s="179"/>
      <c r="AY868" s="179" t="str">
        <f>CONCATENATE(BASE_DATOS[[#This Row],[Código_U]]&amp;BASE_DATOS[[#This Row],[Pos.]]&amp;BASE_DATOS[[#This Row],[Situación Actual]])</f>
        <v>PT-17RERodando</v>
      </c>
    </row>
    <row r="869" spans="1:51" ht="12" x14ac:dyDescent="0.25">
      <c r="A869" s="222" t="s">
        <v>446</v>
      </c>
      <c r="B869" s="213" t="s">
        <v>445</v>
      </c>
      <c r="C869" s="225" t="s">
        <v>460</v>
      </c>
      <c r="D869" s="226" t="s">
        <v>87</v>
      </c>
      <c r="E869" s="249"/>
      <c r="F869" s="250" t="s">
        <v>97</v>
      </c>
      <c r="G869" s="250" t="s">
        <v>269</v>
      </c>
      <c r="H869" s="251" t="str">
        <f>IF(BASE_DATOS[[#This Row],[N-R]]="N",BASE_DATOS[[#This Row],[Diseño]],"Reencauche")</f>
        <v>AGC28</v>
      </c>
      <c r="I869" s="250" t="s">
        <v>270</v>
      </c>
      <c r="J869" s="235" t="s">
        <v>72</v>
      </c>
      <c r="K869" s="252">
        <v>16.5</v>
      </c>
      <c r="L869" s="250">
        <v>110</v>
      </c>
      <c r="M869" s="253"/>
      <c r="N869" s="254"/>
      <c r="O869" s="274"/>
      <c r="P869" s="275"/>
      <c r="Q869" s="276"/>
      <c r="R869" s="305" t="s">
        <v>98</v>
      </c>
      <c r="S869" s="306">
        <v>45385</v>
      </c>
      <c r="T869" s="314"/>
      <c r="U869" s="276"/>
      <c r="V869" s="224">
        <v>16</v>
      </c>
      <c r="W869" s="325">
        <v>16</v>
      </c>
      <c r="X869" s="326">
        <v>16</v>
      </c>
      <c r="Y869" s="292">
        <f t="shared" ref="Y869:Y875" si="42">IFERROR(MIN(V869:X869),"")</f>
        <v>16</v>
      </c>
      <c r="Z869" s="185" t="s">
        <v>73</v>
      </c>
      <c r="AA869" s="339">
        <f>IFERROR(BASE_DATOS[[#This Row],[NSK Original]]-BASE_DATOS[[#This Row],[NSK]]," ")</f>
        <v>0.5</v>
      </c>
      <c r="AB869" s="340">
        <f>'NSK-TRACTO'!$A$2</f>
        <v>6</v>
      </c>
      <c r="AC869" s="340">
        <f>IF(BASE_DATOS[[#This Row],[NSK]]&gt;=BASE_DATOS[[#This Row],[NSK Reen]],BASE_DATOS[[#This Row],[NSK Reen]],BASE_DATOS[[#This Row],[NSK]])</f>
        <v>6</v>
      </c>
      <c r="AD869" s="341">
        <f>IFERROR(100%-(BASE_DATOS[[#This Row],[NSK Reen]]/BASE_DATOS[[#This Row],[NSK Original]]),"")</f>
        <v>0.63636363636363635</v>
      </c>
      <c r="AE869" s="341">
        <f>IFERROR(100%-BASE_DATOS[[#This Row],[NSK]]/BASE_DATOS[[#This Row],[NSK Original]],"")</f>
        <v>3.0303030303030276E-2</v>
      </c>
      <c r="AF869" s="341">
        <f>IFERROR(BASE_DATOS[[#This Row],[% Max Des.]]-BASE_DATOS[[#This Row],[% Des]],"")</f>
        <v>0.60606060606060608</v>
      </c>
      <c r="AG869" s="284"/>
      <c r="AH869" s="335"/>
      <c r="AI869" s="359" t="str">
        <f>IF(OR(BASE_DATOS[[#This Row],[Hr.]]="",BASE_DATOS[[#This Row],[Hr. Actual]]=""),"",BASE_DATOS[[#This Row],[Hr. Actual]]-BASE_DATOS[[#This Row],[Hr.]]+BASE_DATOS[[#This Row],[Horas Acumuladas]])</f>
        <v/>
      </c>
      <c r="AJ869" s="360" t="str">
        <f>IFERROR(BASE_DATOS[[#This Row],[Precio US$]]/BASE_DATOS[[#This Row],[Horas Rodadas]],"")</f>
        <v/>
      </c>
      <c r="AK869" s="361" t="str">
        <f>IFERROR(BASE_DATOS[[#This Row],[Horas Rodadas]]/(BASE_DATOS[[#This Row],[NSK Original]]-BASE_DATOS[[#This Row],[NSK]]),"")</f>
        <v/>
      </c>
      <c r="AL869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69" s="362" t="str">
        <f>IFERROR(BASE_DATOS[[#This Row],[Precio US$]]/BASE_DATOS[[#This Row],[Horas Proy.]],"")</f>
        <v/>
      </c>
      <c r="AN869" s="199" t="str">
        <f>IF(OR(BASE_DATOS[[#This Row],[Km.]]="",BASE_DATOS[[#This Row],[Km. Actual]]=""),"",BASE_DATOS[[#This Row],[Km. Actual]]-BASE_DATOS[[#This Row],[Km.]]+BASE_DATOS[[#This Row],[Kilómetros Acumulados]])</f>
        <v/>
      </c>
      <c r="AO869" s="200" t="str">
        <f>IFERROR(BASE_DATOS[[#This Row],[Precio US$]]/BASE_DATOS[[#This Row],[Kilómetros Rodados]],"")</f>
        <v/>
      </c>
      <c r="AP869" s="199" t="str">
        <f>IFERROR(BASE_DATOS[[#This Row],[Kilómetros Rodados]]/(BASE_DATOS[[#This Row],[NSK Original]]-BASE_DATOS[[#This Row],[NSK]]),"")</f>
        <v/>
      </c>
      <c r="AQ869" s="19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69" s="200" t="str">
        <f>IFERROR(BASE_DATOS[[#This Row],[Precio US$]]/BASE_DATOS[[#This Row],[Kilómetros Proy.]],"")</f>
        <v/>
      </c>
      <c r="AS869" s="201" t="s">
        <v>62</v>
      </c>
      <c r="AT869" s="201"/>
      <c r="AU869" s="201"/>
      <c r="AV869" s="201"/>
      <c r="AW869" s="203"/>
      <c r="AX869" s="203"/>
      <c r="AY869" s="203" t="str">
        <f>CONCATENATE(BASE_DATOS[[#This Row],[Código_U]]&amp;BASE_DATOS[[#This Row],[Pos.]]&amp;BASE_DATOS[[#This Row],[Situación Actual]])</f>
        <v>PT-161Rodando</v>
      </c>
    </row>
    <row r="870" spans="1:51" ht="12" x14ac:dyDescent="0.25">
      <c r="A870" s="223" t="s">
        <v>446</v>
      </c>
      <c r="B870" s="217" t="s">
        <v>445</v>
      </c>
      <c r="C870" s="228" t="s">
        <v>460</v>
      </c>
      <c r="D870" s="229" t="s">
        <v>87</v>
      </c>
      <c r="E870" s="255"/>
      <c r="F870" s="256" t="s">
        <v>97</v>
      </c>
      <c r="G870" s="256" t="s">
        <v>269</v>
      </c>
      <c r="H870" s="257" t="str">
        <f>IF(BASE_DATOS[[#This Row],[N-R]]="N",BASE_DATOS[[#This Row],[Diseño]],"Reencauche")</f>
        <v>AGC28</v>
      </c>
      <c r="I870" s="256" t="s">
        <v>270</v>
      </c>
      <c r="J870" s="243" t="s">
        <v>72</v>
      </c>
      <c r="K870" s="258">
        <v>16.5</v>
      </c>
      <c r="L870" s="256">
        <v>110</v>
      </c>
      <c r="M870" s="259"/>
      <c r="N870" s="260"/>
      <c r="O870" s="277"/>
      <c r="P870" s="278"/>
      <c r="Q870" s="279"/>
      <c r="R870" s="309" t="s">
        <v>99</v>
      </c>
      <c r="S870" s="310">
        <v>45385</v>
      </c>
      <c r="T870" s="313"/>
      <c r="U870" s="279"/>
      <c r="V870" s="227">
        <v>16</v>
      </c>
      <c r="W870" s="281">
        <v>16</v>
      </c>
      <c r="X870" s="282">
        <v>16</v>
      </c>
      <c r="Y870" s="293">
        <f t="shared" si="42"/>
        <v>16</v>
      </c>
      <c r="Z870" s="161" t="s">
        <v>73</v>
      </c>
      <c r="AA870" s="342">
        <f>IFERROR(BASE_DATOS[[#This Row],[NSK Original]]-BASE_DATOS[[#This Row],[NSK]]," ")</f>
        <v>0.5</v>
      </c>
      <c r="AB870" s="343">
        <f>'NSK-TRACTO'!$A$2</f>
        <v>6</v>
      </c>
      <c r="AC870" s="343">
        <f>IF(BASE_DATOS[[#This Row],[NSK]]&gt;=BASE_DATOS[[#This Row],[NSK Reen]],BASE_DATOS[[#This Row],[NSK Reen]],BASE_DATOS[[#This Row],[NSK]])</f>
        <v>6</v>
      </c>
      <c r="AD870" s="344">
        <f>IFERROR(100%-(BASE_DATOS[[#This Row],[NSK Reen]]/BASE_DATOS[[#This Row],[NSK Original]]),"")</f>
        <v>0.63636363636363635</v>
      </c>
      <c r="AE870" s="344">
        <f>IFERROR(100%-BASE_DATOS[[#This Row],[NSK]]/BASE_DATOS[[#This Row],[NSK Original]],"")</f>
        <v>3.0303030303030276E-2</v>
      </c>
      <c r="AF870" s="344">
        <f>IFERROR(BASE_DATOS[[#This Row],[% Max Des.]]-BASE_DATOS[[#This Row],[% Des]],"")</f>
        <v>0.60606060606060608</v>
      </c>
      <c r="AG870" s="287"/>
      <c r="AH870" s="273"/>
      <c r="AI870" s="363" t="str">
        <f>IF(OR(BASE_DATOS[[#This Row],[Hr.]]="",BASE_DATOS[[#This Row],[Hr. Actual]]=""),"",BASE_DATOS[[#This Row],[Hr. Actual]]-BASE_DATOS[[#This Row],[Hr.]]+BASE_DATOS[[#This Row],[Horas Acumuladas]])</f>
        <v/>
      </c>
      <c r="AJ870" s="364" t="str">
        <f>IFERROR(BASE_DATOS[[#This Row],[Precio US$]]/BASE_DATOS[[#This Row],[Horas Rodadas]],"")</f>
        <v/>
      </c>
      <c r="AK870" s="365" t="str">
        <f>IFERROR(BASE_DATOS[[#This Row],[Horas Rodadas]]/(BASE_DATOS[[#This Row],[NSK Original]]-BASE_DATOS[[#This Row],[NSK]]),"")</f>
        <v/>
      </c>
      <c r="AL87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70" s="366" t="str">
        <f>IFERROR(BASE_DATOS[[#This Row],[Precio US$]]/BASE_DATOS[[#This Row],[Horas Proy.]],"")</f>
        <v/>
      </c>
      <c r="AN870" s="176" t="str">
        <f>IF(OR(BASE_DATOS[[#This Row],[Km.]]="",BASE_DATOS[[#This Row],[Km. Actual]]=""),"",BASE_DATOS[[#This Row],[Km. Actual]]-BASE_DATOS[[#This Row],[Km.]]+BASE_DATOS[[#This Row],[Kilómetros Acumulados]])</f>
        <v/>
      </c>
      <c r="AO870" s="177" t="str">
        <f>IFERROR(BASE_DATOS[[#This Row],[Precio US$]]/BASE_DATOS[[#This Row],[Kilómetros Rodados]],"")</f>
        <v/>
      </c>
      <c r="AP870" s="176" t="str">
        <f>IFERROR(BASE_DATOS[[#This Row],[Kilómetros Rodados]]/(BASE_DATOS[[#This Row],[NSK Original]]-BASE_DATOS[[#This Row],[NSK]]),"")</f>
        <v/>
      </c>
      <c r="AQ87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70" s="177" t="str">
        <f>IFERROR(BASE_DATOS[[#This Row],[Precio US$]]/BASE_DATOS[[#This Row],[Kilómetros Proy.]],"")</f>
        <v/>
      </c>
      <c r="AS870" s="167" t="s">
        <v>62</v>
      </c>
      <c r="AT870" s="167"/>
      <c r="AU870" s="167"/>
      <c r="AV870" s="167"/>
      <c r="AW870" s="179"/>
      <c r="AX870" s="179"/>
      <c r="AY870" s="179" t="str">
        <f>CONCATENATE(BASE_DATOS[[#This Row],[Código_U]]&amp;BASE_DATOS[[#This Row],[Pos.]]&amp;BASE_DATOS[[#This Row],[Situación Actual]])</f>
        <v>PT-162Rodando</v>
      </c>
    </row>
    <row r="871" spans="1:51" ht="12" x14ac:dyDescent="0.25">
      <c r="A871" s="223" t="s">
        <v>446</v>
      </c>
      <c r="B871" s="217" t="s">
        <v>445</v>
      </c>
      <c r="C871" s="228" t="s">
        <v>460</v>
      </c>
      <c r="D871" s="229" t="s">
        <v>87</v>
      </c>
      <c r="E871" s="255"/>
      <c r="F871" s="256" t="s">
        <v>97</v>
      </c>
      <c r="G871" s="256" t="s">
        <v>269</v>
      </c>
      <c r="H871" s="257" t="str">
        <f>IF(BASE_DATOS[[#This Row],[N-R]]="N",BASE_DATOS[[#This Row],[Diseño]],"Reencauche")</f>
        <v>AGC28</v>
      </c>
      <c r="I871" s="256" t="s">
        <v>270</v>
      </c>
      <c r="J871" s="243" t="s">
        <v>72</v>
      </c>
      <c r="K871" s="258">
        <v>16.5</v>
      </c>
      <c r="L871" s="256">
        <v>110</v>
      </c>
      <c r="M871" s="259"/>
      <c r="N871" s="260"/>
      <c r="O871" s="277"/>
      <c r="P871" s="278"/>
      <c r="Q871" s="279"/>
      <c r="R871" s="309" t="s">
        <v>100</v>
      </c>
      <c r="S871" s="310">
        <v>45385</v>
      </c>
      <c r="T871" s="313"/>
      <c r="U871" s="279"/>
      <c r="V871" s="227">
        <v>16</v>
      </c>
      <c r="W871" s="281">
        <v>16</v>
      </c>
      <c r="X871" s="282">
        <v>16</v>
      </c>
      <c r="Y871" s="293">
        <f t="shared" si="42"/>
        <v>16</v>
      </c>
      <c r="Z871" s="161" t="s">
        <v>73</v>
      </c>
      <c r="AA871" s="342">
        <f>IFERROR(BASE_DATOS[[#This Row],[NSK Original]]-BASE_DATOS[[#This Row],[NSK]]," ")</f>
        <v>0.5</v>
      </c>
      <c r="AB871" s="343">
        <f>'NSK-TRACTO'!$A$2</f>
        <v>6</v>
      </c>
      <c r="AC871" s="343">
        <f>IF(BASE_DATOS[[#This Row],[NSK]]&gt;=BASE_DATOS[[#This Row],[NSK Reen]],BASE_DATOS[[#This Row],[NSK Reen]],BASE_DATOS[[#This Row],[NSK]])</f>
        <v>6</v>
      </c>
      <c r="AD871" s="344">
        <f>IFERROR(100%-(BASE_DATOS[[#This Row],[NSK Reen]]/BASE_DATOS[[#This Row],[NSK Original]]),"")</f>
        <v>0.63636363636363635</v>
      </c>
      <c r="AE871" s="344">
        <f>IFERROR(100%-BASE_DATOS[[#This Row],[NSK]]/BASE_DATOS[[#This Row],[NSK Original]],"")</f>
        <v>3.0303030303030276E-2</v>
      </c>
      <c r="AF871" s="344">
        <f>IFERROR(BASE_DATOS[[#This Row],[% Max Des.]]-BASE_DATOS[[#This Row],[% Des]],"")</f>
        <v>0.60606060606060608</v>
      </c>
      <c r="AG871" s="287"/>
      <c r="AH871" s="273"/>
      <c r="AI871" s="363" t="str">
        <f>IF(OR(BASE_DATOS[[#This Row],[Hr.]]="",BASE_DATOS[[#This Row],[Hr. Actual]]=""),"",BASE_DATOS[[#This Row],[Hr. Actual]]-BASE_DATOS[[#This Row],[Hr.]]+BASE_DATOS[[#This Row],[Horas Acumuladas]])</f>
        <v/>
      </c>
      <c r="AJ871" s="364" t="str">
        <f>IFERROR(BASE_DATOS[[#This Row],[Precio US$]]/BASE_DATOS[[#This Row],[Horas Rodadas]],"")</f>
        <v/>
      </c>
      <c r="AK871" s="365" t="str">
        <f>IFERROR(BASE_DATOS[[#This Row],[Horas Rodadas]]/(BASE_DATOS[[#This Row],[NSK Original]]-BASE_DATOS[[#This Row],[NSK]]),"")</f>
        <v/>
      </c>
      <c r="AL87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71" s="366" t="str">
        <f>IFERROR(BASE_DATOS[[#This Row],[Precio US$]]/BASE_DATOS[[#This Row],[Horas Proy.]],"")</f>
        <v/>
      </c>
      <c r="AN871" s="176" t="str">
        <f>IF(OR(BASE_DATOS[[#This Row],[Km.]]="",BASE_DATOS[[#This Row],[Km. Actual]]=""),"",BASE_DATOS[[#This Row],[Km. Actual]]-BASE_DATOS[[#This Row],[Km.]]+BASE_DATOS[[#This Row],[Kilómetros Acumulados]])</f>
        <v/>
      </c>
      <c r="AO871" s="177" t="str">
        <f>IFERROR(BASE_DATOS[[#This Row],[Precio US$]]/BASE_DATOS[[#This Row],[Kilómetros Rodados]],"")</f>
        <v/>
      </c>
      <c r="AP871" s="176" t="str">
        <f>IFERROR(BASE_DATOS[[#This Row],[Kilómetros Rodados]]/(BASE_DATOS[[#This Row],[NSK Original]]-BASE_DATOS[[#This Row],[NSK]]),"")</f>
        <v/>
      </c>
      <c r="AQ87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71" s="177" t="str">
        <f>IFERROR(BASE_DATOS[[#This Row],[Precio US$]]/BASE_DATOS[[#This Row],[Kilómetros Proy.]],"")</f>
        <v/>
      </c>
      <c r="AS871" s="167" t="s">
        <v>62</v>
      </c>
      <c r="AT871" s="167"/>
      <c r="AU871" s="167"/>
      <c r="AV871" s="167"/>
      <c r="AW871" s="179"/>
      <c r="AX871" s="179"/>
      <c r="AY871" s="179" t="str">
        <f>CONCATENATE(BASE_DATOS[[#This Row],[Código_U]]&amp;BASE_DATOS[[#This Row],[Pos.]]&amp;BASE_DATOS[[#This Row],[Situación Actual]])</f>
        <v>PT-163Rodando</v>
      </c>
    </row>
    <row r="872" spans="1:51" ht="12" x14ac:dyDescent="0.25">
      <c r="A872" s="223" t="s">
        <v>446</v>
      </c>
      <c r="B872" s="217" t="s">
        <v>445</v>
      </c>
      <c r="C872" s="228" t="s">
        <v>460</v>
      </c>
      <c r="D872" s="229" t="s">
        <v>87</v>
      </c>
      <c r="E872" s="255"/>
      <c r="F872" s="256" t="s">
        <v>97</v>
      </c>
      <c r="G872" s="256" t="s">
        <v>269</v>
      </c>
      <c r="H872" s="257" t="str">
        <f>IF(BASE_DATOS[[#This Row],[N-R]]="N",BASE_DATOS[[#This Row],[Diseño]],"Reencauche")</f>
        <v>AGC28</v>
      </c>
      <c r="I872" s="256" t="s">
        <v>270</v>
      </c>
      <c r="J872" s="243" t="s">
        <v>72</v>
      </c>
      <c r="K872" s="258">
        <v>16.5</v>
      </c>
      <c r="L872" s="256">
        <v>110</v>
      </c>
      <c r="M872" s="259"/>
      <c r="N872" s="260"/>
      <c r="O872" s="277"/>
      <c r="P872" s="278"/>
      <c r="Q872" s="279"/>
      <c r="R872" s="309" t="s">
        <v>101</v>
      </c>
      <c r="S872" s="310">
        <v>45385</v>
      </c>
      <c r="T872" s="313"/>
      <c r="U872" s="279"/>
      <c r="V872" s="227">
        <v>16</v>
      </c>
      <c r="W872" s="281">
        <v>16</v>
      </c>
      <c r="X872" s="282">
        <v>16</v>
      </c>
      <c r="Y872" s="293">
        <f t="shared" si="42"/>
        <v>16</v>
      </c>
      <c r="Z872" s="161" t="s">
        <v>73</v>
      </c>
      <c r="AA872" s="342">
        <f>IFERROR(BASE_DATOS[[#This Row],[NSK Original]]-BASE_DATOS[[#This Row],[NSK]]," ")</f>
        <v>0.5</v>
      </c>
      <c r="AB872" s="343">
        <f>'NSK-TRACTO'!$A$2</f>
        <v>6</v>
      </c>
      <c r="AC872" s="343">
        <f>IF(BASE_DATOS[[#This Row],[NSK]]&gt;=BASE_DATOS[[#This Row],[NSK Reen]],BASE_DATOS[[#This Row],[NSK Reen]],BASE_DATOS[[#This Row],[NSK]])</f>
        <v>6</v>
      </c>
      <c r="AD872" s="344">
        <f>IFERROR(100%-(BASE_DATOS[[#This Row],[NSK Reen]]/BASE_DATOS[[#This Row],[NSK Original]]),"")</f>
        <v>0.63636363636363635</v>
      </c>
      <c r="AE872" s="344">
        <f>IFERROR(100%-BASE_DATOS[[#This Row],[NSK]]/BASE_DATOS[[#This Row],[NSK Original]],"")</f>
        <v>3.0303030303030276E-2</v>
      </c>
      <c r="AF872" s="344">
        <f>IFERROR(BASE_DATOS[[#This Row],[% Max Des.]]-BASE_DATOS[[#This Row],[% Des]],"")</f>
        <v>0.60606060606060608</v>
      </c>
      <c r="AG872" s="287"/>
      <c r="AH872" s="273"/>
      <c r="AI872" s="363" t="str">
        <f>IF(OR(BASE_DATOS[[#This Row],[Hr.]]="",BASE_DATOS[[#This Row],[Hr. Actual]]=""),"",BASE_DATOS[[#This Row],[Hr. Actual]]-BASE_DATOS[[#This Row],[Hr.]]+BASE_DATOS[[#This Row],[Horas Acumuladas]])</f>
        <v/>
      </c>
      <c r="AJ872" s="364" t="str">
        <f>IFERROR(BASE_DATOS[[#This Row],[Precio US$]]/BASE_DATOS[[#This Row],[Horas Rodadas]],"")</f>
        <v/>
      </c>
      <c r="AK872" s="365" t="str">
        <f>IFERROR(BASE_DATOS[[#This Row],[Horas Rodadas]]/(BASE_DATOS[[#This Row],[NSK Original]]-BASE_DATOS[[#This Row],[NSK]]),"")</f>
        <v/>
      </c>
      <c r="AL87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72" s="366" t="str">
        <f>IFERROR(BASE_DATOS[[#This Row],[Precio US$]]/BASE_DATOS[[#This Row],[Horas Proy.]],"")</f>
        <v/>
      </c>
      <c r="AN872" s="176" t="str">
        <f>IF(OR(BASE_DATOS[[#This Row],[Km.]]="",BASE_DATOS[[#This Row],[Km. Actual]]=""),"",BASE_DATOS[[#This Row],[Km. Actual]]-BASE_DATOS[[#This Row],[Km.]]+BASE_DATOS[[#This Row],[Kilómetros Acumulados]])</f>
        <v/>
      </c>
      <c r="AO872" s="177" t="str">
        <f>IFERROR(BASE_DATOS[[#This Row],[Precio US$]]/BASE_DATOS[[#This Row],[Kilómetros Rodados]],"")</f>
        <v/>
      </c>
      <c r="AP872" s="176" t="str">
        <f>IFERROR(BASE_DATOS[[#This Row],[Kilómetros Rodados]]/(BASE_DATOS[[#This Row],[NSK Original]]-BASE_DATOS[[#This Row],[NSK]]),"")</f>
        <v/>
      </c>
      <c r="AQ87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72" s="177" t="str">
        <f>IFERROR(BASE_DATOS[[#This Row],[Precio US$]]/BASE_DATOS[[#This Row],[Kilómetros Proy.]],"")</f>
        <v/>
      </c>
      <c r="AS872" s="167" t="s">
        <v>62</v>
      </c>
      <c r="AT872" s="167"/>
      <c r="AU872" s="167"/>
      <c r="AV872" s="167"/>
      <c r="AW872" s="179"/>
      <c r="AX872" s="179"/>
      <c r="AY872" s="179" t="str">
        <f>CONCATENATE(BASE_DATOS[[#This Row],[Código_U]]&amp;BASE_DATOS[[#This Row],[Pos.]]&amp;BASE_DATOS[[#This Row],[Situación Actual]])</f>
        <v>PT-164Rodando</v>
      </c>
    </row>
    <row r="873" spans="1:51" ht="12" x14ac:dyDescent="0.25">
      <c r="A873" s="223" t="s">
        <v>446</v>
      </c>
      <c r="B873" s="217" t="s">
        <v>445</v>
      </c>
      <c r="C873" s="228" t="s">
        <v>460</v>
      </c>
      <c r="D873" s="229" t="s">
        <v>87</v>
      </c>
      <c r="E873" s="255"/>
      <c r="F873" s="256" t="s">
        <v>97</v>
      </c>
      <c r="G873" s="256" t="s">
        <v>269</v>
      </c>
      <c r="H873" s="257" t="str">
        <f>IF(BASE_DATOS[[#This Row],[N-R]]="N",BASE_DATOS[[#This Row],[Diseño]],"Reencauche")</f>
        <v>AGC28</v>
      </c>
      <c r="I873" s="256" t="s">
        <v>270</v>
      </c>
      <c r="J873" s="243" t="s">
        <v>72</v>
      </c>
      <c r="K873" s="258">
        <v>16.5</v>
      </c>
      <c r="L873" s="256">
        <v>110</v>
      </c>
      <c r="M873" s="259"/>
      <c r="N873" s="260"/>
      <c r="O873" s="277"/>
      <c r="P873" s="278"/>
      <c r="Q873" s="279"/>
      <c r="R873" s="309" t="s">
        <v>102</v>
      </c>
      <c r="S873" s="310">
        <v>45385</v>
      </c>
      <c r="T873" s="313"/>
      <c r="U873" s="279"/>
      <c r="V873" s="227">
        <v>16</v>
      </c>
      <c r="W873" s="281">
        <v>16</v>
      </c>
      <c r="X873" s="282">
        <v>16</v>
      </c>
      <c r="Y873" s="293">
        <f t="shared" si="42"/>
        <v>16</v>
      </c>
      <c r="Z873" s="161" t="s">
        <v>73</v>
      </c>
      <c r="AA873" s="342">
        <f>IFERROR(BASE_DATOS[[#This Row],[NSK Original]]-BASE_DATOS[[#This Row],[NSK]]," ")</f>
        <v>0.5</v>
      </c>
      <c r="AB873" s="343">
        <f>'NSK-TRACTO'!$A$2</f>
        <v>6</v>
      </c>
      <c r="AC873" s="343">
        <f>IF(BASE_DATOS[[#This Row],[NSK]]&gt;=BASE_DATOS[[#This Row],[NSK Reen]],BASE_DATOS[[#This Row],[NSK Reen]],BASE_DATOS[[#This Row],[NSK]])</f>
        <v>6</v>
      </c>
      <c r="AD873" s="344">
        <f>IFERROR(100%-(BASE_DATOS[[#This Row],[NSK Reen]]/BASE_DATOS[[#This Row],[NSK Original]]),"")</f>
        <v>0.63636363636363635</v>
      </c>
      <c r="AE873" s="344">
        <f>IFERROR(100%-BASE_DATOS[[#This Row],[NSK]]/BASE_DATOS[[#This Row],[NSK Original]],"")</f>
        <v>3.0303030303030276E-2</v>
      </c>
      <c r="AF873" s="344">
        <f>IFERROR(BASE_DATOS[[#This Row],[% Max Des.]]-BASE_DATOS[[#This Row],[% Des]],"")</f>
        <v>0.60606060606060608</v>
      </c>
      <c r="AG873" s="287"/>
      <c r="AH873" s="273"/>
      <c r="AI873" s="363" t="str">
        <f>IF(OR(BASE_DATOS[[#This Row],[Hr.]]="",BASE_DATOS[[#This Row],[Hr. Actual]]=""),"",BASE_DATOS[[#This Row],[Hr. Actual]]-BASE_DATOS[[#This Row],[Hr.]]+BASE_DATOS[[#This Row],[Horas Acumuladas]])</f>
        <v/>
      </c>
      <c r="AJ873" s="364" t="str">
        <f>IFERROR(BASE_DATOS[[#This Row],[Precio US$]]/BASE_DATOS[[#This Row],[Horas Rodadas]],"")</f>
        <v/>
      </c>
      <c r="AK873" s="365" t="str">
        <f>IFERROR(BASE_DATOS[[#This Row],[Horas Rodadas]]/(BASE_DATOS[[#This Row],[NSK Original]]-BASE_DATOS[[#This Row],[NSK]]),"")</f>
        <v/>
      </c>
      <c r="AL87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73" s="366" t="str">
        <f>IFERROR(BASE_DATOS[[#This Row],[Precio US$]]/BASE_DATOS[[#This Row],[Horas Proy.]],"")</f>
        <v/>
      </c>
      <c r="AN873" s="176" t="str">
        <f>IF(OR(BASE_DATOS[[#This Row],[Km.]]="",BASE_DATOS[[#This Row],[Km. Actual]]=""),"",BASE_DATOS[[#This Row],[Km. Actual]]-BASE_DATOS[[#This Row],[Km.]]+BASE_DATOS[[#This Row],[Kilómetros Acumulados]])</f>
        <v/>
      </c>
      <c r="AO873" s="177" t="str">
        <f>IFERROR(BASE_DATOS[[#This Row],[Precio US$]]/BASE_DATOS[[#This Row],[Kilómetros Rodados]],"")</f>
        <v/>
      </c>
      <c r="AP873" s="176" t="str">
        <f>IFERROR(BASE_DATOS[[#This Row],[Kilómetros Rodados]]/(BASE_DATOS[[#This Row],[NSK Original]]-BASE_DATOS[[#This Row],[NSK]]),"")</f>
        <v/>
      </c>
      <c r="AQ87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73" s="177" t="str">
        <f>IFERROR(BASE_DATOS[[#This Row],[Precio US$]]/BASE_DATOS[[#This Row],[Kilómetros Proy.]],"")</f>
        <v/>
      </c>
      <c r="AS873" s="167" t="s">
        <v>62</v>
      </c>
      <c r="AT873" s="167"/>
      <c r="AU873" s="167"/>
      <c r="AV873" s="167"/>
      <c r="AW873" s="179"/>
      <c r="AX873" s="179"/>
      <c r="AY873" s="179" t="str">
        <f>CONCATENATE(BASE_DATOS[[#This Row],[Código_U]]&amp;BASE_DATOS[[#This Row],[Pos.]]&amp;BASE_DATOS[[#This Row],[Situación Actual]])</f>
        <v>PT-165Rodando</v>
      </c>
    </row>
    <row r="874" spans="1:51" ht="12" x14ac:dyDescent="0.25">
      <c r="A874" s="223" t="s">
        <v>446</v>
      </c>
      <c r="B874" s="217" t="s">
        <v>445</v>
      </c>
      <c r="C874" s="228" t="s">
        <v>460</v>
      </c>
      <c r="D874" s="229" t="s">
        <v>87</v>
      </c>
      <c r="E874" s="255"/>
      <c r="F874" s="256" t="s">
        <v>97</v>
      </c>
      <c r="G874" s="256" t="s">
        <v>269</v>
      </c>
      <c r="H874" s="257" t="str">
        <f>IF(BASE_DATOS[[#This Row],[N-R]]="N",BASE_DATOS[[#This Row],[Diseño]],"Reencauche")</f>
        <v>AGC28</v>
      </c>
      <c r="I874" s="256" t="s">
        <v>270</v>
      </c>
      <c r="J874" s="243" t="s">
        <v>72</v>
      </c>
      <c r="K874" s="258">
        <v>16.5</v>
      </c>
      <c r="L874" s="256">
        <v>110</v>
      </c>
      <c r="M874" s="259"/>
      <c r="N874" s="260"/>
      <c r="O874" s="277"/>
      <c r="P874" s="278"/>
      <c r="Q874" s="279"/>
      <c r="R874" s="309" t="s">
        <v>103</v>
      </c>
      <c r="S874" s="310">
        <v>45385</v>
      </c>
      <c r="T874" s="313"/>
      <c r="U874" s="279"/>
      <c r="V874" s="227">
        <v>16</v>
      </c>
      <c r="W874" s="281">
        <v>16</v>
      </c>
      <c r="X874" s="282">
        <v>16</v>
      </c>
      <c r="Y874" s="293">
        <f t="shared" si="42"/>
        <v>16</v>
      </c>
      <c r="Z874" s="161" t="s">
        <v>73</v>
      </c>
      <c r="AA874" s="342">
        <f>IFERROR(BASE_DATOS[[#This Row],[NSK Original]]-BASE_DATOS[[#This Row],[NSK]]," ")</f>
        <v>0.5</v>
      </c>
      <c r="AB874" s="343">
        <f>'NSK-TRACTO'!$A$2</f>
        <v>6</v>
      </c>
      <c r="AC874" s="343">
        <f>IF(BASE_DATOS[[#This Row],[NSK]]&gt;=BASE_DATOS[[#This Row],[NSK Reen]],BASE_DATOS[[#This Row],[NSK Reen]],BASE_DATOS[[#This Row],[NSK]])</f>
        <v>6</v>
      </c>
      <c r="AD874" s="344">
        <f>IFERROR(100%-(BASE_DATOS[[#This Row],[NSK Reen]]/BASE_DATOS[[#This Row],[NSK Original]]),"")</f>
        <v>0.63636363636363635</v>
      </c>
      <c r="AE874" s="344">
        <f>IFERROR(100%-BASE_DATOS[[#This Row],[NSK]]/BASE_DATOS[[#This Row],[NSK Original]],"")</f>
        <v>3.0303030303030276E-2</v>
      </c>
      <c r="AF874" s="344">
        <f>IFERROR(BASE_DATOS[[#This Row],[% Max Des.]]-BASE_DATOS[[#This Row],[% Des]],"")</f>
        <v>0.60606060606060608</v>
      </c>
      <c r="AG874" s="287"/>
      <c r="AH874" s="273"/>
      <c r="AI874" s="363" t="str">
        <f>IF(OR(BASE_DATOS[[#This Row],[Hr.]]="",BASE_DATOS[[#This Row],[Hr. Actual]]=""),"",BASE_DATOS[[#This Row],[Hr. Actual]]-BASE_DATOS[[#This Row],[Hr.]]+BASE_DATOS[[#This Row],[Horas Acumuladas]])</f>
        <v/>
      </c>
      <c r="AJ874" s="364" t="str">
        <f>IFERROR(BASE_DATOS[[#This Row],[Precio US$]]/BASE_DATOS[[#This Row],[Horas Rodadas]],"")</f>
        <v/>
      </c>
      <c r="AK874" s="365" t="str">
        <f>IFERROR(BASE_DATOS[[#This Row],[Horas Rodadas]]/(BASE_DATOS[[#This Row],[NSK Original]]-BASE_DATOS[[#This Row],[NSK]]),"")</f>
        <v/>
      </c>
      <c r="AL87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74" s="366" t="str">
        <f>IFERROR(BASE_DATOS[[#This Row],[Precio US$]]/BASE_DATOS[[#This Row],[Horas Proy.]],"")</f>
        <v/>
      </c>
      <c r="AN874" s="176" t="str">
        <f>IF(OR(BASE_DATOS[[#This Row],[Km.]]="",BASE_DATOS[[#This Row],[Km. Actual]]=""),"",BASE_DATOS[[#This Row],[Km. Actual]]-BASE_DATOS[[#This Row],[Km.]]+BASE_DATOS[[#This Row],[Kilómetros Acumulados]])</f>
        <v/>
      </c>
      <c r="AO874" s="177" t="str">
        <f>IFERROR(BASE_DATOS[[#This Row],[Precio US$]]/BASE_DATOS[[#This Row],[Kilómetros Rodados]],"")</f>
        <v/>
      </c>
      <c r="AP874" s="176" t="str">
        <f>IFERROR(BASE_DATOS[[#This Row],[Kilómetros Rodados]]/(BASE_DATOS[[#This Row],[NSK Original]]-BASE_DATOS[[#This Row],[NSK]]),"")</f>
        <v/>
      </c>
      <c r="AQ87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74" s="177" t="str">
        <f>IFERROR(BASE_DATOS[[#This Row],[Precio US$]]/BASE_DATOS[[#This Row],[Kilómetros Proy.]],"")</f>
        <v/>
      </c>
      <c r="AS874" s="167" t="s">
        <v>62</v>
      </c>
      <c r="AT874" s="167"/>
      <c r="AU874" s="167"/>
      <c r="AV874" s="167"/>
      <c r="AW874" s="179"/>
      <c r="AX874" s="179"/>
      <c r="AY874" s="179" t="str">
        <f>CONCATENATE(BASE_DATOS[[#This Row],[Código_U]]&amp;BASE_DATOS[[#This Row],[Pos.]]&amp;BASE_DATOS[[#This Row],[Situación Actual]])</f>
        <v>PT-166Rodando</v>
      </c>
    </row>
    <row r="875" spans="1:51" ht="12" x14ac:dyDescent="0.25">
      <c r="A875" s="223" t="s">
        <v>446</v>
      </c>
      <c r="B875" s="217" t="s">
        <v>445</v>
      </c>
      <c r="C875" s="228" t="s">
        <v>460</v>
      </c>
      <c r="D875" s="229" t="s">
        <v>384</v>
      </c>
      <c r="E875" s="255"/>
      <c r="F875" s="256" t="s">
        <v>97</v>
      </c>
      <c r="G875" s="256" t="s">
        <v>269</v>
      </c>
      <c r="H875" s="257" t="str">
        <f>IF(BASE_DATOS[[#This Row],[N-R]]="N",BASE_DATOS[[#This Row],[Diseño]],"Reencauche")</f>
        <v>AGC28</v>
      </c>
      <c r="I875" s="256" t="s">
        <v>270</v>
      </c>
      <c r="J875" s="243" t="s">
        <v>72</v>
      </c>
      <c r="K875" s="258">
        <v>16.5</v>
      </c>
      <c r="L875" s="256">
        <v>110</v>
      </c>
      <c r="M875" s="259"/>
      <c r="N875" s="260"/>
      <c r="O875" s="277"/>
      <c r="P875" s="278"/>
      <c r="Q875" s="279"/>
      <c r="R875" s="309" t="s">
        <v>509</v>
      </c>
      <c r="S875" s="310">
        <v>45385</v>
      </c>
      <c r="T875" s="313"/>
      <c r="U875" s="279"/>
      <c r="V875" s="227">
        <v>16</v>
      </c>
      <c r="W875" s="281">
        <v>16</v>
      </c>
      <c r="X875" s="282">
        <v>16</v>
      </c>
      <c r="Y875" s="293">
        <f t="shared" si="42"/>
        <v>16</v>
      </c>
      <c r="Z875" s="161" t="s">
        <v>73</v>
      </c>
      <c r="AA875" s="342">
        <f>IFERROR(BASE_DATOS[[#This Row],[NSK Original]]-BASE_DATOS[[#This Row],[NSK]]," ")</f>
        <v>0.5</v>
      </c>
      <c r="AB875" s="343">
        <f>'NSK-TRACTO'!$A$2</f>
        <v>6</v>
      </c>
      <c r="AC875" s="343">
        <f>IF(BASE_DATOS[[#This Row],[NSK]]&gt;=BASE_DATOS[[#This Row],[NSK Reen]],BASE_DATOS[[#This Row],[NSK Reen]],BASE_DATOS[[#This Row],[NSK]])</f>
        <v>6</v>
      </c>
      <c r="AD875" s="344">
        <f>IFERROR(100%-(BASE_DATOS[[#This Row],[NSK Reen]]/BASE_DATOS[[#This Row],[NSK Original]]),"")</f>
        <v>0.63636363636363635</v>
      </c>
      <c r="AE875" s="344">
        <f>IFERROR(100%-BASE_DATOS[[#This Row],[NSK]]/BASE_DATOS[[#This Row],[NSK Original]],"")</f>
        <v>3.0303030303030276E-2</v>
      </c>
      <c r="AF875" s="344">
        <f>IFERROR(BASE_DATOS[[#This Row],[% Max Des.]]-BASE_DATOS[[#This Row],[% Des]],"")</f>
        <v>0.60606060606060608</v>
      </c>
      <c r="AG875" s="287"/>
      <c r="AH875" s="273"/>
      <c r="AI875" s="363" t="str">
        <f>IF(OR(BASE_DATOS[[#This Row],[Hr.]]="",BASE_DATOS[[#This Row],[Hr. Actual]]=""),"",BASE_DATOS[[#This Row],[Hr. Actual]]-BASE_DATOS[[#This Row],[Hr.]]+BASE_DATOS[[#This Row],[Horas Acumuladas]])</f>
        <v/>
      </c>
      <c r="AJ875" s="364" t="str">
        <f>IFERROR(BASE_DATOS[[#This Row],[Precio US$]]/BASE_DATOS[[#This Row],[Horas Rodadas]],"")</f>
        <v/>
      </c>
      <c r="AK875" s="365" t="str">
        <f>IFERROR(BASE_DATOS[[#This Row],[Horas Rodadas]]/(BASE_DATOS[[#This Row],[NSK Original]]-BASE_DATOS[[#This Row],[NSK]]),"")</f>
        <v/>
      </c>
      <c r="AL87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75" s="366" t="str">
        <f>IFERROR(BASE_DATOS[[#This Row],[Precio US$]]/BASE_DATOS[[#This Row],[Horas Proy.]],"")</f>
        <v/>
      </c>
      <c r="AN875" s="176" t="str">
        <f>IF(OR(BASE_DATOS[[#This Row],[Km.]]="",BASE_DATOS[[#This Row],[Km. Actual]]=""),"",BASE_DATOS[[#This Row],[Km. Actual]]-BASE_DATOS[[#This Row],[Km.]]+BASE_DATOS[[#This Row],[Kilómetros Acumulados]])</f>
        <v/>
      </c>
      <c r="AO875" s="177" t="str">
        <f>IFERROR(BASE_DATOS[[#This Row],[Precio US$]]/BASE_DATOS[[#This Row],[Kilómetros Rodados]],"")</f>
        <v/>
      </c>
      <c r="AP875" s="176" t="str">
        <f>IFERROR(BASE_DATOS[[#This Row],[Kilómetros Rodados]]/(BASE_DATOS[[#This Row],[NSK Original]]-BASE_DATOS[[#This Row],[NSK]]),"")</f>
        <v/>
      </c>
      <c r="AQ87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75" s="177" t="str">
        <f>IFERROR(BASE_DATOS[[#This Row],[Precio US$]]/BASE_DATOS[[#This Row],[Kilómetros Proy.]],"")</f>
        <v/>
      </c>
      <c r="AS875" s="167" t="s">
        <v>62</v>
      </c>
      <c r="AT875" s="167"/>
      <c r="AU875" s="167"/>
      <c r="AV875" s="167"/>
      <c r="AW875" s="179"/>
      <c r="AX875" s="179"/>
      <c r="AY875" s="179" t="str">
        <f>CONCATENATE(BASE_DATOS[[#This Row],[Código_U]]&amp;BASE_DATOS[[#This Row],[Pos.]]&amp;BASE_DATOS[[#This Row],[Situación Actual]])</f>
        <v>PT-16RERodando</v>
      </c>
    </row>
    <row r="876" spans="1:51" ht="12" x14ac:dyDescent="0.25">
      <c r="A876" s="222" t="s">
        <v>448</v>
      </c>
      <c r="B876" s="213" t="s">
        <v>447</v>
      </c>
      <c r="C876" s="225" t="s">
        <v>460</v>
      </c>
      <c r="D876" s="226" t="s">
        <v>87</v>
      </c>
      <c r="E876" s="249"/>
      <c r="F876" s="250" t="s">
        <v>97</v>
      </c>
      <c r="G876" s="250" t="s">
        <v>269</v>
      </c>
      <c r="H876" s="251" t="str">
        <f>IF(BASE_DATOS[[#This Row],[N-R]]="N",BASE_DATOS[[#This Row],[Diseño]],"Reencauche")</f>
        <v>AGC28</v>
      </c>
      <c r="I876" s="250" t="s">
        <v>270</v>
      </c>
      <c r="J876" s="235" t="s">
        <v>72</v>
      </c>
      <c r="K876" s="252">
        <v>16.5</v>
      </c>
      <c r="L876" s="250">
        <v>110</v>
      </c>
      <c r="M876" s="253"/>
      <c r="N876" s="254"/>
      <c r="O876" s="274"/>
      <c r="P876" s="275"/>
      <c r="Q876" s="276"/>
      <c r="R876" s="305" t="s">
        <v>98</v>
      </c>
      <c r="S876" s="306">
        <v>45385</v>
      </c>
      <c r="T876" s="314"/>
      <c r="U876" s="276"/>
      <c r="V876" s="224">
        <v>15</v>
      </c>
      <c r="W876" s="325">
        <v>14</v>
      </c>
      <c r="X876" s="326">
        <v>14</v>
      </c>
      <c r="Y876" s="292">
        <f t="shared" ref="Y876:Y881" si="43">IFERROR(MIN(V876:X876),"")</f>
        <v>14</v>
      </c>
      <c r="Z876" s="185" t="s">
        <v>85</v>
      </c>
      <c r="AA876" s="339">
        <f>IFERROR(BASE_DATOS[[#This Row],[NSK Original]]-BASE_DATOS[[#This Row],[NSK]]," ")</f>
        <v>2.5</v>
      </c>
      <c r="AB876" s="340">
        <f>'NSK-TRACTO'!$A$2</f>
        <v>6</v>
      </c>
      <c r="AC876" s="340">
        <f>IF(BASE_DATOS[[#This Row],[NSK]]&gt;=BASE_DATOS[[#This Row],[NSK Reen]],BASE_DATOS[[#This Row],[NSK Reen]],BASE_DATOS[[#This Row],[NSK]])</f>
        <v>6</v>
      </c>
      <c r="AD876" s="341">
        <f>IFERROR(100%-(BASE_DATOS[[#This Row],[NSK Reen]]/BASE_DATOS[[#This Row],[NSK Original]]),"")</f>
        <v>0.63636363636363635</v>
      </c>
      <c r="AE876" s="341">
        <f>IFERROR(100%-BASE_DATOS[[#This Row],[NSK]]/BASE_DATOS[[#This Row],[NSK Original]],"")</f>
        <v>0.15151515151515149</v>
      </c>
      <c r="AF876" s="341">
        <f>IFERROR(BASE_DATOS[[#This Row],[% Max Des.]]-BASE_DATOS[[#This Row],[% Des]],"")</f>
        <v>0.48484848484848486</v>
      </c>
      <c r="AG876" s="284"/>
      <c r="AH876" s="335"/>
      <c r="AI876" s="359" t="str">
        <f>IF(OR(BASE_DATOS[[#This Row],[Hr.]]="",BASE_DATOS[[#This Row],[Hr. Actual]]=""),"",BASE_DATOS[[#This Row],[Hr. Actual]]-BASE_DATOS[[#This Row],[Hr.]]+BASE_DATOS[[#This Row],[Horas Acumuladas]])</f>
        <v/>
      </c>
      <c r="AJ876" s="360" t="str">
        <f>IFERROR(BASE_DATOS[[#This Row],[Precio US$]]/BASE_DATOS[[#This Row],[Horas Rodadas]],"")</f>
        <v/>
      </c>
      <c r="AK876" s="361" t="str">
        <f>IFERROR(BASE_DATOS[[#This Row],[Horas Rodadas]]/(BASE_DATOS[[#This Row],[NSK Original]]-BASE_DATOS[[#This Row],[NSK]]),"")</f>
        <v/>
      </c>
      <c r="AL876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76" s="362" t="str">
        <f>IFERROR(BASE_DATOS[[#This Row],[Precio US$]]/BASE_DATOS[[#This Row],[Horas Proy.]],"")</f>
        <v/>
      </c>
      <c r="AN876" s="199" t="str">
        <f>IF(OR(BASE_DATOS[[#This Row],[Km.]]="",BASE_DATOS[[#This Row],[Km. Actual]]=""),"",BASE_DATOS[[#This Row],[Km. Actual]]-BASE_DATOS[[#This Row],[Km.]]+BASE_DATOS[[#This Row],[Kilómetros Acumulados]])</f>
        <v/>
      </c>
      <c r="AO876" s="200" t="str">
        <f>IFERROR(BASE_DATOS[[#This Row],[Precio US$]]/BASE_DATOS[[#This Row],[Kilómetros Rodados]],"")</f>
        <v/>
      </c>
      <c r="AP876" s="199" t="str">
        <f>IFERROR(BASE_DATOS[[#This Row],[Kilómetros Rodados]]/(BASE_DATOS[[#This Row],[NSK Original]]-BASE_DATOS[[#This Row],[NSK]]),"")</f>
        <v/>
      </c>
      <c r="AQ876" s="19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76" s="200" t="str">
        <f>IFERROR(BASE_DATOS[[#This Row],[Precio US$]]/BASE_DATOS[[#This Row],[Kilómetros Proy.]],"")</f>
        <v/>
      </c>
      <c r="AS876" s="201" t="s">
        <v>62</v>
      </c>
      <c r="AT876" s="201"/>
      <c r="AU876" s="201"/>
      <c r="AV876" s="201"/>
      <c r="AW876" s="203"/>
      <c r="AX876" s="203"/>
      <c r="AY876" s="203" t="str">
        <f>CONCATENATE(BASE_DATOS[[#This Row],[Código_U]]&amp;BASE_DATOS[[#This Row],[Pos.]]&amp;BASE_DATOS[[#This Row],[Situación Actual]])</f>
        <v>PT-141Rodando</v>
      </c>
    </row>
    <row r="877" spans="1:51" ht="12" x14ac:dyDescent="0.25">
      <c r="A877" s="223" t="s">
        <v>448</v>
      </c>
      <c r="B877" s="217" t="s">
        <v>447</v>
      </c>
      <c r="C877" s="228" t="s">
        <v>460</v>
      </c>
      <c r="D877" s="229" t="s">
        <v>87</v>
      </c>
      <c r="E877" s="255"/>
      <c r="F877" s="256" t="s">
        <v>97</v>
      </c>
      <c r="G877" s="256" t="s">
        <v>269</v>
      </c>
      <c r="H877" s="257" t="str">
        <f>IF(BASE_DATOS[[#This Row],[N-R]]="N",BASE_DATOS[[#This Row],[Diseño]],"Reencauche")</f>
        <v>AGC28</v>
      </c>
      <c r="I877" s="256" t="s">
        <v>270</v>
      </c>
      <c r="J877" s="243" t="s">
        <v>72</v>
      </c>
      <c r="K877" s="258">
        <v>16.5</v>
      </c>
      <c r="L877" s="256">
        <v>110</v>
      </c>
      <c r="M877" s="259"/>
      <c r="N877" s="260"/>
      <c r="O877" s="277"/>
      <c r="P877" s="278"/>
      <c r="Q877" s="279"/>
      <c r="R877" s="309" t="s">
        <v>99</v>
      </c>
      <c r="S877" s="310">
        <v>45385</v>
      </c>
      <c r="T877" s="313"/>
      <c r="U877" s="279"/>
      <c r="V877" s="227">
        <v>15</v>
      </c>
      <c r="W877" s="281">
        <v>15</v>
      </c>
      <c r="X877" s="282">
        <v>15</v>
      </c>
      <c r="Y877" s="293">
        <f t="shared" si="43"/>
        <v>15</v>
      </c>
      <c r="Z877" s="161" t="s">
        <v>73</v>
      </c>
      <c r="AA877" s="342">
        <f>IFERROR(BASE_DATOS[[#This Row],[NSK Original]]-BASE_DATOS[[#This Row],[NSK]]," ")</f>
        <v>1.5</v>
      </c>
      <c r="AB877" s="343">
        <f>'NSK-TRACTO'!$A$2</f>
        <v>6</v>
      </c>
      <c r="AC877" s="343">
        <f>IF(BASE_DATOS[[#This Row],[NSK]]&gt;=BASE_DATOS[[#This Row],[NSK Reen]],BASE_DATOS[[#This Row],[NSK Reen]],BASE_DATOS[[#This Row],[NSK]])</f>
        <v>6</v>
      </c>
      <c r="AD877" s="344">
        <f>IFERROR(100%-(BASE_DATOS[[#This Row],[NSK Reen]]/BASE_DATOS[[#This Row],[NSK Original]]),"")</f>
        <v>0.63636363636363635</v>
      </c>
      <c r="AE877" s="344">
        <f>IFERROR(100%-BASE_DATOS[[#This Row],[NSK]]/BASE_DATOS[[#This Row],[NSK Original]],"")</f>
        <v>9.0909090909090939E-2</v>
      </c>
      <c r="AF877" s="344">
        <f>IFERROR(BASE_DATOS[[#This Row],[% Max Des.]]-BASE_DATOS[[#This Row],[% Des]],"")</f>
        <v>0.54545454545454541</v>
      </c>
      <c r="AG877" s="287"/>
      <c r="AH877" s="273"/>
      <c r="AI877" s="363" t="str">
        <f>IF(OR(BASE_DATOS[[#This Row],[Hr.]]="",BASE_DATOS[[#This Row],[Hr. Actual]]=""),"",BASE_DATOS[[#This Row],[Hr. Actual]]-BASE_DATOS[[#This Row],[Hr.]]+BASE_DATOS[[#This Row],[Horas Acumuladas]])</f>
        <v/>
      </c>
      <c r="AJ877" s="364" t="str">
        <f>IFERROR(BASE_DATOS[[#This Row],[Precio US$]]/BASE_DATOS[[#This Row],[Horas Rodadas]],"")</f>
        <v/>
      </c>
      <c r="AK877" s="365" t="str">
        <f>IFERROR(BASE_DATOS[[#This Row],[Horas Rodadas]]/(BASE_DATOS[[#This Row],[NSK Original]]-BASE_DATOS[[#This Row],[NSK]]),"")</f>
        <v/>
      </c>
      <c r="AL87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77" s="366" t="str">
        <f>IFERROR(BASE_DATOS[[#This Row],[Precio US$]]/BASE_DATOS[[#This Row],[Horas Proy.]],"")</f>
        <v/>
      </c>
      <c r="AN877" s="176" t="str">
        <f>IF(OR(BASE_DATOS[[#This Row],[Km.]]="",BASE_DATOS[[#This Row],[Km. Actual]]=""),"",BASE_DATOS[[#This Row],[Km. Actual]]-BASE_DATOS[[#This Row],[Km.]]+BASE_DATOS[[#This Row],[Kilómetros Acumulados]])</f>
        <v/>
      </c>
      <c r="AO877" s="177" t="str">
        <f>IFERROR(BASE_DATOS[[#This Row],[Precio US$]]/BASE_DATOS[[#This Row],[Kilómetros Rodados]],"")</f>
        <v/>
      </c>
      <c r="AP877" s="176" t="str">
        <f>IFERROR(BASE_DATOS[[#This Row],[Kilómetros Rodados]]/(BASE_DATOS[[#This Row],[NSK Original]]-BASE_DATOS[[#This Row],[NSK]]),"")</f>
        <v/>
      </c>
      <c r="AQ87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77" s="177" t="str">
        <f>IFERROR(BASE_DATOS[[#This Row],[Precio US$]]/BASE_DATOS[[#This Row],[Kilómetros Proy.]],"")</f>
        <v/>
      </c>
      <c r="AS877" s="167" t="s">
        <v>62</v>
      </c>
      <c r="AT877" s="167"/>
      <c r="AU877" s="167"/>
      <c r="AV877" s="167"/>
      <c r="AW877" s="179"/>
      <c r="AX877" s="179"/>
      <c r="AY877" s="179" t="str">
        <f>CONCATENATE(BASE_DATOS[[#This Row],[Código_U]]&amp;BASE_DATOS[[#This Row],[Pos.]]&amp;BASE_DATOS[[#This Row],[Situación Actual]])</f>
        <v>PT-142Rodando</v>
      </c>
    </row>
    <row r="878" spans="1:51" ht="12" x14ac:dyDescent="0.25">
      <c r="A878" s="223" t="s">
        <v>448</v>
      </c>
      <c r="B878" s="217" t="s">
        <v>447</v>
      </c>
      <c r="C878" s="228" t="s">
        <v>460</v>
      </c>
      <c r="D878" s="229" t="s">
        <v>87</v>
      </c>
      <c r="E878" s="255"/>
      <c r="F878" s="256" t="s">
        <v>97</v>
      </c>
      <c r="G878" s="256" t="s">
        <v>269</v>
      </c>
      <c r="H878" s="257" t="str">
        <f>IF(BASE_DATOS[[#This Row],[N-R]]="N",BASE_DATOS[[#This Row],[Diseño]],"Reencauche")</f>
        <v>AGC28</v>
      </c>
      <c r="I878" s="256" t="s">
        <v>270</v>
      </c>
      <c r="J878" s="243" t="s">
        <v>72</v>
      </c>
      <c r="K878" s="258">
        <v>16.5</v>
      </c>
      <c r="L878" s="256">
        <v>110</v>
      </c>
      <c r="M878" s="259"/>
      <c r="N878" s="260"/>
      <c r="O878" s="277"/>
      <c r="P878" s="278"/>
      <c r="Q878" s="279"/>
      <c r="R878" s="309" t="s">
        <v>100</v>
      </c>
      <c r="S878" s="310">
        <v>45385</v>
      </c>
      <c r="T878" s="313"/>
      <c r="U878" s="279"/>
      <c r="V878" s="227">
        <v>12</v>
      </c>
      <c r="W878" s="281">
        <v>12</v>
      </c>
      <c r="X878" s="282">
        <v>14</v>
      </c>
      <c r="Y878" s="293">
        <f t="shared" si="43"/>
        <v>12</v>
      </c>
      <c r="Z878" s="161" t="s">
        <v>73</v>
      </c>
      <c r="AA878" s="342">
        <f>IFERROR(BASE_DATOS[[#This Row],[NSK Original]]-BASE_DATOS[[#This Row],[NSK]]," ")</f>
        <v>4.5</v>
      </c>
      <c r="AB878" s="343">
        <f>'NSK-TRACTO'!$A$2</f>
        <v>6</v>
      </c>
      <c r="AC878" s="343">
        <f>IF(BASE_DATOS[[#This Row],[NSK]]&gt;=BASE_DATOS[[#This Row],[NSK Reen]],BASE_DATOS[[#This Row],[NSK Reen]],BASE_DATOS[[#This Row],[NSK]])</f>
        <v>6</v>
      </c>
      <c r="AD878" s="344">
        <f>IFERROR(100%-(BASE_DATOS[[#This Row],[NSK Reen]]/BASE_DATOS[[#This Row],[NSK Original]]),"")</f>
        <v>0.63636363636363635</v>
      </c>
      <c r="AE878" s="344">
        <f>IFERROR(100%-BASE_DATOS[[#This Row],[NSK]]/BASE_DATOS[[#This Row],[NSK Original]],"")</f>
        <v>0.27272727272727271</v>
      </c>
      <c r="AF878" s="344">
        <f>IFERROR(BASE_DATOS[[#This Row],[% Max Des.]]-BASE_DATOS[[#This Row],[% Des]],"")</f>
        <v>0.36363636363636365</v>
      </c>
      <c r="AG878" s="287"/>
      <c r="AH878" s="273"/>
      <c r="AI878" s="363" t="str">
        <f>IF(OR(BASE_DATOS[[#This Row],[Hr.]]="",BASE_DATOS[[#This Row],[Hr. Actual]]=""),"",BASE_DATOS[[#This Row],[Hr. Actual]]-BASE_DATOS[[#This Row],[Hr.]]+BASE_DATOS[[#This Row],[Horas Acumuladas]])</f>
        <v/>
      </c>
      <c r="AJ878" s="364" t="str">
        <f>IFERROR(BASE_DATOS[[#This Row],[Precio US$]]/BASE_DATOS[[#This Row],[Horas Rodadas]],"")</f>
        <v/>
      </c>
      <c r="AK878" s="365" t="str">
        <f>IFERROR(BASE_DATOS[[#This Row],[Horas Rodadas]]/(BASE_DATOS[[#This Row],[NSK Original]]-BASE_DATOS[[#This Row],[NSK]]),"")</f>
        <v/>
      </c>
      <c r="AL87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78" s="366" t="str">
        <f>IFERROR(BASE_DATOS[[#This Row],[Precio US$]]/BASE_DATOS[[#This Row],[Horas Proy.]],"")</f>
        <v/>
      </c>
      <c r="AN878" s="176" t="str">
        <f>IF(OR(BASE_DATOS[[#This Row],[Km.]]="",BASE_DATOS[[#This Row],[Km. Actual]]=""),"",BASE_DATOS[[#This Row],[Km. Actual]]-BASE_DATOS[[#This Row],[Km.]]+BASE_DATOS[[#This Row],[Kilómetros Acumulados]])</f>
        <v/>
      </c>
      <c r="AO878" s="177" t="str">
        <f>IFERROR(BASE_DATOS[[#This Row],[Precio US$]]/BASE_DATOS[[#This Row],[Kilómetros Rodados]],"")</f>
        <v/>
      </c>
      <c r="AP878" s="176" t="str">
        <f>IFERROR(BASE_DATOS[[#This Row],[Kilómetros Rodados]]/(BASE_DATOS[[#This Row],[NSK Original]]-BASE_DATOS[[#This Row],[NSK]]),"")</f>
        <v/>
      </c>
      <c r="AQ87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78" s="177" t="str">
        <f>IFERROR(BASE_DATOS[[#This Row],[Precio US$]]/BASE_DATOS[[#This Row],[Kilómetros Proy.]],"")</f>
        <v/>
      </c>
      <c r="AS878" s="167" t="s">
        <v>62</v>
      </c>
      <c r="AT878" s="167"/>
      <c r="AU878" s="167"/>
      <c r="AV878" s="167"/>
      <c r="AW878" s="179"/>
      <c r="AX878" s="169" t="s">
        <v>371</v>
      </c>
      <c r="AY878" s="169" t="str">
        <f>CONCATENATE(BASE_DATOS[[#This Row],[Código_U]]&amp;BASE_DATOS[[#This Row],[Pos.]]&amp;BASE_DATOS[[#This Row],[Situación Actual]])</f>
        <v>PT-143Rodando</v>
      </c>
    </row>
    <row r="879" spans="1:51" ht="12" x14ac:dyDescent="0.25">
      <c r="A879" s="223" t="s">
        <v>448</v>
      </c>
      <c r="B879" s="217" t="s">
        <v>447</v>
      </c>
      <c r="C879" s="228" t="s">
        <v>460</v>
      </c>
      <c r="D879" s="229" t="s">
        <v>87</v>
      </c>
      <c r="E879" s="255"/>
      <c r="F879" s="256" t="s">
        <v>97</v>
      </c>
      <c r="G879" s="256" t="s">
        <v>269</v>
      </c>
      <c r="H879" s="257" t="str">
        <f>IF(BASE_DATOS[[#This Row],[N-R]]="N",BASE_DATOS[[#This Row],[Diseño]],"Reencauche")</f>
        <v>AGC28</v>
      </c>
      <c r="I879" s="256" t="s">
        <v>270</v>
      </c>
      <c r="J879" s="243" t="s">
        <v>72</v>
      </c>
      <c r="K879" s="258">
        <v>16.5</v>
      </c>
      <c r="L879" s="256">
        <v>110</v>
      </c>
      <c r="M879" s="259"/>
      <c r="N879" s="260"/>
      <c r="O879" s="277"/>
      <c r="P879" s="278"/>
      <c r="Q879" s="279"/>
      <c r="R879" s="309" t="s">
        <v>101</v>
      </c>
      <c r="S879" s="310">
        <v>45385</v>
      </c>
      <c r="T879" s="313"/>
      <c r="U879" s="279"/>
      <c r="V879" s="227">
        <v>14</v>
      </c>
      <c r="W879" s="281">
        <v>13</v>
      </c>
      <c r="X879" s="282">
        <v>14</v>
      </c>
      <c r="Y879" s="293">
        <f t="shared" si="43"/>
        <v>13</v>
      </c>
      <c r="Z879" s="161" t="s">
        <v>73</v>
      </c>
      <c r="AA879" s="342">
        <f>IFERROR(BASE_DATOS[[#This Row],[NSK Original]]-BASE_DATOS[[#This Row],[NSK]]," ")</f>
        <v>3.5</v>
      </c>
      <c r="AB879" s="343">
        <f>'NSK-TRACTO'!$A$2</f>
        <v>6</v>
      </c>
      <c r="AC879" s="343">
        <f>IF(BASE_DATOS[[#This Row],[NSK]]&gt;=BASE_DATOS[[#This Row],[NSK Reen]],BASE_DATOS[[#This Row],[NSK Reen]],BASE_DATOS[[#This Row],[NSK]])</f>
        <v>6</v>
      </c>
      <c r="AD879" s="344">
        <f>IFERROR(100%-(BASE_DATOS[[#This Row],[NSK Reen]]/BASE_DATOS[[#This Row],[NSK Original]]),"")</f>
        <v>0.63636363636363635</v>
      </c>
      <c r="AE879" s="344">
        <f>IFERROR(100%-BASE_DATOS[[#This Row],[NSK]]/BASE_DATOS[[#This Row],[NSK Original]],"")</f>
        <v>0.21212121212121215</v>
      </c>
      <c r="AF879" s="344">
        <f>IFERROR(BASE_DATOS[[#This Row],[% Max Des.]]-BASE_DATOS[[#This Row],[% Des]],"")</f>
        <v>0.4242424242424242</v>
      </c>
      <c r="AG879" s="287"/>
      <c r="AH879" s="273"/>
      <c r="AI879" s="363" t="str">
        <f>IF(OR(BASE_DATOS[[#This Row],[Hr.]]="",BASE_DATOS[[#This Row],[Hr. Actual]]=""),"",BASE_DATOS[[#This Row],[Hr. Actual]]-BASE_DATOS[[#This Row],[Hr.]]+BASE_DATOS[[#This Row],[Horas Acumuladas]])</f>
        <v/>
      </c>
      <c r="AJ879" s="364" t="str">
        <f>IFERROR(BASE_DATOS[[#This Row],[Precio US$]]/BASE_DATOS[[#This Row],[Horas Rodadas]],"")</f>
        <v/>
      </c>
      <c r="AK879" s="365" t="str">
        <f>IFERROR(BASE_DATOS[[#This Row],[Horas Rodadas]]/(BASE_DATOS[[#This Row],[NSK Original]]-BASE_DATOS[[#This Row],[NSK]]),"")</f>
        <v/>
      </c>
      <c r="AL87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79" s="366" t="str">
        <f>IFERROR(BASE_DATOS[[#This Row],[Precio US$]]/BASE_DATOS[[#This Row],[Horas Proy.]],"")</f>
        <v/>
      </c>
      <c r="AN879" s="176" t="str">
        <f>IF(OR(BASE_DATOS[[#This Row],[Km.]]="",BASE_DATOS[[#This Row],[Km. Actual]]=""),"",BASE_DATOS[[#This Row],[Km. Actual]]-BASE_DATOS[[#This Row],[Km.]]+BASE_DATOS[[#This Row],[Kilómetros Acumulados]])</f>
        <v/>
      </c>
      <c r="AO879" s="177" t="str">
        <f>IFERROR(BASE_DATOS[[#This Row],[Precio US$]]/BASE_DATOS[[#This Row],[Kilómetros Rodados]],"")</f>
        <v/>
      </c>
      <c r="AP879" s="176" t="str">
        <f>IFERROR(BASE_DATOS[[#This Row],[Kilómetros Rodados]]/(BASE_DATOS[[#This Row],[NSK Original]]-BASE_DATOS[[#This Row],[NSK]]),"")</f>
        <v/>
      </c>
      <c r="AQ87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79" s="177" t="str">
        <f>IFERROR(BASE_DATOS[[#This Row],[Precio US$]]/BASE_DATOS[[#This Row],[Kilómetros Proy.]],"")</f>
        <v/>
      </c>
      <c r="AS879" s="167" t="s">
        <v>62</v>
      </c>
      <c r="AT879" s="167"/>
      <c r="AU879" s="167"/>
      <c r="AV879" s="167"/>
      <c r="AW879" s="179"/>
      <c r="AX879" s="169" t="s">
        <v>371</v>
      </c>
      <c r="AY879" s="169" t="str">
        <f>CONCATENATE(BASE_DATOS[[#This Row],[Código_U]]&amp;BASE_DATOS[[#This Row],[Pos.]]&amp;BASE_DATOS[[#This Row],[Situación Actual]])</f>
        <v>PT-144Rodando</v>
      </c>
    </row>
    <row r="880" spans="1:51" ht="12" x14ac:dyDescent="0.25">
      <c r="A880" s="223" t="s">
        <v>448</v>
      </c>
      <c r="B880" s="217" t="s">
        <v>447</v>
      </c>
      <c r="C880" s="228" t="s">
        <v>460</v>
      </c>
      <c r="D880" s="229" t="s">
        <v>87</v>
      </c>
      <c r="E880" s="255"/>
      <c r="F880" s="256" t="s">
        <v>97</v>
      </c>
      <c r="G880" s="256" t="s">
        <v>269</v>
      </c>
      <c r="H880" s="257" t="str">
        <f>IF(BASE_DATOS[[#This Row],[N-R]]="N",BASE_DATOS[[#This Row],[Diseño]],"Reencauche")</f>
        <v>AGC28</v>
      </c>
      <c r="I880" s="256" t="s">
        <v>270</v>
      </c>
      <c r="J880" s="243" t="s">
        <v>72</v>
      </c>
      <c r="K880" s="258">
        <v>16.5</v>
      </c>
      <c r="L880" s="256">
        <v>110</v>
      </c>
      <c r="M880" s="259"/>
      <c r="N880" s="260"/>
      <c r="O880" s="277"/>
      <c r="P880" s="278"/>
      <c r="Q880" s="279"/>
      <c r="R880" s="309" t="s">
        <v>102</v>
      </c>
      <c r="S880" s="310">
        <v>45385</v>
      </c>
      <c r="T880" s="313"/>
      <c r="U880" s="279"/>
      <c r="V880" s="227">
        <v>15</v>
      </c>
      <c r="W880" s="281">
        <v>15</v>
      </c>
      <c r="X880" s="282">
        <v>15</v>
      </c>
      <c r="Y880" s="293">
        <f t="shared" si="43"/>
        <v>15</v>
      </c>
      <c r="Z880" s="161" t="s">
        <v>73</v>
      </c>
      <c r="AA880" s="342">
        <f>IFERROR(BASE_DATOS[[#This Row],[NSK Original]]-BASE_DATOS[[#This Row],[NSK]]," ")</f>
        <v>1.5</v>
      </c>
      <c r="AB880" s="343">
        <f>'NSK-TRACTO'!$A$2</f>
        <v>6</v>
      </c>
      <c r="AC880" s="343">
        <f>IF(BASE_DATOS[[#This Row],[NSK]]&gt;=BASE_DATOS[[#This Row],[NSK Reen]],BASE_DATOS[[#This Row],[NSK Reen]],BASE_DATOS[[#This Row],[NSK]])</f>
        <v>6</v>
      </c>
      <c r="AD880" s="344">
        <f>IFERROR(100%-(BASE_DATOS[[#This Row],[NSK Reen]]/BASE_DATOS[[#This Row],[NSK Original]]),"")</f>
        <v>0.63636363636363635</v>
      </c>
      <c r="AE880" s="344">
        <f>IFERROR(100%-BASE_DATOS[[#This Row],[NSK]]/BASE_DATOS[[#This Row],[NSK Original]],"")</f>
        <v>9.0909090909090939E-2</v>
      </c>
      <c r="AF880" s="344">
        <f>IFERROR(BASE_DATOS[[#This Row],[% Max Des.]]-BASE_DATOS[[#This Row],[% Des]],"")</f>
        <v>0.54545454545454541</v>
      </c>
      <c r="AG880" s="287"/>
      <c r="AH880" s="273"/>
      <c r="AI880" s="363" t="str">
        <f>IF(OR(BASE_DATOS[[#This Row],[Hr.]]="",BASE_DATOS[[#This Row],[Hr. Actual]]=""),"",BASE_DATOS[[#This Row],[Hr. Actual]]-BASE_DATOS[[#This Row],[Hr.]]+BASE_DATOS[[#This Row],[Horas Acumuladas]])</f>
        <v/>
      </c>
      <c r="AJ880" s="364" t="str">
        <f>IFERROR(BASE_DATOS[[#This Row],[Precio US$]]/BASE_DATOS[[#This Row],[Horas Rodadas]],"")</f>
        <v/>
      </c>
      <c r="AK880" s="365" t="str">
        <f>IFERROR(BASE_DATOS[[#This Row],[Horas Rodadas]]/(BASE_DATOS[[#This Row],[NSK Original]]-BASE_DATOS[[#This Row],[NSK]]),"")</f>
        <v/>
      </c>
      <c r="AL88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80" s="366" t="str">
        <f>IFERROR(BASE_DATOS[[#This Row],[Precio US$]]/BASE_DATOS[[#This Row],[Horas Proy.]],"")</f>
        <v/>
      </c>
      <c r="AN880" s="176" t="str">
        <f>IF(OR(BASE_DATOS[[#This Row],[Km.]]="",BASE_DATOS[[#This Row],[Km. Actual]]=""),"",BASE_DATOS[[#This Row],[Km. Actual]]-BASE_DATOS[[#This Row],[Km.]]+BASE_DATOS[[#This Row],[Kilómetros Acumulados]])</f>
        <v/>
      </c>
      <c r="AO880" s="177" t="str">
        <f>IFERROR(BASE_DATOS[[#This Row],[Precio US$]]/BASE_DATOS[[#This Row],[Kilómetros Rodados]],"")</f>
        <v/>
      </c>
      <c r="AP880" s="176" t="str">
        <f>IFERROR(BASE_DATOS[[#This Row],[Kilómetros Rodados]]/(BASE_DATOS[[#This Row],[NSK Original]]-BASE_DATOS[[#This Row],[NSK]]),"")</f>
        <v/>
      </c>
      <c r="AQ88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80" s="177" t="str">
        <f>IFERROR(BASE_DATOS[[#This Row],[Precio US$]]/BASE_DATOS[[#This Row],[Kilómetros Proy.]],"")</f>
        <v/>
      </c>
      <c r="AS880" s="167" t="s">
        <v>62</v>
      </c>
      <c r="AT880" s="167"/>
      <c r="AU880" s="167"/>
      <c r="AV880" s="167"/>
      <c r="AW880" s="179"/>
      <c r="AX880" s="179"/>
      <c r="AY880" s="179" t="str">
        <f>CONCATENATE(BASE_DATOS[[#This Row],[Código_U]]&amp;BASE_DATOS[[#This Row],[Pos.]]&amp;BASE_DATOS[[#This Row],[Situación Actual]])</f>
        <v>PT-145Rodando</v>
      </c>
    </row>
    <row r="881" spans="1:51" ht="12" x14ac:dyDescent="0.25">
      <c r="A881" s="223" t="s">
        <v>448</v>
      </c>
      <c r="B881" s="217" t="s">
        <v>447</v>
      </c>
      <c r="C881" s="228" t="s">
        <v>460</v>
      </c>
      <c r="D881" s="229" t="s">
        <v>87</v>
      </c>
      <c r="E881" s="255"/>
      <c r="F881" s="256" t="s">
        <v>97</v>
      </c>
      <c r="G881" s="256" t="s">
        <v>269</v>
      </c>
      <c r="H881" s="257" t="str">
        <f>IF(BASE_DATOS[[#This Row],[N-R]]="N",BASE_DATOS[[#This Row],[Diseño]],"Reencauche")</f>
        <v>AGC28</v>
      </c>
      <c r="I881" s="256" t="s">
        <v>270</v>
      </c>
      <c r="J881" s="243" t="s">
        <v>72</v>
      </c>
      <c r="K881" s="258">
        <v>16.5</v>
      </c>
      <c r="L881" s="256">
        <v>110</v>
      </c>
      <c r="M881" s="259"/>
      <c r="N881" s="260"/>
      <c r="O881" s="277"/>
      <c r="P881" s="278"/>
      <c r="Q881" s="279"/>
      <c r="R881" s="309" t="s">
        <v>103</v>
      </c>
      <c r="S881" s="310">
        <v>45385</v>
      </c>
      <c r="T881" s="313"/>
      <c r="U881" s="279"/>
      <c r="V881" s="227">
        <v>15</v>
      </c>
      <c r="W881" s="281">
        <v>15</v>
      </c>
      <c r="X881" s="282">
        <v>15</v>
      </c>
      <c r="Y881" s="293">
        <f t="shared" si="43"/>
        <v>15</v>
      </c>
      <c r="Z881" s="161" t="s">
        <v>73</v>
      </c>
      <c r="AA881" s="342">
        <f>IFERROR(BASE_DATOS[[#This Row],[NSK Original]]-BASE_DATOS[[#This Row],[NSK]]," ")</f>
        <v>1.5</v>
      </c>
      <c r="AB881" s="343">
        <f>'NSK-TRACTO'!$A$2</f>
        <v>6</v>
      </c>
      <c r="AC881" s="343">
        <f>IF(BASE_DATOS[[#This Row],[NSK]]&gt;=BASE_DATOS[[#This Row],[NSK Reen]],BASE_DATOS[[#This Row],[NSK Reen]],BASE_DATOS[[#This Row],[NSK]])</f>
        <v>6</v>
      </c>
      <c r="AD881" s="344">
        <f>IFERROR(100%-(BASE_DATOS[[#This Row],[NSK Reen]]/BASE_DATOS[[#This Row],[NSK Original]]),"")</f>
        <v>0.63636363636363635</v>
      </c>
      <c r="AE881" s="344">
        <f>IFERROR(100%-BASE_DATOS[[#This Row],[NSK]]/BASE_DATOS[[#This Row],[NSK Original]],"")</f>
        <v>9.0909090909090939E-2</v>
      </c>
      <c r="AF881" s="344">
        <f>IFERROR(BASE_DATOS[[#This Row],[% Max Des.]]-BASE_DATOS[[#This Row],[% Des]],"")</f>
        <v>0.54545454545454541</v>
      </c>
      <c r="AG881" s="287"/>
      <c r="AH881" s="273"/>
      <c r="AI881" s="363" t="str">
        <f>IF(OR(BASE_DATOS[[#This Row],[Hr.]]="",BASE_DATOS[[#This Row],[Hr. Actual]]=""),"",BASE_DATOS[[#This Row],[Hr. Actual]]-BASE_DATOS[[#This Row],[Hr.]]+BASE_DATOS[[#This Row],[Horas Acumuladas]])</f>
        <v/>
      </c>
      <c r="AJ881" s="364" t="str">
        <f>IFERROR(BASE_DATOS[[#This Row],[Precio US$]]/BASE_DATOS[[#This Row],[Horas Rodadas]],"")</f>
        <v/>
      </c>
      <c r="AK881" s="365" t="str">
        <f>IFERROR(BASE_DATOS[[#This Row],[Horas Rodadas]]/(BASE_DATOS[[#This Row],[NSK Original]]-BASE_DATOS[[#This Row],[NSK]]),"")</f>
        <v/>
      </c>
      <c r="AL88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81" s="366" t="str">
        <f>IFERROR(BASE_DATOS[[#This Row],[Precio US$]]/BASE_DATOS[[#This Row],[Horas Proy.]],"")</f>
        <v/>
      </c>
      <c r="AN881" s="176" t="str">
        <f>IF(OR(BASE_DATOS[[#This Row],[Km.]]="",BASE_DATOS[[#This Row],[Km. Actual]]=""),"",BASE_DATOS[[#This Row],[Km. Actual]]-BASE_DATOS[[#This Row],[Km.]]+BASE_DATOS[[#This Row],[Kilómetros Acumulados]])</f>
        <v/>
      </c>
      <c r="AO881" s="177" t="str">
        <f>IFERROR(BASE_DATOS[[#This Row],[Precio US$]]/BASE_DATOS[[#This Row],[Kilómetros Rodados]],"")</f>
        <v/>
      </c>
      <c r="AP881" s="176" t="str">
        <f>IFERROR(BASE_DATOS[[#This Row],[Kilómetros Rodados]]/(BASE_DATOS[[#This Row],[NSK Original]]-BASE_DATOS[[#This Row],[NSK]]),"")</f>
        <v/>
      </c>
      <c r="AQ88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81" s="177" t="str">
        <f>IFERROR(BASE_DATOS[[#This Row],[Precio US$]]/BASE_DATOS[[#This Row],[Kilómetros Proy.]],"")</f>
        <v/>
      </c>
      <c r="AS881" s="167" t="s">
        <v>62</v>
      </c>
      <c r="AT881" s="167"/>
      <c r="AU881" s="167"/>
      <c r="AV881" s="167"/>
      <c r="AW881" s="179"/>
      <c r="AX881" s="179"/>
      <c r="AY881" s="179" t="str">
        <f>CONCATENATE(BASE_DATOS[[#This Row],[Código_U]]&amp;BASE_DATOS[[#This Row],[Pos.]]&amp;BASE_DATOS[[#This Row],[Situación Actual]])</f>
        <v>PT-146Rodando</v>
      </c>
    </row>
    <row r="882" spans="1:51" ht="12" x14ac:dyDescent="0.25">
      <c r="A882" s="222" t="s">
        <v>438</v>
      </c>
      <c r="B882" s="213" t="s">
        <v>266</v>
      </c>
      <c r="C882" s="225" t="s">
        <v>460</v>
      </c>
      <c r="D882" s="226" t="s">
        <v>87</v>
      </c>
      <c r="E882" s="249"/>
      <c r="F882" s="250" t="s">
        <v>273</v>
      </c>
      <c r="G882" s="250" t="s">
        <v>274</v>
      </c>
      <c r="H882" s="251" t="str">
        <f>IF(BASE_DATOS[[#This Row],[N-R]]="N",BASE_DATOS[[#This Row],[Diseño]],"Reencauche")</f>
        <v>Reencauche</v>
      </c>
      <c r="I882" s="250" t="s">
        <v>275</v>
      </c>
      <c r="J882" s="235" t="s">
        <v>82</v>
      </c>
      <c r="K882" s="252">
        <v>19</v>
      </c>
      <c r="L882" s="250">
        <v>110</v>
      </c>
      <c r="M882" s="253"/>
      <c r="N882" s="254"/>
      <c r="O882" s="274"/>
      <c r="P882" s="275"/>
      <c r="Q882" s="276"/>
      <c r="R882" s="305">
        <v>1</v>
      </c>
      <c r="S882" s="306">
        <v>45385</v>
      </c>
      <c r="T882" s="314"/>
      <c r="U882" s="276"/>
      <c r="V882" s="224">
        <v>7</v>
      </c>
      <c r="W882" s="325">
        <v>7</v>
      </c>
      <c r="X882" s="326">
        <v>7</v>
      </c>
      <c r="Y882" s="292">
        <f t="shared" ref="Y882:Y887" si="44">IFERROR(MIN(V882:X882),"")</f>
        <v>7</v>
      </c>
      <c r="Z882" s="194" t="s">
        <v>85</v>
      </c>
      <c r="AA882" s="339">
        <f>IFERROR(BASE_DATOS[[#This Row],[NSK Original]]-BASE_DATOS[[#This Row],[NSK]]," ")</f>
        <v>12</v>
      </c>
      <c r="AB882" s="340">
        <f>'NSK-TRACTO'!$A$2</f>
        <v>6</v>
      </c>
      <c r="AC882" s="340">
        <f>IF(BASE_DATOS[[#This Row],[NSK]]&gt;=BASE_DATOS[[#This Row],[NSK Reen]],BASE_DATOS[[#This Row],[NSK Reen]],BASE_DATOS[[#This Row],[NSK]])</f>
        <v>6</v>
      </c>
      <c r="AD882" s="341">
        <f>IFERROR(100%-(BASE_DATOS[[#This Row],[NSK Reen]]/BASE_DATOS[[#This Row],[NSK Original]]),"")</f>
        <v>0.68421052631578949</v>
      </c>
      <c r="AE882" s="341">
        <f>IFERROR(100%-BASE_DATOS[[#This Row],[NSK]]/BASE_DATOS[[#This Row],[NSK Original]],"")</f>
        <v>0.63157894736842102</v>
      </c>
      <c r="AF882" s="341">
        <f>IFERROR(BASE_DATOS[[#This Row],[% Max Des.]]-BASE_DATOS[[#This Row],[% Des]],"")</f>
        <v>5.2631578947368474E-2</v>
      </c>
      <c r="AG882" s="284"/>
      <c r="AH882" s="335"/>
      <c r="AI882" s="359" t="str">
        <f>IF(OR(BASE_DATOS[[#This Row],[Hr.]]="",BASE_DATOS[[#This Row],[Hr. Actual]]=""),"",BASE_DATOS[[#This Row],[Hr. Actual]]-BASE_DATOS[[#This Row],[Hr.]]+BASE_DATOS[[#This Row],[Horas Acumuladas]])</f>
        <v/>
      </c>
      <c r="AJ882" s="360" t="str">
        <f>IFERROR(BASE_DATOS[[#This Row],[Precio US$]]/BASE_DATOS[[#This Row],[Horas Rodadas]],"")</f>
        <v/>
      </c>
      <c r="AK882" s="361" t="str">
        <f>IFERROR(BASE_DATOS[[#This Row],[Horas Rodadas]]/(BASE_DATOS[[#This Row],[NSK Original]]-BASE_DATOS[[#This Row],[NSK]]),"")</f>
        <v/>
      </c>
      <c r="AL882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82" s="362" t="str">
        <f>IFERROR(BASE_DATOS[[#This Row],[Precio US$]]/BASE_DATOS[[#This Row],[Horas Proy.]],"")</f>
        <v/>
      </c>
      <c r="AN882" s="199" t="str">
        <f>IF(OR(BASE_DATOS[[#This Row],[Km.]]="",BASE_DATOS[[#This Row],[Km. Actual]]=""),"",BASE_DATOS[[#This Row],[Km. Actual]]-BASE_DATOS[[#This Row],[Km.]]+BASE_DATOS[[#This Row],[Kilómetros Acumulados]])</f>
        <v/>
      </c>
      <c r="AO882" s="200" t="str">
        <f>IFERROR(BASE_DATOS[[#This Row],[Precio US$]]/BASE_DATOS[[#This Row],[Kilómetros Rodados]],"")</f>
        <v/>
      </c>
      <c r="AP882" s="199" t="str">
        <f>IFERROR(BASE_DATOS[[#This Row],[Kilómetros Rodados]]/(BASE_DATOS[[#This Row],[NSK Original]]-BASE_DATOS[[#This Row],[NSK]]),"")</f>
        <v/>
      </c>
      <c r="AQ882" s="19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82" s="200" t="str">
        <f>IFERROR(BASE_DATOS[[#This Row],[Precio US$]]/BASE_DATOS[[#This Row],[Kilómetros Proy.]],"")</f>
        <v/>
      </c>
      <c r="AS882" s="201" t="s">
        <v>62</v>
      </c>
      <c r="AT882" s="201"/>
      <c r="AU882" s="201"/>
      <c r="AV882" s="201"/>
      <c r="AW882" s="203"/>
      <c r="AX882" s="203"/>
      <c r="AY882" s="203" t="str">
        <f>CONCATENATE(BASE_DATOS[[#This Row],[Código_U]]&amp;BASE_DATOS[[#This Row],[Pos.]]&amp;BASE_DATOS[[#This Row],[Situación Actual]])</f>
        <v>PT-031Rodando</v>
      </c>
    </row>
    <row r="883" spans="1:51" ht="12" x14ac:dyDescent="0.25">
      <c r="A883" s="223" t="s">
        <v>438</v>
      </c>
      <c r="B883" s="217" t="s">
        <v>266</v>
      </c>
      <c r="C883" s="228" t="s">
        <v>460</v>
      </c>
      <c r="D883" s="229" t="s">
        <v>87</v>
      </c>
      <c r="E883" s="255"/>
      <c r="F883" s="256" t="s">
        <v>273</v>
      </c>
      <c r="G883" s="256" t="s">
        <v>274</v>
      </c>
      <c r="H883" s="257" t="str">
        <f>IF(BASE_DATOS[[#This Row],[N-R]]="N",BASE_DATOS[[#This Row],[Diseño]],"Reencauche")</f>
        <v>Reencauche</v>
      </c>
      <c r="I883" s="256" t="s">
        <v>275</v>
      </c>
      <c r="J883" s="243" t="s">
        <v>82</v>
      </c>
      <c r="K883" s="258">
        <v>19</v>
      </c>
      <c r="L883" s="256">
        <v>110</v>
      </c>
      <c r="M883" s="259"/>
      <c r="N883" s="260"/>
      <c r="O883" s="277"/>
      <c r="P883" s="278"/>
      <c r="Q883" s="279"/>
      <c r="R883" s="309">
        <v>2</v>
      </c>
      <c r="S883" s="310">
        <v>45385</v>
      </c>
      <c r="T883" s="313"/>
      <c r="U883" s="279"/>
      <c r="V883" s="227">
        <v>12</v>
      </c>
      <c r="W883" s="281">
        <v>12</v>
      </c>
      <c r="X883" s="282">
        <v>12</v>
      </c>
      <c r="Y883" s="293">
        <f t="shared" si="44"/>
        <v>12</v>
      </c>
      <c r="Z883" s="175" t="s">
        <v>85</v>
      </c>
      <c r="AA883" s="342">
        <f>IFERROR(BASE_DATOS[[#This Row],[NSK Original]]-BASE_DATOS[[#This Row],[NSK]]," ")</f>
        <v>7</v>
      </c>
      <c r="AB883" s="343">
        <f>'NSK-TRACTO'!$A$2</f>
        <v>6</v>
      </c>
      <c r="AC883" s="343">
        <f>IF(BASE_DATOS[[#This Row],[NSK]]&gt;=BASE_DATOS[[#This Row],[NSK Reen]],BASE_DATOS[[#This Row],[NSK Reen]],BASE_DATOS[[#This Row],[NSK]])</f>
        <v>6</v>
      </c>
      <c r="AD883" s="344">
        <f>IFERROR(100%-(BASE_DATOS[[#This Row],[NSK Reen]]/BASE_DATOS[[#This Row],[NSK Original]]),"")</f>
        <v>0.68421052631578949</v>
      </c>
      <c r="AE883" s="344">
        <f>IFERROR(100%-BASE_DATOS[[#This Row],[NSK]]/BASE_DATOS[[#This Row],[NSK Original]],"")</f>
        <v>0.36842105263157898</v>
      </c>
      <c r="AF883" s="344">
        <f>IFERROR(BASE_DATOS[[#This Row],[% Max Des.]]-BASE_DATOS[[#This Row],[% Des]],"")</f>
        <v>0.31578947368421051</v>
      </c>
      <c r="AG883" s="287"/>
      <c r="AH883" s="273"/>
      <c r="AI883" s="363" t="str">
        <f>IF(OR(BASE_DATOS[[#This Row],[Hr.]]="",BASE_DATOS[[#This Row],[Hr. Actual]]=""),"",BASE_DATOS[[#This Row],[Hr. Actual]]-BASE_DATOS[[#This Row],[Hr.]]+BASE_DATOS[[#This Row],[Horas Acumuladas]])</f>
        <v/>
      </c>
      <c r="AJ883" s="364" t="str">
        <f>IFERROR(BASE_DATOS[[#This Row],[Precio US$]]/BASE_DATOS[[#This Row],[Horas Rodadas]],"")</f>
        <v/>
      </c>
      <c r="AK883" s="365" t="str">
        <f>IFERROR(BASE_DATOS[[#This Row],[Horas Rodadas]]/(BASE_DATOS[[#This Row],[NSK Original]]-BASE_DATOS[[#This Row],[NSK]]),"")</f>
        <v/>
      </c>
      <c r="AL88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83" s="366" t="str">
        <f>IFERROR(BASE_DATOS[[#This Row],[Precio US$]]/BASE_DATOS[[#This Row],[Horas Proy.]],"")</f>
        <v/>
      </c>
      <c r="AN883" s="176" t="str">
        <f>IF(OR(BASE_DATOS[[#This Row],[Km.]]="",BASE_DATOS[[#This Row],[Km. Actual]]=""),"",BASE_DATOS[[#This Row],[Km. Actual]]-BASE_DATOS[[#This Row],[Km.]]+BASE_DATOS[[#This Row],[Kilómetros Acumulados]])</f>
        <v/>
      </c>
      <c r="AO883" s="177" t="str">
        <f>IFERROR(BASE_DATOS[[#This Row],[Precio US$]]/BASE_DATOS[[#This Row],[Kilómetros Rodados]],"")</f>
        <v/>
      </c>
      <c r="AP883" s="176" t="str">
        <f>IFERROR(BASE_DATOS[[#This Row],[Kilómetros Rodados]]/(BASE_DATOS[[#This Row],[NSK Original]]-BASE_DATOS[[#This Row],[NSK]]),"")</f>
        <v/>
      </c>
      <c r="AQ88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83" s="177" t="str">
        <f>IFERROR(BASE_DATOS[[#This Row],[Precio US$]]/BASE_DATOS[[#This Row],[Kilómetros Proy.]],"")</f>
        <v/>
      </c>
      <c r="AS883" s="170" t="s">
        <v>62</v>
      </c>
      <c r="AT883" s="170"/>
      <c r="AU883" s="170"/>
      <c r="AV883" s="170"/>
      <c r="AW883" s="179"/>
      <c r="AX883" s="179"/>
      <c r="AY883" s="179" t="str">
        <f>CONCATENATE(BASE_DATOS[[#This Row],[Código_U]]&amp;BASE_DATOS[[#This Row],[Pos.]]&amp;BASE_DATOS[[#This Row],[Situación Actual]])</f>
        <v>PT-032Rodando</v>
      </c>
    </row>
    <row r="884" spans="1:51" ht="12" x14ac:dyDescent="0.25">
      <c r="A884" s="223" t="s">
        <v>438</v>
      </c>
      <c r="B884" s="217" t="s">
        <v>266</v>
      </c>
      <c r="C884" s="228" t="s">
        <v>460</v>
      </c>
      <c r="D884" s="229" t="s">
        <v>87</v>
      </c>
      <c r="E884" s="255"/>
      <c r="F884" s="256" t="s">
        <v>439</v>
      </c>
      <c r="G884" s="256" t="s">
        <v>274</v>
      </c>
      <c r="H884" s="257" t="str">
        <f>IF(BASE_DATOS[[#This Row],[N-R]]="N",BASE_DATOS[[#This Row],[Diseño]],"Reencauche")</f>
        <v>CAM211</v>
      </c>
      <c r="I884" s="256" t="s">
        <v>335</v>
      </c>
      <c r="J884" s="243" t="s">
        <v>72</v>
      </c>
      <c r="K884" s="258">
        <v>18</v>
      </c>
      <c r="L884" s="256">
        <v>110</v>
      </c>
      <c r="M884" s="259"/>
      <c r="N884" s="260"/>
      <c r="O884" s="277"/>
      <c r="P884" s="278"/>
      <c r="Q884" s="279"/>
      <c r="R884" s="309">
        <v>3</v>
      </c>
      <c r="S884" s="310">
        <v>45385</v>
      </c>
      <c r="T884" s="313"/>
      <c r="U884" s="279"/>
      <c r="V884" s="227">
        <v>18</v>
      </c>
      <c r="W884" s="281">
        <v>17</v>
      </c>
      <c r="X884" s="282">
        <v>18</v>
      </c>
      <c r="Y884" s="293">
        <f t="shared" si="44"/>
        <v>17</v>
      </c>
      <c r="Z884" s="175" t="s">
        <v>85</v>
      </c>
      <c r="AA884" s="342">
        <f>IFERROR(BASE_DATOS[[#This Row],[NSK Original]]-BASE_DATOS[[#This Row],[NSK]]," ")</f>
        <v>1</v>
      </c>
      <c r="AB884" s="343">
        <f>'NSK-TRACTO'!$A$2</f>
        <v>6</v>
      </c>
      <c r="AC884" s="343">
        <f>IF(BASE_DATOS[[#This Row],[NSK]]&gt;=BASE_DATOS[[#This Row],[NSK Reen]],BASE_DATOS[[#This Row],[NSK Reen]],BASE_DATOS[[#This Row],[NSK]])</f>
        <v>6</v>
      </c>
      <c r="AD884" s="344">
        <f>IFERROR(100%-(BASE_DATOS[[#This Row],[NSK Reen]]/BASE_DATOS[[#This Row],[NSK Original]]),"")</f>
        <v>0.66666666666666674</v>
      </c>
      <c r="AE884" s="344">
        <f>IFERROR(100%-BASE_DATOS[[#This Row],[NSK]]/BASE_DATOS[[#This Row],[NSK Original]],"")</f>
        <v>5.555555555555558E-2</v>
      </c>
      <c r="AF884" s="344">
        <f>IFERROR(BASE_DATOS[[#This Row],[% Max Des.]]-BASE_DATOS[[#This Row],[% Des]],"")</f>
        <v>0.61111111111111116</v>
      </c>
      <c r="AG884" s="287"/>
      <c r="AH884" s="273"/>
      <c r="AI884" s="363" t="str">
        <f>IF(OR(BASE_DATOS[[#This Row],[Hr.]]="",BASE_DATOS[[#This Row],[Hr. Actual]]=""),"",BASE_DATOS[[#This Row],[Hr. Actual]]-BASE_DATOS[[#This Row],[Hr.]]+BASE_DATOS[[#This Row],[Horas Acumuladas]])</f>
        <v/>
      </c>
      <c r="AJ884" s="364" t="str">
        <f>IFERROR(BASE_DATOS[[#This Row],[Precio US$]]/BASE_DATOS[[#This Row],[Horas Rodadas]],"")</f>
        <v/>
      </c>
      <c r="AK884" s="365" t="str">
        <f>IFERROR(BASE_DATOS[[#This Row],[Horas Rodadas]]/(BASE_DATOS[[#This Row],[NSK Original]]-BASE_DATOS[[#This Row],[NSK]]),"")</f>
        <v/>
      </c>
      <c r="AL88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84" s="366" t="str">
        <f>IFERROR(BASE_DATOS[[#This Row],[Precio US$]]/BASE_DATOS[[#This Row],[Horas Proy.]],"")</f>
        <v/>
      </c>
      <c r="AN884" s="176" t="str">
        <f>IF(OR(BASE_DATOS[[#This Row],[Km.]]="",BASE_DATOS[[#This Row],[Km. Actual]]=""),"",BASE_DATOS[[#This Row],[Km. Actual]]-BASE_DATOS[[#This Row],[Km.]]+BASE_DATOS[[#This Row],[Kilómetros Acumulados]])</f>
        <v/>
      </c>
      <c r="AO884" s="177" t="str">
        <f>IFERROR(BASE_DATOS[[#This Row],[Precio US$]]/BASE_DATOS[[#This Row],[Kilómetros Rodados]],"")</f>
        <v/>
      </c>
      <c r="AP884" s="176" t="str">
        <f>IFERROR(BASE_DATOS[[#This Row],[Kilómetros Rodados]]/(BASE_DATOS[[#This Row],[NSK Original]]-BASE_DATOS[[#This Row],[NSK]]),"")</f>
        <v/>
      </c>
      <c r="AQ88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84" s="177" t="str">
        <f>IFERROR(BASE_DATOS[[#This Row],[Precio US$]]/BASE_DATOS[[#This Row],[Kilómetros Proy.]],"")</f>
        <v/>
      </c>
      <c r="AS884" s="170" t="s">
        <v>62</v>
      </c>
      <c r="AT884" s="170"/>
      <c r="AU884" s="170"/>
      <c r="AV884" s="170"/>
      <c r="AW884" s="179"/>
      <c r="AX884" s="179"/>
      <c r="AY884" s="179" t="str">
        <f>CONCATENATE(BASE_DATOS[[#This Row],[Código_U]]&amp;BASE_DATOS[[#This Row],[Pos.]]&amp;BASE_DATOS[[#This Row],[Situación Actual]])</f>
        <v>PT-033Rodando</v>
      </c>
    </row>
    <row r="885" spans="1:51" ht="12" x14ac:dyDescent="0.25">
      <c r="A885" s="223" t="s">
        <v>438</v>
      </c>
      <c r="B885" s="217" t="s">
        <v>266</v>
      </c>
      <c r="C885" s="228" t="s">
        <v>460</v>
      </c>
      <c r="D885" s="229" t="s">
        <v>87</v>
      </c>
      <c r="E885" s="255"/>
      <c r="F885" s="256" t="s">
        <v>439</v>
      </c>
      <c r="G885" s="256" t="s">
        <v>274</v>
      </c>
      <c r="H885" s="257" t="str">
        <f>IF(BASE_DATOS[[#This Row],[N-R]]="N",BASE_DATOS[[#This Row],[Diseño]],"Reencauche")</f>
        <v>CAM211</v>
      </c>
      <c r="I885" s="256" t="s">
        <v>335</v>
      </c>
      <c r="J885" s="243" t="s">
        <v>72</v>
      </c>
      <c r="K885" s="258">
        <v>18</v>
      </c>
      <c r="L885" s="256">
        <v>110</v>
      </c>
      <c r="M885" s="259"/>
      <c r="N885" s="260"/>
      <c r="O885" s="277"/>
      <c r="P885" s="278"/>
      <c r="Q885" s="279"/>
      <c r="R885" s="309">
        <v>4</v>
      </c>
      <c r="S885" s="310">
        <v>45385</v>
      </c>
      <c r="T885" s="313"/>
      <c r="U885" s="279"/>
      <c r="V885" s="227">
        <v>18</v>
      </c>
      <c r="W885" s="281">
        <v>18</v>
      </c>
      <c r="X885" s="282">
        <v>18</v>
      </c>
      <c r="Y885" s="293">
        <f t="shared" si="44"/>
        <v>18</v>
      </c>
      <c r="Z885" s="175" t="s">
        <v>85</v>
      </c>
      <c r="AA885" s="342">
        <f>IFERROR(BASE_DATOS[[#This Row],[NSK Original]]-BASE_DATOS[[#This Row],[NSK]]," ")</f>
        <v>0</v>
      </c>
      <c r="AB885" s="343">
        <f>'NSK-TRACTO'!$A$2</f>
        <v>6</v>
      </c>
      <c r="AC885" s="343">
        <f>IF(BASE_DATOS[[#This Row],[NSK]]&gt;=BASE_DATOS[[#This Row],[NSK Reen]],BASE_DATOS[[#This Row],[NSK Reen]],BASE_DATOS[[#This Row],[NSK]])</f>
        <v>6</v>
      </c>
      <c r="AD885" s="344">
        <f>IFERROR(100%-(BASE_DATOS[[#This Row],[NSK Reen]]/BASE_DATOS[[#This Row],[NSK Original]]),"")</f>
        <v>0.66666666666666674</v>
      </c>
      <c r="AE885" s="344">
        <f>IFERROR(100%-BASE_DATOS[[#This Row],[NSK]]/BASE_DATOS[[#This Row],[NSK Original]],"")</f>
        <v>0</v>
      </c>
      <c r="AF885" s="344">
        <f>IFERROR(BASE_DATOS[[#This Row],[% Max Des.]]-BASE_DATOS[[#This Row],[% Des]],"")</f>
        <v>0.66666666666666674</v>
      </c>
      <c r="AG885" s="287"/>
      <c r="AH885" s="273"/>
      <c r="AI885" s="363" t="str">
        <f>IF(OR(BASE_DATOS[[#This Row],[Hr.]]="",BASE_DATOS[[#This Row],[Hr. Actual]]=""),"",BASE_DATOS[[#This Row],[Hr. Actual]]-BASE_DATOS[[#This Row],[Hr.]]+BASE_DATOS[[#This Row],[Horas Acumuladas]])</f>
        <v/>
      </c>
      <c r="AJ885" s="364" t="str">
        <f>IFERROR(BASE_DATOS[[#This Row],[Precio US$]]/BASE_DATOS[[#This Row],[Horas Rodadas]],"")</f>
        <v/>
      </c>
      <c r="AK885" s="365" t="str">
        <f>IFERROR(BASE_DATOS[[#This Row],[Horas Rodadas]]/(BASE_DATOS[[#This Row],[NSK Original]]-BASE_DATOS[[#This Row],[NSK]]),"")</f>
        <v/>
      </c>
      <c r="AL88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85" s="366" t="str">
        <f>IFERROR(BASE_DATOS[[#This Row],[Precio US$]]/BASE_DATOS[[#This Row],[Horas Proy.]],"")</f>
        <v/>
      </c>
      <c r="AN885" s="176" t="str">
        <f>IF(OR(BASE_DATOS[[#This Row],[Km.]]="",BASE_DATOS[[#This Row],[Km. Actual]]=""),"",BASE_DATOS[[#This Row],[Km. Actual]]-BASE_DATOS[[#This Row],[Km.]]+BASE_DATOS[[#This Row],[Kilómetros Acumulados]])</f>
        <v/>
      </c>
      <c r="AO885" s="177" t="str">
        <f>IFERROR(BASE_DATOS[[#This Row],[Precio US$]]/BASE_DATOS[[#This Row],[Kilómetros Rodados]],"")</f>
        <v/>
      </c>
      <c r="AP885" s="176" t="str">
        <f>IFERROR(BASE_DATOS[[#This Row],[Kilómetros Rodados]]/(BASE_DATOS[[#This Row],[NSK Original]]-BASE_DATOS[[#This Row],[NSK]]),"")</f>
        <v/>
      </c>
      <c r="AQ88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85" s="177" t="str">
        <f>IFERROR(BASE_DATOS[[#This Row],[Precio US$]]/BASE_DATOS[[#This Row],[Kilómetros Proy.]],"")</f>
        <v/>
      </c>
      <c r="AS885" s="170" t="s">
        <v>62</v>
      </c>
      <c r="AT885" s="170"/>
      <c r="AU885" s="170"/>
      <c r="AV885" s="170"/>
      <c r="AW885" s="179"/>
      <c r="AX885" s="179"/>
      <c r="AY885" s="179" t="str">
        <f>CONCATENATE(BASE_DATOS[[#This Row],[Código_U]]&amp;BASE_DATOS[[#This Row],[Pos.]]&amp;BASE_DATOS[[#This Row],[Situación Actual]])</f>
        <v>PT-034Rodando</v>
      </c>
    </row>
    <row r="886" spans="1:51" ht="12" x14ac:dyDescent="0.25">
      <c r="A886" s="223" t="s">
        <v>438</v>
      </c>
      <c r="B886" s="217" t="s">
        <v>266</v>
      </c>
      <c r="C886" s="228" t="s">
        <v>460</v>
      </c>
      <c r="D886" s="229" t="s">
        <v>87</v>
      </c>
      <c r="E886" s="255"/>
      <c r="F886" s="256" t="s">
        <v>337</v>
      </c>
      <c r="G886" s="256" t="s">
        <v>274</v>
      </c>
      <c r="H886" s="257" t="str">
        <f>IF(BASE_DATOS[[#This Row],[N-R]]="N",BASE_DATOS[[#This Row],[Diseño]],"Reencauche")</f>
        <v>TB935</v>
      </c>
      <c r="I886" s="256" t="s">
        <v>336</v>
      </c>
      <c r="J886" s="243" t="s">
        <v>72</v>
      </c>
      <c r="K886" s="258">
        <v>18</v>
      </c>
      <c r="L886" s="256">
        <v>110</v>
      </c>
      <c r="M886" s="259"/>
      <c r="N886" s="260"/>
      <c r="O886" s="277"/>
      <c r="P886" s="278"/>
      <c r="Q886" s="279"/>
      <c r="R886" s="309">
        <v>5</v>
      </c>
      <c r="S886" s="310">
        <v>45385</v>
      </c>
      <c r="T886" s="313"/>
      <c r="U886" s="279"/>
      <c r="V886" s="227">
        <v>8</v>
      </c>
      <c r="W886" s="281">
        <v>8</v>
      </c>
      <c r="X886" s="282">
        <v>9</v>
      </c>
      <c r="Y886" s="293">
        <f t="shared" si="44"/>
        <v>8</v>
      </c>
      <c r="Z886" s="175" t="s">
        <v>85</v>
      </c>
      <c r="AA886" s="342">
        <f>IFERROR(BASE_DATOS[[#This Row],[NSK Original]]-BASE_DATOS[[#This Row],[NSK]]," ")</f>
        <v>10</v>
      </c>
      <c r="AB886" s="343">
        <f>'NSK-TRACTO'!$A$2</f>
        <v>6</v>
      </c>
      <c r="AC886" s="343">
        <f>IF(BASE_DATOS[[#This Row],[NSK]]&gt;=BASE_DATOS[[#This Row],[NSK Reen]],BASE_DATOS[[#This Row],[NSK Reen]],BASE_DATOS[[#This Row],[NSK]])</f>
        <v>6</v>
      </c>
      <c r="AD886" s="344">
        <f>IFERROR(100%-(BASE_DATOS[[#This Row],[NSK Reen]]/BASE_DATOS[[#This Row],[NSK Original]]),"")</f>
        <v>0.66666666666666674</v>
      </c>
      <c r="AE886" s="344">
        <f>IFERROR(100%-BASE_DATOS[[#This Row],[NSK]]/BASE_DATOS[[#This Row],[NSK Original]],"")</f>
        <v>0.55555555555555558</v>
      </c>
      <c r="AF886" s="344">
        <f>IFERROR(BASE_DATOS[[#This Row],[% Max Des.]]-BASE_DATOS[[#This Row],[% Des]],"")</f>
        <v>0.11111111111111116</v>
      </c>
      <c r="AG886" s="287"/>
      <c r="AH886" s="273"/>
      <c r="AI886" s="363" t="str">
        <f>IF(OR(BASE_DATOS[[#This Row],[Hr.]]="",BASE_DATOS[[#This Row],[Hr. Actual]]=""),"",BASE_DATOS[[#This Row],[Hr. Actual]]-BASE_DATOS[[#This Row],[Hr.]]+BASE_DATOS[[#This Row],[Horas Acumuladas]])</f>
        <v/>
      </c>
      <c r="AJ886" s="364" t="str">
        <f>IFERROR(BASE_DATOS[[#This Row],[Precio US$]]/BASE_DATOS[[#This Row],[Horas Rodadas]],"")</f>
        <v/>
      </c>
      <c r="AK886" s="365" t="str">
        <f>IFERROR(BASE_DATOS[[#This Row],[Horas Rodadas]]/(BASE_DATOS[[#This Row],[NSK Original]]-BASE_DATOS[[#This Row],[NSK]]),"")</f>
        <v/>
      </c>
      <c r="AL88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86" s="366" t="str">
        <f>IFERROR(BASE_DATOS[[#This Row],[Precio US$]]/BASE_DATOS[[#This Row],[Horas Proy.]],"")</f>
        <v/>
      </c>
      <c r="AN886" s="176" t="str">
        <f>IF(OR(BASE_DATOS[[#This Row],[Km.]]="",BASE_DATOS[[#This Row],[Km. Actual]]=""),"",BASE_DATOS[[#This Row],[Km. Actual]]-BASE_DATOS[[#This Row],[Km.]]+BASE_DATOS[[#This Row],[Kilómetros Acumulados]])</f>
        <v/>
      </c>
      <c r="AO886" s="177" t="str">
        <f>IFERROR(BASE_DATOS[[#This Row],[Precio US$]]/BASE_DATOS[[#This Row],[Kilómetros Rodados]],"")</f>
        <v/>
      </c>
      <c r="AP886" s="176" t="str">
        <f>IFERROR(BASE_DATOS[[#This Row],[Kilómetros Rodados]]/(BASE_DATOS[[#This Row],[NSK Original]]-BASE_DATOS[[#This Row],[NSK]]),"")</f>
        <v/>
      </c>
      <c r="AQ88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86" s="177" t="str">
        <f>IFERROR(BASE_DATOS[[#This Row],[Precio US$]]/BASE_DATOS[[#This Row],[Kilómetros Proy.]],"")</f>
        <v/>
      </c>
      <c r="AS886" s="170" t="s">
        <v>62</v>
      </c>
      <c r="AT886" s="170"/>
      <c r="AU886" s="170"/>
      <c r="AV886" s="170"/>
      <c r="AW886" s="179"/>
      <c r="AX886" s="179"/>
      <c r="AY886" s="179" t="str">
        <f>CONCATENATE(BASE_DATOS[[#This Row],[Código_U]]&amp;BASE_DATOS[[#This Row],[Pos.]]&amp;BASE_DATOS[[#This Row],[Situación Actual]])</f>
        <v>PT-035Rodando</v>
      </c>
    </row>
    <row r="887" spans="1:51" ht="12" x14ac:dyDescent="0.25">
      <c r="A887" s="223" t="s">
        <v>438</v>
      </c>
      <c r="B887" s="217" t="s">
        <v>266</v>
      </c>
      <c r="C887" s="228" t="s">
        <v>460</v>
      </c>
      <c r="D887" s="229" t="s">
        <v>87</v>
      </c>
      <c r="E887" s="255"/>
      <c r="F887" s="256" t="s">
        <v>273</v>
      </c>
      <c r="G887" s="256" t="s">
        <v>274</v>
      </c>
      <c r="H887" s="257" t="str">
        <f>IF(BASE_DATOS[[#This Row],[N-R]]="N",BASE_DATOS[[#This Row],[Diseño]],"Reencauche")</f>
        <v>XZY3</v>
      </c>
      <c r="I887" s="256" t="s">
        <v>277</v>
      </c>
      <c r="J887" s="243" t="s">
        <v>72</v>
      </c>
      <c r="K887" s="258">
        <v>0</v>
      </c>
      <c r="L887" s="256">
        <v>110</v>
      </c>
      <c r="M887" s="259"/>
      <c r="N887" s="260"/>
      <c r="O887" s="277"/>
      <c r="P887" s="278"/>
      <c r="Q887" s="279"/>
      <c r="R887" s="309">
        <v>6</v>
      </c>
      <c r="S887" s="310">
        <v>45385</v>
      </c>
      <c r="T887" s="313"/>
      <c r="U887" s="279"/>
      <c r="V887" s="227">
        <v>7</v>
      </c>
      <c r="W887" s="281">
        <v>6</v>
      </c>
      <c r="X887" s="282">
        <v>7</v>
      </c>
      <c r="Y887" s="293">
        <f t="shared" si="44"/>
        <v>6</v>
      </c>
      <c r="Z887" s="175" t="s">
        <v>85</v>
      </c>
      <c r="AA887" s="342">
        <f>IFERROR(BASE_DATOS[[#This Row],[NSK Original]]-BASE_DATOS[[#This Row],[NSK]]," ")</f>
        <v>-6</v>
      </c>
      <c r="AB887" s="343">
        <f>'NSK-TRACTO'!$A$2</f>
        <v>6</v>
      </c>
      <c r="AC887" s="343">
        <f>IF(BASE_DATOS[[#This Row],[NSK]]&gt;=BASE_DATOS[[#This Row],[NSK Reen]],BASE_DATOS[[#This Row],[NSK Reen]],BASE_DATOS[[#This Row],[NSK]])</f>
        <v>6</v>
      </c>
      <c r="AD887" s="344" t="str">
        <f>IFERROR(100%-(BASE_DATOS[[#This Row],[NSK Reen]]/BASE_DATOS[[#This Row],[NSK Original]]),"")</f>
        <v/>
      </c>
      <c r="AE887" s="344" t="str">
        <f>IFERROR(100%-BASE_DATOS[[#This Row],[NSK]]/BASE_DATOS[[#This Row],[NSK Original]],"")</f>
        <v/>
      </c>
      <c r="AF887" s="344" t="str">
        <f>IFERROR(BASE_DATOS[[#This Row],[% Max Des.]]-BASE_DATOS[[#This Row],[% Des]],"")</f>
        <v/>
      </c>
      <c r="AG887" s="287"/>
      <c r="AH887" s="273"/>
      <c r="AI887" s="363" t="str">
        <f>IF(OR(BASE_DATOS[[#This Row],[Hr.]]="",BASE_DATOS[[#This Row],[Hr. Actual]]=""),"",BASE_DATOS[[#This Row],[Hr. Actual]]-BASE_DATOS[[#This Row],[Hr.]]+BASE_DATOS[[#This Row],[Horas Acumuladas]])</f>
        <v/>
      </c>
      <c r="AJ887" s="364" t="str">
        <f>IFERROR(BASE_DATOS[[#This Row],[Precio US$]]/BASE_DATOS[[#This Row],[Horas Rodadas]],"")</f>
        <v/>
      </c>
      <c r="AK887" s="365" t="str">
        <f>IFERROR(BASE_DATOS[[#This Row],[Horas Rodadas]]/(BASE_DATOS[[#This Row],[NSK Original]]-BASE_DATOS[[#This Row],[NSK]]),"")</f>
        <v/>
      </c>
      <c r="AL88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87" s="366" t="str">
        <f>IFERROR(BASE_DATOS[[#This Row],[Precio US$]]/BASE_DATOS[[#This Row],[Horas Proy.]],"")</f>
        <v/>
      </c>
      <c r="AN887" s="171" t="str">
        <f>IF(OR(BASE_DATOS[[#This Row],[Km.]]="",BASE_DATOS[[#This Row],[Km. Actual]]=""),"",BASE_DATOS[[#This Row],[Km. Actual]]-BASE_DATOS[[#This Row],[Km.]]+BASE_DATOS[[#This Row],[Kilómetros Acumulados]])</f>
        <v/>
      </c>
      <c r="AO887" s="172" t="str">
        <f>IFERROR(BASE_DATOS[[#This Row],[Precio US$]]/BASE_DATOS[[#This Row],[Kilómetros Rodados]],"")</f>
        <v/>
      </c>
      <c r="AP887" s="171" t="str">
        <f>IFERROR(BASE_DATOS[[#This Row],[Kilómetros Rodados]]/(BASE_DATOS[[#This Row],[NSK Original]]-BASE_DATOS[[#This Row],[NSK]]),"")</f>
        <v/>
      </c>
      <c r="AQ887" s="17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87" s="172" t="str">
        <f>IFERROR(BASE_DATOS[[#This Row],[Precio US$]]/BASE_DATOS[[#This Row],[Kilómetros Proy.]],"")</f>
        <v/>
      </c>
      <c r="AS887" s="170" t="s">
        <v>62</v>
      </c>
      <c r="AT887" s="170"/>
      <c r="AU887" s="170"/>
      <c r="AV887" s="170"/>
      <c r="AW887" s="174"/>
      <c r="AX887" s="174"/>
      <c r="AY887" s="174" t="str">
        <f>CONCATENATE(BASE_DATOS[[#This Row],[Código_U]]&amp;BASE_DATOS[[#This Row],[Pos.]]&amp;BASE_DATOS[[#This Row],[Situación Actual]])</f>
        <v>PT-036Rodando</v>
      </c>
    </row>
    <row r="888" spans="1:51" ht="12" x14ac:dyDescent="0.25">
      <c r="A888" s="222" t="s">
        <v>440</v>
      </c>
      <c r="B888" s="213" t="s">
        <v>365</v>
      </c>
      <c r="C888" s="225" t="s">
        <v>460</v>
      </c>
      <c r="D888" s="226" t="s">
        <v>87</v>
      </c>
      <c r="E888" s="249"/>
      <c r="F888" s="250" t="s">
        <v>273</v>
      </c>
      <c r="G888" s="250" t="s">
        <v>274</v>
      </c>
      <c r="H888" s="251" t="str">
        <f>IF(BASE_DATOS[[#This Row],[N-R]]="N",BASE_DATOS[[#This Row],[Diseño]],"Reencauche")</f>
        <v>Reencauche</v>
      </c>
      <c r="I888" s="250" t="s">
        <v>275</v>
      </c>
      <c r="J888" s="235" t="s">
        <v>82</v>
      </c>
      <c r="K888" s="252">
        <v>19</v>
      </c>
      <c r="L888" s="250">
        <v>110</v>
      </c>
      <c r="M888" s="253"/>
      <c r="N888" s="254"/>
      <c r="O888" s="274"/>
      <c r="P888" s="275"/>
      <c r="Q888" s="276"/>
      <c r="R888" s="305">
        <v>1</v>
      </c>
      <c r="S888" s="306">
        <v>45385</v>
      </c>
      <c r="T888" s="314"/>
      <c r="U888" s="276"/>
      <c r="V888" s="224">
        <v>8</v>
      </c>
      <c r="W888" s="325">
        <v>7</v>
      </c>
      <c r="X888" s="326">
        <v>8</v>
      </c>
      <c r="Y888" s="292">
        <f t="shared" ref="Y888:Y893" si="45">IFERROR(MIN(V888:X888),"")</f>
        <v>7</v>
      </c>
      <c r="Z888" s="194" t="s">
        <v>85</v>
      </c>
      <c r="AA888" s="339">
        <f>IFERROR(BASE_DATOS[[#This Row],[NSK Original]]-BASE_DATOS[[#This Row],[NSK]]," ")</f>
        <v>12</v>
      </c>
      <c r="AB888" s="340">
        <f>'NSK-TRACTO'!$A$2</f>
        <v>6</v>
      </c>
      <c r="AC888" s="340">
        <f>IF(BASE_DATOS[[#This Row],[NSK]]&gt;=BASE_DATOS[[#This Row],[NSK Reen]],BASE_DATOS[[#This Row],[NSK Reen]],BASE_DATOS[[#This Row],[NSK]])</f>
        <v>6</v>
      </c>
      <c r="AD888" s="341">
        <f>IFERROR(100%-(BASE_DATOS[[#This Row],[NSK Reen]]/BASE_DATOS[[#This Row],[NSK Original]]),"")</f>
        <v>0.68421052631578949</v>
      </c>
      <c r="AE888" s="341">
        <f>IFERROR(100%-BASE_DATOS[[#This Row],[NSK]]/BASE_DATOS[[#This Row],[NSK Original]],"")</f>
        <v>0.63157894736842102</v>
      </c>
      <c r="AF888" s="341">
        <f>IFERROR(BASE_DATOS[[#This Row],[% Max Des.]]-BASE_DATOS[[#This Row],[% Des]],"")</f>
        <v>5.2631578947368474E-2</v>
      </c>
      <c r="AG888" s="284"/>
      <c r="AH888" s="335"/>
      <c r="AI888" s="359" t="str">
        <f>IF(OR(BASE_DATOS[[#This Row],[Hr.]]="",BASE_DATOS[[#This Row],[Hr. Actual]]=""),"",BASE_DATOS[[#This Row],[Hr. Actual]]-BASE_DATOS[[#This Row],[Hr.]]+BASE_DATOS[[#This Row],[Horas Acumuladas]])</f>
        <v/>
      </c>
      <c r="AJ888" s="360" t="str">
        <f>IFERROR(BASE_DATOS[[#This Row],[Precio US$]]/BASE_DATOS[[#This Row],[Horas Rodadas]],"")</f>
        <v/>
      </c>
      <c r="AK888" s="361" t="str">
        <f>IFERROR(BASE_DATOS[[#This Row],[Horas Rodadas]]/(BASE_DATOS[[#This Row],[NSK Original]]-BASE_DATOS[[#This Row],[NSK]]),"")</f>
        <v/>
      </c>
      <c r="AL888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88" s="362" t="str">
        <f>IFERROR(BASE_DATOS[[#This Row],[Precio US$]]/BASE_DATOS[[#This Row],[Horas Proy.]],"")</f>
        <v/>
      </c>
      <c r="AN888" s="199" t="str">
        <f>IF(OR(BASE_DATOS[[#This Row],[Km.]]="",BASE_DATOS[[#This Row],[Km. Actual]]=""),"",BASE_DATOS[[#This Row],[Km. Actual]]-BASE_DATOS[[#This Row],[Km.]]+BASE_DATOS[[#This Row],[Kilómetros Acumulados]])</f>
        <v/>
      </c>
      <c r="AO888" s="200" t="str">
        <f>IFERROR(BASE_DATOS[[#This Row],[Precio US$]]/BASE_DATOS[[#This Row],[Kilómetros Rodados]],"")</f>
        <v/>
      </c>
      <c r="AP888" s="199" t="str">
        <f>IFERROR(BASE_DATOS[[#This Row],[Kilómetros Rodados]]/(BASE_DATOS[[#This Row],[NSK Original]]-BASE_DATOS[[#This Row],[NSK]]),"")</f>
        <v/>
      </c>
      <c r="AQ888" s="19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88" s="200" t="str">
        <f>IFERROR(BASE_DATOS[[#This Row],[Precio US$]]/BASE_DATOS[[#This Row],[Kilómetros Proy.]],"")</f>
        <v/>
      </c>
      <c r="AS888" s="201" t="s">
        <v>62</v>
      </c>
      <c r="AT888" s="201"/>
      <c r="AU888" s="201"/>
      <c r="AV888" s="201"/>
      <c r="AW888" s="203"/>
      <c r="AX888" s="203"/>
      <c r="AY888" s="203" t="str">
        <f>CONCATENATE(BASE_DATOS[[#This Row],[Código_U]]&amp;BASE_DATOS[[#This Row],[Pos.]]&amp;BASE_DATOS[[#This Row],[Situación Actual]])</f>
        <v>PT-191Rodando</v>
      </c>
    </row>
    <row r="889" spans="1:51" ht="12" x14ac:dyDescent="0.25">
      <c r="A889" s="223" t="s">
        <v>440</v>
      </c>
      <c r="B889" s="217" t="s">
        <v>365</v>
      </c>
      <c r="C889" s="228" t="s">
        <v>460</v>
      </c>
      <c r="D889" s="229" t="s">
        <v>87</v>
      </c>
      <c r="E889" s="255"/>
      <c r="F889" s="256" t="s">
        <v>273</v>
      </c>
      <c r="G889" s="256" t="s">
        <v>274</v>
      </c>
      <c r="H889" s="257" t="str">
        <f>IF(BASE_DATOS[[#This Row],[N-R]]="N",BASE_DATOS[[#This Row],[Diseño]],"Reencauche")</f>
        <v>Reencauche</v>
      </c>
      <c r="I889" s="256" t="s">
        <v>275</v>
      </c>
      <c r="J889" s="243" t="s">
        <v>82</v>
      </c>
      <c r="K889" s="258">
        <v>19</v>
      </c>
      <c r="L889" s="256">
        <v>110</v>
      </c>
      <c r="M889" s="259"/>
      <c r="N889" s="260"/>
      <c r="O889" s="277"/>
      <c r="P889" s="278"/>
      <c r="Q889" s="279"/>
      <c r="R889" s="309">
        <v>2</v>
      </c>
      <c r="S889" s="310">
        <v>45385</v>
      </c>
      <c r="T889" s="313"/>
      <c r="U889" s="279"/>
      <c r="V889" s="227">
        <v>3</v>
      </c>
      <c r="W889" s="281">
        <v>0</v>
      </c>
      <c r="X889" s="282">
        <v>2</v>
      </c>
      <c r="Y889" s="293">
        <f t="shared" si="45"/>
        <v>0</v>
      </c>
      <c r="Z889" s="175" t="s">
        <v>85</v>
      </c>
      <c r="AA889" s="342">
        <f>IFERROR(BASE_DATOS[[#This Row],[NSK Original]]-BASE_DATOS[[#This Row],[NSK]]," ")</f>
        <v>19</v>
      </c>
      <c r="AB889" s="343">
        <f>'NSK-TRACTO'!$A$2</f>
        <v>6</v>
      </c>
      <c r="AC889" s="343">
        <f>IF(BASE_DATOS[[#This Row],[NSK]]&gt;=BASE_DATOS[[#This Row],[NSK Reen]],BASE_DATOS[[#This Row],[NSK Reen]],BASE_DATOS[[#This Row],[NSK]])</f>
        <v>0</v>
      </c>
      <c r="AD889" s="344">
        <f>IFERROR(100%-(BASE_DATOS[[#This Row],[NSK Reen]]/BASE_DATOS[[#This Row],[NSK Original]]),"")</f>
        <v>0.68421052631578949</v>
      </c>
      <c r="AE889" s="344">
        <f>IFERROR(100%-BASE_DATOS[[#This Row],[NSK]]/BASE_DATOS[[#This Row],[NSK Original]],"")</f>
        <v>1</v>
      </c>
      <c r="AF889" s="344">
        <f>IFERROR(BASE_DATOS[[#This Row],[% Max Des.]]-BASE_DATOS[[#This Row],[% Des]],"")</f>
        <v>-0.31578947368421051</v>
      </c>
      <c r="AG889" s="287"/>
      <c r="AH889" s="273"/>
      <c r="AI889" s="363" t="str">
        <f>IF(OR(BASE_DATOS[[#This Row],[Hr.]]="",BASE_DATOS[[#This Row],[Hr. Actual]]=""),"",BASE_DATOS[[#This Row],[Hr. Actual]]-BASE_DATOS[[#This Row],[Hr.]]+BASE_DATOS[[#This Row],[Horas Acumuladas]])</f>
        <v/>
      </c>
      <c r="AJ889" s="364" t="str">
        <f>IFERROR(BASE_DATOS[[#This Row],[Precio US$]]/BASE_DATOS[[#This Row],[Horas Rodadas]],"")</f>
        <v/>
      </c>
      <c r="AK889" s="365" t="str">
        <f>IFERROR(BASE_DATOS[[#This Row],[Horas Rodadas]]/(BASE_DATOS[[#This Row],[NSK Original]]-BASE_DATOS[[#This Row],[NSK]]),"")</f>
        <v/>
      </c>
      <c r="AL88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89" s="366" t="str">
        <f>IFERROR(BASE_DATOS[[#This Row],[Precio US$]]/BASE_DATOS[[#This Row],[Horas Proy.]],"")</f>
        <v/>
      </c>
      <c r="AN889" s="176" t="str">
        <f>IF(OR(BASE_DATOS[[#This Row],[Km.]]="",BASE_DATOS[[#This Row],[Km. Actual]]=""),"",BASE_DATOS[[#This Row],[Km. Actual]]-BASE_DATOS[[#This Row],[Km.]]+BASE_DATOS[[#This Row],[Kilómetros Acumulados]])</f>
        <v/>
      </c>
      <c r="AO889" s="177" t="str">
        <f>IFERROR(BASE_DATOS[[#This Row],[Precio US$]]/BASE_DATOS[[#This Row],[Kilómetros Rodados]],"")</f>
        <v/>
      </c>
      <c r="AP889" s="176" t="str">
        <f>IFERROR(BASE_DATOS[[#This Row],[Kilómetros Rodados]]/(BASE_DATOS[[#This Row],[NSK Original]]-BASE_DATOS[[#This Row],[NSK]]),"")</f>
        <v/>
      </c>
      <c r="AQ88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89" s="177" t="str">
        <f>IFERROR(BASE_DATOS[[#This Row],[Precio US$]]/BASE_DATOS[[#This Row],[Kilómetros Proy.]],"")</f>
        <v/>
      </c>
      <c r="AS889" s="170" t="s">
        <v>62</v>
      </c>
      <c r="AT889" s="170"/>
      <c r="AU889" s="170"/>
      <c r="AV889" s="170"/>
      <c r="AW889" s="179"/>
      <c r="AX889" s="179"/>
      <c r="AY889" s="179" t="str">
        <f>CONCATENATE(BASE_DATOS[[#This Row],[Código_U]]&amp;BASE_DATOS[[#This Row],[Pos.]]&amp;BASE_DATOS[[#This Row],[Situación Actual]])</f>
        <v>PT-192Rodando</v>
      </c>
    </row>
    <row r="890" spans="1:51" ht="12" x14ac:dyDescent="0.25">
      <c r="A890" s="223" t="s">
        <v>440</v>
      </c>
      <c r="B890" s="217" t="s">
        <v>365</v>
      </c>
      <c r="C890" s="228" t="s">
        <v>460</v>
      </c>
      <c r="D890" s="229" t="s">
        <v>87</v>
      </c>
      <c r="E890" s="255"/>
      <c r="F890" s="256" t="s">
        <v>273</v>
      </c>
      <c r="G890" s="256" t="s">
        <v>274</v>
      </c>
      <c r="H890" s="257" t="str">
        <f>IF(BASE_DATOS[[#This Row],[N-R]]="N",BASE_DATOS[[#This Row],[Diseño]],"Reencauche")</f>
        <v>XZY3</v>
      </c>
      <c r="I890" s="256" t="s">
        <v>277</v>
      </c>
      <c r="J890" s="243" t="s">
        <v>72</v>
      </c>
      <c r="K890" s="258">
        <v>0</v>
      </c>
      <c r="L890" s="256">
        <v>110</v>
      </c>
      <c r="M890" s="259"/>
      <c r="N890" s="260"/>
      <c r="O890" s="277"/>
      <c r="P890" s="278"/>
      <c r="Q890" s="279"/>
      <c r="R890" s="309">
        <v>3</v>
      </c>
      <c r="S890" s="310">
        <v>45385</v>
      </c>
      <c r="T890" s="313"/>
      <c r="U890" s="279"/>
      <c r="V890" s="227">
        <v>10</v>
      </c>
      <c r="W890" s="281">
        <v>9</v>
      </c>
      <c r="X890" s="282">
        <v>10</v>
      </c>
      <c r="Y890" s="293">
        <f t="shared" si="45"/>
        <v>9</v>
      </c>
      <c r="Z890" s="175" t="s">
        <v>85</v>
      </c>
      <c r="AA890" s="342">
        <f>IFERROR(BASE_DATOS[[#This Row],[NSK Original]]-BASE_DATOS[[#This Row],[NSK]]," ")</f>
        <v>-9</v>
      </c>
      <c r="AB890" s="343">
        <f>'NSK-TRACTO'!$A$2</f>
        <v>6</v>
      </c>
      <c r="AC890" s="343">
        <f>IF(BASE_DATOS[[#This Row],[NSK]]&gt;=BASE_DATOS[[#This Row],[NSK Reen]],BASE_DATOS[[#This Row],[NSK Reen]],BASE_DATOS[[#This Row],[NSK]])</f>
        <v>6</v>
      </c>
      <c r="AD890" s="344" t="str">
        <f>IFERROR(100%-(BASE_DATOS[[#This Row],[NSK Reen]]/BASE_DATOS[[#This Row],[NSK Original]]),"")</f>
        <v/>
      </c>
      <c r="AE890" s="344" t="str">
        <f>IFERROR(100%-BASE_DATOS[[#This Row],[NSK]]/BASE_DATOS[[#This Row],[NSK Original]],"")</f>
        <v/>
      </c>
      <c r="AF890" s="344" t="str">
        <f>IFERROR(BASE_DATOS[[#This Row],[% Max Des.]]-BASE_DATOS[[#This Row],[% Des]],"")</f>
        <v/>
      </c>
      <c r="AG890" s="287"/>
      <c r="AH890" s="273"/>
      <c r="AI890" s="363" t="str">
        <f>IF(OR(BASE_DATOS[[#This Row],[Hr.]]="",BASE_DATOS[[#This Row],[Hr. Actual]]=""),"",BASE_DATOS[[#This Row],[Hr. Actual]]-BASE_DATOS[[#This Row],[Hr.]]+BASE_DATOS[[#This Row],[Horas Acumuladas]])</f>
        <v/>
      </c>
      <c r="AJ890" s="364" t="str">
        <f>IFERROR(BASE_DATOS[[#This Row],[Precio US$]]/BASE_DATOS[[#This Row],[Horas Rodadas]],"")</f>
        <v/>
      </c>
      <c r="AK890" s="365" t="str">
        <f>IFERROR(BASE_DATOS[[#This Row],[Horas Rodadas]]/(BASE_DATOS[[#This Row],[NSK Original]]-BASE_DATOS[[#This Row],[NSK]]),"")</f>
        <v/>
      </c>
      <c r="AL890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90" s="366" t="str">
        <f>IFERROR(BASE_DATOS[[#This Row],[Precio US$]]/BASE_DATOS[[#This Row],[Horas Proy.]],"")</f>
        <v/>
      </c>
      <c r="AN890" s="176" t="str">
        <f>IF(OR(BASE_DATOS[[#This Row],[Km.]]="",BASE_DATOS[[#This Row],[Km. Actual]]=""),"",BASE_DATOS[[#This Row],[Km. Actual]]-BASE_DATOS[[#This Row],[Km.]]+BASE_DATOS[[#This Row],[Kilómetros Acumulados]])</f>
        <v/>
      </c>
      <c r="AO890" s="177" t="str">
        <f>IFERROR(BASE_DATOS[[#This Row],[Precio US$]]/BASE_DATOS[[#This Row],[Kilómetros Rodados]],"")</f>
        <v/>
      </c>
      <c r="AP890" s="176" t="str">
        <f>IFERROR(BASE_DATOS[[#This Row],[Kilómetros Rodados]]/(BASE_DATOS[[#This Row],[NSK Original]]-BASE_DATOS[[#This Row],[NSK]]),"")</f>
        <v/>
      </c>
      <c r="AQ890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90" s="177" t="str">
        <f>IFERROR(BASE_DATOS[[#This Row],[Precio US$]]/BASE_DATOS[[#This Row],[Kilómetros Proy.]],"")</f>
        <v/>
      </c>
      <c r="AS890" s="170" t="s">
        <v>62</v>
      </c>
      <c r="AT890" s="170"/>
      <c r="AU890" s="170"/>
      <c r="AV890" s="170"/>
      <c r="AW890" s="179"/>
      <c r="AX890" s="179"/>
      <c r="AY890" s="179" t="str">
        <f>CONCATENATE(BASE_DATOS[[#This Row],[Código_U]]&amp;BASE_DATOS[[#This Row],[Pos.]]&amp;BASE_DATOS[[#This Row],[Situación Actual]])</f>
        <v>PT-193Rodando</v>
      </c>
    </row>
    <row r="891" spans="1:51" ht="12" x14ac:dyDescent="0.25">
      <c r="A891" s="223" t="s">
        <v>440</v>
      </c>
      <c r="B891" s="217" t="s">
        <v>365</v>
      </c>
      <c r="C891" s="228" t="s">
        <v>460</v>
      </c>
      <c r="D891" s="229" t="s">
        <v>87</v>
      </c>
      <c r="E891" s="255"/>
      <c r="F891" s="256" t="s">
        <v>273</v>
      </c>
      <c r="G891" s="256" t="s">
        <v>274</v>
      </c>
      <c r="H891" s="257" t="str">
        <f>IF(BASE_DATOS[[#This Row],[N-R]]="N",BASE_DATOS[[#This Row],[Diseño]],"Reencauche")</f>
        <v>Reencauche</v>
      </c>
      <c r="I891" s="256" t="s">
        <v>275</v>
      </c>
      <c r="J891" s="243" t="s">
        <v>82</v>
      </c>
      <c r="K891" s="258">
        <v>19</v>
      </c>
      <c r="L891" s="256">
        <v>110</v>
      </c>
      <c r="M891" s="259"/>
      <c r="N891" s="260"/>
      <c r="O891" s="277"/>
      <c r="P891" s="278"/>
      <c r="Q891" s="279"/>
      <c r="R891" s="309">
        <v>4</v>
      </c>
      <c r="S891" s="310">
        <v>45385</v>
      </c>
      <c r="T891" s="313"/>
      <c r="U891" s="279"/>
      <c r="V891" s="227">
        <v>6</v>
      </c>
      <c r="W891" s="281">
        <v>4</v>
      </c>
      <c r="X891" s="282">
        <v>6</v>
      </c>
      <c r="Y891" s="293">
        <f t="shared" si="45"/>
        <v>4</v>
      </c>
      <c r="Z891" s="175" t="s">
        <v>85</v>
      </c>
      <c r="AA891" s="342">
        <f>IFERROR(BASE_DATOS[[#This Row],[NSK Original]]-BASE_DATOS[[#This Row],[NSK]]," ")</f>
        <v>15</v>
      </c>
      <c r="AB891" s="343">
        <f>'NSK-TRACTO'!$A$2</f>
        <v>6</v>
      </c>
      <c r="AC891" s="343">
        <f>IF(BASE_DATOS[[#This Row],[NSK]]&gt;=BASE_DATOS[[#This Row],[NSK Reen]],BASE_DATOS[[#This Row],[NSK Reen]],BASE_DATOS[[#This Row],[NSK]])</f>
        <v>4</v>
      </c>
      <c r="AD891" s="344">
        <f>IFERROR(100%-(BASE_DATOS[[#This Row],[NSK Reen]]/BASE_DATOS[[#This Row],[NSK Original]]),"")</f>
        <v>0.68421052631578949</v>
      </c>
      <c r="AE891" s="344">
        <f>IFERROR(100%-BASE_DATOS[[#This Row],[NSK]]/BASE_DATOS[[#This Row],[NSK Original]],"")</f>
        <v>0.78947368421052633</v>
      </c>
      <c r="AF891" s="344">
        <f>IFERROR(BASE_DATOS[[#This Row],[% Max Des.]]-BASE_DATOS[[#This Row],[% Des]],"")</f>
        <v>-0.10526315789473684</v>
      </c>
      <c r="AG891" s="287"/>
      <c r="AH891" s="273"/>
      <c r="AI891" s="363" t="str">
        <f>IF(OR(BASE_DATOS[[#This Row],[Hr.]]="",BASE_DATOS[[#This Row],[Hr. Actual]]=""),"",BASE_DATOS[[#This Row],[Hr. Actual]]-BASE_DATOS[[#This Row],[Hr.]]+BASE_DATOS[[#This Row],[Horas Acumuladas]])</f>
        <v/>
      </c>
      <c r="AJ891" s="364" t="str">
        <f>IFERROR(BASE_DATOS[[#This Row],[Precio US$]]/BASE_DATOS[[#This Row],[Horas Rodadas]],"")</f>
        <v/>
      </c>
      <c r="AK891" s="365" t="str">
        <f>IFERROR(BASE_DATOS[[#This Row],[Horas Rodadas]]/(BASE_DATOS[[#This Row],[NSK Original]]-BASE_DATOS[[#This Row],[NSK]]),"")</f>
        <v/>
      </c>
      <c r="AL89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91" s="366" t="str">
        <f>IFERROR(BASE_DATOS[[#This Row],[Precio US$]]/BASE_DATOS[[#This Row],[Horas Proy.]],"")</f>
        <v/>
      </c>
      <c r="AN891" s="176" t="str">
        <f>IF(OR(BASE_DATOS[[#This Row],[Km.]]="",BASE_DATOS[[#This Row],[Km. Actual]]=""),"",BASE_DATOS[[#This Row],[Km. Actual]]-BASE_DATOS[[#This Row],[Km.]]+BASE_DATOS[[#This Row],[Kilómetros Acumulados]])</f>
        <v/>
      </c>
      <c r="AO891" s="177" t="str">
        <f>IFERROR(BASE_DATOS[[#This Row],[Precio US$]]/BASE_DATOS[[#This Row],[Kilómetros Rodados]],"")</f>
        <v/>
      </c>
      <c r="AP891" s="176" t="str">
        <f>IFERROR(BASE_DATOS[[#This Row],[Kilómetros Rodados]]/(BASE_DATOS[[#This Row],[NSK Original]]-BASE_DATOS[[#This Row],[NSK]]),"")</f>
        <v/>
      </c>
      <c r="AQ89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91" s="177" t="str">
        <f>IFERROR(BASE_DATOS[[#This Row],[Precio US$]]/BASE_DATOS[[#This Row],[Kilómetros Proy.]],"")</f>
        <v/>
      </c>
      <c r="AS891" s="170" t="s">
        <v>62</v>
      </c>
      <c r="AT891" s="170"/>
      <c r="AU891" s="170"/>
      <c r="AV891" s="170"/>
      <c r="AW891" s="179"/>
      <c r="AX891" s="179"/>
      <c r="AY891" s="179" t="str">
        <f>CONCATENATE(BASE_DATOS[[#This Row],[Código_U]]&amp;BASE_DATOS[[#This Row],[Pos.]]&amp;BASE_DATOS[[#This Row],[Situación Actual]])</f>
        <v>PT-194Rodando</v>
      </c>
    </row>
    <row r="892" spans="1:51" ht="12" x14ac:dyDescent="0.25">
      <c r="A892" s="223" t="s">
        <v>440</v>
      </c>
      <c r="B892" s="217" t="s">
        <v>365</v>
      </c>
      <c r="C892" s="228" t="s">
        <v>460</v>
      </c>
      <c r="D892" s="229" t="s">
        <v>87</v>
      </c>
      <c r="E892" s="255"/>
      <c r="F892" s="256" t="s">
        <v>273</v>
      </c>
      <c r="G892" s="256" t="s">
        <v>274</v>
      </c>
      <c r="H892" s="257" t="str">
        <f>IF(BASE_DATOS[[#This Row],[N-R]]="N",BASE_DATOS[[#This Row],[Diseño]],"Reencauche")</f>
        <v>Reencauche</v>
      </c>
      <c r="I892" s="256" t="s">
        <v>275</v>
      </c>
      <c r="J892" s="243" t="s">
        <v>82</v>
      </c>
      <c r="K892" s="258">
        <v>19</v>
      </c>
      <c r="L892" s="256">
        <v>110</v>
      </c>
      <c r="M892" s="259"/>
      <c r="N892" s="260"/>
      <c r="O892" s="277"/>
      <c r="P892" s="278"/>
      <c r="Q892" s="279"/>
      <c r="R892" s="309">
        <v>5</v>
      </c>
      <c r="S892" s="310">
        <v>45385</v>
      </c>
      <c r="T892" s="313"/>
      <c r="U892" s="279"/>
      <c r="V892" s="227">
        <v>6</v>
      </c>
      <c r="W892" s="281">
        <v>6</v>
      </c>
      <c r="X892" s="282">
        <v>6</v>
      </c>
      <c r="Y892" s="293">
        <f t="shared" si="45"/>
        <v>6</v>
      </c>
      <c r="Z892" s="175" t="s">
        <v>85</v>
      </c>
      <c r="AA892" s="342">
        <f>IFERROR(BASE_DATOS[[#This Row],[NSK Original]]-BASE_DATOS[[#This Row],[NSK]]," ")</f>
        <v>13</v>
      </c>
      <c r="AB892" s="343">
        <f>'NSK-TRACTO'!$A$2</f>
        <v>6</v>
      </c>
      <c r="AC892" s="343">
        <f>IF(BASE_DATOS[[#This Row],[NSK]]&gt;=BASE_DATOS[[#This Row],[NSK Reen]],BASE_DATOS[[#This Row],[NSK Reen]],BASE_DATOS[[#This Row],[NSK]])</f>
        <v>6</v>
      </c>
      <c r="AD892" s="344">
        <f>IFERROR(100%-(BASE_DATOS[[#This Row],[NSK Reen]]/BASE_DATOS[[#This Row],[NSK Original]]),"")</f>
        <v>0.68421052631578949</v>
      </c>
      <c r="AE892" s="344">
        <f>IFERROR(100%-BASE_DATOS[[#This Row],[NSK]]/BASE_DATOS[[#This Row],[NSK Original]],"")</f>
        <v>0.68421052631578949</v>
      </c>
      <c r="AF892" s="344">
        <f>IFERROR(BASE_DATOS[[#This Row],[% Max Des.]]-BASE_DATOS[[#This Row],[% Des]],"")</f>
        <v>0</v>
      </c>
      <c r="AG892" s="287"/>
      <c r="AH892" s="273"/>
      <c r="AI892" s="363" t="str">
        <f>IF(OR(BASE_DATOS[[#This Row],[Hr.]]="",BASE_DATOS[[#This Row],[Hr. Actual]]=""),"",BASE_DATOS[[#This Row],[Hr. Actual]]-BASE_DATOS[[#This Row],[Hr.]]+BASE_DATOS[[#This Row],[Horas Acumuladas]])</f>
        <v/>
      </c>
      <c r="AJ892" s="364" t="str">
        <f>IFERROR(BASE_DATOS[[#This Row],[Precio US$]]/BASE_DATOS[[#This Row],[Horas Rodadas]],"")</f>
        <v/>
      </c>
      <c r="AK892" s="365" t="str">
        <f>IFERROR(BASE_DATOS[[#This Row],[Horas Rodadas]]/(BASE_DATOS[[#This Row],[NSK Original]]-BASE_DATOS[[#This Row],[NSK]]),"")</f>
        <v/>
      </c>
      <c r="AL89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92" s="366" t="str">
        <f>IFERROR(BASE_DATOS[[#This Row],[Precio US$]]/BASE_DATOS[[#This Row],[Horas Proy.]],"")</f>
        <v/>
      </c>
      <c r="AN892" s="176" t="str">
        <f>IF(OR(BASE_DATOS[[#This Row],[Km.]]="",BASE_DATOS[[#This Row],[Km. Actual]]=""),"",BASE_DATOS[[#This Row],[Km. Actual]]-BASE_DATOS[[#This Row],[Km.]]+BASE_DATOS[[#This Row],[Kilómetros Acumulados]])</f>
        <v/>
      </c>
      <c r="AO892" s="177" t="str">
        <f>IFERROR(BASE_DATOS[[#This Row],[Precio US$]]/BASE_DATOS[[#This Row],[Kilómetros Rodados]],"")</f>
        <v/>
      </c>
      <c r="AP892" s="176" t="str">
        <f>IFERROR(BASE_DATOS[[#This Row],[Kilómetros Rodados]]/(BASE_DATOS[[#This Row],[NSK Original]]-BASE_DATOS[[#This Row],[NSK]]),"")</f>
        <v/>
      </c>
      <c r="AQ89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92" s="177" t="str">
        <f>IFERROR(BASE_DATOS[[#This Row],[Precio US$]]/BASE_DATOS[[#This Row],[Kilómetros Proy.]],"")</f>
        <v/>
      </c>
      <c r="AS892" s="170" t="s">
        <v>62</v>
      </c>
      <c r="AT892" s="170"/>
      <c r="AU892" s="170"/>
      <c r="AV892" s="170"/>
      <c r="AW892" s="179"/>
      <c r="AX892" s="179"/>
      <c r="AY892" s="179" t="str">
        <f>CONCATENATE(BASE_DATOS[[#This Row],[Código_U]]&amp;BASE_DATOS[[#This Row],[Pos.]]&amp;BASE_DATOS[[#This Row],[Situación Actual]])</f>
        <v>PT-195Rodando</v>
      </c>
    </row>
    <row r="893" spans="1:51" ht="12" x14ac:dyDescent="0.25">
      <c r="A893" s="223" t="s">
        <v>440</v>
      </c>
      <c r="B893" s="217" t="s">
        <v>365</v>
      </c>
      <c r="C893" s="228" t="s">
        <v>460</v>
      </c>
      <c r="D893" s="229" t="s">
        <v>87</v>
      </c>
      <c r="E893" s="255"/>
      <c r="F893" s="256" t="s">
        <v>273</v>
      </c>
      <c r="G893" s="256" t="s">
        <v>274</v>
      </c>
      <c r="H893" s="257" t="str">
        <f>IF(BASE_DATOS[[#This Row],[N-R]]="N",BASE_DATOS[[#This Row],[Diseño]],"Reencauche")</f>
        <v>XZY3</v>
      </c>
      <c r="I893" s="256" t="s">
        <v>277</v>
      </c>
      <c r="J893" s="243" t="s">
        <v>72</v>
      </c>
      <c r="K893" s="258">
        <v>0</v>
      </c>
      <c r="L893" s="256">
        <v>110</v>
      </c>
      <c r="M893" s="259"/>
      <c r="N893" s="260"/>
      <c r="O893" s="277"/>
      <c r="P893" s="278"/>
      <c r="Q893" s="279"/>
      <c r="R893" s="309">
        <v>6</v>
      </c>
      <c r="S893" s="310">
        <v>45385</v>
      </c>
      <c r="T893" s="313"/>
      <c r="U893" s="279"/>
      <c r="V893" s="227">
        <v>11</v>
      </c>
      <c r="W893" s="281">
        <v>10</v>
      </c>
      <c r="X893" s="282">
        <v>11</v>
      </c>
      <c r="Y893" s="293">
        <f t="shared" si="45"/>
        <v>10</v>
      </c>
      <c r="Z893" s="175" t="s">
        <v>85</v>
      </c>
      <c r="AA893" s="342">
        <f>IFERROR(BASE_DATOS[[#This Row],[NSK Original]]-BASE_DATOS[[#This Row],[NSK]]," ")</f>
        <v>-10</v>
      </c>
      <c r="AB893" s="343">
        <f>'NSK-TRACTO'!$A$2</f>
        <v>6</v>
      </c>
      <c r="AC893" s="343">
        <f>IF(BASE_DATOS[[#This Row],[NSK]]&gt;=BASE_DATOS[[#This Row],[NSK Reen]],BASE_DATOS[[#This Row],[NSK Reen]],BASE_DATOS[[#This Row],[NSK]])</f>
        <v>6</v>
      </c>
      <c r="AD893" s="344" t="str">
        <f>IFERROR(100%-(BASE_DATOS[[#This Row],[NSK Reen]]/BASE_DATOS[[#This Row],[NSK Original]]),"")</f>
        <v/>
      </c>
      <c r="AE893" s="344" t="str">
        <f>IFERROR(100%-BASE_DATOS[[#This Row],[NSK]]/BASE_DATOS[[#This Row],[NSK Original]],"")</f>
        <v/>
      </c>
      <c r="AF893" s="344" t="str">
        <f>IFERROR(BASE_DATOS[[#This Row],[% Max Des.]]-BASE_DATOS[[#This Row],[% Des]],"")</f>
        <v/>
      </c>
      <c r="AG893" s="287"/>
      <c r="AH893" s="273"/>
      <c r="AI893" s="363" t="str">
        <f>IF(OR(BASE_DATOS[[#This Row],[Hr.]]="",BASE_DATOS[[#This Row],[Hr. Actual]]=""),"",BASE_DATOS[[#This Row],[Hr. Actual]]-BASE_DATOS[[#This Row],[Hr.]]+BASE_DATOS[[#This Row],[Horas Acumuladas]])</f>
        <v/>
      </c>
      <c r="AJ893" s="364" t="str">
        <f>IFERROR(BASE_DATOS[[#This Row],[Precio US$]]/BASE_DATOS[[#This Row],[Horas Rodadas]],"")</f>
        <v/>
      </c>
      <c r="AK893" s="365" t="str">
        <f>IFERROR(BASE_DATOS[[#This Row],[Horas Rodadas]]/(BASE_DATOS[[#This Row],[NSK Original]]-BASE_DATOS[[#This Row],[NSK]]),"")</f>
        <v/>
      </c>
      <c r="AL89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93" s="366" t="str">
        <f>IFERROR(BASE_DATOS[[#This Row],[Precio US$]]/BASE_DATOS[[#This Row],[Horas Proy.]],"")</f>
        <v/>
      </c>
      <c r="AN893" s="171" t="str">
        <f>IF(OR(BASE_DATOS[[#This Row],[Km.]]="",BASE_DATOS[[#This Row],[Km. Actual]]=""),"",BASE_DATOS[[#This Row],[Km. Actual]]-BASE_DATOS[[#This Row],[Km.]]+BASE_DATOS[[#This Row],[Kilómetros Acumulados]])</f>
        <v/>
      </c>
      <c r="AO893" s="172" t="str">
        <f>IFERROR(BASE_DATOS[[#This Row],[Precio US$]]/BASE_DATOS[[#This Row],[Kilómetros Rodados]],"")</f>
        <v/>
      </c>
      <c r="AP893" s="171" t="str">
        <f>IFERROR(BASE_DATOS[[#This Row],[Kilómetros Rodados]]/(BASE_DATOS[[#This Row],[NSK Original]]-BASE_DATOS[[#This Row],[NSK]]),"")</f>
        <v/>
      </c>
      <c r="AQ893" s="17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93" s="172" t="str">
        <f>IFERROR(BASE_DATOS[[#This Row],[Precio US$]]/BASE_DATOS[[#This Row],[Kilómetros Proy.]],"")</f>
        <v/>
      </c>
      <c r="AS893" s="170" t="s">
        <v>62</v>
      </c>
      <c r="AT893" s="170"/>
      <c r="AU893" s="170"/>
      <c r="AV893" s="170"/>
      <c r="AW893" s="174"/>
      <c r="AX893" s="174"/>
      <c r="AY893" s="174" t="str">
        <f>CONCATENATE(BASE_DATOS[[#This Row],[Código_U]]&amp;BASE_DATOS[[#This Row],[Pos.]]&amp;BASE_DATOS[[#This Row],[Situación Actual]])</f>
        <v>PT-196Rodando</v>
      </c>
    </row>
    <row r="894" spans="1:51" ht="12" x14ac:dyDescent="0.25">
      <c r="A894" s="222" t="s">
        <v>437</v>
      </c>
      <c r="B894" s="213" t="s">
        <v>366</v>
      </c>
      <c r="C894" s="225" t="s">
        <v>460</v>
      </c>
      <c r="D894" s="226" t="s">
        <v>87</v>
      </c>
      <c r="E894" s="249"/>
      <c r="F894" s="250" t="s">
        <v>273</v>
      </c>
      <c r="G894" s="250" t="s">
        <v>274</v>
      </c>
      <c r="H894" s="251" t="str">
        <f>IF(BASE_DATOS[[#This Row],[N-R]]="N",BASE_DATOS[[#This Row],[Diseño]],"Reencauche")</f>
        <v>Reencauche</v>
      </c>
      <c r="I894" s="250" t="s">
        <v>275</v>
      </c>
      <c r="J894" s="235" t="s">
        <v>82</v>
      </c>
      <c r="K894" s="252">
        <v>19</v>
      </c>
      <c r="L894" s="250">
        <v>110</v>
      </c>
      <c r="M894" s="253"/>
      <c r="N894" s="254"/>
      <c r="O894" s="274"/>
      <c r="P894" s="275"/>
      <c r="Q894" s="276"/>
      <c r="R894" s="305">
        <v>1</v>
      </c>
      <c r="S894" s="306">
        <v>45385</v>
      </c>
      <c r="T894" s="314"/>
      <c r="U894" s="276"/>
      <c r="V894" s="224">
        <v>9</v>
      </c>
      <c r="W894" s="325">
        <v>8</v>
      </c>
      <c r="X894" s="326">
        <v>8</v>
      </c>
      <c r="Y894" s="292">
        <f t="shared" ref="Y894:Y899" si="46">IFERROR(MIN(V894:X894),"")</f>
        <v>8</v>
      </c>
      <c r="Z894" s="194" t="s">
        <v>85</v>
      </c>
      <c r="AA894" s="339">
        <f>IFERROR(BASE_DATOS[[#This Row],[NSK Original]]-BASE_DATOS[[#This Row],[NSK]]," ")</f>
        <v>11</v>
      </c>
      <c r="AB894" s="340">
        <f>'NSK-TRACTO'!$A$2</f>
        <v>6</v>
      </c>
      <c r="AC894" s="340">
        <f>IF(BASE_DATOS[[#This Row],[NSK]]&gt;=BASE_DATOS[[#This Row],[NSK Reen]],BASE_DATOS[[#This Row],[NSK Reen]],BASE_DATOS[[#This Row],[NSK]])</f>
        <v>6</v>
      </c>
      <c r="AD894" s="341">
        <f>IFERROR(100%-(BASE_DATOS[[#This Row],[NSK Reen]]/BASE_DATOS[[#This Row],[NSK Original]]),"")</f>
        <v>0.68421052631578949</v>
      </c>
      <c r="AE894" s="341">
        <f>IFERROR(100%-BASE_DATOS[[#This Row],[NSK]]/BASE_DATOS[[#This Row],[NSK Original]],"")</f>
        <v>0.57894736842105265</v>
      </c>
      <c r="AF894" s="341">
        <f>IFERROR(BASE_DATOS[[#This Row],[% Max Des.]]-BASE_DATOS[[#This Row],[% Des]],"")</f>
        <v>0.10526315789473684</v>
      </c>
      <c r="AG894" s="284"/>
      <c r="AH894" s="335"/>
      <c r="AI894" s="359" t="str">
        <f>IF(OR(BASE_DATOS[[#This Row],[Hr.]]="",BASE_DATOS[[#This Row],[Hr. Actual]]=""),"",BASE_DATOS[[#This Row],[Hr. Actual]]-BASE_DATOS[[#This Row],[Hr.]]+BASE_DATOS[[#This Row],[Horas Acumuladas]])</f>
        <v/>
      </c>
      <c r="AJ894" s="360" t="str">
        <f>IFERROR(BASE_DATOS[[#This Row],[Precio US$]]/BASE_DATOS[[#This Row],[Horas Rodadas]],"")</f>
        <v/>
      </c>
      <c r="AK894" s="361" t="str">
        <f>IFERROR(BASE_DATOS[[#This Row],[Horas Rodadas]]/(BASE_DATOS[[#This Row],[NSK Original]]-BASE_DATOS[[#This Row],[NSK]]),"")</f>
        <v/>
      </c>
      <c r="AL894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94" s="362" t="str">
        <f>IFERROR(BASE_DATOS[[#This Row],[Precio US$]]/BASE_DATOS[[#This Row],[Horas Proy.]],"")</f>
        <v/>
      </c>
      <c r="AN894" s="199" t="str">
        <f>IF(OR(BASE_DATOS[[#This Row],[Km.]]="",BASE_DATOS[[#This Row],[Km. Actual]]=""),"",BASE_DATOS[[#This Row],[Km. Actual]]-BASE_DATOS[[#This Row],[Km.]]+BASE_DATOS[[#This Row],[Kilómetros Acumulados]])</f>
        <v/>
      </c>
      <c r="AO894" s="200" t="str">
        <f>IFERROR(BASE_DATOS[[#This Row],[Precio US$]]/BASE_DATOS[[#This Row],[Kilómetros Rodados]],"")</f>
        <v/>
      </c>
      <c r="AP894" s="199" t="str">
        <f>IFERROR(BASE_DATOS[[#This Row],[Kilómetros Rodados]]/(BASE_DATOS[[#This Row],[NSK Original]]-BASE_DATOS[[#This Row],[NSK]]),"")</f>
        <v/>
      </c>
      <c r="AQ894" s="19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94" s="200" t="str">
        <f>IFERROR(BASE_DATOS[[#This Row],[Precio US$]]/BASE_DATOS[[#This Row],[Kilómetros Proy.]],"")</f>
        <v/>
      </c>
      <c r="AS894" s="201" t="s">
        <v>62</v>
      </c>
      <c r="AT894" s="201"/>
      <c r="AU894" s="201" t="s">
        <v>515</v>
      </c>
      <c r="AV894" s="201"/>
      <c r="AW894" s="203"/>
      <c r="AX894" s="204" t="s">
        <v>371</v>
      </c>
      <c r="AY894" s="204" t="str">
        <f>CONCATENATE(BASE_DATOS[[#This Row],[Código_U]]&amp;BASE_DATOS[[#This Row],[Pos.]]&amp;BASE_DATOS[[#This Row],[Situación Actual]])</f>
        <v>PT-181Rodando</v>
      </c>
    </row>
    <row r="895" spans="1:51" ht="12" x14ac:dyDescent="0.25">
      <c r="A895" s="223" t="s">
        <v>437</v>
      </c>
      <c r="B895" s="217" t="s">
        <v>366</v>
      </c>
      <c r="C895" s="228" t="s">
        <v>460</v>
      </c>
      <c r="D895" s="229" t="s">
        <v>87</v>
      </c>
      <c r="E895" s="255"/>
      <c r="F895" s="256" t="s">
        <v>97</v>
      </c>
      <c r="G895" s="256" t="s">
        <v>269</v>
      </c>
      <c r="H895" s="257" t="str">
        <f>IF(BASE_DATOS[[#This Row],[N-R]]="N",BASE_DATOS[[#This Row],[Diseño]],"Reencauche")</f>
        <v>AGC28</v>
      </c>
      <c r="I895" s="256" t="s">
        <v>270</v>
      </c>
      <c r="J895" s="243" t="s">
        <v>72</v>
      </c>
      <c r="K895" s="258">
        <v>16.5</v>
      </c>
      <c r="L895" s="256">
        <v>110</v>
      </c>
      <c r="M895" s="259"/>
      <c r="N895" s="260"/>
      <c r="O895" s="277"/>
      <c r="P895" s="278"/>
      <c r="Q895" s="279"/>
      <c r="R895" s="309">
        <v>2</v>
      </c>
      <c r="S895" s="310">
        <v>45385</v>
      </c>
      <c r="T895" s="313"/>
      <c r="U895" s="279"/>
      <c r="V895" s="227">
        <v>8</v>
      </c>
      <c r="W895" s="281">
        <v>6</v>
      </c>
      <c r="X895" s="282">
        <v>7</v>
      </c>
      <c r="Y895" s="293">
        <f t="shared" si="46"/>
        <v>6</v>
      </c>
      <c r="Z895" s="175" t="s">
        <v>85</v>
      </c>
      <c r="AA895" s="342">
        <f>IFERROR(BASE_DATOS[[#This Row],[NSK Original]]-BASE_DATOS[[#This Row],[NSK]]," ")</f>
        <v>10.5</v>
      </c>
      <c r="AB895" s="343">
        <f>'NSK-TRACTO'!$A$2</f>
        <v>6</v>
      </c>
      <c r="AC895" s="343">
        <f>IF(BASE_DATOS[[#This Row],[NSK]]&gt;=BASE_DATOS[[#This Row],[NSK Reen]],BASE_DATOS[[#This Row],[NSK Reen]],BASE_DATOS[[#This Row],[NSK]])</f>
        <v>6</v>
      </c>
      <c r="AD895" s="344">
        <f>IFERROR(100%-(BASE_DATOS[[#This Row],[NSK Reen]]/BASE_DATOS[[#This Row],[NSK Original]]),"")</f>
        <v>0.63636363636363635</v>
      </c>
      <c r="AE895" s="344">
        <f>IFERROR(100%-BASE_DATOS[[#This Row],[NSK]]/BASE_DATOS[[#This Row],[NSK Original]],"")</f>
        <v>0.63636363636363635</v>
      </c>
      <c r="AF895" s="344">
        <f>IFERROR(BASE_DATOS[[#This Row],[% Max Des.]]-BASE_DATOS[[#This Row],[% Des]],"")</f>
        <v>0</v>
      </c>
      <c r="AG895" s="287"/>
      <c r="AH895" s="273"/>
      <c r="AI895" s="363" t="str">
        <f>IF(OR(BASE_DATOS[[#This Row],[Hr.]]="",BASE_DATOS[[#This Row],[Hr. Actual]]=""),"",BASE_DATOS[[#This Row],[Hr. Actual]]-BASE_DATOS[[#This Row],[Hr.]]+BASE_DATOS[[#This Row],[Horas Acumuladas]])</f>
        <v/>
      </c>
      <c r="AJ895" s="364" t="str">
        <f>IFERROR(BASE_DATOS[[#This Row],[Precio US$]]/BASE_DATOS[[#This Row],[Horas Rodadas]],"")</f>
        <v/>
      </c>
      <c r="AK895" s="365" t="str">
        <f>IFERROR(BASE_DATOS[[#This Row],[Horas Rodadas]]/(BASE_DATOS[[#This Row],[NSK Original]]-BASE_DATOS[[#This Row],[NSK]]),"")</f>
        <v/>
      </c>
      <c r="AL89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95" s="366" t="str">
        <f>IFERROR(BASE_DATOS[[#This Row],[Precio US$]]/BASE_DATOS[[#This Row],[Horas Proy.]],"")</f>
        <v/>
      </c>
      <c r="AN895" s="176" t="str">
        <f>IF(OR(BASE_DATOS[[#This Row],[Km.]]="",BASE_DATOS[[#This Row],[Km. Actual]]=""),"",BASE_DATOS[[#This Row],[Km. Actual]]-BASE_DATOS[[#This Row],[Km.]]+BASE_DATOS[[#This Row],[Kilómetros Acumulados]])</f>
        <v/>
      </c>
      <c r="AO895" s="177" t="str">
        <f>IFERROR(BASE_DATOS[[#This Row],[Precio US$]]/BASE_DATOS[[#This Row],[Kilómetros Rodados]],"")</f>
        <v/>
      </c>
      <c r="AP895" s="176" t="str">
        <f>IFERROR(BASE_DATOS[[#This Row],[Kilómetros Rodados]]/(BASE_DATOS[[#This Row],[NSK Original]]-BASE_DATOS[[#This Row],[NSK]]),"")</f>
        <v/>
      </c>
      <c r="AQ89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95" s="177" t="str">
        <f>IFERROR(BASE_DATOS[[#This Row],[Precio US$]]/BASE_DATOS[[#This Row],[Kilómetros Proy.]],"")</f>
        <v/>
      </c>
      <c r="AS895" s="170" t="s">
        <v>62</v>
      </c>
      <c r="AT895" s="170" t="s">
        <v>515</v>
      </c>
      <c r="AU895" s="170"/>
      <c r="AV895" s="170"/>
      <c r="AW895" s="169" t="s">
        <v>436</v>
      </c>
      <c r="AX895" s="179"/>
      <c r="AY895" s="179" t="str">
        <f>CONCATENATE(BASE_DATOS[[#This Row],[Código_U]]&amp;BASE_DATOS[[#This Row],[Pos.]]&amp;BASE_DATOS[[#This Row],[Situación Actual]])</f>
        <v>PT-182Rodando</v>
      </c>
    </row>
    <row r="896" spans="1:51" ht="12" x14ac:dyDescent="0.25">
      <c r="A896" s="223" t="s">
        <v>437</v>
      </c>
      <c r="B896" s="217" t="s">
        <v>366</v>
      </c>
      <c r="C896" s="228" t="s">
        <v>460</v>
      </c>
      <c r="D896" s="229" t="s">
        <v>87</v>
      </c>
      <c r="E896" s="255"/>
      <c r="F896" s="256" t="s">
        <v>97</v>
      </c>
      <c r="G896" s="256" t="s">
        <v>269</v>
      </c>
      <c r="H896" s="257" t="str">
        <f>IF(BASE_DATOS[[#This Row],[N-R]]="N",BASE_DATOS[[#This Row],[Diseño]],"Reencauche")</f>
        <v>AGC28</v>
      </c>
      <c r="I896" s="256" t="s">
        <v>270</v>
      </c>
      <c r="J896" s="243" t="s">
        <v>72</v>
      </c>
      <c r="K896" s="258">
        <v>16.5</v>
      </c>
      <c r="L896" s="256">
        <v>110</v>
      </c>
      <c r="M896" s="259"/>
      <c r="N896" s="260"/>
      <c r="O896" s="277"/>
      <c r="P896" s="278"/>
      <c r="Q896" s="279"/>
      <c r="R896" s="309">
        <v>3</v>
      </c>
      <c r="S896" s="310">
        <v>45385</v>
      </c>
      <c r="T896" s="313"/>
      <c r="U896" s="279"/>
      <c r="V896" s="227">
        <v>8</v>
      </c>
      <c r="W896" s="281">
        <v>7</v>
      </c>
      <c r="X896" s="282">
        <v>8</v>
      </c>
      <c r="Y896" s="293">
        <f t="shared" si="46"/>
        <v>7</v>
      </c>
      <c r="Z896" s="175" t="s">
        <v>85</v>
      </c>
      <c r="AA896" s="342">
        <f>IFERROR(BASE_DATOS[[#This Row],[NSK Original]]-BASE_DATOS[[#This Row],[NSK]]," ")</f>
        <v>9.5</v>
      </c>
      <c r="AB896" s="343">
        <f>'NSK-TRACTO'!$A$2</f>
        <v>6</v>
      </c>
      <c r="AC896" s="343">
        <f>IF(BASE_DATOS[[#This Row],[NSK]]&gt;=BASE_DATOS[[#This Row],[NSK Reen]],BASE_DATOS[[#This Row],[NSK Reen]],BASE_DATOS[[#This Row],[NSK]])</f>
        <v>6</v>
      </c>
      <c r="AD896" s="344">
        <f>IFERROR(100%-(BASE_DATOS[[#This Row],[NSK Reen]]/BASE_DATOS[[#This Row],[NSK Original]]),"")</f>
        <v>0.63636363636363635</v>
      </c>
      <c r="AE896" s="344">
        <f>IFERROR(100%-BASE_DATOS[[#This Row],[NSK]]/BASE_DATOS[[#This Row],[NSK Original]],"")</f>
        <v>0.57575757575757569</v>
      </c>
      <c r="AF896" s="344">
        <f>IFERROR(BASE_DATOS[[#This Row],[% Max Des.]]-BASE_DATOS[[#This Row],[% Des]],"")</f>
        <v>6.0606060606060663E-2</v>
      </c>
      <c r="AG896" s="287"/>
      <c r="AH896" s="273"/>
      <c r="AI896" s="363" t="str">
        <f>IF(OR(BASE_DATOS[[#This Row],[Hr.]]="",BASE_DATOS[[#This Row],[Hr. Actual]]=""),"",BASE_DATOS[[#This Row],[Hr. Actual]]-BASE_DATOS[[#This Row],[Hr.]]+BASE_DATOS[[#This Row],[Horas Acumuladas]])</f>
        <v/>
      </c>
      <c r="AJ896" s="364" t="str">
        <f>IFERROR(BASE_DATOS[[#This Row],[Precio US$]]/BASE_DATOS[[#This Row],[Horas Rodadas]],"")</f>
        <v/>
      </c>
      <c r="AK896" s="365" t="str">
        <f>IFERROR(BASE_DATOS[[#This Row],[Horas Rodadas]]/(BASE_DATOS[[#This Row],[NSK Original]]-BASE_DATOS[[#This Row],[NSK]]),"")</f>
        <v/>
      </c>
      <c r="AL89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96" s="366" t="str">
        <f>IFERROR(BASE_DATOS[[#This Row],[Precio US$]]/BASE_DATOS[[#This Row],[Horas Proy.]],"")</f>
        <v/>
      </c>
      <c r="AN896" s="176" t="str">
        <f>IF(OR(BASE_DATOS[[#This Row],[Km.]]="",BASE_DATOS[[#This Row],[Km. Actual]]=""),"",BASE_DATOS[[#This Row],[Km. Actual]]-BASE_DATOS[[#This Row],[Km.]]+BASE_DATOS[[#This Row],[Kilómetros Acumulados]])</f>
        <v/>
      </c>
      <c r="AO896" s="177" t="str">
        <f>IFERROR(BASE_DATOS[[#This Row],[Precio US$]]/BASE_DATOS[[#This Row],[Kilómetros Rodados]],"")</f>
        <v/>
      </c>
      <c r="AP896" s="176" t="str">
        <f>IFERROR(BASE_DATOS[[#This Row],[Kilómetros Rodados]]/(BASE_DATOS[[#This Row],[NSK Original]]-BASE_DATOS[[#This Row],[NSK]]),"")</f>
        <v/>
      </c>
      <c r="AQ89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96" s="177" t="str">
        <f>IFERROR(BASE_DATOS[[#This Row],[Precio US$]]/BASE_DATOS[[#This Row],[Kilómetros Proy.]],"")</f>
        <v/>
      </c>
      <c r="AS896" s="170" t="s">
        <v>62</v>
      </c>
      <c r="AT896" s="170"/>
      <c r="AU896" s="170"/>
      <c r="AV896" s="170"/>
      <c r="AW896" s="179"/>
      <c r="AX896" s="179"/>
      <c r="AY896" s="179" t="str">
        <f>CONCATENATE(BASE_DATOS[[#This Row],[Código_U]]&amp;BASE_DATOS[[#This Row],[Pos.]]&amp;BASE_DATOS[[#This Row],[Situación Actual]])</f>
        <v>PT-183Rodando</v>
      </c>
    </row>
    <row r="897" spans="1:51" ht="12" x14ac:dyDescent="0.25">
      <c r="A897" s="223" t="s">
        <v>437</v>
      </c>
      <c r="B897" s="217" t="s">
        <v>366</v>
      </c>
      <c r="C897" s="228" t="s">
        <v>460</v>
      </c>
      <c r="D897" s="229" t="s">
        <v>87</v>
      </c>
      <c r="E897" s="255"/>
      <c r="F897" s="256" t="s">
        <v>97</v>
      </c>
      <c r="G897" s="256" t="s">
        <v>269</v>
      </c>
      <c r="H897" s="257" t="str">
        <f>IF(BASE_DATOS[[#This Row],[N-R]]="N",BASE_DATOS[[#This Row],[Diseño]],"Reencauche")</f>
        <v>AGC28</v>
      </c>
      <c r="I897" s="256" t="s">
        <v>270</v>
      </c>
      <c r="J897" s="243" t="s">
        <v>72</v>
      </c>
      <c r="K897" s="258">
        <v>16.5</v>
      </c>
      <c r="L897" s="256">
        <v>110</v>
      </c>
      <c r="M897" s="259"/>
      <c r="N897" s="260"/>
      <c r="O897" s="277"/>
      <c r="P897" s="278"/>
      <c r="Q897" s="279"/>
      <c r="R897" s="309">
        <v>4</v>
      </c>
      <c r="S897" s="310">
        <v>45385</v>
      </c>
      <c r="T897" s="313"/>
      <c r="U897" s="279"/>
      <c r="V897" s="227">
        <v>7</v>
      </c>
      <c r="W897" s="281">
        <v>6</v>
      </c>
      <c r="X897" s="282">
        <v>7</v>
      </c>
      <c r="Y897" s="293">
        <f t="shared" si="46"/>
        <v>6</v>
      </c>
      <c r="Z897" s="175" t="s">
        <v>85</v>
      </c>
      <c r="AA897" s="342">
        <f>IFERROR(BASE_DATOS[[#This Row],[NSK Original]]-BASE_DATOS[[#This Row],[NSK]]," ")</f>
        <v>10.5</v>
      </c>
      <c r="AB897" s="343">
        <f>'NSK-TRACTO'!$A$2</f>
        <v>6</v>
      </c>
      <c r="AC897" s="343">
        <f>IF(BASE_DATOS[[#This Row],[NSK]]&gt;=BASE_DATOS[[#This Row],[NSK Reen]],BASE_DATOS[[#This Row],[NSK Reen]],BASE_DATOS[[#This Row],[NSK]])</f>
        <v>6</v>
      </c>
      <c r="AD897" s="344">
        <f>IFERROR(100%-(BASE_DATOS[[#This Row],[NSK Reen]]/BASE_DATOS[[#This Row],[NSK Original]]),"")</f>
        <v>0.63636363636363635</v>
      </c>
      <c r="AE897" s="344">
        <f>IFERROR(100%-BASE_DATOS[[#This Row],[NSK]]/BASE_DATOS[[#This Row],[NSK Original]],"")</f>
        <v>0.63636363636363635</v>
      </c>
      <c r="AF897" s="344">
        <f>IFERROR(BASE_DATOS[[#This Row],[% Max Des.]]-BASE_DATOS[[#This Row],[% Des]],"")</f>
        <v>0</v>
      </c>
      <c r="AG897" s="287"/>
      <c r="AH897" s="273"/>
      <c r="AI897" s="363" t="str">
        <f>IF(OR(BASE_DATOS[[#This Row],[Hr.]]="",BASE_DATOS[[#This Row],[Hr. Actual]]=""),"",BASE_DATOS[[#This Row],[Hr. Actual]]-BASE_DATOS[[#This Row],[Hr.]]+BASE_DATOS[[#This Row],[Horas Acumuladas]])</f>
        <v/>
      </c>
      <c r="AJ897" s="364" t="str">
        <f>IFERROR(BASE_DATOS[[#This Row],[Precio US$]]/BASE_DATOS[[#This Row],[Horas Rodadas]],"")</f>
        <v/>
      </c>
      <c r="AK897" s="365" t="str">
        <f>IFERROR(BASE_DATOS[[#This Row],[Horas Rodadas]]/(BASE_DATOS[[#This Row],[NSK Original]]-BASE_DATOS[[#This Row],[NSK]]),"")</f>
        <v/>
      </c>
      <c r="AL89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97" s="366" t="str">
        <f>IFERROR(BASE_DATOS[[#This Row],[Precio US$]]/BASE_DATOS[[#This Row],[Horas Proy.]],"")</f>
        <v/>
      </c>
      <c r="AN897" s="176" t="str">
        <f>IF(OR(BASE_DATOS[[#This Row],[Km.]]="",BASE_DATOS[[#This Row],[Km. Actual]]=""),"",BASE_DATOS[[#This Row],[Km. Actual]]-BASE_DATOS[[#This Row],[Km.]]+BASE_DATOS[[#This Row],[Kilómetros Acumulados]])</f>
        <v/>
      </c>
      <c r="AO897" s="177" t="str">
        <f>IFERROR(BASE_DATOS[[#This Row],[Precio US$]]/BASE_DATOS[[#This Row],[Kilómetros Rodados]],"")</f>
        <v/>
      </c>
      <c r="AP897" s="176" t="str">
        <f>IFERROR(BASE_DATOS[[#This Row],[Kilómetros Rodados]]/(BASE_DATOS[[#This Row],[NSK Original]]-BASE_DATOS[[#This Row],[NSK]]),"")</f>
        <v/>
      </c>
      <c r="AQ89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97" s="177" t="str">
        <f>IFERROR(BASE_DATOS[[#This Row],[Precio US$]]/BASE_DATOS[[#This Row],[Kilómetros Proy.]],"")</f>
        <v/>
      </c>
      <c r="AS897" s="170" t="s">
        <v>62</v>
      </c>
      <c r="AT897" s="170"/>
      <c r="AU897" s="170"/>
      <c r="AV897" s="170"/>
      <c r="AW897" s="179"/>
      <c r="AX897" s="179"/>
      <c r="AY897" s="179" t="str">
        <f>CONCATENATE(BASE_DATOS[[#This Row],[Código_U]]&amp;BASE_DATOS[[#This Row],[Pos.]]&amp;BASE_DATOS[[#This Row],[Situación Actual]])</f>
        <v>PT-184Rodando</v>
      </c>
    </row>
    <row r="898" spans="1:51" ht="12" x14ac:dyDescent="0.25">
      <c r="A898" s="223" t="s">
        <v>437</v>
      </c>
      <c r="B898" s="217" t="s">
        <v>366</v>
      </c>
      <c r="C898" s="228" t="s">
        <v>460</v>
      </c>
      <c r="D898" s="229" t="s">
        <v>87</v>
      </c>
      <c r="E898" s="255"/>
      <c r="F898" s="256" t="s">
        <v>273</v>
      </c>
      <c r="G898" s="256" t="s">
        <v>274</v>
      </c>
      <c r="H898" s="257" t="str">
        <f>IF(BASE_DATOS[[#This Row],[N-R]]="N",BASE_DATOS[[#This Row],[Diseño]],"Reencauche")</f>
        <v>Reencauche</v>
      </c>
      <c r="I898" s="256" t="s">
        <v>275</v>
      </c>
      <c r="J898" s="243" t="s">
        <v>82</v>
      </c>
      <c r="K898" s="258">
        <v>19</v>
      </c>
      <c r="L898" s="256">
        <v>110</v>
      </c>
      <c r="M898" s="259"/>
      <c r="N898" s="260"/>
      <c r="O898" s="277"/>
      <c r="P898" s="278"/>
      <c r="Q898" s="279"/>
      <c r="R898" s="309">
        <v>5</v>
      </c>
      <c r="S898" s="310">
        <v>45385</v>
      </c>
      <c r="T898" s="313"/>
      <c r="U898" s="279"/>
      <c r="V898" s="227">
        <v>12</v>
      </c>
      <c r="W898" s="281">
        <v>12</v>
      </c>
      <c r="X898" s="282">
        <v>12</v>
      </c>
      <c r="Y898" s="293">
        <f t="shared" si="46"/>
        <v>12</v>
      </c>
      <c r="Z898" s="175" t="s">
        <v>85</v>
      </c>
      <c r="AA898" s="342">
        <f>IFERROR(BASE_DATOS[[#This Row],[NSK Original]]-BASE_DATOS[[#This Row],[NSK]]," ")</f>
        <v>7</v>
      </c>
      <c r="AB898" s="343">
        <f>'NSK-TRACTO'!$A$2</f>
        <v>6</v>
      </c>
      <c r="AC898" s="343">
        <f>IF(BASE_DATOS[[#This Row],[NSK]]&gt;=BASE_DATOS[[#This Row],[NSK Reen]],BASE_DATOS[[#This Row],[NSK Reen]],BASE_DATOS[[#This Row],[NSK]])</f>
        <v>6</v>
      </c>
      <c r="AD898" s="344">
        <f>IFERROR(100%-(BASE_DATOS[[#This Row],[NSK Reen]]/BASE_DATOS[[#This Row],[NSK Original]]),"")</f>
        <v>0.68421052631578949</v>
      </c>
      <c r="AE898" s="344">
        <f>IFERROR(100%-BASE_DATOS[[#This Row],[NSK]]/BASE_DATOS[[#This Row],[NSK Original]],"")</f>
        <v>0.36842105263157898</v>
      </c>
      <c r="AF898" s="344">
        <f>IFERROR(BASE_DATOS[[#This Row],[% Max Des.]]-BASE_DATOS[[#This Row],[% Des]],"")</f>
        <v>0.31578947368421051</v>
      </c>
      <c r="AG898" s="287"/>
      <c r="AH898" s="273"/>
      <c r="AI898" s="363" t="str">
        <f>IF(OR(BASE_DATOS[[#This Row],[Hr.]]="",BASE_DATOS[[#This Row],[Hr. Actual]]=""),"",BASE_DATOS[[#This Row],[Hr. Actual]]-BASE_DATOS[[#This Row],[Hr.]]+BASE_DATOS[[#This Row],[Horas Acumuladas]])</f>
        <v/>
      </c>
      <c r="AJ898" s="364" t="str">
        <f>IFERROR(BASE_DATOS[[#This Row],[Precio US$]]/BASE_DATOS[[#This Row],[Horas Rodadas]],"")</f>
        <v/>
      </c>
      <c r="AK898" s="365" t="str">
        <f>IFERROR(BASE_DATOS[[#This Row],[Horas Rodadas]]/(BASE_DATOS[[#This Row],[NSK Original]]-BASE_DATOS[[#This Row],[NSK]]),"")</f>
        <v/>
      </c>
      <c r="AL89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98" s="366" t="str">
        <f>IFERROR(BASE_DATOS[[#This Row],[Precio US$]]/BASE_DATOS[[#This Row],[Horas Proy.]],"")</f>
        <v/>
      </c>
      <c r="AN898" s="176" t="str">
        <f>IF(OR(BASE_DATOS[[#This Row],[Km.]]="",BASE_DATOS[[#This Row],[Km. Actual]]=""),"",BASE_DATOS[[#This Row],[Km. Actual]]-BASE_DATOS[[#This Row],[Km.]]+BASE_DATOS[[#This Row],[Kilómetros Acumulados]])</f>
        <v/>
      </c>
      <c r="AO898" s="177" t="str">
        <f>IFERROR(BASE_DATOS[[#This Row],[Precio US$]]/BASE_DATOS[[#This Row],[Kilómetros Rodados]],"")</f>
        <v/>
      </c>
      <c r="AP898" s="176" t="str">
        <f>IFERROR(BASE_DATOS[[#This Row],[Kilómetros Rodados]]/(BASE_DATOS[[#This Row],[NSK Original]]-BASE_DATOS[[#This Row],[NSK]]),"")</f>
        <v/>
      </c>
      <c r="AQ89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98" s="177" t="str">
        <f>IFERROR(BASE_DATOS[[#This Row],[Precio US$]]/BASE_DATOS[[#This Row],[Kilómetros Proy.]],"")</f>
        <v/>
      </c>
      <c r="AS898" s="170" t="s">
        <v>62</v>
      </c>
      <c r="AT898" s="170"/>
      <c r="AU898" s="170"/>
      <c r="AV898" s="170"/>
      <c r="AW898" s="179"/>
      <c r="AX898" s="179"/>
      <c r="AY898" s="179" t="str">
        <f>CONCATENATE(BASE_DATOS[[#This Row],[Código_U]]&amp;BASE_DATOS[[#This Row],[Pos.]]&amp;BASE_DATOS[[#This Row],[Situación Actual]])</f>
        <v>PT-185Rodando</v>
      </c>
    </row>
    <row r="899" spans="1:51" ht="12" x14ac:dyDescent="0.25">
      <c r="A899" s="223" t="s">
        <v>437</v>
      </c>
      <c r="B899" s="217" t="s">
        <v>366</v>
      </c>
      <c r="C899" s="228" t="s">
        <v>460</v>
      </c>
      <c r="D899" s="229" t="s">
        <v>87</v>
      </c>
      <c r="E899" s="255"/>
      <c r="F899" s="256" t="s">
        <v>273</v>
      </c>
      <c r="G899" s="256" t="s">
        <v>274</v>
      </c>
      <c r="H899" s="257" t="str">
        <f>IF(BASE_DATOS[[#This Row],[N-R]]="N",BASE_DATOS[[#This Row],[Diseño]],"Reencauche")</f>
        <v>Reencauche</v>
      </c>
      <c r="I899" s="256" t="s">
        <v>275</v>
      </c>
      <c r="J899" s="243" t="s">
        <v>82</v>
      </c>
      <c r="K899" s="258">
        <v>19</v>
      </c>
      <c r="L899" s="256">
        <v>110</v>
      </c>
      <c r="M899" s="259"/>
      <c r="N899" s="260"/>
      <c r="O899" s="277"/>
      <c r="P899" s="278"/>
      <c r="Q899" s="279"/>
      <c r="R899" s="309">
        <v>6</v>
      </c>
      <c r="S899" s="310">
        <v>45385</v>
      </c>
      <c r="T899" s="313"/>
      <c r="U899" s="279"/>
      <c r="V899" s="227">
        <v>14</v>
      </c>
      <c r="W899" s="281">
        <v>14</v>
      </c>
      <c r="X899" s="282">
        <v>14</v>
      </c>
      <c r="Y899" s="293">
        <f t="shared" si="46"/>
        <v>14</v>
      </c>
      <c r="Z899" s="175" t="s">
        <v>85</v>
      </c>
      <c r="AA899" s="342">
        <f>IFERROR(BASE_DATOS[[#This Row],[NSK Original]]-BASE_DATOS[[#This Row],[NSK]]," ")</f>
        <v>5</v>
      </c>
      <c r="AB899" s="343">
        <f>'NSK-TRACTO'!$A$2</f>
        <v>6</v>
      </c>
      <c r="AC899" s="343">
        <f>IF(BASE_DATOS[[#This Row],[NSK]]&gt;=BASE_DATOS[[#This Row],[NSK Reen]],BASE_DATOS[[#This Row],[NSK Reen]],BASE_DATOS[[#This Row],[NSK]])</f>
        <v>6</v>
      </c>
      <c r="AD899" s="344">
        <f>IFERROR(100%-(BASE_DATOS[[#This Row],[NSK Reen]]/BASE_DATOS[[#This Row],[NSK Original]]),"")</f>
        <v>0.68421052631578949</v>
      </c>
      <c r="AE899" s="344">
        <f>IFERROR(100%-BASE_DATOS[[#This Row],[NSK]]/BASE_DATOS[[#This Row],[NSK Original]],"")</f>
        <v>0.26315789473684215</v>
      </c>
      <c r="AF899" s="344">
        <f>IFERROR(BASE_DATOS[[#This Row],[% Max Des.]]-BASE_DATOS[[#This Row],[% Des]],"")</f>
        <v>0.42105263157894735</v>
      </c>
      <c r="AG899" s="287"/>
      <c r="AH899" s="273"/>
      <c r="AI899" s="363" t="str">
        <f>IF(OR(BASE_DATOS[[#This Row],[Hr.]]="",BASE_DATOS[[#This Row],[Hr. Actual]]=""),"",BASE_DATOS[[#This Row],[Hr. Actual]]-BASE_DATOS[[#This Row],[Hr.]]+BASE_DATOS[[#This Row],[Horas Acumuladas]])</f>
        <v/>
      </c>
      <c r="AJ899" s="364" t="str">
        <f>IFERROR(BASE_DATOS[[#This Row],[Precio US$]]/BASE_DATOS[[#This Row],[Horas Rodadas]],"")</f>
        <v/>
      </c>
      <c r="AK899" s="365" t="str">
        <f>IFERROR(BASE_DATOS[[#This Row],[Horas Rodadas]]/(BASE_DATOS[[#This Row],[NSK Original]]-BASE_DATOS[[#This Row],[NSK]]),"")</f>
        <v/>
      </c>
      <c r="AL89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899" s="366" t="str">
        <f>IFERROR(BASE_DATOS[[#This Row],[Precio US$]]/BASE_DATOS[[#This Row],[Horas Proy.]],"")</f>
        <v/>
      </c>
      <c r="AN899" s="176" t="str">
        <f>IF(OR(BASE_DATOS[[#This Row],[Km.]]="",BASE_DATOS[[#This Row],[Km. Actual]]=""),"",BASE_DATOS[[#This Row],[Km. Actual]]-BASE_DATOS[[#This Row],[Km.]]+BASE_DATOS[[#This Row],[Kilómetros Acumulados]])</f>
        <v/>
      </c>
      <c r="AO899" s="177" t="str">
        <f>IFERROR(BASE_DATOS[[#This Row],[Precio US$]]/BASE_DATOS[[#This Row],[Kilómetros Rodados]],"")</f>
        <v/>
      </c>
      <c r="AP899" s="176" t="str">
        <f>IFERROR(BASE_DATOS[[#This Row],[Kilómetros Rodados]]/(BASE_DATOS[[#This Row],[NSK Original]]-BASE_DATOS[[#This Row],[NSK]]),"")</f>
        <v/>
      </c>
      <c r="AQ899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899" s="177" t="str">
        <f>IFERROR(BASE_DATOS[[#This Row],[Precio US$]]/BASE_DATOS[[#This Row],[Kilómetros Proy.]],"")</f>
        <v/>
      </c>
      <c r="AS899" s="170" t="s">
        <v>62</v>
      </c>
      <c r="AT899" s="170"/>
      <c r="AU899" s="170"/>
      <c r="AV899" s="170"/>
      <c r="AW899" s="179"/>
      <c r="AX899" s="179"/>
      <c r="AY899" s="179" t="str">
        <f>CONCATENATE(BASE_DATOS[[#This Row],[Código_U]]&amp;BASE_DATOS[[#This Row],[Pos.]]&amp;BASE_DATOS[[#This Row],[Situación Actual]])</f>
        <v>PT-186Rodando</v>
      </c>
    </row>
    <row r="900" spans="1:51" ht="12" x14ac:dyDescent="0.25">
      <c r="A900" s="224" t="s">
        <v>405</v>
      </c>
      <c r="B900" s="213" t="s">
        <v>367</v>
      </c>
      <c r="C900" s="225" t="s">
        <v>296</v>
      </c>
      <c r="D900" s="226" t="s">
        <v>86</v>
      </c>
      <c r="E900" s="249"/>
      <c r="F900" s="250" t="s">
        <v>273</v>
      </c>
      <c r="G900" s="250" t="s">
        <v>271</v>
      </c>
      <c r="H900" s="251" t="str">
        <f>IF(BASE_DATOS[[#This Row],[N-R]]="N",BASE_DATOS[[#This Row],[Diseño]],"Reencauche")</f>
        <v>XMULTI+Z</v>
      </c>
      <c r="I900" s="250" t="s">
        <v>297</v>
      </c>
      <c r="J900" s="235" t="s">
        <v>72</v>
      </c>
      <c r="K900" s="252">
        <v>16</v>
      </c>
      <c r="L900" s="233">
        <v>100</v>
      </c>
      <c r="M900" s="253"/>
      <c r="N900" s="254"/>
      <c r="O900" s="274"/>
      <c r="P900" s="275"/>
      <c r="Q900" s="276"/>
      <c r="R900" s="305">
        <v>1</v>
      </c>
      <c r="S900" s="306">
        <v>45385</v>
      </c>
      <c r="T900" s="314"/>
      <c r="U900" s="276"/>
      <c r="V900" s="224">
        <v>9</v>
      </c>
      <c r="W900" s="325">
        <v>9</v>
      </c>
      <c r="X900" s="326">
        <v>9</v>
      </c>
      <c r="Y900" s="292">
        <f t="shared" ref="Y900:Y909" si="47">IFERROR(MIN(V900:X900),"")</f>
        <v>9</v>
      </c>
      <c r="Z900" s="194" t="s">
        <v>73</v>
      </c>
      <c r="AA900" s="339">
        <f>IFERROR(BASE_DATOS[[#This Row],[NSK Original]]-BASE_DATOS[[#This Row],[NSK]]," ")</f>
        <v>7</v>
      </c>
      <c r="AB900" s="340">
        <f>'NSK-TRACTO'!$A$2</f>
        <v>6</v>
      </c>
      <c r="AC900" s="340">
        <f>IF(BASE_DATOS[[#This Row],[NSK]]&gt;=BASE_DATOS[[#This Row],[NSK Reen]],BASE_DATOS[[#This Row],[NSK Reen]],BASE_DATOS[[#This Row],[NSK]])</f>
        <v>6</v>
      </c>
      <c r="AD900" s="341">
        <f>IFERROR(100%-(BASE_DATOS[[#This Row],[NSK Reen]]/BASE_DATOS[[#This Row],[NSK Original]]),"")</f>
        <v>0.625</v>
      </c>
      <c r="AE900" s="341">
        <f>IFERROR(100%-BASE_DATOS[[#This Row],[NSK]]/BASE_DATOS[[#This Row],[NSK Original]],"")</f>
        <v>0.4375</v>
      </c>
      <c r="AF900" s="341">
        <f>IFERROR(BASE_DATOS[[#This Row],[% Max Des.]]-BASE_DATOS[[#This Row],[% Des]],"")</f>
        <v>0.1875</v>
      </c>
      <c r="AG900" s="284"/>
      <c r="AH900" s="335"/>
      <c r="AI900" s="359" t="str">
        <f>IF(OR(BASE_DATOS[[#This Row],[Hr.]]="",BASE_DATOS[[#This Row],[Hr. Actual]]=""),"",BASE_DATOS[[#This Row],[Hr. Actual]]-BASE_DATOS[[#This Row],[Hr.]]+BASE_DATOS[[#This Row],[Horas Acumuladas]])</f>
        <v/>
      </c>
      <c r="AJ900" s="360" t="str">
        <f>IFERROR(BASE_DATOS[[#This Row],[Precio US$]]/BASE_DATOS[[#This Row],[Horas Rodadas]],"")</f>
        <v/>
      </c>
      <c r="AK900" s="361" t="str">
        <f>IFERROR(BASE_DATOS[[#This Row],[Horas Rodadas]]/(BASE_DATOS[[#This Row],[NSK Original]]-BASE_DATOS[[#This Row],[NSK]]),"")</f>
        <v/>
      </c>
      <c r="AL900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00" s="362" t="str">
        <f>IFERROR(BASE_DATOS[[#This Row],[Precio US$]]/BASE_DATOS[[#This Row],[Horas Proy.]],"")</f>
        <v/>
      </c>
      <c r="AN900" s="199" t="str">
        <f>IF(OR(BASE_DATOS[[#This Row],[Km.]]="",BASE_DATOS[[#This Row],[Km. Actual]]=""),"",BASE_DATOS[[#This Row],[Km. Actual]]-BASE_DATOS[[#This Row],[Km.]]+BASE_DATOS[[#This Row],[Kilómetros Acumulados]])</f>
        <v/>
      </c>
      <c r="AO900" s="200" t="str">
        <f>IFERROR(BASE_DATOS[[#This Row],[Precio US$]]/BASE_DATOS[[#This Row],[Kilómetros Rodados]],"")</f>
        <v/>
      </c>
      <c r="AP900" s="199" t="str">
        <f>IFERROR(BASE_DATOS[[#This Row],[Kilómetros Rodados]]/(BASE_DATOS[[#This Row],[NSK Original]]-BASE_DATOS[[#This Row],[NSK]]),"")</f>
        <v/>
      </c>
      <c r="AQ900" s="19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00" s="200" t="str">
        <f>IFERROR(BASE_DATOS[[#This Row],[Precio US$]]/BASE_DATOS[[#This Row],[Kilómetros Proy.]],"")</f>
        <v/>
      </c>
      <c r="AS900" s="202" t="s">
        <v>62</v>
      </c>
      <c r="AT900" s="202"/>
      <c r="AU900" s="202"/>
      <c r="AV900" s="202"/>
      <c r="AW900" s="203"/>
      <c r="AX900" s="203"/>
      <c r="AY900" s="203" t="str">
        <f>CONCATENATE(BASE_DATOS[[#This Row],[Código_U]]&amp;BASE_DATOS[[#This Row],[Pos.]]&amp;BASE_DATOS[[#This Row],[Situación Actual]])</f>
        <v>TC-2621Rodando</v>
      </c>
    </row>
    <row r="901" spans="1:51" ht="12" x14ac:dyDescent="0.25">
      <c r="A901" s="227" t="s">
        <v>405</v>
      </c>
      <c r="B901" s="217" t="s">
        <v>367</v>
      </c>
      <c r="C901" s="228" t="s">
        <v>296</v>
      </c>
      <c r="D901" s="229" t="s">
        <v>86</v>
      </c>
      <c r="E901" s="255"/>
      <c r="F901" s="256" t="s">
        <v>273</v>
      </c>
      <c r="G901" s="256" t="s">
        <v>271</v>
      </c>
      <c r="H901" s="257" t="str">
        <f>IF(BASE_DATOS[[#This Row],[N-R]]="N",BASE_DATOS[[#This Row],[Diseño]],"Reencauche")</f>
        <v>XMULTI+Z</v>
      </c>
      <c r="I901" s="256" t="s">
        <v>297</v>
      </c>
      <c r="J901" s="243" t="s">
        <v>72</v>
      </c>
      <c r="K901" s="258">
        <v>16</v>
      </c>
      <c r="L901" s="241">
        <v>100</v>
      </c>
      <c r="M901" s="259"/>
      <c r="N901" s="260"/>
      <c r="O901" s="277"/>
      <c r="P901" s="278"/>
      <c r="Q901" s="282"/>
      <c r="R901" s="309">
        <v>2</v>
      </c>
      <c r="S901" s="310">
        <v>45385</v>
      </c>
      <c r="T901" s="313"/>
      <c r="U901" s="279"/>
      <c r="V901" s="227">
        <v>12</v>
      </c>
      <c r="W901" s="281">
        <v>12</v>
      </c>
      <c r="X901" s="282">
        <v>12</v>
      </c>
      <c r="Y901" s="293">
        <f t="shared" si="47"/>
        <v>12</v>
      </c>
      <c r="Z901" s="175" t="s">
        <v>73</v>
      </c>
      <c r="AA901" s="342">
        <f>IFERROR(BASE_DATOS[[#This Row],[NSK Original]]-BASE_DATOS[[#This Row],[NSK]]," ")</f>
        <v>4</v>
      </c>
      <c r="AB901" s="343">
        <f>'NSK-TRACTO'!$A$2</f>
        <v>6</v>
      </c>
      <c r="AC901" s="343">
        <f>IF(BASE_DATOS[[#This Row],[NSK]]&gt;=BASE_DATOS[[#This Row],[NSK Reen]],BASE_DATOS[[#This Row],[NSK Reen]],BASE_DATOS[[#This Row],[NSK]])</f>
        <v>6</v>
      </c>
      <c r="AD901" s="344">
        <f>IFERROR(100%-(BASE_DATOS[[#This Row],[NSK Reen]]/BASE_DATOS[[#This Row],[NSK Original]]),"")</f>
        <v>0.625</v>
      </c>
      <c r="AE901" s="344">
        <f>IFERROR(100%-BASE_DATOS[[#This Row],[NSK]]/BASE_DATOS[[#This Row],[NSK Original]],"")</f>
        <v>0.25</v>
      </c>
      <c r="AF901" s="344">
        <f>IFERROR(BASE_DATOS[[#This Row],[% Max Des.]]-BASE_DATOS[[#This Row],[% Des]],"")</f>
        <v>0.375</v>
      </c>
      <c r="AG901" s="287"/>
      <c r="AH901" s="273"/>
      <c r="AI901" s="363" t="str">
        <f>IF(OR(BASE_DATOS[[#This Row],[Hr.]]="",BASE_DATOS[[#This Row],[Hr. Actual]]=""),"",BASE_DATOS[[#This Row],[Hr. Actual]]-BASE_DATOS[[#This Row],[Hr.]]+BASE_DATOS[[#This Row],[Horas Acumuladas]])</f>
        <v/>
      </c>
      <c r="AJ901" s="364" t="str">
        <f>IFERROR(BASE_DATOS[[#This Row],[Precio US$]]/BASE_DATOS[[#This Row],[Horas Rodadas]],"")</f>
        <v/>
      </c>
      <c r="AK901" s="365" t="str">
        <f>IFERROR(BASE_DATOS[[#This Row],[Horas Rodadas]]/(BASE_DATOS[[#This Row],[NSK Original]]-BASE_DATOS[[#This Row],[NSK]]),"")</f>
        <v/>
      </c>
      <c r="AL90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01" s="366" t="str">
        <f>IFERROR(BASE_DATOS[[#This Row],[Precio US$]]/BASE_DATOS[[#This Row],[Horas Proy.]],"")</f>
        <v/>
      </c>
      <c r="AN901" s="176" t="str">
        <f>IF(OR(BASE_DATOS[[#This Row],[Km.]]="",BASE_DATOS[[#This Row],[Km. Actual]]=""),"",BASE_DATOS[[#This Row],[Km. Actual]]-BASE_DATOS[[#This Row],[Km.]]+BASE_DATOS[[#This Row],[Kilómetros Acumulados]])</f>
        <v/>
      </c>
      <c r="AO901" s="177" t="str">
        <f>IFERROR(BASE_DATOS[[#This Row],[Precio US$]]/BASE_DATOS[[#This Row],[Kilómetros Rodados]],"")</f>
        <v/>
      </c>
      <c r="AP901" s="176" t="str">
        <f>IFERROR(BASE_DATOS[[#This Row],[Kilómetros Rodados]]/(BASE_DATOS[[#This Row],[NSK Original]]-BASE_DATOS[[#This Row],[NSK]]),"")</f>
        <v/>
      </c>
      <c r="AQ90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01" s="177" t="str">
        <f>IFERROR(BASE_DATOS[[#This Row],[Precio US$]]/BASE_DATOS[[#This Row],[Kilómetros Proy.]],"")</f>
        <v/>
      </c>
      <c r="AS901" s="173" t="s">
        <v>62</v>
      </c>
      <c r="AT901" s="173"/>
      <c r="AU901" s="173"/>
      <c r="AV901" s="173"/>
      <c r="AW901" s="179"/>
      <c r="AX901" s="179"/>
      <c r="AY901" s="179" t="str">
        <f>CONCATENATE(BASE_DATOS[[#This Row],[Código_U]]&amp;BASE_DATOS[[#This Row],[Pos.]]&amp;BASE_DATOS[[#This Row],[Situación Actual]])</f>
        <v>TC-2622Rodando</v>
      </c>
    </row>
    <row r="902" spans="1:51" ht="12" x14ac:dyDescent="0.25">
      <c r="A902" s="227" t="s">
        <v>405</v>
      </c>
      <c r="B902" s="217" t="s">
        <v>367</v>
      </c>
      <c r="C902" s="228" t="s">
        <v>296</v>
      </c>
      <c r="D902" s="229" t="s">
        <v>61</v>
      </c>
      <c r="E902" s="255"/>
      <c r="F902" s="256" t="s">
        <v>273</v>
      </c>
      <c r="G902" s="256" t="s">
        <v>271</v>
      </c>
      <c r="H902" s="257" t="str">
        <f>IF(BASE_DATOS[[#This Row],[N-R]]="N",BASE_DATOS[[#This Row],[Diseño]],"Reencauche")</f>
        <v>XMULTI2D</v>
      </c>
      <c r="I902" s="256" t="s">
        <v>299</v>
      </c>
      <c r="J902" s="243" t="s">
        <v>72</v>
      </c>
      <c r="K902" s="258">
        <v>21.4</v>
      </c>
      <c r="L902" s="241">
        <v>110</v>
      </c>
      <c r="M902" s="259"/>
      <c r="N902" s="260"/>
      <c r="O902" s="277"/>
      <c r="P902" s="278"/>
      <c r="Q902" s="282"/>
      <c r="R902" s="309">
        <v>3</v>
      </c>
      <c r="S902" s="310">
        <v>45385</v>
      </c>
      <c r="T902" s="313"/>
      <c r="U902" s="279"/>
      <c r="V902" s="227">
        <v>15</v>
      </c>
      <c r="W902" s="281"/>
      <c r="X902" s="282">
        <v>15</v>
      </c>
      <c r="Y902" s="293">
        <f t="shared" si="47"/>
        <v>15</v>
      </c>
      <c r="Z902" s="175" t="s">
        <v>73</v>
      </c>
      <c r="AA902" s="342">
        <f>IFERROR(BASE_DATOS[[#This Row],[NSK Original]]-BASE_DATOS[[#This Row],[NSK]]," ")</f>
        <v>6.3999999999999986</v>
      </c>
      <c r="AB902" s="343">
        <f>'NSK-TRACTO'!$A$2</f>
        <v>6</v>
      </c>
      <c r="AC902" s="343">
        <f>IF(BASE_DATOS[[#This Row],[NSK]]&gt;=BASE_DATOS[[#This Row],[NSK Reen]],BASE_DATOS[[#This Row],[NSK Reen]],BASE_DATOS[[#This Row],[NSK]])</f>
        <v>6</v>
      </c>
      <c r="AD902" s="344">
        <f>IFERROR(100%-(BASE_DATOS[[#This Row],[NSK Reen]]/BASE_DATOS[[#This Row],[NSK Original]]),"")</f>
        <v>0.71962616822429903</v>
      </c>
      <c r="AE902" s="344">
        <f>IFERROR(100%-BASE_DATOS[[#This Row],[NSK]]/BASE_DATOS[[#This Row],[NSK Original]],"")</f>
        <v>0.29906542056074759</v>
      </c>
      <c r="AF902" s="344">
        <f>IFERROR(BASE_DATOS[[#This Row],[% Max Des.]]-BASE_DATOS[[#This Row],[% Des]],"")</f>
        <v>0.42056074766355145</v>
      </c>
      <c r="AG902" s="287"/>
      <c r="AH902" s="273"/>
      <c r="AI902" s="363" t="str">
        <f>IF(OR(BASE_DATOS[[#This Row],[Hr.]]="",BASE_DATOS[[#This Row],[Hr. Actual]]=""),"",BASE_DATOS[[#This Row],[Hr. Actual]]-BASE_DATOS[[#This Row],[Hr.]]+BASE_DATOS[[#This Row],[Horas Acumuladas]])</f>
        <v/>
      </c>
      <c r="AJ902" s="364" t="str">
        <f>IFERROR(BASE_DATOS[[#This Row],[Precio US$]]/BASE_DATOS[[#This Row],[Horas Rodadas]],"")</f>
        <v/>
      </c>
      <c r="AK902" s="365" t="str">
        <f>IFERROR(BASE_DATOS[[#This Row],[Horas Rodadas]]/(BASE_DATOS[[#This Row],[NSK Original]]-BASE_DATOS[[#This Row],[NSK]]),"")</f>
        <v/>
      </c>
      <c r="AL90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02" s="366" t="str">
        <f>IFERROR(BASE_DATOS[[#This Row],[Precio US$]]/BASE_DATOS[[#This Row],[Horas Proy.]],"")</f>
        <v/>
      </c>
      <c r="AN902" s="176" t="str">
        <f>IF(OR(BASE_DATOS[[#This Row],[Km.]]="",BASE_DATOS[[#This Row],[Km. Actual]]=""),"",BASE_DATOS[[#This Row],[Km. Actual]]-BASE_DATOS[[#This Row],[Km.]]+BASE_DATOS[[#This Row],[Kilómetros Acumulados]])</f>
        <v/>
      </c>
      <c r="AO902" s="177" t="str">
        <f>IFERROR(BASE_DATOS[[#This Row],[Precio US$]]/BASE_DATOS[[#This Row],[Kilómetros Rodados]],"")</f>
        <v/>
      </c>
      <c r="AP902" s="176" t="str">
        <f>IFERROR(BASE_DATOS[[#This Row],[Kilómetros Rodados]]/(BASE_DATOS[[#This Row],[NSK Original]]-BASE_DATOS[[#This Row],[NSK]]),"")</f>
        <v/>
      </c>
      <c r="AQ90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02" s="177" t="str">
        <f>IFERROR(BASE_DATOS[[#This Row],[Precio US$]]/BASE_DATOS[[#This Row],[Kilómetros Proy.]],"")</f>
        <v/>
      </c>
      <c r="AS902" s="173" t="s">
        <v>62</v>
      </c>
      <c r="AT902" s="173"/>
      <c r="AU902" s="173"/>
      <c r="AV902" s="173"/>
      <c r="AW902" s="179"/>
      <c r="AX902" s="179"/>
      <c r="AY902" s="179" t="str">
        <f>CONCATENATE(BASE_DATOS[[#This Row],[Código_U]]&amp;BASE_DATOS[[#This Row],[Pos.]]&amp;BASE_DATOS[[#This Row],[Situación Actual]])</f>
        <v>TC-2623Rodando</v>
      </c>
    </row>
    <row r="903" spans="1:51" ht="12" x14ac:dyDescent="0.25">
      <c r="A903" s="227" t="s">
        <v>405</v>
      </c>
      <c r="B903" s="217" t="s">
        <v>367</v>
      </c>
      <c r="C903" s="228" t="s">
        <v>296</v>
      </c>
      <c r="D903" s="229" t="s">
        <v>61</v>
      </c>
      <c r="E903" s="255"/>
      <c r="F903" s="256" t="s">
        <v>273</v>
      </c>
      <c r="G903" s="256" t="s">
        <v>271</v>
      </c>
      <c r="H903" s="257" t="str">
        <f>IF(BASE_DATOS[[#This Row],[N-R]]="N",BASE_DATOS[[#This Row],[Diseño]],"Reencauche")</f>
        <v>XMULTI2D</v>
      </c>
      <c r="I903" s="256" t="s">
        <v>299</v>
      </c>
      <c r="J903" s="243" t="s">
        <v>72</v>
      </c>
      <c r="K903" s="258">
        <v>21.4</v>
      </c>
      <c r="L903" s="241">
        <v>110</v>
      </c>
      <c r="M903" s="259"/>
      <c r="N903" s="260"/>
      <c r="O903" s="277"/>
      <c r="P903" s="278"/>
      <c r="Q903" s="282"/>
      <c r="R903" s="309">
        <v>4</v>
      </c>
      <c r="S903" s="310">
        <v>45385</v>
      </c>
      <c r="T903" s="313"/>
      <c r="U903" s="279"/>
      <c r="V903" s="227">
        <v>15</v>
      </c>
      <c r="W903" s="281"/>
      <c r="X903" s="282">
        <v>15</v>
      </c>
      <c r="Y903" s="293">
        <f t="shared" si="47"/>
        <v>15</v>
      </c>
      <c r="Z903" s="175" t="s">
        <v>73</v>
      </c>
      <c r="AA903" s="342">
        <f>IFERROR(BASE_DATOS[[#This Row],[NSK Original]]-BASE_DATOS[[#This Row],[NSK]]," ")</f>
        <v>6.3999999999999986</v>
      </c>
      <c r="AB903" s="343">
        <f>'NSK-TRACTO'!$A$2</f>
        <v>6</v>
      </c>
      <c r="AC903" s="343">
        <f>IF(BASE_DATOS[[#This Row],[NSK]]&gt;=BASE_DATOS[[#This Row],[NSK Reen]],BASE_DATOS[[#This Row],[NSK Reen]],BASE_DATOS[[#This Row],[NSK]])</f>
        <v>6</v>
      </c>
      <c r="AD903" s="344">
        <f>IFERROR(100%-(BASE_DATOS[[#This Row],[NSK Reen]]/BASE_DATOS[[#This Row],[NSK Original]]),"")</f>
        <v>0.71962616822429903</v>
      </c>
      <c r="AE903" s="344">
        <f>IFERROR(100%-BASE_DATOS[[#This Row],[NSK]]/BASE_DATOS[[#This Row],[NSK Original]],"")</f>
        <v>0.29906542056074759</v>
      </c>
      <c r="AF903" s="344">
        <f>IFERROR(BASE_DATOS[[#This Row],[% Max Des.]]-BASE_DATOS[[#This Row],[% Des]],"")</f>
        <v>0.42056074766355145</v>
      </c>
      <c r="AG903" s="287"/>
      <c r="AH903" s="273"/>
      <c r="AI903" s="363" t="str">
        <f>IF(OR(BASE_DATOS[[#This Row],[Hr.]]="",BASE_DATOS[[#This Row],[Hr. Actual]]=""),"",BASE_DATOS[[#This Row],[Hr. Actual]]-BASE_DATOS[[#This Row],[Hr.]]+BASE_DATOS[[#This Row],[Horas Acumuladas]])</f>
        <v/>
      </c>
      <c r="AJ903" s="364" t="str">
        <f>IFERROR(BASE_DATOS[[#This Row],[Precio US$]]/BASE_DATOS[[#This Row],[Horas Rodadas]],"")</f>
        <v/>
      </c>
      <c r="AK903" s="365" t="str">
        <f>IFERROR(BASE_DATOS[[#This Row],[Horas Rodadas]]/(BASE_DATOS[[#This Row],[NSK Original]]-BASE_DATOS[[#This Row],[NSK]]),"")</f>
        <v/>
      </c>
      <c r="AL90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03" s="366" t="str">
        <f>IFERROR(BASE_DATOS[[#This Row],[Precio US$]]/BASE_DATOS[[#This Row],[Horas Proy.]],"")</f>
        <v/>
      </c>
      <c r="AN903" s="176" t="str">
        <f>IF(OR(BASE_DATOS[[#This Row],[Km.]]="",BASE_DATOS[[#This Row],[Km. Actual]]=""),"",BASE_DATOS[[#This Row],[Km. Actual]]-BASE_DATOS[[#This Row],[Km.]]+BASE_DATOS[[#This Row],[Kilómetros Acumulados]])</f>
        <v/>
      </c>
      <c r="AO903" s="177" t="str">
        <f>IFERROR(BASE_DATOS[[#This Row],[Precio US$]]/BASE_DATOS[[#This Row],[Kilómetros Rodados]],"")</f>
        <v/>
      </c>
      <c r="AP903" s="176" t="str">
        <f>IFERROR(BASE_DATOS[[#This Row],[Kilómetros Rodados]]/(BASE_DATOS[[#This Row],[NSK Original]]-BASE_DATOS[[#This Row],[NSK]]),"")</f>
        <v/>
      </c>
      <c r="AQ90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03" s="177" t="str">
        <f>IFERROR(BASE_DATOS[[#This Row],[Precio US$]]/BASE_DATOS[[#This Row],[Kilómetros Proy.]],"")</f>
        <v/>
      </c>
      <c r="AS903" s="173" t="s">
        <v>62</v>
      </c>
      <c r="AT903" s="173"/>
      <c r="AU903" s="173"/>
      <c r="AV903" s="173"/>
      <c r="AW903" s="179"/>
      <c r="AX903" s="179"/>
      <c r="AY903" s="179" t="str">
        <f>CONCATENATE(BASE_DATOS[[#This Row],[Código_U]]&amp;BASE_DATOS[[#This Row],[Pos.]]&amp;BASE_DATOS[[#This Row],[Situación Actual]])</f>
        <v>TC-2624Rodando</v>
      </c>
    </row>
    <row r="904" spans="1:51" ht="12" x14ac:dyDescent="0.25">
      <c r="A904" s="227" t="s">
        <v>405</v>
      </c>
      <c r="B904" s="217" t="s">
        <v>367</v>
      </c>
      <c r="C904" s="228" t="s">
        <v>296</v>
      </c>
      <c r="D904" s="229" t="s">
        <v>61</v>
      </c>
      <c r="E904" s="255"/>
      <c r="F904" s="256" t="s">
        <v>273</v>
      </c>
      <c r="G904" s="256" t="s">
        <v>271</v>
      </c>
      <c r="H904" s="257" t="str">
        <f>IF(BASE_DATOS[[#This Row],[N-R]]="N",BASE_DATOS[[#This Row],[Diseño]],"Reencauche")</f>
        <v>XMULTI2D</v>
      </c>
      <c r="I904" s="256" t="s">
        <v>299</v>
      </c>
      <c r="J904" s="243" t="s">
        <v>72</v>
      </c>
      <c r="K904" s="258">
        <v>21.4</v>
      </c>
      <c r="L904" s="241">
        <v>110</v>
      </c>
      <c r="M904" s="259"/>
      <c r="N904" s="260"/>
      <c r="O904" s="277"/>
      <c r="P904" s="278"/>
      <c r="Q904" s="282"/>
      <c r="R904" s="309">
        <v>5</v>
      </c>
      <c r="S904" s="310">
        <v>45385</v>
      </c>
      <c r="T904" s="313"/>
      <c r="U904" s="279"/>
      <c r="V904" s="227">
        <v>14</v>
      </c>
      <c r="W904" s="281"/>
      <c r="X904" s="282">
        <v>15</v>
      </c>
      <c r="Y904" s="293">
        <f t="shared" si="47"/>
        <v>14</v>
      </c>
      <c r="Z904" s="175" t="s">
        <v>73</v>
      </c>
      <c r="AA904" s="342">
        <f>IFERROR(BASE_DATOS[[#This Row],[NSK Original]]-BASE_DATOS[[#This Row],[NSK]]," ")</f>
        <v>7.3999999999999986</v>
      </c>
      <c r="AB904" s="343">
        <f>'NSK-TRACTO'!$A$2</f>
        <v>6</v>
      </c>
      <c r="AC904" s="343">
        <f>IF(BASE_DATOS[[#This Row],[NSK]]&gt;=BASE_DATOS[[#This Row],[NSK Reen]],BASE_DATOS[[#This Row],[NSK Reen]],BASE_DATOS[[#This Row],[NSK]])</f>
        <v>6</v>
      </c>
      <c r="AD904" s="344">
        <f>IFERROR(100%-(BASE_DATOS[[#This Row],[NSK Reen]]/BASE_DATOS[[#This Row],[NSK Original]]),"")</f>
        <v>0.71962616822429903</v>
      </c>
      <c r="AE904" s="344">
        <f>IFERROR(100%-BASE_DATOS[[#This Row],[NSK]]/BASE_DATOS[[#This Row],[NSK Original]],"")</f>
        <v>0.34579439252336441</v>
      </c>
      <c r="AF904" s="344">
        <f>IFERROR(BASE_DATOS[[#This Row],[% Max Des.]]-BASE_DATOS[[#This Row],[% Des]],"")</f>
        <v>0.37383177570093462</v>
      </c>
      <c r="AG904" s="287"/>
      <c r="AH904" s="273"/>
      <c r="AI904" s="363" t="str">
        <f>IF(OR(BASE_DATOS[[#This Row],[Hr.]]="",BASE_DATOS[[#This Row],[Hr. Actual]]=""),"",BASE_DATOS[[#This Row],[Hr. Actual]]-BASE_DATOS[[#This Row],[Hr.]]+BASE_DATOS[[#This Row],[Horas Acumuladas]])</f>
        <v/>
      </c>
      <c r="AJ904" s="364" t="str">
        <f>IFERROR(BASE_DATOS[[#This Row],[Precio US$]]/BASE_DATOS[[#This Row],[Horas Rodadas]],"")</f>
        <v/>
      </c>
      <c r="AK904" s="365" t="str">
        <f>IFERROR(BASE_DATOS[[#This Row],[Horas Rodadas]]/(BASE_DATOS[[#This Row],[NSK Original]]-BASE_DATOS[[#This Row],[NSK]]),"")</f>
        <v/>
      </c>
      <c r="AL90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04" s="366" t="str">
        <f>IFERROR(BASE_DATOS[[#This Row],[Precio US$]]/BASE_DATOS[[#This Row],[Horas Proy.]],"")</f>
        <v/>
      </c>
      <c r="AN904" s="176" t="str">
        <f>IF(OR(BASE_DATOS[[#This Row],[Km.]]="",BASE_DATOS[[#This Row],[Km. Actual]]=""),"",BASE_DATOS[[#This Row],[Km. Actual]]-BASE_DATOS[[#This Row],[Km.]]+BASE_DATOS[[#This Row],[Kilómetros Acumulados]])</f>
        <v/>
      </c>
      <c r="AO904" s="177" t="str">
        <f>IFERROR(BASE_DATOS[[#This Row],[Precio US$]]/BASE_DATOS[[#This Row],[Kilómetros Rodados]],"")</f>
        <v/>
      </c>
      <c r="AP904" s="176" t="str">
        <f>IFERROR(BASE_DATOS[[#This Row],[Kilómetros Rodados]]/(BASE_DATOS[[#This Row],[NSK Original]]-BASE_DATOS[[#This Row],[NSK]]),"")</f>
        <v/>
      </c>
      <c r="AQ90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04" s="177" t="str">
        <f>IFERROR(BASE_DATOS[[#This Row],[Precio US$]]/BASE_DATOS[[#This Row],[Kilómetros Proy.]],"")</f>
        <v/>
      </c>
      <c r="AS904" s="173" t="s">
        <v>62</v>
      </c>
      <c r="AT904" s="173"/>
      <c r="AU904" s="173"/>
      <c r="AV904" s="173"/>
      <c r="AW904" s="179"/>
      <c r="AX904" s="179"/>
      <c r="AY904" s="179" t="str">
        <f>CONCATENATE(BASE_DATOS[[#This Row],[Código_U]]&amp;BASE_DATOS[[#This Row],[Pos.]]&amp;BASE_DATOS[[#This Row],[Situación Actual]])</f>
        <v>TC-2625Rodando</v>
      </c>
    </row>
    <row r="905" spans="1:51" ht="12" x14ac:dyDescent="0.25">
      <c r="A905" s="227" t="s">
        <v>405</v>
      </c>
      <c r="B905" s="217" t="s">
        <v>367</v>
      </c>
      <c r="C905" s="228" t="s">
        <v>296</v>
      </c>
      <c r="D905" s="229" t="s">
        <v>61</v>
      </c>
      <c r="E905" s="255"/>
      <c r="F905" s="256" t="s">
        <v>273</v>
      </c>
      <c r="G905" s="256" t="s">
        <v>271</v>
      </c>
      <c r="H905" s="257" t="str">
        <f>IF(BASE_DATOS[[#This Row],[N-R]]="N",BASE_DATOS[[#This Row],[Diseño]],"Reencauche")</f>
        <v>XMULTI2D</v>
      </c>
      <c r="I905" s="256" t="s">
        <v>299</v>
      </c>
      <c r="J905" s="243" t="s">
        <v>72</v>
      </c>
      <c r="K905" s="258">
        <v>21.4</v>
      </c>
      <c r="L905" s="241">
        <v>110</v>
      </c>
      <c r="M905" s="259"/>
      <c r="N905" s="260"/>
      <c r="O905" s="277"/>
      <c r="P905" s="278"/>
      <c r="Q905" s="282"/>
      <c r="R905" s="309">
        <v>6</v>
      </c>
      <c r="S905" s="310">
        <v>45385</v>
      </c>
      <c r="T905" s="313"/>
      <c r="U905" s="279"/>
      <c r="V905" s="227">
        <v>15</v>
      </c>
      <c r="W905" s="281"/>
      <c r="X905" s="282">
        <v>14</v>
      </c>
      <c r="Y905" s="293">
        <f t="shared" si="47"/>
        <v>14</v>
      </c>
      <c r="Z905" s="175" t="s">
        <v>73</v>
      </c>
      <c r="AA905" s="342">
        <f>IFERROR(BASE_DATOS[[#This Row],[NSK Original]]-BASE_DATOS[[#This Row],[NSK]]," ")</f>
        <v>7.3999999999999986</v>
      </c>
      <c r="AB905" s="343">
        <f>'NSK-TRACTO'!$A$2</f>
        <v>6</v>
      </c>
      <c r="AC905" s="343">
        <f>IF(BASE_DATOS[[#This Row],[NSK]]&gt;=BASE_DATOS[[#This Row],[NSK Reen]],BASE_DATOS[[#This Row],[NSK Reen]],BASE_DATOS[[#This Row],[NSK]])</f>
        <v>6</v>
      </c>
      <c r="AD905" s="344">
        <f>IFERROR(100%-(BASE_DATOS[[#This Row],[NSK Reen]]/BASE_DATOS[[#This Row],[NSK Original]]),"")</f>
        <v>0.71962616822429903</v>
      </c>
      <c r="AE905" s="344">
        <f>IFERROR(100%-BASE_DATOS[[#This Row],[NSK]]/BASE_DATOS[[#This Row],[NSK Original]],"")</f>
        <v>0.34579439252336441</v>
      </c>
      <c r="AF905" s="344">
        <f>IFERROR(BASE_DATOS[[#This Row],[% Max Des.]]-BASE_DATOS[[#This Row],[% Des]],"")</f>
        <v>0.37383177570093462</v>
      </c>
      <c r="AG905" s="287"/>
      <c r="AH905" s="273"/>
      <c r="AI905" s="363" t="str">
        <f>IF(OR(BASE_DATOS[[#This Row],[Hr.]]="",BASE_DATOS[[#This Row],[Hr. Actual]]=""),"",BASE_DATOS[[#This Row],[Hr. Actual]]-BASE_DATOS[[#This Row],[Hr.]]+BASE_DATOS[[#This Row],[Horas Acumuladas]])</f>
        <v/>
      </c>
      <c r="AJ905" s="364" t="str">
        <f>IFERROR(BASE_DATOS[[#This Row],[Precio US$]]/BASE_DATOS[[#This Row],[Horas Rodadas]],"")</f>
        <v/>
      </c>
      <c r="AK905" s="365" t="str">
        <f>IFERROR(BASE_DATOS[[#This Row],[Horas Rodadas]]/(BASE_DATOS[[#This Row],[NSK Original]]-BASE_DATOS[[#This Row],[NSK]]),"")</f>
        <v/>
      </c>
      <c r="AL90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05" s="366" t="str">
        <f>IFERROR(BASE_DATOS[[#This Row],[Precio US$]]/BASE_DATOS[[#This Row],[Horas Proy.]],"")</f>
        <v/>
      </c>
      <c r="AN905" s="176" t="str">
        <f>IF(OR(BASE_DATOS[[#This Row],[Km.]]="",BASE_DATOS[[#This Row],[Km. Actual]]=""),"",BASE_DATOS[[#This Row],[Km. Actual]]-BASE_DATOS[[#This Row],[Km.]]+BASE_DATOS[[#This Row],[Kilómetros Acumulados]])</f>
        <v/>
      </c>
      <c r="AO905" s="177" t="str">
        <f>IFERROR(BASE_DATOS[[#This Row],[Precio US$]]/BASE_DATOS[[#This Row],[Kilómetros Rodados]],"")</f>
        <v/>
      </c>
      <c r="AP905" s="176" t="str">
        <f>IFERROR(BASE_DATOS[[#This Row],[Kilómetros Rodados]]/(BASE_DATOS[[#This Row],[NSK Original]]-BASE_DATOS[[#This Row],[NSK]]),"")</f>
        <v/>
      </c>
      <c r="AQ90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05" s="177" t="str">
        <f>IFERROR(BASE_DATOS[[#This Row],[Precio US$]]/BASE_DATOS[[#This Row],[Kilómetros Proy.]],"")</f>
        <v/>
      </c>
      <c r="AS905" s="173" t="s">
        <v>62</v>
      </c>
      <c r="AT905" s="173"/>
      <c r="AU905" s="173"/>
      <c r="AV905" s="173"/>
      <c r="AW905" s="179"/>
      <c r="AX905" s="179"/>
      <c r="AY905" s="179" t="str">
        <f>CONCATENATE(BASE_DATOS[[#This Row],[Código_U]]&amp;BASE_DATOS[[#This Row],[Pos.]]&amp;BASE_DATOS[[#This Row],[Situación Actual]])</f>
        <v>TC-2626Rodando</v>
      </c>
    </row>
    <row r="906" spans="1:51" ht="12" x14ac:dyDescent="0.25">
      <c r="A906" s="227" t="s">
        <v>405</v>
      </c>
      <c r="B906" s="217" t="s">
        <v>367</v>
      </c>
      <c r="C906" s="228" t="s">
        <v>296</v>
      </c>
      <c r="D906" s="229" t="s">
        <v>61</v>
      </c>
      <c r="E906" s="255"/>
      <c r="F906" s="256" t="s">
        <v>273</v>
      </c>
      <c r="G906" s="256" t="s">
        <v>271</v>
      </c>
      <c r="H906" s="257" t="str">
        <f>IF(BASE_DATOS[[#This Row],[N-R]]="N",BASE_DATOS[[#This Row],[Diseño]],"Reencauche")</f>
        <v>XMULTI2D</v>
      </c>
      <c r="I906" s="256" t="s">
        <v>299</v>
      </c>
      <c r="J906" s="243" t="s">
        <v>72</v>
      </c>
      <c r="K906" s="258">
        <v>21.4</v>
      </c>
      <c r="L906" s="241">
        <v>110</v>
      </c>
      <c r="M906" s="259"/>
      <c r="N906" s="260"/>
      <c r="O906" s="277"/>
      <c r="P906" s="278"/>
      <c r="Q906" s="282"/>
      <c r="R906" s="309">
        <v>7</v>
      </c>
      <c r="S906" s="310">
        <v>45385</v>
      </c>
      <c r="T906" s="313"/>
      <c r="U906" s="279"/>
      <c r="V906" s="227">
        <v>15</v>
      </c>
      <c r="W906" s="281"/>
      <c r="X906" s="282">
        <v>15</v>
      </c>
      <c r="Y906" s="293">
        <f>IFERROR(MIN(V906:X906),"")</f>
        <v>15</v>
      </c>
      <c r="Z906" s="175" t="s">
        <v>85</v>
      </c>
      <c r="AA906" s="342">
        <f>IFERROR(BASE_DATOS[[#This Row],[NSK Original]]-BASE_DATOS[[#This Row],[NSK]]," ")</f>
        <v>6.3999999999999986</v>
      </c>
      <c r="AB906" s="343">
        <f>'NSK-TRACTO'!$A$2</f>
        <v>6</v>
      </c>
      <c r="AC906" s="343">
        <f>IF(BASE_DATOS[[#This Row],[NSK]]&gt;=BASE_DATOS[[#This Row],[NSK Reen]],BASE_DATOS[[#This Row],[NSK Reen]],BASE_DATOS[[#This Row],[NSK]])</f>
        <v>6</v>
      </c>
      <c r="AD906" s="344">
        <f>IFERROR(100%-(BASE_DATOS[[#This Row],[NSK Reen]]/BASE_DATOS[[#This Row],[NSK Original]]),"")</f>
        <v>0.71962616822429903</v>
      </c>
      <c r="AE906" s="344">
        <f>IFERROR(100%-BASE_DATOS[[#This Row],[NSK]]/BASE_DATOS[[#This Row],[NSK Original]],"")</f>
        <v>0.29906542056074759</v>
      </c>
      <c r="AF906" s="344">
        <f>IFERROR(BASE_DATOS[[#This Row],[% Max Des.]]-BASE_DATOS[[#This Row],[% Des]],"")</f>
        <v>0.42056074766355145</v>
      </c>
      <c r="AG906" s="287"/>
      <c r="AH906" s="273"/>
      <c r="AI906" s="363" t="str">
        <f>IF(OR(BASE_DATOS[[#This Row],[Hr.]]="",BASE_DATOS[[#This Row],[Hr. Actual]]=""),"",BASE_DATOS[[#This Row],[Hr. Actual]]-BASE_DATOS[[#This Row],[Hr.]]+BASE_DATOS[[#This Row],[Horas Acumuladas]])</f>
        <v/>
      </c>
      <c r="AJ906" s="364" t="str">
        <f>IFERROR(BASE_DATOS[[#This Row],[Precio US$]]/BASE_DATOS[[#This Row],[Horas Rodadas]],"")</f>
        <v/>
      </c>
      <c r="AK906" s="365" t="str">
        <f>IFERROR(BASE_DATOS[[#This Row],[Horas Rodadas]]/(BASE_DATOS[[#This Row],[NSK Original]]-BASE_DATOS[[#This Row],[NSK]]),"")</f>
        <v/>
      </c>
      <c r="AL90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06" s="366" t="str">
        <f>IFERROR(BASE_DATOS[[#This Row],[Precio US$]]/BASE_DATOS[[#This Row],[Horas Proy.]],"")</f>
        <v/>
      </c>
      <c r="AN906" s="176" t="str">
        <f>IF(OR(BASE_DATOS[[#This Row],[Km.]]="",BASE_DATOS[[#This Row],[Km. Actual]]=""),"",BASE_DATOS[[#This Row],[Km. Actual]]-BASE_DATOS[[#This Row],[Km.]]+BASE_DATOS[[#This Row],[Kilómetros Acumulados]])</f>
        <v/>
      </c>
      <c r="AO906" s="177" t="str">
        <f>IFERROR(BASE_DATOS[[#This Row],[Precio US$]]/BASE_DATOS[[#This Row],[Kilómetros Rodados]],"")</f>
        <v/>
      </c>
      <c r="AP906" s="176" t="str">
        <f>IFERROR(BASE_DATOS[[#This Row],[Kilómetros Rodados]]/(BASE_DATOS[[#This Row],[NSK Original]]-BASE_DATOS[[#This Row],[NSK]]),"")</f>
        <v/>
      </c>
      <c r="AQ90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06" s="177" t="str">
        <f>IFERROR(BASE_DATOS[[#This Row],[Precio US$]]/BASE_DATOS[[#This Row],[Kilómetros Proy.]],"")</f>
        <v/>
      </c>
      <c r="AS906" s="173" t="s">
        <v>62</v>
      </c>
      <c r="AT906" s="173"/>
      <c r="AU906" s="173"/>
      <c r="AV906" s="173"/>
      <c r="AW906" s="179"/>
      <c r="AX906" s="179"/>
      <c r="AY906" s="179" t="str">
        <f>CONCATENATE(BASE_DATOS[[#This Row],[Código_U]]&amp;BASE_DATOS[[#This Row],[Pos.]]&amp;BASE_DATOS[[#This Row],[Situación Actual]])</f>
        <v>TC-2627Rodando</v>
      </c>
    </row>
    <row r="907" spans="1:51" ht="12" x14ac:dyDescent="0.25">
      <c r="A907" s="227" t="s">
        <v>405</v>
      </c>
      <c r="B907" s="217" t="s">
        <v>367</v>
      </c>
      <c r="C907" s="228" t="s">
        <v>296</v>
      </c>
      <c r="D907" s="229" t="s">
        <v>61</v>
      </c>
      <c r="E907" s="255"/>
      <c r="F907" s="256" t="s">
        <v>273</v>
      </c>
      <c r="G907" s="256" t="s">
        <v>271</v>
      </c>
      <c r="H907" s="257" t="str">
        <f>IF(BASE_DATOS[[#This Row],[N-R]]="N",BASE_DATOS[[#This Row],[Diseño]],"Reencauche")</f>
        <v>XMULTI2D</v>
      </c>
      <c r="I907" s="256" t="s">
        <v>299</v>
      </c>
      <c r="J907" s="243" t="s">
        <v>72</v>
      </c>
      <c r="K907" s="258">
        <v>21.4</v>
      </c>
      <c r="L907" s="241">
        <v>110</v>
      </c>
      <c r="M907" s="259"/>
      <c r="N907" s="260"/>
      <c r="O907" s="277"/>
      <c r="P907" s="278"/>
      <c r="Q907" s="282"/>
      <c r="R907" s="309">
        <v>8</v>
      </c>
      <c r="S907" s="310">
        <v>45385</v>
      </c>
      <c r="T907" s="313"/>
      <c r="U907" s="279"/>
      <c r="V907" s="227">
        <v>15</v>
      </c>
      <c r="W907" s="281"/>
      <c r="X907" s="282">
        <v>15</v>
      </c>
      <c r="Y907" s="293">
        <f>IFERROR(MIN(V907:X907),"")</f>
        <v>15</v>
      </c>
      <c r="Z907" s="175" t="s">
        <v>73</v>
      </c>
      <c r="AA907" s="342">
        <f>IFERROR(BASE_DATOS[[#This Row],[NSK Original]]-BASE_DATOS[[#This Row],[NSK]]," ")</f>
        <v>6.3999999999999986</v>
      </c>
      <c r="AB907" s="343">
        <f>'NSK-TRACTO'!$A$2</f>
        <v>6</v>
      </c>
      <c r="AC907" s="343">
        <f>IF(BASE_DATOS[[#This Row],[NSK]]&gt;=BASE_DATOS[[#This Row],[NSK Reen]],BASE_DATOS[[#This Row],[NSK Reen]],BASE_DATOS[[#This Row],[NSK]])</f>
        <v>6</v>
      </c>
      <c r="AD907" s="344">
        <f>IFERROR(100%-(BASE_DATOS[[#This Row],[NSK Reen]]/BASE_DATOS[[#This Row],[NSK Original]]),"")</f>
        <v>0.71962616822429903</v>
      </c>
      <c r="AE907" s="344">
        <f>IFERROR(100%-BASE_DATOS[[#This Row],[NSK]]/BASE_DATOS[[#This Row],[NSK Original]],"")</f>
        <v>0.29906542056074759</v>
      </c>
      <c r="AF907" s="344">
        <f>IFERROR(BASE_DATOS[[#This Row],[% Max Des.]]-BASE_DATOS[[#This Row],[% Des]],"")</f>
        <v>0.42056074766355145</v>
      </c>
      <c r="AG907" s="287"/>
      <c r="AH907" s="273"/>
      <c r="AI907" s="363" t="str">
        <f>IF(OR(BASE_DATOS[[#This Row],[Hr.]]="",BASE_DATOS[[#This Row],[Hr. Actual]]=""),"",BASE_DATOS[[#This Row],[Hr. Actual]]-BASE_DATOS[[#This Row],[Hr.]]+BASE_DATOS[[#This Row],[Horas Acumuladas]])</f>
        <v/>
      </c>
      <c r="AJ907" s="364" t="str">
        <f>IFERROR(BASE_DATOS[[#This Row],[Precio US$]]/BASE_DATOS[[#This Row],[Horas Rodadas]],"")</f>
        <v/>
      </c>
      <c r="AK907" s="365" t="str">
        <f>IFERROR(BASE_DATOS[[#This Row],[Horas Rodadas]]/(BASE_DATOS[[#This Row],[NSK Original]]-BASE_DATOS[[#This Row],[NSK]]),"")</f>
        <v/>
      </c>
      <c r="AL90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07" s="366" t="str">
        <f>IFERROR(BASE_DATOS[[#This Row],[Precio US$]]/BASE_DATOS[[#This Row],[Horas Proy.]],"")</f>
        <v/>
      </c>
      <c r="AN907" s="176" t="str">
        <f>IF(OR(BASE_DATOS[[#This Row],[Km.]]="",BASE_DATOS[[#This Row],[Km. Actual]]=""),"",BASE_DATOS[[#This Row],[Km. Actual]]-BASE_DATOS[[#This Row],[Km.]]+BASE_DATOS[[#This Row],[Kilómetros Acumulados]])</f>
        <v/>
      </c>
      <c r="AO907" s="177" t="str">
        <f>IFERROR(BASE_DATOS[[#This Row],[Precio US$]]/BASE_DATOS[[#This Row],[Kilómetros Rodados]],"")</f>
        <v/>
      </c>
      <c r="AP907" s="176" t="str">
        <f>IFERROR(BASE_DATOS[[#This Row],[Kilómetros Rodados]]/(BASE_DATOS[[#This Row],[NSK Original]]-BASE_DATOS[[#This Row],[NSK]]),"")</f>
        <v/>
      </c>
      <c r="AQ90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07" s="177" t="str">
        <f>IFERROR(BASE_DATOS[[#This Row],[Precio US$]]/BASE_DATOS[[#This Row],[Kilómetros Proy.]],"")</f>
        <v/>
      </c>
      <c r="AS907" s="173" t="s">
        <v>62</v>
      </c>
      <c r="AT907" s="173"/>
      <c r="AU907" s="173"/>
      <c r="AV907" s="173"/>
      <c r="AW907" s="179"/>
      <c r="AX907" s="179"/>
      <c r="AY907" s="179" t="str">
        <f>CONCATENATE(BASE_DATOS[[#This Row],[Código_U]]&amp;BASE_DATOS[[#This Row],[Pos.]]&amp;BASE_DATOS[[#This Row],[Situación Actual]])</f>
        <v>TC-2628Rodando</v>
      </c>
    </row>
    <row r="908" spans="1:51" ht="12" x14ac:dyDescent="0.25">
      <c r="A908" s="227" t="s">
        <v>405</v>
      </c>
      <c r="B908" s="217" t="s">
        <v>367</v>
      </c>
      <c r="C908" s="228" t="s">
        <v>296</v>
      </c>
      <c r="D908" s="229" t="s">
        <v>61</v>
      </c>
      <c r="E908" s="255"/>
      <c r="F908" s="256" t="s">
        <v>273</v>
      </c>
      <c r="G908" s="256" t="s">
        <v>271</v>
      </c>
      <c r="H908" s="257" t="str">
        <f>IF(BASE_DATOS[[#This Row],[N-R]]="N",BASE_DATOS[[#This Row],[Diseño]],"Reencauche")</f>
        <v>XMULTI2D</v>
      </c>
      <c r="I908" s="256" t="s">
        <v>299</v>
      </c>
      <c r="J908" s="243" t="s">
        <v>72</v>
      </c>
      <c r="K908" s="258">
        <v>21.4</v>
      </c>
      <c r="L908" s="241">
        <v>110</v>
      </c>
      <c r="M908" s="259"/>
      <c r="N908" s="260"/>
      <c r="O908" s="277"/>
      <c r="P908" s="278"/>
      <c r="Q908" s="282"/>
      <c r="R908" s="309">
        <v>9</v>
      </c>
      <c r="S908" s="310">
        <v>45385</v>
      </c>
      <c r="T908" s="313"/>
      <c r="U908" s="279"/>
      <c r="V908" s="227">
        <v>14</v>
      </c>
      <c r="W908" s="281"/>
      <c r="X908" s="282">
        <v>15</v>
      </c>
      <c r="Y908" s="293">
        <f t="shared" si="47"/>
        <v>14</v>
      </c>
      <c r="Z908" s="175" t="s">
        <v>73</v>
      </c>
      <c r="AA908" s="342">
        <f>IFERROR(BASE_DATOS[[#This Row],[NSK Original]]-BASE_DATOS[[#This Row],[NSK]]," ")</f>
        <v>7.3999999999999986</v>
      </c>
      <c r="AB908" s="343">
        <f>'NSK-TRACTO'!$A$2</f>
        <v>6</v>
      </c>
      <c r="AC908" s="343">
        <f>IF(BASE_DATOS[[#This Row],[NSK]]&gt;=BASE_DATOS[[#This Row],[NSK Reen]],BASE_DATOS[[#This Row],[NSK Reen]],BASE_DATOS[[#This Row],[NSK]])</f>
        <v>6</v>
      </c>
      <c r="AD908" s="344">
        <f>IFERROR(100%-(BASE_DATOS[[#This Row],[NSK Reen]]/BASE_DATOS[[#This Row],[NSK Original]]),"")</f>
        <v>0.71962616822429903</v>
      </c>
      <c r="AE908" s="344">
        <f>IFERROR(100%-BASE_DATOS[[#This Row],[NSK]]/BASE_DATOS[[#This Row],[NSK Original]],"")</f>
        <v>0.34579439252336441</v>
      </c>
      <c r="AF908" s="344">
        <f>IFERROR(BASE_DATOS[[#This Row],[% Max Des.]]-BASE_DATOS[[#This Row],[% Des]],"")</f>
        <v>0.37383177570093462</v>
      </c>
      <c r="AG908" s="287"/>
      <c r="AH908" s="273"/>
      <c r="AI908" s="363" t="str">
        <f>IF(OR(BASE_DATOS[[#This Row],[Hr.]]="",BASE_DATOS[[#This Row],[Hr. Actual]]=""),"",BASE_DATOS[[#This Row],[Hr. Actual]]-BASE_DATOS[[#This Row],[Hr.]]+BASE_DATOS[[#This Row],[Horas Acumuladas]])</f>
        <v/>
      </c>
      <c r="AJ908" s="364" t="str">
        <f>IFERROR(BASE_DATOS[[#This Row],[Precio US$]]/BASE_DATOS[[#This Row],[Horas Rodadas]],"")</f>
        <v/>
      </c>
      <c r="AK908" s="365" t="str">
        <f>IFERROR(BASE_DATOS[[#This Row],[Horas Rodadas]]/(BASE_DATOS[[#This Row],[NSK Original]]-BASE_DATOS[[#This Row],[NSK]]),"")</f>
        <v/>
      </c>
      <c r="AL90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08" s="366" t="str">
        <f>IFERROR(BASE_DATOS[[#This Row],[Precio US$]]/BASE_DATOS[[#This Row],[Horas Proy.]],"")</f>
        <v/>
      </c>
      <c r="AN908" s="176" t="str">
        <f>IF(OR(BASE_DATOS[[#This Row],[Km.]]="",BASE_DATOS[[#This Row],[Km. Actual]]=""),"",BASE_DATOS[[#This Row],[Km. Actual]]-BASE_DATOS[[#This Row],[Km.]]+BASE_DATOS[[#This Row],[Kilómetros Acumulados]])</f>
        <v/>
      </c>
      <c r="AO908" s="177" t="str">
        <f>IFERROR(BASE_DATOS[[#This Row],[Precio US$]]/BASE_DATOS[[#This Row],[Kilómetros Rodados]],"")</f>
        <v/>
      </c>
      <c r="AP908" s="176" t="str">
        <f>IFERROR(BASE_DATOS[[#This Row],[Kilómetros Rodados]]/(BASE_DATOS[[#This Row],[NSK Original]]-BASE_DATOS[[#This Row],[NSK]]),"")</f>
        <v/>
      </c>
      <c r="AQ90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08" s="177" t="str">
        <f>IFERROR(BASE_DATOS[[#This Row],[Precio US$]]/BASE_DATOS[[#This Row],[Kilómetros Proy.]],"")</f>
        <v/>
      </c>
      <c r="AS908" s="173" t="s">
        <v>62</v>
      </c>
      <c r="AT908" s="173"/>
      <c r="AU908" s="173"/>
      <c r="AV908" s="173"/>
      <c r="AW908" s="179"/>
      <c r="AX908" s="179"/>
      <c r="AY908" s="179" t="str">
        <f>CONCATENATE(BASE_DATOS[[#This Row],[Código_U]]&amp;BASE_DATOS[[#This Row],[Pos.]]&amp;BASE_DATOS[[#This Row],[Situación Actual]])</f>
        <v>TC-2629Rodando</v>
      </c>
    </row>
    <row r="909" spans="1:51" ht="12" x14ac:dyDescent="0.25">
      <c r="A909" s="227" t="s">
        <v>405</v>
      </c>
      <c r="B909" s="217" t="s">
        <v>367</v>
      </c>
      <c r="C909" s="228" t="s">
        <v>296</v>
      </c>
      <c r="D909" s="229" t="s">
        <v>61</v>
      </c>
      <c r="E909" s="255"/>
      <c r="F909" s="256" t="s">
        <v>273</v>
      </c>
      <c r="G909" s="256" t="s">
        <v>271</v>
      </c>
      <c r="H909" s="257" t="str">
        <f>IF(BASE_DATOS[[#This Row],[N-R]]="N",BASE_DATOS[[#This Row],[Diseño]],"Reencauche")</f>
        <v>XMULTI2D</v>
      </c>
      <c r="I909" s="256" t="s">
        <v>299</v>
      </c>
      <c r="J909" s="243" t="s">
        <v>72</v>
      </c>
      <c r="K909" s="258">
        <v>21.4</v>
      </c>
      <c r="L909" s="241">
        <v>110</v>
      </c>
      <c r="M909" s="259"/>
      <c r="N909" s="260"/>
      <c r="O909" s="277"/>
      <c r="P909" s="278"/>
      <c r="Q909" s="282"/>
      <c r="R909" s="309">
        <v>10</v>
      </c>
      <c r="S909" s="310">
        <v>45385</v>
      </c>
      <c r="T909" s="313"/>
      <c r="U909" s="279"/>
      <c r="V909" s="227">
        <v>14</v>
      </c>
      <c r="W909" s="281"/>
      <c r="X909" s="282">
        <v>15</v>
      </c>
      <c r="Y909" s="293">
        <f t="shared" si="47"/>
        <v>14</v>
      </c>
      <c r="Z909" s="175" t="s">
        <v>73</v>
      </c>
      <c r="AA909" s="342">
        <f>IFERROR(BASE_DATOS[[#This Row],[NSK Original]]-BASE_DATOS[[#This Row],[NSK]]," ")</f>
        <v>7.3999999999999986</v>
      </c>
      <c r="AB909" s="343">
        <f>'NSK-TRACTO'!$A$2</f>
        <v>6</v>
      </c>
      <c r="AC909" s="343">
        <f>IF(BASE_DATOS[[#This Row],[NSK]]&gt;=BASE_DATOS[[#This Row],[NSK Reen]],BASE_DATOS[[#This Row],[NSK Reen]],BASE_DATOS[[#This Row],[NSK]])</f>
        <v>6</v>
      </c>
      <c r="AD909" s="344">
        <f>IFERROR(100%-(BASE_DATOS[[#This Row],[NSK Reen]]/BASE_DATOS[[#This Row],[NSK Original]]),"")</f>
        <v>0.71962616822429903</v>
      </c>
      <c r="AE909" s="344">
        <f>IFERROR(100%-BASE_DATOS[[#This Row],[NSK]]/BASE_DATOS[[#This Row],[NSK Original]],"")</f>
        <v>0.34579439252336441</v>
      </c>
      <c r="AF909" s="344">
        <f>IFERROR(BASE_DATOS[[#This Row],[% Max Des.]]-BASE_DATOS[[#This Row],[% Des]],"")</f>
        <v>0.37383177570093462</v>
      </c>
      <c r="AG909" s="287"/>
      <c r="AH909" s="273"/>
      <c r="AI909" s="363" t="str">
        <f>IF(OR(BASE_DATOS[[#This Row],[Hr.]]="",BASE_DATOS[[#This Row],[Hr. Actual]]=""),"",BASE_DATOS[[#This Row],[Hr. Actual]]-BASE_DATOS[[#This Row],[Hr.]]+BASE_DATOS[[#This Row],[Horas Acumuladas]])</f>
        <v/>
      </c>
      <c r="AJ909" s="364" t="str">
        <f>IFERROR(BASE_DATOS[[#This Row],[Precio US$]]/BASE_DATOS[[#This Row],[Horas Rodadas]],"")</f>
        <v/>
      </c>
      <c r="AK909" s="365" t="str">
        <f>IFERROR(BASE_DATOS[[#This Row],[Horas Rodadas]]/(BASE_DATOS[[#This Row],[NSK Original]]-BASE_DATOS[[#This Row],[NSK]]),"")</f>
        <v/>
      </c>
      <c r="AL90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09" s="366" t="str">
        <f>IFERROR(BASE_DATOS[[#This Row],[Precio US$]]/BASE_DATOS[[#This Row],[Horas Proy.]],"")</f>
        <v/>
      </c>
      <c r="AN909" s="171" t="str">
        <f>IF(OR(BASE_DATOS[[#This Row],[Km.]]="",BASE_DATOS[[#This Row],[Km. Actual]]=""),"",BASE_DATOS[[#This Row],[Km. Actual]]-BASE_DATOS[[#This Row],[Km.]]+BASE_DATOS[[#This Row],[Kilómetros Acumulados]])</f>
        <v/>
      </c>
      <c r="AO909" s="172" t="str">
        <f>IFERROR(BASE_DATOS[[#This Row],[Precio US$]]/BASE_DATOS[[#This Row],[Kilómetros Rodados]],"")</f>
        <v/>
      </c>
      <c r="AP909" s="171" t="str">
        <f>IFERROR(BASE_DATOS[[#This Row],[Kilómetros Rodados]]/(BASE_DATOS[[#This Row],[NSK Original]]-BASE_DATOS[[#This Row],[NSK]]),"")</f>
        <v/>
      </c>
      <c r="AQ909" s="17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09" s="172" t="str">
        <f>IFERROR(BASE_DATOS[[#This Row],[Precio US$]]/BASE_DATOS[[#This Row],[Kilómetros Proy.]],"")</f>
        <v/>
      </c>
      <c r="AS909" s="173" t="s">
        <v>62</v>
      </c>
      <c r="AT909" s="173"/>
      <c r="AU909" s="173"/>
      <c r="AV909" s="173"/>
      <c r="AW909" s="174"/>
      <c r="AX909" s="174"/>
      <c r="AY909" s="174" t="str">
        <f>CONCATENATE(BASE_DATOS[[#This Row],[Código_U]]&amp;BASE_DATOS[[#This Row],[Pos.]]&amp;BASE_DATOS[[#This Row],[Situación Actual]])</f>
        <v>TC-26210Rodando</v>
      </c>
    </row>
    <row r="910" spans="1:51" ht="12" x14ac:dyDescent="0.25">
      <c r="A910" s="222" t="s">
        <v>456</v>
      </c>
      <c r="B910" s="213" t="s">
        <v>368</v>
      </c>
      <c r="C910" s="225" t="s">
        <v>296</v>
      </c>
      <c r="D910" s="226" t="s">
        <v>86</v>
      </c>
      <c r="E910" s="249"/>
      <c r="F910" s="250" t="s">
        <v>273</v>
      </c>
      <c r="G910" s="250" t="s">
        <v>271</v>
      </c>
      <c r="H910" s="251" t="str">
        <f>IF(BASE_DATOS[[#This Row],[N-R]]="N",BASE_DATOS[[#This Row],[Diseño]],"Reencauche")</f>
        <v>XMULTI+Z</v>
      </c>
      <c r="I910" s="250" t="s">
        <v>297</v>
      </c>
      <c r="J910" s="235" t="s">
        <v>72</v>
      </c>
      <c r="K910" s="252">
        <v>16</v>
      </c>
      <c r="L910" s="233">
        <v>100</v>
      </c>
      <c r="M910" s="253"/>
      <c r="N910" s="254"/>
      <c r="O910" s="274"/>
      <c r="P910" s="275"/>
      <c r="Q910" s="276"/>
      <c r="R910" s="305">
        <v>1</v>
      </c>
      <c r="S910" s="306">
        <v>45385</v>
      </c>
      <c r="T910" s="307"/>
      <c r="U910" s="308"/>
      <c r="V910" s="224">
        <v>11</v>
      </c>
      <c r="W910" s="325">
        <v>12</v>
      </c>
      <c r="X910" s="326">
        <v>12</v>
      </c>
      <c r="Y910" s="292">
        <f t="shared" ref="Y910:Y929" si="48">IFERROR(MIN(V910:X910),"")</f>
        <v>11</v>
      </c>
      <c r="Z910" s="194" t="s">
        <v>73</v>
      </c>
      <c r="AA910" s="339">
        <f>IFERROR(BASE_DATOS[[#This Row],[NSK Original]]-BASE_DATOS[[#This Row],[NSK]]," ")</f>
        <v>5</v>
      </c>
      <c r="AB910" s="340">
        <f>'NSK-TRACTO'!$A$2</f>
        <v>6</v>
      </c>
      <c r="AC910" s="340">
        <f>IF(BASE_DATOS[[#This Row],[NSK]]&gt;=BASE_DATOS[[#This Row],[NSK Reen]],BASE_DATOS[[#This Row],[NSK Reen]],BASE_DATOS[[#This Row],[NSK]])</f>
        <v>6</v>
      </c>
      <c r="AD910" s="341">
        <f>IFERROR(100%-(BASE_DATOS[[#This Row],[NSK Reen]]/BASE_DATOS[[#This Row],[NSK Original]]),"")</f>
        <v>0.625</v>
      </c>
      <c r="AE910" s="341">
        <f>IFERROR(100%-BASE_DATOS[[#This Row],[NSK]]/BASE_DATOS[[#This Row],[NSK Original]],"")</f>
        <v>0.3125</v>
      </c>
      <c r="AF910" s="341">
        <f>IFERROR(BASE_DATOS[[#This Row],[% Max Des.]]-BASE_DATOS[[#This Row],[% Des]],"")</f>
        <v>0.3125</v>
      </c>
      <c r="AG910" s="284"/>
      <c r="AH910" s="335"/>
      <c r="AI910" s="359" t="str">
        <f>IF(OR(BASE_DATOS[[#This Row],[Hr.]]="",BASE_DATOS[[#This Row],[Hr. Actual]]=""),"",BASE_DATOS[[#This Row],[Hr. Actual]]-BASE_DATOS[[#This Row],[Hr.]]+BASE_DATOS[[#This Row],[Horas Acumuladas]])</f>
        <v/>
      </c>
      <c r="AJ910" s="360" t="str">
        <f>IFERROR(BASE_DATOS[[#This Row],[Precio US$]]/BASE_DATOS[[#This Row],[Horas Rodadas]],"")</f>
        <v/>
      </c>
      <c r="AK910" s="361" t="str">
        <f>IFERROR(BASE_DATOS[[#This Row],[Horas Rodadas]]/(BASE_DATOS[[#This Row],[NSK Original]]-BASE_DATOS[[#This Row],[NSK]]),"")</f>
        <v/>
      </c>
      <c r="AL910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10" s="362" t="str">
        <f>IFERROR(BASE_DATOS[[#This Row],[Precio US$]]/BASE_DATOS[[#This Row],[Horas Proy.]],"")</f>
        <v/>
      </c>
      <c r="AN910" s="199" t="str">
        <f>IF(OR(BASE_DATOS[[#This Row],[Km.]]="",BASE_DATOS[[#This Row],[Km. Actual]]=""),"",BASE_DATOS[[#This Row],[Km. Actual]]-BASE_DATOS[[#This Row],[Km.]]+BASE_DATOS[[#This Row],[Kilómetros Acumulados]])</f>
        <v/>
      </c>
      <c r="AO910" s="200" t="str">
        <f>IFERROR(BASE_DATOS[[#This Row],[Precio US$]]/BASE_DATOS[[#This Row],[Kilómetros Rodados]],"")</f>
        <v/>
      </c>
      <c r="AP910" s="199" t="str">
        <f>IFERROR(BASE_DATOS[[#This Row],[Kilómetros Rodados]]/(BASE_DATOS[[#This Row],[NSK Original]]-BASE_DATOS[[#This Row],[NSK]]),"")</f>
        <v/>
      </c>
      <c r="AQ910" s="19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10" s="200" t="str">
        <f>IFERROR(BASE_DATOS[[#This Row],[Precio US$]]/BASE_DATOS[[#This Row],[Kilómetros Proy.]],"")</f>
        <v/>
      </c>
      <c r="AS910" s="201" t="s">
        <v>62</v>
      </c>
      <c r="AT910" s="201"/>
      <c r="AU910" s="201"/>
      <c r="AV910" s="201"/>
      <c r="AW910" s="203"/>
      <c r="AX910" s="203"/>
      <c r="AY910" s="203" t="str">
        <f>CONCATENATE(BASE_DATOS[[#This Row],[Código_U]]&amp;BASE_DATOS[[#This Row],[Pos.]]&amp;BASE_DATOS[[#This Row],[Situación Actual]])</f>
        <v>TC-2601Rodando</v>
      </c>
    </row>
    <row r="911" spans="1:51" ht="12" x14ac:dyDescent="0.25">
      <c r="A911" s="223" t="s">
        <v>456</v>
      </c>
      <c r="B911" s="217" t="s">
        <v>368</v>
      </c>
      <c r="C911" s="228" t="s">
        <v>296</v>
      </c>
      <c r="D911" s="229" t="s">
        <v>86</v>
      </c>
      <c r="E911" s="255"/>
      <c r="F911" s="256" t="s">
        <v>273</v>
      </c>
      <c r="G911" s="256" t="s">
        <v>271</v>
      </c>
      <c r="H911" s="257" t="str">
        <f>IF(BASE_DATOS[[#This Row],[N-R]]="N",BASE_DATOS[[#This Row],[Diseño]],"Reencauche")</f>
        <v>XMULTI+Z</v>
      </c>
      <c r="I911" s="256" t="s">
        <v>297</v>
      </c>
      <c r="J911" s="243" t="s">
        <v>72</v>
      </c>
      <c r="K911" s="258">
        <v>16</v>
      </c>
      <c r="L911" s="241">
        <v>100</v>
      </c>
      <c r="M911" s="259"/>
      <c r="N911" s="260"/>
      <c r="O911" s="277"/>
      <c r="P911" s="278"/>
      <c r="Q911" s="279"/>
      <c r="R911" s="309">
        <v>2</v>
      </c>
      <c r="S911" s="310">
        <v>45385</v>
      </c>
      <c r="T911" s="311"/>
      <c r="U911" s="312"/>
      <c r="V911" s="227">
        <v>13</v>
      </c>
      <c r="W911" s="281">
        <v>13</v>
      </c>
      <c r="X911" s="282">
        <v>12</v>
      </c>
      <c r="Y911" s="293">
        <f t="shared" si="48"/>
        <v>12</v>
      </c>
      <c r="Z911" s="175" t="s">
        <v>73</v>
      </c>
      <c r="AA911" s="342">
        <f>IFERROR(BASE_DATOS[[#This Row],[NSK Original]]-BASE_DATOS[[#This Row],[NSK]]," ")</f>
        <v>4</v>
      </c>
      <c r="AB911" s="343">
        <f>'NSK-TRACTO'!$A$2</f>
        <v>6</v>
      </c>
      <c r="AC911" s="343">
        <f>IF(BASE_DATOS[[#This Row],[NSK]]&gt;=BASE_DATOS[[#This Row],[NSK Reen]],BASE_DATOS[[#This Row],[NSK Reen]],BASE_DATOS[[#This Row],[NSK]])</f>
        <v>6</v>
      </c>
      <c r="AD911" s="344">
        <f>IFERROR(100%-(BASE_DATOS[[#This Row],[NSK Reen]]/BASE_DATOS[[#This Row],[NSK Original]]),"")</f>
        <v>0.625</v>
      </c>
      <c r="AE911" s="344">
        <f>IFERROR(100%-BASE_DATOS[[#This Row],[NSK]]/BASE_DATOS[[#This Row],[NSK Original]],"")</f>
        <v>0.25</v>
      </c>
      <c r="AF911" s="344">
        <f>IFERROR(BASE_DATOS[[#This Row],[% Max Des.]]-BASE_DATOS[[#This Row],[% Des]],"")</f>
        <v>0.375</v>
      </c>
      <c r="AG911" s="287"/>
      <c r="AH911" s="273"/>
      <c r="AI911" s="363" t="str">
        <f>IF(OR(BASE_DATOS[[#This Row],[Hr.]]="",BASE_DATOS[[#This Row],[Hr. Actual]]=""),"",BASE_DATOS[[#This Row],[Hr. Actual]]-BASE_DATOS[[#This Row],[Hr.]]+BASE_DATOS[[#This Row],[Horas Acumuladas]])</f>
        <v/>
      </c>
      <c r="AJ911" s="364" t="str">
        <f>IFERROR(BASE_DATOS[[#This Row],[Precio US$]]/BASE_DATOS[[#This Row],[Horas Rodadas]],"")</f>
        <v/>
      </c>
      <c r="AK911" s="365" t="str">
        <f>IFERROR(BASE_DATOS[[#This Row],[Horas Rodadas]]/(BASE_DATOS[[#This Row],[NSK Original]]-BASE_DATOS[[#This Row],[NSK]]),"")</f>
        <v/>
      </c>
      <c r="AL91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11" s="366" t="str">
        <f>IFERROR(BASE_DATOS[[#This Row],[Precio US$]]/BASE_DATOS[[#This Row],[Horas Proy.]],"")</f>
        <v/>
      </c>
      <c r="AN911" s="176" t="str">
        <f>IF(OR(BASE_DATOS[[#This Row],[Km.]]="",BASE_DATOS[[#This Row],[Km. Actual]]=""),"",BASE_DATOS[[#This Row],[Km. Actual]]-BASE_DATOS[[#This Row],[Km.]]+BASE_DATOS[[#This Row],[Kilómetros Acumulados]])</f>
        <v/>
      </c>
      <c r="AO911" s="177" t="str">
        <f>IFERROR(BASE_DATOS[[#This Row],[Precio US$]]/BASE_DATOS[[#This Row],[Kilómetros Rodados]],"")</f>
        <v/>
      </c>
      <c r="AP911" s="176" t="str">
        <f>IFERROR(BASE_DATOS[[#This Row],[Kilómetros Rodados]]/(BASE_DATOS[[#This Row],[NSK Original]]-BASE_DATOS[[#This Row],[NSK]]),"")</f>
        <v/>
      </c>
      <c r="AQ91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11" s="177" t="str">
        <f>IFERROR(BASE_DATOS[[#This Row],[Precio US$]]/BASE_DATOS[[#This Row],[Kilómetros Proy.]],"")</f>
        <v/>
      </c>
      <c r="AS911" s="170" t="s">
        <v>62</v>
      </c>
      <c r="AT911" s="170"/>
      <c r="AU911" s="170"/>
      <c r="AV911" s="170"/>
      <c r="AW911" s="179"/>
      <c r="AX911" s="179"/>
      <c r="AY911" s="179" t="str">
        <f>CONCATENATE(BASE_DATOS[[#This Row],[Código_U]]&amp;BASE_DATOS[[#This Row],[Pos.]]&amp;BASE_DATOS[[#This Row],[Situación Actual]])</f>
        <v>TC-2602Rodando</v>
      </c>
    </row>
    <row r="912" spans="1:51" ht="12" x14ac:dyDescent="0.25">
      <c r="A912" s="223" t="s">
        <v>456</v>
      </c>
      <c r="B912" s="217" t="s">
        <v>368</v>
      </c>
      <c r="C912" s="228" t="s">
        <v>296</v>
      </c>
      <c r="D912" s="229" t="s">
        <v>61</v>
      </c>
      <c r="E912" s="255"/>
      <c r="F912" s="256" t="s">
        <v>273</v>
      </c>
      <c r="G912" s="256" t="s">
        <v>271</v>
      </c>
      <c r="H912" s="257" t="str">
        <f>IF(BASE_DATOS[[#This Row],[N-R]]="N",BASE_DATOS[[#This Row],[Diseño]],"Reencauche")</f>
        <v>XMULTI2D</v>
      </c>
      <c r="I912" s="256" t="s">
        <v>299</v>
      </c>
      <c r="J912" s="243" t="s">
        <v>72</v>
      </c>
      <c r="K912" s="258">
        <v>21.4</v>
      </c>
      <c r="L912" s="241">
        <v>110</v>
      </c>
      <c r="M912" s="259"/>
      <c r="N912" s="260"/>
      <c r="O912" s="277"/>
      <c r="P912" s="278"/>
      <c r="Q912" s="279"/>
      <c r="R912" s="309">
        <v>3</v>
      </c>
      <c r="S912" s="310">
        <v>45385</v>
      </c>
      <c r="T912" s="311"/>
      <c r="U912" s="312"/>
      <c r="V912" s="227">
        <v>15</v>
      </c>
      <c r="W912" s="281"/>
      <c r="X912" s="282">
        <v>15</v>
      </c>
      <c r="Y912" s="293">
        <f t="shared" si="48"/>
        <v>15</v>
      </c>
      <c r="Z912" s="175" t="s">
        <v>73</v>
      </c>
      <c r="AA912" s="342">
        <f>IFERROR(BASE_DATOS[[#This Row],[NSK Original]]-BASE_DATOS[[#This Row],[NSK]]," ")</f>
        <v>6.3999999999999986</v>
      </c>
      <c r="AB912" s="343">
        <f>'NSK-TRACTO'!$A$2</f>
        <v>6</v>
      </c>
      <c r="AC912" s="343">
        <f>IF(BASE_DATOS[[#This Row],[NSK]]&gt;=BASE_DATOS[[#This Row],[NSK Reen]],BASE_DATOS[[#This Row],[NSK Reen]],BASE_DATOS[[#This Row],[NSK]])</f>
        <v>6</v>
      </c>
      <c r="AD912" s="344">
        <f>IFERROR(100%-(BASE_DATOS[[#This Row],[NSK Reen]]/BASE_DATOS[[#This Row],[NSK Original]]),"")</f>
        <v>0.71962616822429903</v>
      </c>
      <c r="AE912" s="344">
        <f>IFERROR(100%-BASE_DATOS[[#This Row],[NSK]]/BASE_DATOS[[#This Row],[NSK Original]],"")</f>
        <v>0.29906542056074759</v>
      </c>
      <c r="AF912" s="344">
        <f>IFERROR(BASE_DATOS[[#This Row],[% Max Des.]]-BASE_DATOS[[#This Row],[% Des]],"")</f>
        <v>0.42056074766355145</v>
      </c>
      <c r="AG912" s="287"/>
      <c r="AH912" s="273"/>
      <c r="AI912" s="363" t="str">
        <f>IF(OR(BASE_DATOS[[#This Row],[Hr.]]="",BASE_DATOS[[#This Row],[Hr. Actual]]=""),"",BASE_DATOS[[#This Row],[Hr. Actual]]-BASE_DATOS[[#This Row],[Hr.]]+BASE_DATOS[[#This Row],[Horas Acumuladas]])</f>
        <v/>
      </c>
      <c r="AJ912" s="364" t="str">
        <f>IFERROR(BASE_DATOS[[#This Row],[Precio US$]]/BASE_DATOS[[#This Row],[Horas Rodadas]],"")</f>
        <v/>
      </c>
      <c r="AK912" s="365" t="str">
        <f>IFERROR(BASE_DATOS[[#This Row],[Horas Rodadas]]/(BASE_DATOS[[#This Row],[NSK Original]]-BASE_DATOS[[#This Row],[NSK]]),"")</f>
        <v/>
      </c>
      <c r="AL91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12" s="366" t="str">
        <f>IFERROR(BASE_DATOS[[#This Row],[Precio US$]]/BASE_DATOS[[#This Row],[Horas Proy.]],"")</f>
        <v/>
      </c>
      <c r="AN912" s="176" t="str">
        <f>IF(OR(BASE_DATOS[[#This Row],[Km.]]="",BASE_DATOS[[#This Row],[Km. Actual]]=""),"",BASE_DATOS[[#This Row],[Km. Actual]]-BASE_DATOS[[#This Row],[Km.]]+BASE_DATOS[[#This Row],[Kilómetros Acumulados]])</f>
        <v/>
      </c>
      <c r="AO912" s="177" t="str">
        <f>IFERROR(BASE_DATOS[[#This Row],[Precio US$]]/BASE_DATOS[[#This Row],[Kilómetros Rodados]],"")</f>
        <v/>
      </c>
      <c r="AP912" s="176" t="str">
        <f>IFERROR(BASE_DATOS[[#This Row],[Kilómetros Rodados]]/(BASE_DATOS[[#This Row],[NSK Original]]-BASE_DATOS[[#This Row],[NSK]]),"")</f>
        <v/>
      </c>
      <c r="AQ91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12" s="177" t="str">
        <f>IFERROR(BASE_DATOS[[#This Row],[Precio US$]]/BASE_DATOS[[#This Row],[Kilómetros Proy.]],"")</f>
        <v/>
      </c>
      <c r="AS912" s="170" t="s">
        <v>62</v>
      </c>
      <c r="AT912" s="170"/>
      <c r="AU912" s="170"/>
      <c r="AV912" s="170"/>
      <c r="AW912" s="179"/>
      <c r="AX912" s="179"/>
      <c r="AY912" s="179" t="str">
        <f>CONCATENATE(BASE_DATOS[[#This Row],[Código_U]]&amp;BASE_DATOS[[#This Row],[Pos.]]&amp;BASE_DATOS[[#This Row],[Situación Actual]])</f>
        <v>TC-2603Rodando</v>
      </c>
    </row>
    <row r="913" spans="1:51" ht="12" x14ac:dyDescent="0.25">
      <c r="A913" s="223" t="s">
        <v>456</v>
      </c>
      <c r="B913" s="217" t="s">
        <v>368</v>
      </c>
      <c r="C913" s="228" t="s">
        <v>296</v>
      </c>
      <c r="D913" s="229" t="s">
        <v>61</v>
      </c>
      <c r="E913" s="255"/>
      <c r="F913" s="256" t="s">
        <v>273</v>
      </c>
      <c r="G913" s="256" t="s">
        <v>271</v>
      </c>
      <c r="H913" s="257" t="str">
        <f>IF(BASE_DATOS[[#This Row],[N-R]]="N",BASE_DATOS[[#This Row],[Diseño]],"Reencauche")</f>
        <v>XMULTI2D</v>
      </c>
      <c r="I913" s="256" t="s">
        <v>299</v>
      </c>
      <c r="J913" s="243" t="s">
        <v>72</v>
      </c>
      <c r="K913" s="258">
        <v>21.4</v>
      </c>
      <c r="L913" s="241">
        <v>110</v>
      </c>
      <c r="M913" s="259"/>
      <c r="N913" s="260"/>
      <c r="O913" s="277"/>
      <c r="P913" s="278"/>
      <c r="Q913" s="279"/>
      <c r="R913" s="309">
        <v>4</v>
      </c>
      <c r="S913" s="310">
        <v>45385</v>
      </c>
      <c r="T913" s="311"/>
      <c r="U913" s="312"/>
      <c r="V913" s="227">
        <v>15</v>
      </c>
      <c r="W913" s="281"/>
      <c r="X913" s="282">
        <v>15</v>
      </c>
      <c r="Y913" s="293">
        <f t="shared" si="48"/>
        <v>15</v>
      </c>
      <c r="Z913" s="175" t="s">
        <v>73</v>
      </c>
      <c r="AA913" s="342">
        <f>IFERROR(BASE_DATOS[[#This Row],[NSK Original]]-BASE_DATOS[[#This Row],[NSK]]," ")</f>
        <v>6.3999999999999986</v>
      </c>
      <c r="AB913" s="343">
        <f>'NSK-TRACTO'!$A$2</f>
        <v>6</v>
      </c>
      <c r="AC913" s="343">
        <f>IF(BASE_DATOS[[#This Row],[NSK]]&gt;=BASE_DATOS[[#This Row],[NSK Reen]],BASE_DATOS[[#This Row],[NSK Reen]],BASE_DATOS[[#This Row],[NSK]])</f>
        <v>6</v>
      </c>
      <c r="AD913" s="344">
        <f>IFERROR(100%-(BASE_DATOS[[#This Row],[NSK Reen]]/BASE_DATOS[[#This Row],[NSK Original]]),"")</f>
        <v>0.71962616822429903</v>
      </c>
      <c r="AE913" s="344">
        <f>IFERROR(100%-BASE_DATOS[[#This Row],[NSK]]/BASE_DATOS[[#This Row],[NSK Original]],"")</f>
        <v>0.29906542056074759</v>
      </c>
      <c r="AF913" s="344">
        <f>IFERROR(BASE_DATOS[[#This Row],[% Max Des.]]-BASE_DATOS[[#This Row],[% Des]],"")</f>
        <v>0.42056074766355145</v>
      </c>
      <c r="AG913" s="287"/>
      <c r="AH913" s="273"/>
      <c r="AI913" s="363" t="str">
        <f>IF(OR(BASE_DATOS[[#This Row],[Hr.]]="",BASE_DATOS[[#This Row],[Hr. Actual]]=""),"",BASE_DATOS[[#This Row],[Hr. Actual]]-BASE_DATOS[[#This Row],[Hr.]]+BASE_DATOS[[#This Row],[Horas Acumuladas]])</f>
        <v/>
      </c>
      <c r="AJ913" s="364" t="str">
        <f>IFERROR(BASE_DATOS[[#This Row],[Precio US$]]/BASE_DATOS[[#This Row],[Horas Rodadas]],"")</f>
        <v/>
      </c>
      <c r="AK913" s="365" t="str">
        <f>IFERROR(BASE_DATOS[[#This Row],[Horas Rodadas]]/(BASE_DATOS[[#This Row],[NSK Original]]-BASE_DATOS[[#This Row],[NSK]]),"")</f>
        <v/>
      </c>
      <c r="AL91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13" s="366" t="str">
        <f>IFERROR(BASE_DATOS[[#This Row],[Precio US$]]/BASE_DATOS[[#This Row],[Horas Proy.]],"")</f>
        <v/>
      </c>
      <c r="AN913" s="176" t="str">
        <f>IF(OR(BASE_DATOS[[#This Row],[Km.]]="",BASE_DATOS[[#This Row],[Km. Actual]]=""),"",BASE_DATOS[[#This Row],[Km. Actual]]-BASE_DATOS[[#This Row],[Km.]]+BASE_DATOS[[#This Row],[Kilómetros Acumulados]])</f>
        <v/>
      </c>
      <c r="AO913" s="177" t="str">
        <f>IFERROR(BASE_DATOS[[#This Row],[Precio US$]]/BASE_DATOS[[#This Row],[Kilómetros Rodados]],"")</f>
        <v/>
      </c>
      <c r="AP913" s="176" t="str">
        <f>IFERROR(BASE_DATOS[[#This Row],[Kilómetros Rodados]]/(BASE_DATOS[[#This Row],[NSK Original]]-BASE_DATOS[[#This Row],[NSK]]),"")</f>
        <v/>
      </c>
      <c r="AQ91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13" s="177" t="str">
        <f>IFERROR(BASE_DATOS[[#This Row],[Precio US$]]/BASE_DATOS[[#This Row],[Kilómetros Proy.]],"")</f>
        <v/>
      </c>
      <c r="AS913" s="170" t="s">
        <v>62</v>
      </c>
      <c r="AT913" s="170"/>
      <c r="AU913" s="170"/>
      <c r="AV913" s="170"/>
      <c r="AW913" s="179"/>
      <c r="AX913" s="179"/>
      <c r="AY913" s="179" t="str">
        <f>CONCATENATE(BASE_DATOS[[#This Row],[Código_U]]&amp;BASE_DATOS[[#This Row],[Pos.]]&amp;BASE_DATOS[[#This Row],[Situación Actual]])</f>
        <v>TC-2604Rodando</v>
      </c>
    </row>
    <row r="914" spans="1:51" ht="12" x14ac:dyDescent="0.25">
      <c r="A914" s="223" t="s">
        <v>456</v>
      </c>
      <c r="B914" s="217" t="s">
        <v>368</v>
      </c>
      <c r="C914" s="228" t="s">
        <v>296</v>
      </c>
      <c r="D914" s="229" t="s">
        <v>61</v>
      </c>
      <c r="E914" s="255"/>
      <c r="F914" s="256" t="s">
        <v>273</v>
      </c>
      <c r="G914" s="256" t="s">
        <v>271</v>
      </c>
      <c r="H914" s="257" t="str">
        <f>IF(BASE_DATOS[[#This Row],[N-R]]="N",BASE_DATOS[[#This Row],[Diseño]],"Reencauche")</f>
        <v>XMULTI2D</v>
      </c>
      <c r="I914" s="256" t="s">
        <v>299</v>
      </c>
      <c r="J914" s="243" t="s">
        <v>72</v>
      </c>
      <c r="K914" s="258">
        <v>21.4</v>
      </c>
      <c r="L914" s="241">
        <v>110</v>
      </c>
      <c r="M914" s="259"/>
      <c r="N914" s="260"/>
      <c r="O914" s="277"/>
      <c r="P914" s="278"/>
      <c r="Q914" s="279"/>
      <c r="R914" s="309">
        <v>5</v>
      </c>
      <c r="S914" s="310">
        <v>45385</v>
      </c>
      <c r="T914" s="311"/>
      <c r="U914" s="312"/>
      <c r="V914" s="227">
        <v>15</v>
      </c>
      <c r="W914" s="281"/>
      <c r="X914" s="282">
        <v>15</v>
      </c>
      <c r="Y914" s="293">
        <f t="shared" si="48"/>
        <v>15</v>
      </c>
      <c r="Z914" s="175" t="s">
        <v>73</v>
      </c>
      <c r="AA914" s="342">
        <f>IFERROR(BASE_DATOS[[#This Row],[NSK Original]]-BASE_DATOS[[#This Row],[NSK]]," ")</f>
        <v>6.3999999999999986</v>
      </c>
      <c r="AB914" s="343">
        <f>'NSK-TRACTO'!$A$2</f>
        <v>6</v>
      </c>
      <c r="AC914" s="343">
        <f>IF(BASE_DATOS[[#This Row],[NSK]]&gt;=BASE_DATOS[[#This Row],[NSK Reen]],BASE_DATOS[[#This Row],[NSK Reen]],BASE_DATOS[[#This Row],[NSK]])</f>
        <v>6</v>
      </c>
      <c r="AD914" s="344">
        <f>IFERROR(100%-(BASE_DATOS[[#This Row],[NSK Reen]]/BASE_DATOS[[#This Row],[NSK Original]]),"")</f>
        <v>0.71962616822429903</v>
      </c>
      <c r="AE914" s="344">
        <f>IFERROR(100%-BASE_DATOS[[#This Row],[NSK]]/BASE_DATOS[[#This Row],[NSK Original]],"")</f>
        <v>0.29906542056074759</v>
      </c>
      <c r="AF914" s="344">
        <f>IFERROR(BASE_DATOS[[#This Row],[% Max Des.]]-BASE_DATOS[[#This Row],[% Des]],"")</f>
        <v>0.42056074766355145</v>
      </c>
      <c r="AG914" s="287"/>
      <c r="AH914" s="273"/>
      <c r="AI914" s="363" t="str">
        <f>IF(OR(BASE_DATOS[[#This Row],[Hr.]]="",BASE_DATOS[[#This Row],[Hr. Actual]]=""),"",BASE_DATOS[[#This Row],[Hr. Actual]]-BASE_DATOS[[#This Row],[Hr.]]+BASE_DATOS[[#This Row],[Horas Acumuladas]])</f>
        <v/>
      </c>
      <c r="AJ914" s="364" t="str">
        <f>IFERROR(BASE_DATOS[[#This Row],[Precio US$]]/BASE_DATOS[[#This Row],[Horas Rodadas]],"")</f>
        <v/>
      </c>
      <c r="AK914" s="365" t="str">
        <f>IFERROR(BASE_DATOS[[#This Row],[Horas Rodadas]]/(BASE_DATOS[[#This Row],[NSK Original]]-BASE_DATOS[[#This Row],[NSK]]),"")</f>
        <v/>
      </c>
      <c r="AL91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14" s="366" t="str">
        <f>IFERROR(BASE_DATOS[[#This Row],[Precio US$]]/BASE_DATOS[[#This Row],[Horas Proy.]],"")</f>
        <v/>
      </c>
      <c r="AN914" s="176" t="str">
        <f>IF(OR(BASE_DATOS[[#This Row],[Km.]]="",BASE_DATOS[[#This Row],[Km. Actual]]=""),"",BASE_DATOS[[#This Row],[Km. Actual]]-BASE_DATOS[[#This Row],[Km.]]+BASE_DATOS[[#This Row],[Kilómetros Acumulados]])</f>
        <v/>
      </c>
      <c r="AO914" s="177" t="str">
        <f>IFERROR(BASE_DATOS[[#This Row],[Precio US$]]/BASE_DATOS[[#This Row],[Kilómetros Rodados]],"")</f>
        <v/>
      </c>
      <c r="AP914" s="176" t="str">
        <f>IFERROR(BASE_DATOS[[#This Row],[Kilómetros Rodados]]/(BASE_DATOS[[#This Row],[NSK Original]]-BASE_DATOS[[#This Row],[NSK]]),"")</f>
        <v/>
      </c>
      <c r="AQ91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14" s="177" t="str">
        <f>IFERROR(BASE_DATOS[[#This Row],[Precio US$]]/BASE_DATOS[[#This Row],[Kilómetros Proy.]],"")</f>
        <v/>
      </c>
      <c r="AS914" s="170" t="s">
        <v>62</v>
      </c>
      <c r="AT914" s="170"/>
      <c r="AU914" s="170"/>
      <c r="AV914" s="170"/>
      <c r="AW914" s="179"/>
      <c r="AX914" s="179"/>
      <c r="AY914" s="179" t="str">
        <f>CONCATENATE(BASE_DATOS[[#This Row],[Código_U]]&amp;BASE_DATOS[[#This Row],[Pos.]]&amp;BASE_DATOS[[#This Row],[Situación Actual]])</f>
        <v>TC-2605Rodando</v>
      </c>
    </row>
    <row r="915" spans="1:51" ht="12" x14ac:dyDescent="0.25">
      <c r="A915" s="223" t="s">
        <v>456</v>
      </c>
      <c r="B915" s="217" t="s">
        <v>368</v>
      </c>
      <c r="C915" s="228" t="s">
        <v>296</v>
      </c>
      <c r="D915" s="229" t="s">
        <v>61</v>
      </c>
      <c r="E915" s="255"/>
      <c r="F915" s="256" t="s">
        <v>273</v>
      </c>
      <c r="G915" s="256" t="s">
        <v>271</v>
      </c>
      <c r="H915" s="257" t="str">
        <f>IF(BASE_DATOS[[#This Row],[N-R]]="N",BASE_DATOS[[#This Row],[Diseño]],"Reencauche")</f>
        <v>XMULTI2D</v>
      </c>
      <c r="I915" s="256" t="s">
        <v>299</v>
      </c>
      <c r="J915" s="243" t="s">
        <v>72</v>
      </c>
      <c r="K915" s="258">
        <v>21.4</v>
      </c>
      <c r="L915" s="241">
        <v>110</v>
      </c>
      <c r="M915" s="259"/>
      <c r="N915" s="260"/>
      <c r="O915" s="277"/>
      <c r="P915" s="278"/>
      <c r="Q915" s="279"/>
      <c r="R915" s="309">
        <v>6</v>
      </c>
      <c r="S915" s="310">
        <v>45385</v>
      </c>
      <c r="T915" s="311"/>
      <c r="U915" s="312"/>
      <c r="V915" s="227">
        <v>15</v>
      </c>
      <c r="W915" s="281"/>
      <c r="X915" s="282">
        <v>15</v>
      </c>
      <c r="Y915" s="293">
        <f t="shared" si="48"/>
        <v>15</v>
      </c>
      <c r="Z915" s="175" t="s">
        <v>73</v>
      </c>
      <c r="AA915" s="342">
        <f>IFERROR(BASE_DATOS[[#This Row],[NSK Original]]-BASE_DATOS[[#This Row],[NSK]]," ")</f>
        <v>6.3999999999999986</v>
      </c>
      <c r="AB915" s="343">
        <f>'NSK-TRACTO'!$A$2</f>
        <v>6</v>
      </c>
      <c r="AC915" s="343">
        <f>IF(BASE_DATOS[[#This Row],[NSK]]&gt;=BASE_DATOS[[#This Row],[NSK Reen]],BASE_DATOS[[#This Row],[NSK Reen]],BASE_DATOS[[#This Row],[NSK]])</f>
        <v>6</v>
      </c>
      <c r="AD915" s="344">
        <f>IFERROR(100%-(BASE_DATOS[[#This Row],[NSK Reen]]/BASE_DATOS[[#This Row],[NSK Original]]),"")</f>
        <v>0.71962616822429903</v>
      </c>
      <c r="AE915" s="344">
        <f>IFERROR(100%-BASE_DATOS[[#This Row],[NSK]]/BASE_DATOS[[#This Row],[NSK Original]],"")</f>
        <v>0.29906542056074759</v>
      </c>
      <c r="AF915" s="344">
        <f>IFERROR(BASE_DATOS[[#This Row],[% Max Des.]]-BASE_DATOS[[#This Row],[% Des]],"")</f>
        <v>0.42056074766355145</v>
      </c>
      <c r="AG915" s="287"/>
      <c r="AH915" s="273"/>
      <c r="AI915" s="363" t="str">
        <f>IF(OR(BASE_DATOS[[#This Row],[Hr.]]="",BASE_DATOS[[#This Row],[Hr. Actual]]=""),"",BASE_DATOS[[#This Row],[Hr. Actual]]-BASE_DATOS[[#This Row],[Hr.]]+BASE_DATOS[[#This Row],[Horas Acumuladas]])</f>
        <v/>
      </c>
      <c r="AJ915" s="364" t="str">
        <f>IFERROR(BASE_DATOS[[#This Row],[Precio US$]]/BASE_DATOS[[#This Row],[Horas Rodadas]],"")</f>
        <v/>
      </c>
      <c r="AK915" s="365" t="str">
        <f>IFERROR(BASE_DATOS[[#This Row],[Horas Rodadas]]/(BASE_DATOS[[#This Row],[NSK Original]]-BASE_DATOS[[#This Row],[NSK]]),"")</f>
        <v/>
      </c>
      <c r="AL91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15" s="366" t="str">
        <f>IFERROR(BASE_DATOS[[#This Row],[Precio US$]]/BASE_DATOS[[#This Row],[Horas Proy.]],"")</f>
        <v/>
      </c>
      <c r="AN915" s="176" t="str">
        <f>IF(OR(BASE_DATOS[[#This Row],[Km.]]="",BASE_DATOS[[#This Row],[Km. Actual]]=""),"",BASE_DATOS[[#This Row],[Km. Actual]]-BASE_DATOS[[#This Row],[Km.]]+BASE_DATOS[[#This Row],[Kilómetros Acumulados]])</f>
        <v/>
      </c>
      <c r="AO915" s="177" t="str">
        <f>IFERROR(BASE_DATOS[[#This Row],[Precio US$]]/BASE_DATOS[[#This Row],[Kilómetros Rodados]],"")</f>
        <v/>
      </c>
      <c r="AP915" s="176" t="str">
        <f>IFERROR(BASE_DATOS[[#This Row],[Kilómetros Rodados]]/(BASE_DATOS[[#This Row],[NSK Original]]-BASE_DATOS[[#This Row],[NSK]]),"")</f>
        <v/>
      </c>
      <c r="AQ91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15" s="177" t="str">
        <f>IFERROR(BASE_DATOS[[#This Row],[Precio US$]]/BASE_DATOS[[#This Row],[Kilómetros Proy.]],"")</f>
        <v/>
      </c>
      <c r="AS915" s="170" t="s">
        <v>62</v>
      </c>
      <c r="AT915" s="170"/>
      <c r="AU915" s="170"/>
      <c r="AV915" s="170"/>
      <c r="AW915" s="179"/>
      <c r="AX915" s="179"/>
      <c r="AY915" s="179" t="str">
        <f>CONCATENATE(BASE_DATOS[[#This Row],[Código_U]]&amp;BASE_DATOS[[#This Row],[Pos.]]&amp;BASE_DATOS[[#This Row],[Situación Actual]])</f>
        <v>TC-2606Rodando</v>
      </c>
    </row>
    <row r="916" spans="1:51" ht="12" x14ac:dyDescent="0.25">
      <c r="A916" s="223" t="s">
        <v>456</v>
      </c>
      <c r="B916" s="217" t="s">
        <v>368</v>
      </c>
      <c r="C916" s="228" t="s">
        <v>296</v>
      </c>
      <c r="D916" s="229" t="s">
        <v>61</v>
      </c>
      <c r="E916" s="255"/>
      <c r="F916" s="256" t="s">
        <v>273</v>
      </c>
      <c r="G916" s="256" t="s">
        <v>271</v>
      </c>
      <c r="H916" s="257" t="str">
        <f>IF(BASE_DATOS[[#This Row],[N-R]]="N",BASE_DATOS[[#This Row],[Diseño]],"Reencauche")</f>
        <v>XMULTI2D</v>
      </c>
      <c r="I916" s="256" t="s">
        <v>299</v>
      </c>
      <c r="J916" s="243" t="s">
        <v>72</v>
      </c>
      <c r="K916" s="258">
        <v>21.4</v>
      </c>
      <c r="L916" s="241">
        <v>110</v>
      </c>
      <c r="M916" s="259"/>
      <c r="N916" s="260"/>
      <c r="O916" s="277"/>
      <c r="P916" s="278"/>
      <c r="Q916" s="279"/>
      <c r="R916" s="309">
        <v>7</v>
      </c>
      <c r="S916" s="310">
        <v>45385</v>
      </c>
      <c r="T916" s="311"/>
      <c r="U916" s="312"/>
      <c r="V916" s="227">
        <v>15</v>
      </c>
      <c r="W916" s="281"/>
      <c r="X916" s="282">
        <v>15</v>
      </c>
      <c r="Y916" s="293">
        <f t="shared" si="48"/>
        <v>15</v>
      </c>
      <c r="Z916" s="175" t="s">
        <v>73</v>
      </c>
      <c r="AA916" s="342">
        <f>IFERROR(BASE_DATOS[[#This Row],[NSK Original]]-BASE_DATOS[[#This Row],[NSK]]," ")</f>
        <v>6.3999999999999986</v>
      </c>
      <c r="AB916" s="343">
        <f>'NSK-TRACTO'!$A$2</f>
        <v>6</v>
      </c>
      <c r="AC916" s="343">
        <f>IF(BASE_DATOS[[#This Row],[NSK]]&gt;=BASE_DATOS[[#This Row],[NSK Reen]],BASE_DATOS[[#This Row],[NSK Reen]],BASE_DATOS[[#This Row],[NSK]])</f>
        <v>6</v>
      </c>
      <c r="AD916" s="344">
        <f>IFERROR(100%-(BASE_DATOS[[#This Row],[NSK Reen]]/BASE_DATOS[[#This Row],[NSK Original]]),"")</f>
        <v>0.71962616822429903</v>
      </c>
      <c r="AE916" s="344">
        <f>IFERROR(100%-BASE_DATOS[[#This Row],[NSK]]/BASE_DATOS[[#This Row],[NSK Original]],"")</f>
        <v>0.29906542056074759</v>
      </c>
      <c r="AF916" s="344">
        <f>IFERROR(BASE_DATOS[[#This Row],[% Max Des.]]-BASE_DATOS[[#This Row],[% Des]],"")</f>
        <v>0.42056074766355145</v>
      </c>
      <c r="AG916" s="287"/>
      <c r="AH916" s="273"/>
      <c r="AI916" s="363" t="str">
        <f>IF(OR(BASE_DATOS[[#This Row],[Hr.]]="",BASE_DATOS[[#This Row],[Hr. Actual]]=""),"",BASE_DATOS[[#This Row],[Hr. Actual]]-BASE_DATOS[[#This Row],[Hr.]]+BASE_DATOS[[#This Row],[Horas Acumuladas]])</f>
        <v/>
      </c>
      <c r="AJ916" s="364" t="str">
        <f>IFERROR(BASE_DATOS[[#This Row],[Precio US$]]/BASE_DATOS[[#This Row],[Horas Rodadas]],"")</f>
        <v/>
      </c>
      <c r="AK916" s="365" t="str">
        <f>IFERROR(BASE_DATOS[[#This Row],[Horas Rodadas]]/(BASE_DATOS[[#This Row],[NSK Original]]-BASE_DATOS[[#This Row],[NSK]]),"")</f>
        <v/>
      </c>
      <c r="AL91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16" s="366" t="str">
        <f>IFERROR(BASE_DATOS[[#This Row],[Precio US$]]/BASE_DATOS[[#This Row],[Horas Proy.]],"")</f>
        <v/>
      </c>
      <c r="AN916" s="176" t="str">
        <f>IF(OR(BASE_DATOS[[#This Row],[Km.]]="",BASE_DATOS[[#This Row],[Km. Actual]]=""),"",BASE_DATOS[[#This Row],[Km. Actual]]-BASE_DATOS[[#This Row],[Km.]]+BASE_DATOS[[#This Row],[Kilómetros Acumulados]])</f>
        <v/>
      </c>
      <c r="AO916" s="177" t="str">
        <f>IFERROR(BASE_DATOS[[#This Row],[Precio US$]]/BASE_DATOS[[#This Row],[Kilómetros Rodados]],"")</f>
        <v/>
      </c>
      <c r="AP916" s="176" t="str">
        <f>IFERROR(BASE_DATOS[[#This Row],[Kilómetros Rodados]]/(BASE_DATOS[[#This Row],[NSK Original]]-BASE_DATOS[[#This Row],[NSK]]),"")</f>
        <v/>
      </c>
      <c r="AQ91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16" s="177" t="str">
        <f>IFERROR(BASE_DATOS[[#This Row],[Precio US$]]/BASE_DATOS[[#This Row],[Kilómetros Proy.]],"")</f>
        <v/>
      </c>
      <c r="AS916" s="170" t="s">
        <v>62</v>
      </c>
      <c r="AT916" s="170"/>
      <c r="AU916" s="170"/>
      <c r="AV916" s="170"/>
      <c r="AW916" s="179"/>
      <c r="AX916" s="179"/>
      <c r="AY916" s="179" t="str">
        <f>CONCATENATE(BASE_DATOS[[#This Row],[Código_U]]&amp;BASE_DATOS[[#This Row],[Pos.]]&amp;BASE_DATOS[[#This Row],[Situación Actual]])</f>
        <v>TC-2607Rodando</v>
      </c>
    </row>
    <row r="917" spans="1:51" ht="12" x14ac:dyDescent="0.25">
      <c r="A917" s="223" t="s">
        <v>456</v>
      </c>
      <c r="B917" s="217" t="s">
        <v>368</v>
      </c>
      <c r="C917" s="228" t="s">
        <v>296</v>
      </c>
      <c r="D917" s="229" t="s">
        <v>61</v>
      </c>
      <c r="E917" s="255"/>
      <c r="F917" s="256" t="s">
        <v>273</v>
      </c>
      <c r="G917" s="256" t="s">
        <v>271</v>
      </c>
      <c r="H917" s="257" t="str">
        <f>IF(BASE_DATOS[[#This Row],[N-R]]="N",BASE_DATOS[[#This Row],[Diseño]],"Reencauche")</f>
        <v>XMULTI2D</v>
      </c>
      <c r="I917" s="256" t="s">
        <v>299</v>
      </c>
      <c r="J917" s="243" t="s">
        <v>72</v>
      </c>
      <c r="K917" s="258">
        <v>21.4</v>
      </c>
      <c r="L917" s="241">
        <v>110</v>
      </c>
      <c r="M917" s="259"/>
      <c r="N917" s="260"/>
      <c r="O917" s="277"/>
      <c r="P917" s="278"/>
      <c r="Q917" s="279"/>
      <c r="R917" s="309">
        <v>8</v>
      </c>
      <c r="S917" s="310">
        <v>45385</v>
      </c>
      <c r="T917" s="311"/>
      <c r="U917" s="312"/>
      <c r="V917" s="227">
        <v>15</v>
      </c>
      <c r="W917" s="281"/>
      <c r="X917" s="282">
        <v>15</v>
      </c>
      <c r="Y917" s="293">
        <f t="shared" si="48"/>
        <v>15</v>
      </c>
      <c r="Z917" s="161" t="s">
        <v>85</v>
      </c>
      <c r="AA917" s="342">
        <f>IFERROR(BASE_DATOS[[#This Row],[NSK Original]]-BASE_DATOS[[#This Row],[NSK]]," ")</f>
        <v>6.3999999999999986</v>
      </c>
      <c r="AB917" s="343">
        <f>'NSK-TRACTO'!$A$2</f>
        <v>6</v>
      </c>
      <c r="AC917" s="343">
        <f>IF(BASE_DATOS[[#This Row],[NSK]]&gt;=BASE_DATOS[[#This Row],[NSK Reen]],BASE_DATOS[[#This Row],[NSK Reen]],BASE_DATOS[[#This Row],[NSK]])</f>
        <v>6</v>
      </c>
      <c r="AD917" s="344">
        <f>IFERROR(100%-(BASE_DATOS[[#This Row],[NSK Reen]]/BASE_DATOS[[#This Row],[NSK Original]]),"")</f>
        <v>0.71962616822429903</v>
      </c>
      <c r="AE917" s="344">
        <f>IFERROR(100%-BASE_DATOS[[#This Row],[NSK]]/BASE_DATOS[[#This Row],[NSK Original]],"")</f>
        <v>0.29906542056074759</v>
      </c>
      <c r="AF917" s="344">
        <f>IFERROR(BASE_DATOS[[#This Row],[% Max Des.]]-BASE_DATOS[[#This Row],[% Des]],"")</f>
        <v>0.42056074766355145</v>
      </c>
      <c r="AG917" s="287"/>
      <c r="AH917" s="273"/>
      <c r="AI917" s="363" t="str">
        <f>IF(OR(BASE_DATOS[[#This Row],[Hr.]]="",BASE_DATOS[[#This Row],[Hr. Actual]]=""),"",BASE_DATOS[[#This Row],[Hr. Actual]]-BASE_DATOS[[#This Row],[Hr.]]+BASE_DATOS[[#This Row],[Horas Acumuladas]])</f>
        <v/>
      </c>
      <c r="AJ917" s="364" t="str">
        <f>IFERROR(BASE_DATOS[[#This Row],[Precio US$]]/BASE_DATOS[[#This Row],[Horas Rodadas]],"")</f>
        <v/>
      </c>
      <c r="AK917" s="365" t="str">
        <f>IFERROR(BASE_DATOS[[#This Row],[Horas Rodadas]]/(BASE_DATOS[[#This Row],[NSK Original]]-BASE_DATOS[[#This Row],[NSK]]),"")</f>
        <v/>
      </c>
      <c r="AL91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17" s="366" t="str">
        <f>IFERROR(BASE_DATOS[[#This Row],[Precio US$]]/BASE_DATOS[[#This Row],[Horas Proy.]],"")</f>
        <v/>
      </c>
      <c r="AN917" s="176" t="str">
        <f>IF(OR(BASE_DATOS[[#This Row],[Km.]]="",BASE_DATOS[[#This Row],[Km. Actual]]=""),"",BASE_DATOS[[#This Row],[Km. Actual]]-BASE_DATOS[[#This Row],[Km.]]+BASE_DATOS[[#This Row],[Kilómetros Acumulados]])</f>
        <v/>
      </c>
      <c r="AO917" s="177" t="str">
        <f>IFERROR(BASE_DATOS[[#This Row],[Precio US$]]/BASE_DATOS[[#This Row],[Kilómetros Rodados]],"")</f>
        <v/>
      </c>
      <c r="AP917" s="176" t="str">
        <f>IFERROR(BASE_DATOS[[#This Row],[Kilómetros Rodados]]/(BASE_DATOS[[#This Row],[NSK Original]]-BASE_DATOS[[#This Row],[NSK]]),"")</f>
        <v/>
      </c>
      <c r="AQ91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17" s="177" t="str">
        <f>IFERROR(BASE_DATOS[[#This Row],[Precio US$]]/BASE_DATOS[[#This Row],[Kilómetros Proy.]],"")</f>
        <v/>
      </c>
      <c r="AS917" s="170" t="s">
        <v>62</v>
      </c>
      <c r="AT917" s="170"/>
      <c r="AU917" s="170"/>
      <c r="AV917" s="170"/>
      <c r="AW917" s="179"/>
      <c r="AX917" s="179"/>
      <c r="AY917" s="179" t="str">
        <f>CONCATENATE(BASE_DATOS[[#This Row],[Código_U]]&amp;BASE_DATOS[[#This Row],[Pos.]]&amp;BASE_DATOS[[#This Row],[Situación Actual]])</f>
        <v>TC-2608Rodando</v>
      </c>
    </row>
    <row r="918" spans="1:51" ht="12" x14ac:dyDescent="0.25">
      <c r="A918" s="223" t="s">
        <v>456</v>
      </c>
      <c r="B918" s="217" t="s">
        <v>368</v>
      </c>
      <c r="C918" s="228" t="s">
        <v>296</v>
      </c>
      <c r="D918" s="229" t="s">
        <v>61</v>
      </c>
      <c r="E918" s="255"/>
      <c r="F918" s="256" t="s">
        <v>273</v>
      </c>
      <c r="G918" s="256" t="s">
        <v>271</v>
      </c>
      <c r="H918" s="257" t="str">
        <f>IF(BASE_DATOS[[#This Row],[N-R]]="N",BASE_DATOS[[#This Row],[Diseño]],"Reencauche")</f>
        <v>XMULTI2D</v>
      </c>
      <c r="I918" s="256" t="s">
        <v>299</v>
      </c>
      <c r="J918" s="243" t="s">
        <v>72</v>
      </c>
      <c r="K918" s="258">
        <v>21.4</v>
      </c>
      <c r="L918" s="241">
        <v>110</v>
      </c>
      <c r="M918" s="259"/>
      <c r="N918" s="260"/>
      <c r="O918" s="277"/>
      <c r="P918" s="278"/>
      <c r="Q918" s="279"/>
      <c r="R918" s="309">
        <v>9</v>
      </c>
      <c r="S918" s="310">
        <v>45385</v>
      </c>
      <c r="T918" s="311"/>
      <c r="U918" s="312"/>
      <c r="V918" s="227">
        <v>15</v>
      </c>
      <c r="W918" s="281"/>
      <c r="X918" s="282">
        <v>15</v>
      </c>
      <c r="Y918" s="293">
        <f t="shared" si="48"/>
        <v>15</v>
      </c>
      <c r="Z918" s="175" t="s">
        <v>73</v>
      </c>
      <c r="AA918" s="342">
        <f>IFERROR(BASE_DATOS[[#This Row],[NSK Original]]-BASE_DATOS[[#This Row],[NSK]]," ")</f>
        <v>6.3999999999999986</v>
      </c>
      <c r="AB918" s="343">
        <f>'NSK-TRACTO'!$A$2</f>
        <v>6</v>
      </c>
      <c r="AC918" s="343">
        <f>IF(BASE_DATOS[[#This Row],[NSK]]&gt;=BASE_DATOS[[#This Row],[NSK Reen]],BASE_DATOS[[#This Row],[NSK Reen]],BASE_DATOS[[#This Row],[NSK]])</f>
        <v>6</v>
      </c>
      <c r="AD918" s="344">
        <f>IFERROR(100%-(BASE_DATOS[[#This Row],[NSK Reen]]/BASE_DATOS[[#This Row],[NSK Original]]),"")</f>
        <v>0.71962616822429903</v>
      </c>
      <c r="AE918" s="344">
        <f>IFERROR(100%-BASE_DATOS[[#This Row],[NSK]]/BASE_DATOS[[#This Row],[NSK Original]],"")</f>
        <v>0.29906542056074759</v>
      </c>
      <c r="AF918" s="344">
        <f>IFERROR(BASE_DATOS[[#This Row],[% Max Des.]]-BASE_DATOS[[#This Row],[% Des]],"")</f>
        <v>0.42056074766355145</v>
      </c>
      <c r="AG918" s="287"/>
      <c r="AH918" s="273"/>
      <c r="AI918" s="363" t="str">
        <f>IF(OR(BASE_DATOS[[#This Row],[Hr.]]="",BASE_DATOS[[#This Row],[Hr. Actual]]=""),"",BASE_DATOS[[#This Row],[Hr. Actual]]-BASE_DATOS[[#This Row],[Hr.]]+BASE_DATOS[[#This Row],[Horas Acumuladas]])</f>
        <v/>
      </c>
      <c r="AJ918" s="364" t="str">
        <f>IFERROR(BASE_DATOS[[#This Row],[Precio US$]]/BASE_DATOS[[#This Row],[Horas Rodadas]],"")</f>
        <v/>
      </c>
      <c r="AK918" s="365" t="str">
        <f>IFERROR(BASE_DATOS[[#This Row],[Horas Rodadas]]/(BASE_DATOS[[#This Row],[NSK Original]]-BASE_DATOS[[#This Row],[NSK]]),"")</f>
        <v/>
      </c>
      <c r="AL91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18" s="366" t="str">
        <f>IFERROR(BASE_DATOS[[#This Row],[Precio US$]]/BASE_DATOS[[#This Row],[Horas Proy.]],"")</f>
        <v/>
      </c>
      <c r="AN918" s="176" t="str">
        <f>IF(OR(BASE_DATOS[[#This Row],[Km.]]="",BASE_DATOS[[#This Row],[Km. Actual]]=""),"",BASE_DATOS[[#This Row],[Km. Actual]]-BASE_DATOS[[#This Row],[Km.]]+BASE_DATOS[[#This Row],[Kilómetros Acumulados]])</f>
        <v/>
      </c>
      <c r="AO918" s="177" t="str">
        <f>IFERROR(BASE_DATOS[[#This Row],[Precio US$]]/BASE_DATOS[[#This Row],[Kilómetros Rodados]],"")</f>
        <v/>
      </c>
      <c r="AP918" s="176" t="str">
        <f>IFERROR(BASE_DATOS[[#This Row],[Kilómetros Rodados]]/(BASE_DATOS[[#This Row],[NSK Original]]-BASE_DATOS[[#This Row],[NSK]]),"")</f>
        <v/>
      </c>
      <c r="AQ91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18" s="177" t="str">
        <f>IFERROR(BASE_DATOS[[#This Row],[Precio US$]]/BASE_DATOS[[#This Row],[Kilómetros Proy.]],"")</f>
        <v/>
      </c>
      <c r="AS918" s="170" t="s">
        <v>62</v>
      </c>
      <c r="AT918" s="170"/>
      <c r="AU918" s="170"/>
      <c r="AV918" s="170"/>
      <c r="AW918" s="179"/>
      <c r="AX918" s="179"/>
      <c r="AY918" s="179" t="str">
        <f>CONCATENATE(BASE_DATOS[[#This Row],[Código_U]]&amp;BASE_DATOS[[#This Row],[Pos.]]&amp;BASE_DATOS[[#This Row],[Situación Actual]])</f>
        <v>TC-2609Rodando</v>
      </c>
    </row>
    <row r="919" spans="1:51" ht="12" x14ac:dyDescent="0.25">
      <c r="A919" s="223" t="s">
        <v>456</v>
      </c>
      <c r="B919" s="217" t="s">
        <v>368</v>
      </c>
      <c r="C919" s="228" t="s">
        <v>296</v>
      </c>
      <c r="D919" s="229" t="s">
        <v>61</v>
      </c>
      <c r="E919" s="255"/>
      <c r="F919" s="256" t="s">
        <v>273</v>
      </c>
      <c r="G919" s="256" t="s">
        <v>271</v>
      </c>
      <c r="H919" s="257" t="str">
        <f>IF(BASE_DATOS[[#This Row],[N-R]]="N",BASE_DATOS[[#This Row],[Diseño]],"Reencauche")</f>
        <v>XMULTI2D</v>
      </c>
      <c r="I919" s="256" t="s">
        <v>299</v>
      </c>
      <c r="J919" s="243" t="s">
        <v>72</v>
      </c>
      <c r="K919" s="258">
        <v>21.4</v>
      </c>
      <c r="L919" s="241">
        <v>110</v>
      </c>
      <c r="M919" s="259"/>
      <c r="N919" s="260"/>
      <c r="O919" s="277"/>
      <c r="P919" s="278"/>
      <c r="Q919" s="279"/>
      <c r="R919" s="309">
        <v>10</v>
      </c>
      <c r="S919" s="310">
        <v>45385</v>
      </c>
      <c r="T919" s="311"/>
      <c r="U919" s="312"/>
      <c r="V919" s="227">
        <v>15</v>
      </c>
      <c r="W919" s="281"/>
      <c r="X919" s="282">
        <v>15</v>
      </c>
      <c r="Y919" s="293">
        <f t="shared" si="48"/>
        <v>15</v>
      </c>
      <c r="Z919" s="175" t="s">
        <v>73</v>
      </c>
      <c r="AA919" s="342">
        <f>IFERROR(BASE_DATOS[[#This Row],[NSK Original]]-BASE_DATOS[[#This Row],[NSK]]," ")</f>
        <v>6.3999999999999986</v>
      </c>
      <c r="AB919" s="343">
        <f>'NSK-TRACTO'!$A$2</f>
        <v>6</v>
      </c>
      <c r="AC919" s="343">
        <f>IF(BASE_DATOS[[#This Row],[NSK]]&gt;=BASE_DATOS[[#This Row],[NSK Reen]],BASE_DATOS[[#This Row],[NSK Reen]],BASE_DATOS[[#This Row],[NSK]])</f>
        <v>6</v>
      </c>
      <c r="AD919" s="344">
        <f>IFERROR(100%-(BASE_DATOS[[#This Row],[NSK Reen]]/BASE_DATOS[[#This Row],[NSK Original]]),"")</f>
        <v>0.71962616822429903</v>
      </c>
      <c r="AE919" s="344">
        <f>IFERROR(100%-BASE_DATOS[[#This Row],[NSK]]/BASE_DATOS[[#This Row],[NSK Original]],"")</f>
        <v>0.29906542056074759</v>
      </c>
      <c r="AF919" s="344">
        <f>IFERROR(BASE_DATOS[[#This Row],[% Max Des.]]-BASE_DATOS[[#This Row],[% Des]],"")</f>
        <v>0.42056074766355145</v>
      </c>
      <c r="AG919" s="287"/>
      <c r="AH919" s="273"/>
      <c r="AI919" s="363" t="str">
        <f>IF(OR(BASE_DATOS[[#This Row],[Hr.]]="",BASE_DATOS[[#This Row],[Hr. Actual]]=""),"",BASE_DATOS[[#This Row],[Hr. Actual]]-BASE_DATOS[[#This Row],[Hr.]]+BASE_DATOS[[#This Row],[Horas Acumuladas]])</f>
        <v/>
      </c>
      <c r="AJ919" s="364" t="str">
        <f>IFERROR(BASE_DATOS[[#This Row],[Precio US$]]/BASE_DATOS[[#This Row],[Horas Rodadas]],"")</f>
        <v/>
      </c>
      <c r="AK919" s="365" t="str">
        <f>IFERROR(BASE_DATOS[[#This Row],[Horas Rodadas]]/(BASE_DATOS[[#This Row],[NSK Original]]-BASE_DATOS[[#This Row],[NSK]]),"")</f>
        <v/>
      </c>
      <c r="AL91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19" s="366" t="str">
        <f>IFERROR(BASE_DATOS[[#This Row],[Precio US$]]/BASE_DATOS[[#This Row],[Horas Proy.]],"")</f>
        <v/>
      </c>
      <c r="AN919" s="171" t="str">
        <f>IF(OR(BASE_DATOS[[#This Row],[Km.]]="",BASE_DATOS[[#This Row],[Km. Actual]]=""),"",BASE_DATOS[[#This Row],[Km. Actual]]-BASE_DATOS[[#This Row],[Km.]]+BASE_DATOS[[#This Row],[Kilómetros Acumulados]])</f>
        <v/>
      </c>
      <c r="AO919" s="172" t="str">
        <f>IFERROR(BASE_DATOS[[#This Row],[Precio US$]]/BASE_DATOS[[#This Row],[Kilómetros Rodados]],"")</f>
        <v/>
      </c>
      <c r="AP919" s="171" t="str">
        <f>IFERROR(BASE_DATOS[[#This Row],[Kilómetros Rodados]]/(BASE_DATOS[[#This Row],[NSK Original]]-BASE_DATOS[[#This Row],[NSK]]),"")</f>
        <v/>
      </c>
      <c r="AQ919" s="17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19" s="172" t="str">
        <f>IFERROR(BASE_DATOS[[#This Row],[Precio US$]]/BASE_DATOS[[#This Row],[Kilómetros Proy.]],"")</f>
        <v/>
      </c>
      <c r="AS919" s="170" t="s">
        <v>62</v>
      </c>
      <c r="AT919" s="170"/>
      <c r="AU919" s="170"/>
      <c r="AV919" s="170"/>
      <c r="AW919" s="174"/>
      <c r="AX919" s="174"/>
      <c r="AY919" s="174" t="str">
        <f>CONCATENATE(BASE_DATOS[[#This Row],[Código_U]]&amp;BASE_DATOS[[#This Row],[Pos.]]&amp;BASE_DATOS[[#This Row],[Situación Actual]])</f>
        <v>TC-26010Rodando</v>
      </c>
    </row>
    <row r="920" spans="1:51" ht="12" x14ac:dyDescent="0.25">
      <c r="A920" s="222" t="s">
        <v>410</v>
      </c>
      <c r="B920" s="213" t="s">
        <v>372</v>
      </c>
      <c r="C920" s="225" t="s">
        <v>296</v>
      </c>
      <c r="D920" s="226" t="s">
        <v>86</v>
      </c>
      <c r="E920" s="249"/>
      <c r="F920" s="250" t="s">
        <v>273</v>
      </c>
      <c r="G920" s="250" t="s">
        <v>271</v>
      </c>
      <c r="H920" s="251" t="str">
        <f>IF(BASE_DATOS[[#This Row],[N-R]]="N",BASE_DATOS[[#This Row],[Diseño]],"Reencauche")</f>
        <v>XWORKSZ</v>
      </c>
      <c r="I920" s="250" t="s">
        <v>373</v>
      </c>
      <c r="J920" s="235" t="s">
        <v>72</v>
      </c>
      <c r="K920" s="252">
        <v>18</v>
      </c>
      <c r="L920" s="233">
        <v>100</v>
      </c>
      <c r="M920" s="253"/>
      <c r="N920" s="254"/>
      <c r="O920" s="274"/>
      <c r="P920" s="275"/>
      <c r="Q920" s="276"/>
      <c r="R920" s="305">
        <v>1</v>
      </c>
      <c r="S920" s="306">
        <v>45385</v>
      </c>
      <c r="T920" s="314"/>
      <c r="U920" s="276"/>
      <c r="V920" s="224">
        <v>13</v>
      </c>
      <c r="W920" s="325">
        <v>15</v>
      </c>
      <c r="X920" s="326">
        <v>14</v>
      </c>
      <c r="Y920" s="292">
        <f t="shared" si="48"/>
        <v>13</v>
      </c>
      <c r="Z920" s="185" t="s">
        <v>73</v>
      </c>
      <c r="AA920" s="339">
        <f>IFERROR(BASE_DATOS[[#This Row],[NSK Original]]-BASE_DATOS[[#This Row],[NSK]]," ")</f>
        <v>5</v>
      </c>
      <c r="AB920" s="340">
        <f>'NSK-TRACTO'!$A$2</f>
        <v>6</v>
      </c>
      <c r="AC920" s="340">
        <f>IF(BASE_DATOS[[#This Row],[NSK]]&gt;=BASE_DATOS[[#This Row],[NSK Reen]],BASE_DATOS[[#This Row],[NSK Reen]],BASE_DATOS[[#This Row],[NSK]])</f>
        <v>6</v>
      </c>
      <c r="AD920" s="341">
        <f>IFERROR(100%-(BASE_DATOS[[#This Row],[NSK Reen]]/BASE_DATOS[[#This Row],[NSK Original]]),"")</f>
        <v>0.66666666666666674</v>
      </c>
      <c r="AE920" s="341">
        <f>IFERROR(100%-BASE_DATOS[[#This Row],[NSK]]/BASE_DATOS[[#This Row],[NSK Original]],"")</f>
        <v>0.27777777777777779</v>
      </c>
      <c r="AF920" s="341">
        <f>IFERROR(BASE_DATOS[[#This Row],[% Max Des.]]-BASE_DATOS[[#This Row],[% Des]],"")</f>
        <v>0.38888888888888895</v>
      </c>
      <c r="AG920" s="284"/>
      <c r="AH920" s="335"/>
      <c r="AI920" s="359" t="str">
        <f>IF(OR(BASE_DATOS[[#This Row],[Hr.]]="",BASE_DATOS[[#This Row],[Hr. Actual]]=""),"",BASE_DATOS[[#This Row],[Hr. Actual]]-BASE_DATOS[[#This Row],[Hr.]]+BASE_DATOS[[#This Row],[Horas Acumuladas]])</f>
        <v/>
      </c>
      <c r="AJ920" s="360" t="str">
        <f>IFERROR(BASE_DATOS[[#This Row],[Precio US$]]/BASE_DATOS[[#This Row],[Horas Rodadas]],"")</f>
        <v/>
      </c>
      <c r="AK920" s="361" t="str">
        <f>IFERROR(BASE_DATOS[[#This Row],[Horas Rodadas]]/(BASE_DATOS[[#This Row],[NSK Original]]-BASE_DATOS[[#This Row],[NSK]]),"")</f>
        <v/>
      </c>
      <c r="AL920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20" s="362" t="str">
        <f>IFERROR(BASE_DATOS[[#This Row],[Precio US$]]/BASE_DATOS[[#This Row],[Horas Proy.]],"")</f>
        <v/>
      </c>
      <c r="AN920" s="199" t="str">
        <f>IF(OR(BASE_DATOS[[#This Row],[Km.]]="",BASE_DATOS[[#This Row],[Km. Actual]]=""),"",BASE_DATOS[[#This Row],[Km. Actual]]-BASE_DATOS[[#This Row],[Km.]]+BASE_DATOS[[#This Row],[Kilómetros Acumulados]])</f>
        <v/>
      </c>
      <c r="AO920" s="200" t="str">
        <f>IFERROR(BASE_DATOS[[#This Row],[Precio US$]]/BASE_DATOS[[#This Row],[Kilómetros Rodados]],"")</f>
        <v/>
      </c>
      <c r="AP920" s="199" t="str">
        <f>IFERROR(BASE_DATOS[[#This Row],[Kilómetros Rodados]]/(BASE_DATOS[[#This Row],[NSK Original]]-BASE_DATOS[[#This Row],[NSK]]),"")</f>
        <v/>
      </c>
      <c r="AQ920" s="19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20" s="200" t="str">
        <f>IFERROR(BASE_DATOS[[#This Row],[Precio US$]]/BASE_DATOS[[#This Row],[Kilómetros Proy.]],"")</f>
        <v/>
      </c>
      <c r="AS920" s="201" t="s">
        <v>62</v>
      </c>
      <c r="AT920" s="201"/>
      <c r="AU920" s="201" t="s">
        <v>515</v>
      </c>
      <c r="AV920" s="201"/>
      <c r="AW920" s="203"/>
      <c r="AX920" s="204" t="s">
        <v>371</v>
      </c>
      <c r="AY920" s="204" t="str">
        <f>CONCATENATE(BASE_DATOS[[#This Row],[Código_U]]&amp;BASE_DATOS[[#This Row],[Pos.]]&amp;BASE_DATOS[[#This Row],[Situación Actual]])</f>
        <v>TC-2681Rodando</v>
      </c>
    </row>
    <row r="921" spans="1:51" ht="12" x14ac:dyDescent="0.25">
      <c r="A921" s="223" t="s">
        <v>410</v>
      </c>
      <c r="B921" s="217" t="s">
        <v>372</v>
      </c>
      <c r="C921" s="228" t="s">
        <v>296</v>
      </c>
      <c r="D921" s="229" t="s">
        <v>86</v>
      </c>
      <c r="E921" s="255"/>
      <c r="F921" s="256" t="s">
        <v>273</v>
      </c>
      <c r="G921" s="256" t="s">
        <v>271</v>
      </c>
      <c r="H921" s="257" t="str">
        <f>IF(BASE_DATOS[[#This Row],[N-R]]="N",BASE_DATOS[[#This Row],[Diseño]],"Reencauche")</f>
        <v>XWORKSZ</v>
      </c>
      <c r="I921" s="256" t="s">
        <v>373</v>
      </c>
      <c r="J921" s="243" t="s">
        <v>72</v>
      </c>
      <c r="K921" s="258">
        <v>18</v>
      </c>
      <c r="L921" s="241">
        <v>100</v>
      </c>
      <c r="M921" s="259"/>
      <c r="N921" s="260"/>
      <c r="O921" s="277"/>
      <c r="P921" s="278"/>
      <c r="Q921" s="279"/>
      <c r="R921" s="309">
        <v>2</v>
      </c>
      <c r="S921" s="310">
        <v>45385</v>
      </c>
      <c r="T921" s="313"/>
      <c r="U921" s="279"/>
      <c r="V921" s="227">
        <v>14</v>
      </c>
      <c r="W921" s="281">
        <v>14</v>
      </c>
      <c r="X921" s="282">
        <v>14</v>
      </c>
      <c r="Y921" s="293">
        <f t="shared" si="48"/>
        <v>14</v>
      </c>
      <c r="Z921" s="161" t="s">
        <v>73</v>
      </c>
      <c r="AA921" s="342">
        <f>IFERROR(BASE_DATOS[[#This Row],[NSK Original]]-BASE_DATOS[[#This Row],[NSK]]," ")</f>
        <v>4</v>
      </c>
      <c r="AB921" s="343">
        <f>'NSK-TRACTO'!$A$2</f>
        <v>6</v>
      </c>
      <c r="AC921" s="343">
        <f>IF(BASE_DATOS[[#This Row],[NSK]]&gt;=BASE_DATOS[[#This Row],[NSK Reen]],BASE_DATOS[[#This Row],[NSK Reen]],BASE_DATOS[[#This Row],[NSK]])</f>
        <v>6</v>
      </c>
      <c r="AD921" s="344">
        <f>IFERROR(100%-(BASE_DATOS[[#This Row],[NSK Reen]]/BASE_DATOS[[#This Row],[NSK Original]]),"")</f>
        <v>0.66666666666666674</v>
      </c>
      <c r="AE921" s="344">
        <f>IFERROR(100%-BASE_DATOS[[#This Row],[NSK]]/BASE_DATOS[[#This Row],[NSK Original]],"")</f>
        <v>0.22222222222222221</v>
      </c>
      <c r="AF921" s="344">
        <f>IFERROR(BASE_DATOS[[#This Row],[% Max Des.]]-BASE_DATOS[[#This Row],[% Des]],"")</f>
        <v>0.44444444444444453</v>
      </c>
      <c r="AG921" s="287"/>
      <c r="AH921" s="273"/>
      <c r="AI921" s="363" t="str">
        <f>IF(OR(BASE_DATOS[[#This Row],[Hr.]]="",BASE_DATOS[[#This Row],[Hr. Actual]]=""),"",BASE_DATOS[[#This Row],[Hr. Actual]]-BASE_DATOS[[#This Row],[Hr.]]+BASE_DATOS[[#This Row],[Horas Acumuladas]])</f>
        <v/>
      </c>
      <c r="AJ921" s="364" t="str">
        <f>IFERROR(BASE_DATOS[[#This Row],[Precio US$]]/BASE_DATOS[[#This Row],[Horas Rodadas]],"")</f>
        <v/>
      </c>
      <c r="AK921" s="365" t="str">
        <f>IFERROR(BASE_DATOS[[#This Row],[Horas Rodadas]]/(BASE_DATOS[[#This Row],[NSK Original]]-BASE_DATOS[[#This Row],[NSK]]),"")</f>
        <v/>
      </c>
      <c r="AL92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21" s="366" t="str">
        <f>IFERROR(BASE_DATOS[[#This Row],[Precio US$]]/BASE_DATOS[[#This Row],[Horas Proy.]],"")</f>
        <v/>
      </c>
      <c r="AN921" s="176" t="str">
        <f>IF(OR(BASE_DATOS[[#This Row],[Km.]]="",BASE_DATOS[[#This Row],[Km. Actual]]=""),"",BASE_DATOS[[#This Row],[Km. Actual]]-BASE_DATOS[[#This Row],[Km.]]+BASE_DATOS[[#This Row],[Kilómetros Acumulados]])</f>
        <v/>
      </c>
      <c r="AO921" s="177" t="str">
        <f>IFERROR(BASE_DATOS[[#This Row],[Precio US$]]/BASE_DATOS[[#This Row],[Kilómetros Rodados]],"")</f>
        <v/>
      </c>
      <c r="AP921" s="176" t="str">
        <f>IFERROR(BASE_DATOS[[#This Row],[Kilómetros Rodados]]/(BASE_DATOS[[#This Row],[NSK Original]]-BASE_DATOS[[#This Row],[NSK]]),"")</f>
        <v/>
      </c>
      <c r="AQ92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21" s="177" t="str">
        <f>IFERROR(BASE_DATOS[[#This Row],[Precio US$]]/BASE_DATOS[[#This Row],[Kilómetros Proy.]],"")</f>
        <v/>
      </c>
      <c r="AS921" s="170" t="s">
        <v>62</v>
      </c>
      <c r="AT921" s="170"/>
      <c r="AU921" s="170"/>
      <c r="AV921" s="170"/>
      <c r="AW921" s="179"/>
      <c r="AX921" s="179"/>
      <c r="AY921" s="179" t="str">
        <f>CONCATENATE(BASE_DATOS[[#This Row],[Código_U]]&amp;BASE_DATOS[[#This Row],[Pos.]]&amp;BASE_DATOS[[#This Row],[Situación Actual]])</f>
        <v>TC-2682Rodando</v>
      </c>
    </row>
    <row r="922" spans="1:51" ht="12" x14ac:dyDescent="0.25">
      <c r="A922" s="223" t="s">
        <v>410</v>
      </c>
      <c r="B922" s="217" t="s">
        <v>372</v>
      </c>
      <c r="C922" s="228" t="s">
        <v>296</v>
      </c>
      <c r="D922" s="229" t="s">
        <v>61</v>
      </c>
      <c r="E922" s="255"/>
      <c r="F922" s="256" t="s">
        <v>273</v>
      </c>
      <c r="G922" s="256" t="s">
        <v>271</v>
      </c>
      <c r="H922" s="257" t="str">
        <f>IF(BASE_DATOS[[#This Row],[N-R]]="N",BASE_DATOS[[#This Row],[Diseño]],"Reencauche")</f>
        <v>XWORKSD</v>
      </c>
      <c r="I922" s="256" t="s">
        <v>374</v>
      </c>
      <c r="J922" s="243" t="s">
        <v>72</v>
      </c>
      <c r="K922" s="258">
        <v>22</v>
      </c>
      <c r="L922" s="241">
        <v>110</v>
      </c>
      <c r="M922" s="259"/>
      <c r="N922" s="260"/>
      <c r="O922" s="277"/>
      <c r="P922" s="278"/>
      <c r="Q922" s="279"/>
      <c r="R922" s="309">
        <v>3</v>
      </c>
      <c r="S922" s="310">
        <v>45385</v>
      </c>
      <c r="T922" s="313"/>
      <c r="U922" s="279"/>
      <c r="V922" s="227">
        <v>15</v>
      </c>
      <c r="W922" s="281"/>
      <c r="X922" s="282">
        <v>15</v>
      </c>
      <c r="Y922" s="293">
        <f t="shared" si="48"/>
        <v>15</v>
      </c>
      <c r="Z922" s="161" t="s">
        <v>73</v>
      </c>
      <c r="AA922" s="342">
        <f>IFERROR(BASE_DATOS[[#This Row],[NSK Original]]-BASE_DATOS[[#This Row],[NSK]]," ")</f>
        <v>7</v>
      </c>
      <c r="AB922" s="343">
        <f>'NSK-TRACTO'!$A$2</f>
        <v>6</v>
      </c>
      <c r="AC922" s="343">
        <f>IF(BASE_DATOS[[#This Row],[NSK]]&gt;=BASE_DATOS[[#This Row],[NSK Reen]],BASE_DATOS[[#This Row],[NSK Reen]],BASE_DATOS[[#This Row],[NSK]])</f>
        <v>6</v>
      </c>
      <c r="AD922" s="344">
        <f>IFERROR(100%-(BASE_DATOS[[#This Row],[NSK Reen]]/BASE_DATOS[[#This Row],[NSK Original]]),"")</f>
        <v>0.72727272727272729</v>
      </c>
      <c r="AE922" s="344">
        <f>IFERROR(100%-BASE_DATOS[[#This Row],[NSK]]/BASE_DATOS[[#This Row],[NSK Original]],"")</f>
        <v>0.31818181818181823</v>
      </c>
      <c r="AF922" s="344">
        <f>IFERROR(BASE_DATOS[[#This Row],[% Max Des.]]-BASE_DATOS[[#This Row],[% Des]],"")</f>
        <v>0.40909090909090906</v>
      </c>
      <c r="AG922" s="287"/>
      <c r="AH922" s="273"/>
      <c r="AI922" s="363" t="str">
        <f>IF(OR(BASE_DATOS[[#This Row],[Hr.]]="",BASE_DATOS[[#This Row],[Hr. Actual]]=""),"",BASE_DATOS[[#This Row],[Hr. Actual]]-BASE_DATOS[[#This Row],[Hr.]]+BASE_DATOS[[#This Row],[Horas Acumuladas]])</f>
        <v/>
      </c>
      <c r="AJ922" s="364" t="str">
        <f>IFERROR(BASE_DATOS[[#This Row],[Precio US$]]/BASE_DATOS[[#This Row],[Horas Rodadas]],"")</f>
        <v/>
      </c>
      <c r="AK922" s="365" t="str">
        <f>IFERROR(BASE_DATOS[[#This Row],[Horas Rodadas]]/(BASE_DATOS[[#This Row],[NSK Original]]-BASE_DATOS[[#This Row],[NSK]]),"")</f>
        <v/>
      </c>
      <c r="AL92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22" s="366" t="str">
        <f>IFERROR(BASE_DATOS[[#This Row],[Precio US$]]/BASE_DATOS[[#This Row],[Horas Proy.]],"")</f>
        <v/>
      </c>
      <c r="AN922" s="176" t="str">
        <f>IF(OR(BASE_DATOS[[#This Row],[Km.]]="",BASE_DATOS[[#This Row],[Km. Actual]]=""),"",BASE_DATOS[[#This Row],[Km. Actual]]-BASE_DATOS[[#This Row],[Km.]]+BASE_DATOS[[#This Row],[Kilómetros Acumulados]])</f>
        <v/>
      </c>
      <c r="AO922" s="177" t="str">
        <f>IFERROR(BASE_DATOS[[#This Row],[Precio US$]]/BASE_DATOS[[#This Row],[Kilómetros Rodados]],"")</f>
        <v/>
      </c>
      <c r="AP922" s="176" t="str">
        <f>IFERROR(BASE_DATOS[[#This Row],[Kilómetros Rodados]]/(BASE_DATOS[[#This Row],[NSK Original]]-BASE_DATOS[[#This Row],[NSK]]),"")</f>
        <v/>
      </c>
      <c r="AQ92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22" s="177" t="str">
        <f>IFERROR(BASE_DATOS[[#This Row],[Precio US$]]/BASE_DATOS[[#This Row],[Kilómetros Proy.]],"")</f>
        <v/>
      </c>
      <c r="AS922" s="170" t="s">
        <v>62</v>
      </c>
      <c r="AT922" s="170"/>
      <c r="AU922" s="170" t="s">
        <v>515</v>
      </c>
      <c r="AV922" s="170"/>
      <c r="AW922" s="179"/>
      <c r="AX922" s="169" t="s">
        <v>381</v>
      </c>
      <c r="AY922" s="169" t="str">
        <f>CONCATENATE(BASE_DATOS[[#This Row],[Código_U]]&amp;BASE_DATOS[[#This Row],[Pos.]]&amp;BASE_DATOS[[#This Row],[Situación Actual]])</f>
        <v>TC-2683Rodando</v>
      </c>
    </row>
    <row r="923" spans="1:51" ht="12" x14ac:dyDescent="0.25">
      <c r="A923" s="223" t="s">
        <v>410</v>
      </c>
      <c r="B923" s="217" t="s">
        <v>372</v>
      </c>
      <c r="C923" s="228" t="s">
        <v>296</v>
      </c>
      <c r="D923" s="229" t="s">
        <v>61</v>
      </c>
      <c r="E923" s="255"/>
      <c r="F923" s="256" t="s">
        <v>273</v>
      </c>
      <c r="G923" s="256" t="s">
        <v>271</v>
      </c>
      <c r="H923" s="257" t="str">
        <f>IF(BASE_DATOS[[#This Row],[N-R]]="N",BASE_DATOS[[#This Row],[Diseño]],"Reencauche")</f>
        <v>XWORKSD</v>
      </c>
      <c r="I923" s="256" t="s">
        <v>374</v>
      </c>
      <c r="J923" s="243" t="s">
        <v>72</v>
      </c>
      <c r="K923" s="258">
        <v>22</v>
      </c>
      <c r="L923" s="241">
        <v>110</v>
      </c>
      <c r="M923" s="259"/>
      <c r="N923" s="260"/>
      <c r="O923" s="277"/>
      <c r="P923" s="278"/>
      <c r="Q923" s="279"/>
      <c r="R923" s="309">
        <v>4</v>
      </c>
      <c r="S923" s="310">
        <v>45385</v>
      </c>
      <c r="T923" s="313"/>
      <c r="U923" s="279"/>
      <c r="V923" s="227">
        <v>15</v>
      </c>
      <c r="W923" s="281"/>
      <c r="X923" s="282">
        <v>15</v>
      </c>
      <c r="Y923" s="293">
        <f t="shared" si="48"/>
        <v>15</v>
      </c>
      <c r="Z923" s="161" t="s">
        <v>73</v>
      </c>
      <c r="AA923" s="342">
        <f>IFERROR(BASE_DATOS[[#This Row],[NSK Original]]-BASE_DATOS[[#This Row],[NSK]]," ")</f>
        <v>7</v>
      </c>
      <c r="AB923" s="343">
        <f>'NSK-TRACTO'!$A$2</f>
        <v>6</v>
      </c>
      <c r="AC923" s="343">
        <f>IF(BASE_DATOS[[#This Row],[NSK]]&gt;=BASE_DATOS[[#This Row],[NSK Reen]],BASE_DATOS[[#This Row],[NSK Reen]],BASE_DATOS[[#This Row],[NSK]])</f>
        <v>6</v>
      </c>
      <c r="AD923" s="344">
        <f>IFERROR(100%-(BASE_DATOS[[#This Row],[NSK Reen]]/BASE_DATOS[[#This Row],[NSK Original]]),"")</f>
        <v>0.72727272727272729</v>
      </c>
      <c r="AE923" s="344">
        <f>IFERROR(100%-BASE_DATOS[[#This Row],[NSK]]/BASE_DATOS[[#This Row],[NSK Original]],"")</f>
        <v>0.31818181818181823</v>
      </c>
      <c r="AF923" s="344">
        <f>IFERROR(BASE_DATOS[[#This Row],[% Max Des.]]-BASE_DATOS[[#This Row],[% Des]],"")</f>
        <v>0.40909090909090906</v>
      </c>
      <c r="AG923" s="287"/>
      <c r="AH923" s="273"/>
      <c r="AI923" s="363" t="str">
        <f>IF(OR(BASE_DATOS[[#This Row],[Hr.]]="",BASE_DATOS[[#This Row],[Hr. Actual]]=""),"",BASE_DATOS[[#This Row],[Hr. Actual]]-BASE_DATOS[[#This Row],[Hr.]]+BASE_DATOS[[#This Row],[Horas Acumuladas]])</f>
        <v/>
      </c>
      <c r="AJ923" s="364" t="str">
        <f>IFERROR(BASE_DATOS[[#This Row],[Precio US$]]/BASE_DATOS[[#This Row],[Horas Rodadas]],"")</f>
        <v/>
      </c>
      <c r="AK923" s="365" t="str">
        <f>IFERROR(BASE_DATOS[[#This Row],[Horas Rodadas]]/(BASE_DATOS[[#This Row],[NSK Original]]-BASE_DATOS[[#This Row],[NSK]]),"")</f>
        <v/>
      </c>
      <c r="AL92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23" s="366" t="str">
        <f>IFERROR(BASE_DATOS[[#This Row],[Precio US$]]/BASE_DATOS[[#This Row],[Horas Proy.]],"")</f>
        <v/>
      </c>
      <c r="AN923" s="176" t="str">
        <f>IF(OR(BASE_DATOS[[#This Row],[Km.]]="",BASE_DATOS[[#This Row],[Km. Actual]]=""),"",BASE_DATOS[[#This Row],[Km. Actual]]-BASE_DATOS[[#This Row],[Km.]]+BASE_DATOS[[#This Row],[Kilómetros Acumulados]])</f>
        <v/>
      </c>
      <c r="AO923" s="177" t="str">
        <f>IFERROR(BASE_DATOS[[#This Row],[Precio US$]]/BASE_DATOS[[#This Row],[Kilómetros Rodados]],"")</f>
        <v/>
      </c>
      <c r="AP923" s="176" t="str">
        <f>IFERROR(BASE_DATOS[[#This Row],[Kilómetros Rodados]]/(BASE_DATOS[[#This Row],[NSK Original]]-BASE_DATOS[[#This Row],[NSK]]),"")</f>
        <v/>
      </c>
      <c r="AQ92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23" s="177" t="str">
        <f>IFERROR(BASE_DATOS[[#This Row],[Precio US$]]/BASE_DATOS[[#This Row],[Kilómetros Proy.]],"")</f>
        <v/>
      </c>
      <c r="AS923" s="170" t="s">
        <v>62</v>
      </c>
      <c r="AT923" s="170"/>
      <c r="AU923" s="170" t="s">
        <v>515</v>
      </c>
      <c r="AV923" s="170"/>
      <c r="AW923" s="179"/>
      <c r="AX923" s="169" t="s">
        <v>381</v>
      </c>
      <c r="AY923" s="169" t="str">
        <f>CONCATENATE(BASE_DATOS[[#This Row],[Código_U]]&amp;BASE_DATOS[[#This Row],[Pos.]]&amp;BASE_DATOS[[#This Row],[Situación Actual]])</f>
        <v>TC-2684Rodando</v>
      </c>
    </row>
    <row r="924" spans="1:51" ht="12" x14ac:dyDescent="0.25">
      <c r="A924" s="223" t="s">
        <v>410</v>
      </c>
      <c r="B924" s="217" t="s">
        <v>372</v>
      </c>
      <c r="C924" s="228" t="s">
        <v>296</v>
      </c>
      <c r="D924" s="229" t="s">
        <v>61</v>
      </c>
      <c r="E924" s="255"/>
      <c r="F924" s="256" t="s">
        <v>273</v>
      </c>
      <c r="G924" s="256" t="s">
        <v>271</v>
      </c>
      <c r="H924" s="257" t="str">
        <f>IF(BASE_DATOS[[#This Row],[N-R]]="N",BASE_DATOS[[#This Row],[Diseño]],"Reencauche")</f>
        <v>XWORKSD</v>
      </c>
      <c r="I924" s="256" t="s">
        <v>374</v>
      </c>
      <c r="J924" s="243" t="s">
        <v>72</v>
      </c>
      <c r="K924" s="258">
        <v>22</v>
      </c>
      <c r="L924" s="241">
        <v>110</v>
      </c>
      <c r="M924" s="259"/>
      <c r="N924" s="260"/>
      <c r="O924" s="277"/>
      <c r="P924" s="278"/>
      <c r="Q924" s="279"/>
      <c r="R924" s="309">
        <v>5</v>
      </c>
      <c r="S924" s="310">
        <v>45385</v>
      </c>
      <c r="T924" s="313"/>
      <c r="U924" s="279"/>
      <c r="V924" s="227">
        <v>15</v>
      </c>
      <c r="W924" s="281"/>
      <c r="X924" s="282">
        <v>15</v>
      </c>
      <c r="Y924" s="293">
        <f t="shared" si="48"/>
        <v>15</v>
      </c>
      <c r="Z924" s="161" t="s">
        <v>73</v>
      </c>
      <c r="AA924" s="342">
        <f>IFERROR(BASE_DATOS[[#This Row],[NSK Original]]-BASE_DATOS[[#This Row],[NSK]]," ")</f>
        <v>7</v>
      </c>
      <c r="AB924" s="343">
        <f>'NSK-TRACTO'!$A$2</f>
        <v>6</v>
      </c>
      <c r="AC924" s="343">
        <f>IF(BASE_DATOS[[#This Row],[NSK]]&gt;=BASE_DATOS[[#This Row],[NSK Reen]],BASE_DATOS[[#This Row],[NSK Reen]],BASE_DATOS[[#This Row],[NSK]])</f>
        <v>6</v>
      </c>
      <c r="AD924" s="344">
        <f>IFERROR(100%-(BASE_DATOS[[#This Row],[NSK Reen]]/BASE_DATOS[[#This Row],[NSK Original]]),"")</f>
        <v>0.72727272727272729</v>
      </c>
      <c r="AE924" s="344">
        <f>IFERROR(100%-BASE_DATOS[[#This Row],[NSK]]/BASE_DATOS[[#This Row],[NSK Original]],"")</f>
        <v>0.31818181818181823</v>
      </c>
      <c r="AF924" s="344">
        <f>IFERROR(BASE_DATOS[[#This Row],[% Max Des.]]-BASE_DATOS[[#This Row],[% Des]],"")</f>
        <v>0.40909090909090906</v>
      </c>
      <c r="AG924" s="287"/>
      <c r="AH924" s="273"/>
      <c r="AI924" s="363" t="str">
        <f>IF(OR(BASE_DATOS[[#This Row],[Hr.]]="",BASE_DATOS[[#This Row],[Hr. Actual]]=""),"",BASE_DATOS[[#This Row],[Hr. Actual]]-BASE_DATOS[[#This Row],[Hr.]]+BASE_DATOS[[#This Row],[Horas Acumuladas]])</f>
        <v/>
      </c>
      <c r="AJ924" s="364" t="str">
        <f>IFERROR(BASE_DATOS[[#This Row],[Precio US$]]/BASE_DATOS[[#This Row],[Horas Rodadas]],"")</f>
        <v/>
      </c>
      <c r="AK924" s="365" t="str">
        <f>IFERROR(BASE_DATOS[[#This Row],[Horas Rodadas]]/(BASE_DATOS[[#This Row],[NSK Original]]-BASE_DATOS[[#This Row],[NSK]]),"")</f>
        <v/>
      </c>
      <c r="AL92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24" s="366" t="str">
        <f>IFERROR(BASE_DATOS[[#This Row],[Precio US$]]/BASE_DATOS[[#This Row],[Horas Proy.]],"")</f>
        <v/>
      </c>
      <c r="AN924" s="176" t="str">
        <f>IF(OR(BASE_DATOS[[#This Row],[Km.]]="",BASE_DATOS[[#This Row],[Km. Actual]]=""),"",BASE_DATOS[[#This Row],[Km. Actual]]-BASE_DATOS[[#This Row],[Km.]]+BASE_DATOS[[#This Row],[Kilómetros Acumulados]])</f>
        <v/>
      </c>
      <c r="AO924" s="177" t="str">
        <f>IFERROR(BASE_DATOS[[#This Row],[Precio US$]]/BASE_DATOS[[#This Row],[Kilómetros Rodados]],"")</f>
        <v/>
      </c>
      <c r="AP924" s="176" t="str">
        <f>IFERROR(BASE_DATOS[[#This Row],[Kilómetros Rodados]]/(BASE_DATOS[[#This Row],[NSK Original]]-BASE_DATOS[[#This Row],[NSK]]),"")</f>
        <v/>
      </c>
      <c r="AQ92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24" s="177" t="str">
        <f>IFERROR(BASE_DATOS[[#This Row],[Precio US$]]/BASE_DATOS[[#This Row],[Kilómetros Proy.]],"")</f>
        <v/>
      </c>
      <c r="AS924" s="170" t="s">
        <v>62</v>
      </c>
      <c r="AT924" s="170"/>
      <c r="AU924" s="170" t="s">
        <v>515</v>
      </c>
      <c r="AV924" s="170"/>
      <c r="AW924" s="179"/>
      <c r="AX924" s="169" t="s">
        <v>381</v>
      </c>
      <c r="AY924" s="169" t="str">
        <f>CONCATENATE(BASE_DATOS[[#This Row],[Código_U]]&amp;BASE_DATOS[[#This Row],[Pos.]]&amp;BASE_DATOS[[#This Row],[Situación Actual]])</f>
        <v>TC-2685Rodando</v>
      </c>
    </row>
    <row r="925" spans="1:51" ht="12" x14ac:dyDescent="0.25">
      <c r="A925" s="223" t="s">
        <v>410</v>
      </c>
      <c r="B925" s="217" t="s">
        <v>372</v>
      </c>
      <c r="C925" s="228" t="s">
        <v>296</v>
      </c>
      <c r="D925" s="229" t="s">
        <v>61</v>
      </c>
      <c r="E925" s="255"/>
      <c r="F925" s="256" t="s">
        <v>273</v>
      </c>
      <c r="G925" s="256" t="s">
        <v>271</v>
      </c>
      <c r="H925" s="257" t="str">
        <f>IF(BASE_DATOS[[#This Row],[N-R]]="N",BASE_DATOS[[#This Row],[Diseño]],"Reencauche")</f>
        <v>XWORKSD</v>
      </c>
      <c r="I925" s="256" t="s">
        <v>374</v>
      </c>
      <c r="J925" s="243" t="s">
        <v>72</v>
      </c>
      <c r="K925" s="258">
        <v>22</v>
      </c>
      <c r="L925" s="241">
        <v>110</v>
      </c>
      <c r="M925" s="259"/>
      <c r="N925" s="260"/>
      <c r="O925" s="277"/>
      <c r="P925" s="278"/>
      <c r="Q925" s="279"/>
      <c r="R925" s="309">
        <v>6</v>
      </c>
      <c r="S925" s="310">
        <v>45385</v>
      </c>
      <c r="T925" s="313"/>
      <c r="U925" s="279"/>
      <c r="V925" s="227">
        <v>15</v>
      </c>
      <c r="W925" s="281"/>
      <c r="X925" s="282">
        <v>15</v>
      </c>
      <c r="Y925" s="293">
        <f t="shared" si="48"/>
        <v>15</v>
      </c>
      <c r="Z925" s="161" t="s">
        <v>73</v>
      </c>
      <c r="AA925" s="342">
        <f>IFERROR(BASE_DATOS[[#This Row],[NSK Original]]-BASE_DATOS[[#This Row],[NSK]]," ")</f>
        <v>7</v>
      </c>
      <c r="AB925" s="343">
        <f>'NSK-TRACTO'!$A$2</f>
        <v>6</v>
      </c>
      <c r="AC925" s="343">
        <f>IF(BASE_DATOS[[#This Row],[NSK]]&gt;=BASE_DATOS[[#This Row],[NSK Reen]],BASE_DATOS[[#This Row],[NSK Reen]],BASE_DATOS[[#This Row],[NSK]])</f>
        <v>6</v>
      </c>
      <c r="AD925" s="344">
        <f>IFERROR(100%-(BASE_DATOS[[#This Row],[NSK Reen]]/BASE_DATOS[[#This Row],[NSK Original]]),"")</f>
        <v>0.72727272727272729</v>
      </c>
      <c r="AE925" s="344">
        <f>IFERROR(100%-BASE_DATOS[[#This Row],[NSK]]/BASE_DATOS[[#This Row],[NSK Original]],"")</f>
        <v>0.31818181818181823</v>
      </c>
      <c r="AF925" s="344">
        <f>IFERROR(BASE_DATOS[[#This Row],[% Max Des.]]-BASE_DATOS[[#This Row],[% Des]],"")</f>
        <v>0.40909090909090906</v>
      </c>
      <c r="AG925" s="287"/>
      <c r="AH925" s="273"/>
      <c r="AI925" s="363" t="str">
        <f>IF(OR(BASE_DATOS[[#This Row],[Hr.]]="",BASE_DATOS[[#This Row],[Hr. Actual]]=""),"",BASE_DATOS[[#This Row],[Hr. Actual]]-BASE_DATOS[[#This Row],[Hr.]]+BASE_DATOS[[#This Row],[Horas Acumuladas]])</f>
        <v/>
      </c>
      <c r="AJ925" s="364" t="str">
        <f>IFERROR(BASE_DATOS[[#This Row],[Precio US$]]/BASE_DATOS[[#This Row],[Horas Rodadas]],"")</f>
        <v/>
      </c>
      <c r="AK925" s="365" t="str">
        <f>IFERROR(BASE_DATOS[[#This Row],[Horas Rodadas]]/(BASE_DATOS[[#This Row],[NSK Original]]-BASE_DATOS[[#This Row],[NSK]]),"")</f>
        <v/>
      </c>
      <c r="AL92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25" s="366" t="str">
        <f>IFERROR(BASE_DATOS[[#This Row],[Precio US$]]/BASE_DATOS[[#This Row],[Horas Proy.]],"")</f>
        <v/>
      </c>
      <c r="AN925" s="176" t="str">
        <f>IF(OR(BASE_DATOS[[#This Row],[Km.]]="",BASE_DATOS[[#This Row],[Km. Actual]]=""),"",BASE_DATOS[[#This Row],[Km. Actual]]-BASE_DATOS[[#This Row],[Km.]]+BASE_DATOS[[#This Row],[Kilómetros Acumulados]])</f>
        <v/>
      </c>
      <c r="AO925" s="177" t="str">
        <f>IFERROR(BASE_DATOS[[#This Row],[Precio US$]]/BASE_DATOS[[#This Row],[Kilómetros Rodados]],"")</f>
        <v/>
      </c>
      <c r="AP925" s="176" t="str">
        <f>IFERROR(BASE_DATOS[[#This Row],[Kilómetros Rodados]]/(BASE_DATOS[[#This Row],[NSK Original]]-BASE_DATOS[[#This Row],[NSK]]),"")</f>
        <v/>
      </c>
      <c r="AQ92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25" s="177" t="str">
        <f>IFERROR(BASE_DATOS[[#This Row],[Precio US$]]/BASE_DATOS[[#This Row],[Kilómetros Proy.]],"")</f>
        <v/>
      </c>
      <c r="AS925" s="170" t="s">
        <v>62</v>
      </c>
      <c r="AT925" s="170"/>
      <c r="AU925" s="170" t="s">
        <v>515</v>
      </c>
      <c r="AV925" s="170"/>
      <c r="AW925" s="179"/>
      <c r="AX925" s="169" t="s">
        <v>381</v>
      </c>
      <c r="AY925" s="169" t="str">
        <f>CONCATENATE(BASE_DATOS[[#This Row],[Código_U]]&amp;BASE_DATOS[[#This Row],[Pos.]]&amp;BASE_DATOS[[#This Row],[Situación Actual]])</f>
        <v>TC-2686Rodando</v>
      </c>
    </row>
    <row r="926" spans="1:51" ht="12" x14ac:dyDescent="0.25">
      <c r="A926" s="223" t="s">
        <v>410</v>
      </c>
      <c r="B926" s="217" t="s">
        <v>372</v>
      </c>
      <c r="C926" s="228" t="s">
        <v>296</v>
      </c>
      <c r="D926" s="229" t="s">
        <v>61</v>
      </c>
      <c r="E926" s="255"/>
      <c r="F926" s="256" t="s">
        <v>273</v>
      </c>
      <c r="G926" s="256" t="s">
        <v>271</v>
      </c>
      <c r="H926" s="257" t="str">
        <f>IF(BASE_DATOS[[#This Row],[N-R]]="N",BASE_DATOS[[#This Row],[Diseño]],"Reencauche")</f>
        <v>XWORKSD</v>
      </c>
      <c r="I926" s="256" t="s">
        <v>374</v>
      </c>
      <c r="J926" s="243" t="s">
        <v>72</v>
      </c>
      <c r="K926" s="258">
        <v>22</v>
      </c>
      <c r="L926" s="241">
        <v>110</v>
      </c>
      <c r="M926" s="259"/>
      <c r="N926" s="260"/>
      <c r="O926" s="277"/>
      <c r="P926" s="278"/>
      <c r="Q926" s="279"/>
      <c r="R926" s="309">
        <v>7</v>
      </c>
      <c r="S926" s="310">
        <v>45385</v>
      </c>
      <c r="T926" s="313"/>
      <c r="U926" s="279"/>
      <c r="V926" s="227">
        <v>15</v>
      </c>
      <c r="W926" s="281"/>
      <c r="X926" s="282">
        <v>15</v>
      </c>
      <c r="Y926" s="293">
        <f t="shared" si="48"/>
        <v>15</v>
      </c>
      <c r="Z926" s="161" t="s">
        <v>73</v>
      </c>
      <c r="AA926" s="342">
        <f>IFERROR(BASE_DATOS[[#This Row],[NSK Original]]-BASE_DATOS[[#This Row],[NSK]]," ")</f>
        <v>7</v>
      </c>
      <c r="AB926" s="343">
        <f>'NSK-TRACTO'!$A$2</f>
        <v>6</v>
      </c>
      <c r="AC926" s="343">
        <f>IF(BASE_DATOS[[#This Row],[NSK]]&gt;=BASE_DATOS[[#This Row],[NSK Reen]],BASE_DATOS[[#This Row],[NSK Reen]],BASE_DATOS[[#This Row],[NSK]])</f>
        <v>6</v>
      </c>
      <c r="AD926" s="344">
        <f>IFERROR(100%-(BASE_DATOS[[#This Row],[NSK Reen]]/BASE_DATOS[[#This Row],[NSK Original]]),"")</f>
        <v>0.72727272727272729</v>
      </c>
      <c r="AE926" s="344">
        <f>IFERROR(100%-BASE_DATOS[[#This Row],[NSK]]/BASE_DATOS[[#This Row],[NSK Original]],"")</f>
        <v>0.31818181818181823</v>
      </c>
      <c r="AF926" s="344">
        <f>IFERROR(BASE_DATOS[[#This Row],[% Max Des.]]-BASE_DATOS[[#This Row],[% Des]],"")</f>
        <v>0.40909090909090906</v>
      </c>
      <c r="AG926" s="287"/>
      <c r="AH926" s="273"/>
      <c r="AI926" s="363" t="str">
        <f>IF(OR(BASE_DATOS[[#This Row],[Hr.]]="",BASE_DATOS[[#This Row],[Hr. Actual]]=""),"",BASE_DATOS[[#This Row],[Hr. Actual]]-BASE_DATOS[[#This Row],[Hr.]]+BASE_DATOS[[#This Row],[Horas Acumuladas]])</f>
        <v/>
      </c>
      <c r="AJ926" s="364" t="str">
        <f>IFERROR(BASE_DATOS[[#This Row],[Precio US$]]/BASE_DATOS[[#This Row],[Horas Rodadas]],"")</f>
        <v/>
      </c>
      <c r="AK926" s="365" t="str">
        <f>IFERROR(BASE_DATOS[[#This Row],[Horas Rodadas]]/(BASE_DATOS[[#This Row],[NSK Original]]-BASE_DATOS[[#This Row],[NSK]]),"")</f>
        <v/>
      </c>
      <c r="AL92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26" s="366" t="str">
        <f>IFERROR(BASE_DATOS[[#This Row],[Precio US$]]/BASE_DATOS[[#This Row],[Horas Proy.]],"")</f>
        <v/>
      </c>
      <c r="AN926" s="176" t="str">
        <f>IF(OR(BASE_DATOS[[#This Row],[Km.]]="",BASE_DATOS[[#This Row],[Km. Actual]]=""),"",BASE_DATOS[[#This Row],[Km. Actual]]-BASE_DATOS[[#This Row],[Km.]]+BASE_DATOS[[#This Row],[Kilómetros Acumulados]])</f>
        <v/>
      </c>
      <c r="AO926" s="177" t="str">
        <f>IFERROR(BASE_DATOS[[#This Row],[Precio US$]]/BASE_DATOS[[#This Row],[Kilómetros Rodados]],"")</f>
        <v/>
      </c>
      <c r="AP926" s="176" t="str">
        <f>IFERROR(BASE_DATOS[[#This Row],[Kilómetros Rodados]]/(BASE_DATOS[[#This Row],[NSK Original]]-BASE_DATOS[[#This Row],[NSK]]),"")</f>
        <v/>
      </c>
      <c r="AQ92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26" s="177" t="str">
        <f>IFERROR(BASE_DATOS[[#This Row],[Precio US$]]/BASE_DATOS[[#This Row],[Kilómetros Proy.]],"")</f>
        <v/>
      </c>
      <c r="AS926" s="170" t="s">
        <v>62</v>
      </c>
      <c r="AT926" s="170"/>
      <c r="AU926" s="170" t="s">
        <v>515</v>
      </c>
      <c r="AV926" s="170"/>
      <c r="AW926" s="179"/>
      <c r="AX926" s="169" t="s">
        <v>381</v>
      </c>
      <c r="AY926" s="169" t="str">
        <f>CONCATENATE(BASE_DATOS[[#This Row],[Código_U]]&amp;BASE_DATOS[[#This Row],[Pos.]]&amp;BASE_DATOS[[#This Row],[Situación Actual]])</f>
        <v>TC-2687Rodando</v>
      </c>
    </row>
    <row r="927" spans="1:51" ht="12" x14ac:dyDescent="0.25">
      <c r="A927" s="223" t="s">
        <v>410</v>
      </c>
      <c r="B927" s="217" t="s">
        <v>372</v>
      </c>
      <c r="C927" s="228" t="s">
        <v>296</v>
      </c>
      <c r="D927" s="229" t="s">
        <v>61</v>
      </c>
      <c r="E927" s="255"/>
      <c r="F927" s="256" t="s">
        <v>273</v>
      </c>
      <c r="G927" s="256" t="s">
        <v>271</v>
      </c>
      <c r="H927" s="257" t="str">
        <f>IF(BASE_DATOS[[#This Row],[N-R]]="N",BASE_DATOS[[#This Row],[Diseño]],"Reencauche")</f>
        <v>XWORKSD</v>
      </c>
      <c r="I927" s="256" t="s">
        <v>374</v>
      </c>
      <c r="J927" s="243" t="s">
        <v>72</v>
      </c>
      <c r="K927" s="258">
        <v>22</v>
      </c>
      <c r="L927" s="241">
        <v>110</v>
      </c>
      <c r="M927" s="259"/>
      <c r="N927" s="260"/>
      <c r="O927" s="277"/>
      <c r="P927" s="278"/>
      <c r="Q927" s="279"/>
      <c r="R927" s="309">
        <v>8</v>
      </c>
      <c r="S927" s="310">
        <v>45385</v>
      </c>
      <c r="T927" s="313"/>
      <c r="U927" s="279"/>
      <c r="V927" s="227">
        <v>15</v>
      </c>
      <c r="W927" s="281"/>
      <c r="X927" s="282">
        <v>15</v>
      </c>
      <c r="Y927" s="293">
        <f t="shared" si="48"/>
        <v>15</v>
      </c>
      <c r="Z927" s="161" t="s">
        <v>73</v>
      </c>
      <c r="AA927" s="342">
        <f>IFERROR(BASE_DATOS[[#This Row],[NSK Original]]-BASE_DATOS[[#This Row],[NSK]]," ")</f>
        <v>7</v>
      </c>
      <c r="AB927" s="343">
        <f>'NSK-TRACTO'!$A$2</f>
        <v>6</v>
      </c>
      <c r="AC927" s="343">
        <f>IF(BASE_DATOS[[#This Row],[NSK]]&gt;=BASE_DATOS[[#This Row],[NSK Reen]],BASE_DATOS[[#This Row],[NSK Reen]],BASE_DATOS[[#This Row],[NSK]])</f>
        <v>6</v>
      </c>
      <c r="AD927" s="344">
        <f>IFERROR(100%-(BASE_DATOS[[#This Row],[NSK Reen]]/BASE_DATOS[[#This Row],[NSK Original]]),"")</f>
        <v>0.72727272727272729</v>
      </c>
      <c r="AE927" s="344">
        <f>IFERROR(100%-BASE_DATOS[[#This Row],[NSK]]/BASE_DATOS[[#This Row],[NSK Original]],"")</f>
        <v>0.31818181818181823</v>
      </c>
      <c r="AF927" s="344">
        <f>IFERROR(BASE_DATOS[[#This Row],[% Max Des.]]-BASE_DATOS[[#This Row],[% Des]],"")</f>
        <v>0.40909090909090906</v>
      </c>
      <c r="AG927" s="287"/>
      <c r="AH927" s="273"/>
      <c r="AI927" s="363" t="str">
        <f>IF(OR(BASE_DATOS[[#This Row],[Hr.]]="",BASE_DATOS[[#This Row],[Hr. Actual]]=""),"",BASE_DATOS[[#This Row],[Hr. Actual]]-BASE_DATOS[[#This Row],[Hr.]]+BASE_DATOS[[#This Row],[Horas Acumuladas]])</f>
        <v/>
      </c>
      <c r="AJ927" s="364" t="str">
        <f>IFERROR(BASE_DATOS[[#This Row],[Precio US$]]/BASE_DATOS[[#This Row],[Horas Rodadas]],"")</f>
        <v/>
      </c>
      <c r="AK927" s="365" t="str">
        <f>IFERROR(BASE_DATOS[[#This Row],[Horas Rodadas]]/(BASE_DATOS[[#This Row],[NSK Original]]-BASE_DATOS[[#This Row],[NSK]]),"")</f>
        <v/>
      </c>
      <c r="AL92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27" s="366" t="str">
        <f>IFERROR(BASE_DATOS[[#This Row],[Precio US$]]/BASE_DATOS[[#This Row],[Horas Proy.]],"")</f>
        <v/>
      </c>
      <c r="AN927" s="176" t="str">
        <f>IF(OR(BASE_DATOS[[#This Row],[Km.]]="",BASE_DATOS[[#This Row],[Km. Actual]]=""),"",BASE_DATOS[[#This Row],[Km. Actual]]-BASE_DATOS[[#This Row],[Km.]]+BASE_DATOS[[#This Row],[Kilómetros Acumulados]])</f>
        <v/>
      </c>
      <c r="AO927" s="177" t="str">
        <f>IFERROR(BASE_DATOS[[#This Row],[Precio US$]]/BASE_DATOS[[#This Row],[Kilómetros Rodados]],"")</f>
        <v/>
      </c>
      <c r="AP927" s="176" t="str">
        <f>IFERROR(BASE_DATOS[[#This Row],[Kilómetros Rodados]]/(BASE_DATOS[[#This Row],[NSK Original]]-BASE_DATOS[[#This Row],[NSK]]),"")</f>
        <v/>
      </c>
      <c r="AQ92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27" s="177" t="str">
        <f>IFERROR(BASE_DATOS[[#This Row],[Precio US$]]/BASE_DATOS[[#This Row],[Kilómetros Proy.]],"")</f>
        <v/>
      </c>
      <c r="AS927" s="170" t="s">
        <v>62</v>
      </c>
      <c r="AT927" s="170"/>
      <c r="AU927" s="170" t="s">
        <v>515</v>
      </c>
      <c r="AV927" s="170"/>
      <c r="AW927" s="179"/>
      <c r="AX927" s="169" t="s">
        <v>381</v>
      </c>
      <c r="AY927" s="169" t="str">
        <f>CONCATENATE(BASE_DATOS[[#This Row],[Código_U]]&amp;BASE_DATOS[[#This Row],[Pos.]]&amp;BASE_DATOS[[#This Row],[Situación Actual]])</f>
        <v>TC-2688Rodando</v>
      </c>
    </row>
    <row r="928" spans="1:51" ht="12" x14ac:dyDescent="0.25">
      <c r="A928" s="223" t="s">
        <v>410</v>
      </c>
      <c r="B928" s="217" t="s">
        <v>372</v>
      </c>
      <c r="C928" s="228" t="s">
        <v>296</v>
      </c>
      <c r="D928" s="229" t="s">
        <v>61</v>
      </c>
      <c r="E928" s="255"/>
      <c r="F928" s="256" t="s">
        <v>273</v>
      </c>
      <c r="G928" s="256" t="s">
        <v>271</v>
      </c>
      <c r="H928" s="257" t="str">
        <f>IF(BASE_DATOS[[#This Row],[N-R]]="N",BASE_DATOS[[#This Row],[Diseño]],"Reencauche")</f>
        <v>XWORKSD</v>
      </c>
      <c r="I928" s="256" t="s">
        <v>374</v>
      </c>
      <c r="J928" s="243" t="s">
        <v>72</v>
      </c>
      <c r="K928" s="258">
        <v>22</v>
      </c>
      <c r="L928" s="241">
        <v>110</v>
      </c>
      <c r="M928" s="259"/>
      <c r="N928" s="260"/>
      <c r="O928" s="277"/>
      <c r="P928" s="278"/>
      <c r="Q928" s="279"/>
      <c r="R928" s="309">
        <v>9</v>
      </c>
      <c r="S928" s="310">
        <v>45385</v>
      </c>
      <c r="T928" s="313"/>
      <c r="U928" s="279"/>
      <c r="V928" s="227">
        <v>15</v>
      </c>
      <c r="W928" s="281"/>
      <c r="X928" s="282">
        <v>15</v>
      </c>
      <c r="Y928" s="293">
        <f t="shared" si="48"/>
        <v>15</v>
      </c>
      <c r="Z928" s="161" t="s">
        <v>73</v>
      </c>
      <c r="AA928" s="342">
        <f>IFERROR(BASE_DATOS[[#This Row],[NSK Original]]-BASE_DATOS[[#This Row],[NSK]]," ")</f>
        <v>7</v>
      </c>
      <c r="AB928" s="343">
        <f>'NSK-TRACTO'!$A$2</f>
        <v>6</v>
      </c>
      <c r="AC928" s="343">
        <f>IF(BASE_DATOS[[#This Row],[NSK]]&gt;=BASE_DATOS[[#This Row],[NSK Reen]],BASE_DATOS[[#This Row],[NSK Reen]],BASE_DATOS[[#This Row],[NSK]])</f>
        <v>6</v>
      </c>
      <c r="AD928" s="344">
        <f>IFERROR(100%-(BASE_DATOS[[#This Row],[NSK Reen]]/BASE_DATOS[[#This Row],[NSK Original]]),"")</f>
        <v>0.72727272727272729</v>
      </c>
      <c r="AE928" s="344">
        <f>IFERROR(100%-BASE_DATOS[[#This Row],[NSK]]/BASE_DATOS[[#This Row],[NSK Original]],"")</f>
        <v>0.31818181818181823</v>
      </c>
      <c r="AF928" s="344">
        <f>IFERROR(BASE_DATOS[[#This Row],[% Max Des.]]-BASE_DATOS[[#This Row],[% Des]],"")</f>
        <v>0.40909090909090906</v>
      </c>
      <c r="AG928" s="287"/>
      <c r="AH928" s="273"/>
      <c r="AI928" s="363" t="str">
        <f>IF(OR(BASE_DATOS[[#This Row],[Hr.]]="",BASE_DATOS[[#This Row],[Hr. Actual]]=""),"",BASE_DATOS[[#This Row],[Hr. Actual]]-BASE_DATOS[[#This Row],[Hr.]]+BASE_DATOS[[#This Row],[Horas Acumuladas]])</f>
        <v/>
      </c>
      <c r="AJ928" s="364" t="str">
        <f>IFERROR(BASE_DATOS[[#This Row],[Precio US$]]/BASE_DATOS[[#This Row],[Horas Rodadas]],"")</f>
        <v/>
      </c>
      <c r="AK928" s="365" t="str">
        <f>IFERROR(BASE_DATOS[[#This Row],[Horas Rodadas]]/(BASE_DATOS[[#This Row],[NSK Original]]-BASE_DATOS[[#This Row],[NSK]]),"")</f>
        <v/>
      </c>
      <c r="AL92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28" s="366" t="str">
        <f>IFERROR(BASE_DATOS[[#This Row],[Precio US$]]/BASE_DATOS[[#This Row],[Horas Proy.]],"")</f>
        <v/>
      </c>
      <c r="AN928" s="176" t="str">
        <f>IF(OR(BASE_DATOS[[#This Row],[Km.]]="",BASE_DATOS[[#This Row],[Km. Actual]]=""),"",BASE_DATOS[[#This Row],[Km. Actual]]-BASE_DATOS[[#This Row],[Km.]]+BASE_DATOS[[#This Row],[Kilómetros Acumulados]])</f>
        <v/>
      </c>
      <c r="AO928" s="177" t="str">
        <f>IFERROR(BASE_DATOS[[#This Row],[Precio US$]]/BASE_DATOS[[#This Row],[Kilómetros Rodados]],"")</f>
        <v/>
      </c>
      <c r="AP928" s="176" t="str">
        <f>IFERROR(BASE_DATOS[[#This Row],[Kilómetros Rodados]]/(BASE_DATOS[[#This Row],[NSK Original]]-BASE_DATOS[[#This Row],[NSK]]),"")</f>
        <v/>
      </c>
      <c r="AQ92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28" s="177" t="str">
        <f>IFERROR(BASE_DATOS[[#This Row],[Precio US$]]/BASE_DATOS[[#This Row],[Kilómetros Proy.]],"")</f>
        <v/>
      </c>
      <c r="AS928" s="170" t="s">
        <v>62</v>
      </c>
      <c r="AT928" s="170"/>
      <c r="AU928" s="170" t="s">
        <v>515</v>
      </c>
      <c r="AV928" s="170"/>
      <c r="AW928" s="179"/>
      <c r="AX928" s="169" t="s">
        <v>381</v>
      </c>
      <c r="AY928" s="169" t="str">
        <f>CONCATENATE(BASE_DATOS[[#This Row],[Código_U]]&amp;BASE_DATOS[[#This Row],[Pos.]]&amp;BASE_DATOS[[#This Row],[Situación Actual]])</f>
        <v>TC-2689Rodando</v>
      </c>
    </row>
    <row r="929" spans="1:51" ht="12" x14ac:dyDescent="0.25">
      <c r="A929" s="223" t="s">
        <v>410</v>
      </c>
      <c r="B929" s="217" t="s">
        <v>372</v>
      </c>
      <c r="C929" s="228" t="s">
        <v>296</v>
      </c>
      <c r="D929" s="229" t="s">
        <v>61</v>
      </c>
      <c r="E929" s="255"/>
      <c r="F929" s="256" t="s">
        <v>273</v>
      </c>
      <c r="G929" s="256" t="s">
        <v>271</v>
      </c>
      <c r="H929" s="257" t="str">
        <f>IF(BASE_DATOS[[#This Row],[N-R]]="N",BASE_DATOS[[#This Row],[Diseño]],"Reencauche")</f>
        <v>XWORKSD</v>
      </c>
      <c r="I929" s="256" t="s">
        <v>374</v>
      </c>
      <c r="J929" s="243" t="s">
        <v>72</v>
      </c>
      <c r="K929" s="258">
        <v>22</v>
      </c>
      <c r="L929" s="241">
        <v>110</v>
      </c>
      <c r="M929" s="259"/>
      <c r="N929" s="260"/>
      <c r="O929" s="277"/>
      <c r="P929" s="278"/>
      <c r="Q929" s="279"/>
      <c r="R929" s="309">
        <v>10</v>
      </c>
      <c r="S929" s="310">
        <v>45385</v>
      </c>
      <c r="T929" s="313"/>
      <c r="U929" s="279"/>
      <c r="V929" s="227">
        <v>15</v>
      </c>
      <c r="W929" s="281"/>
      <c r="X929" s="282">
        <v>15</v>
      </c>
      <c r="Y929" s="293">
        <f t="shared" si="48"/>
        <v>15</v>
      </c>
      <c r="Z929" s="161" t="s">
        <v>73</v>
      </c>
      <c r="AA929" s="342">
        <f>IFERROR(BASE_DATOS[[#This Row],[NSK Original]]-BASE_DATOS[[#This Row],[NSK]]," ")</f>
        <v>7</v>
      </c>
      <c r="AB929" s="343">
        <f>'NSK-TRACTO'!$A$2</f>
        <v>6</v>
      </c>
      <c r="AC929" s="343">
        <f>IF(BASE_DATOS[[#This Row],[NSK]]&gt;=BASE_DATOS[[#This Row],[NSK Reen]],BASE_DATOS[[#This Row],[NSK Reen]],BASE_DATOS[[#This Row],[NSK]])</f>
        <v>6</v>
      </c>
      <c r="AD929" s="344">
        <f>IFERROR(100%-(BASE_DATOS[[#This Row],[NSK Reen]]/BASE_DATOS[[#This Row],[NSK Original]]),"")</f>
        <v>0.72727272727272729</v>
      </c>
      <c r="AE929" s="344">
        <f>IFERROR(100%-BASE_DATOS[[#This Row],[NSK]]/BASE_DATOS[[#This Row],[NSK Original]],"")</f>
        <v>0.31818181818181823</v>
      </c>
      <c r="AF929" s="344">
        <f>IFERROR(BASE_DATOS[[#This Row],[% Max Des.]]-BASE_DATOS[[#This Row],[% Des]],"")</f>
        <v>0.40909090909090906</v>
      </c>
      <c r="AG929" s="287"/>
      <c r="AH929" s="273"/>
      <c r="AI929" s="363" t="str">
        <f>IF(OR(BASE_DATOS[[#This Row],[Hr.]]="",BASE_DATOS[[#This Row],[Hr. Actual]]=""),"",BASE_DATOS[[#This Row],[Hr. Actual]]-BASE_DATOS[[#This Row],[Hr.]]+BASE_DATOS[[#This Row],[Horas Acumuladas]])</f>
        <v/>
      </c>
      <c r="AJ929" s="364" t="str">
        <f>IFERROR(BASE_DATOS[[#This Row],[Precio US$]]/BASE_DATOS[[#This Row],[Horas Rodadas]],"")</f>
        <v/>
      </c>
      <c r="AK929" s="365" t="str">
        <f>IFERROR(BASE_DATOS[[#This Row],[Horas Rodadas]]/(BASE_DATOS[[#This Row],[NSK Original]]-BASE_DATOS[[#This Row],[NSK]]),"")</f>
        <v/>
      </c>
      <c r="AL92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29" s="366" t="str">
        <f>IFERROR(BASE_DATOS[[#This Row],[Precio US$]]/BASE_DATOS[[#This Row],[Horas Proy.]],"")</f>
        <v/>
      </c>
      <c r="AN929" s="171" t="str">
        <f>IF(OR(BASE_DATOS[[#This Row],[Km.]]="",BASE_DATOS[[#This Row],[Km. Actual]]=""),"",BASE_DATOS[[#This Row],[Km. Actual]]-BASE_DATOS[[#This Row],[Km.]]+BASE_DATOS[[#This Row],[Kilómetros Acumulados]])</f>
        <v/>
      </c>
      <c r="AO929" s="172" t="str">
        <f>IFERROR(BASE_DATOS[[#This Row],[Precio US$]]/BASE_DATOS[[#This Row],[Kilómetros Rodados]],"")</f>
        <v/>
      </c>
      <c r="AP929" s="171" t="str">
        <f>IFERROR(BASE_DATOS[[#This Row],[Kilómetros Rodados]]/(BASE_DATOS[[#This Row],[NSK Original]]-BASE_DATOS[[#This Row],[NSK]]),"")</f>
        <v/>
      </c>
      <c r="AQ929" s="17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29" s="172" t="str">
        <f>IFERROR(BASE_DATOS[[#This Row],[Precio US$]]/BASE_DATOS[[#This Row],[Kilómetros Proy.]],"")</f>
        <v/>
      </c>
      <c r="AS929" s="170" t="s">
        <v>62</v>
      </c>
      <c r="AT929" s="170"/>
      <c r="AU929" s="170" t="s">
        <v>515</v>
      </c>
      <c r="AV929" s="170"/>
      <c r="AW929" s="174"/>
      <c r="AX929" s="169" t="s">
        <v>381</v>
      </c>
      <c r="AY929" s="169" t="str">
        <f>CONCATENATE(BASE_DATOS[[#This Row],[Código_U]]&amp;BASE_DATOS[[#This Row],[Pos.]]&amp;BASE_DATOS[[#This Row],[Situación Actual]])</f>
        <v>TC-26810Rodando</v>
      </c>
    </row>
    <row r="930" spans="1:51" ht="12" x14ac:dyDescent="0.25">
      <c r="A930" s="222" t="s">
        <v>411</v>
      </c>
      <c r="B930" s="213" t="s">
        <v>412</v>
      </c>
      <c r="C930" s="225" t="s">
        <v>296</v>
      </c>
      <c r="D930" s="226" t="s">
        <v>86</v>
      </c>
      <c r="E930" s="249"/>
      <c r="F930" s="250" t="s">
        <v>273</v>
      </c>
      <c r="G930" s="250" t="s">
        <v>271</v>
      </c>
      <c r="H930" s="251" t="str">
        <f>IF(BASE_DATOS[[#This Row],[N-R]]="N",BASE_DATOS[[#This Row],[Diseño]],"Reencauche")</f>
        <v>XWORKSZ</v>
      </c>
      <c r="I930" s="250" t="s">
        <v>373</v>
      </c>
      <c r="J930" s="235" t="s">
        <v>72</v>
      </c>
      <c r="K930" s="252">
        <v>18</v>
      </c>
      <c r="L930" s="233">
        <v>100</v>
      </c>
      <c r="M930" s="253"/>
      <c r="N930" s="254"/>
      <c r="O930" s="274"/>
      <c r="P930" s="275"/>
      <c r="Q930" s="276"/>
      <c r="R930" s="305">
        <v>1</v>
      </c>
      <c r="S930" s="306">
        <v>45385</v>
      </c>
      <c r="T930" s="314"/>
      <c r="U930" s="276"/>
      <c r="V930" s="224">
        <v>14</v>
      </c>
      <c r="W930" s="325">
        <v>16</v>
      </c>
      <c r="X930" s="326">
        <v>15</v>
      </c>
      <c r="Y930" s="292">
        <f t="shared" ref="Y930:Y939" si="49">IFERROR(MIN(V930:X930),"")</f>
        <v>14</v>
      </c>
      <c r="Z930" s="185" t="s">
        <v>73</v>
      </c>
      <c r="AA930" s="339">
        <f>IFERROR(BASE_DATOS[[#This Row],[NSK Original]]-BASE_DATOS[[#This Row],[NSK]]," ")</f>
        <v>4</v>
      </c>
      <c r="AB930" s="340">
        <f>'NSK-TRACTO'!$A$2</f>
        <v>6</v>
      </c>
      <c r="AC930" s="340">
        <f>IF(BASE_DATOS[[#This Row],[NSK]]&gt;=BASE_DATOS[[#This Row],[NSK Reen]],BASE_DATOS[[#This Row],[NSK Reen]],BASE_DATOS[[#This Row],[NSK]])</f>
        <v>6</v>
      </c>
      <c r="AD930" s="341">
        <f>IFERROR(100%-(BASE_DATOS[[#This Row],[NSK Reen]]/BASE_DATOS[[#This Row],[NSK Original]]),"")</f>
        <v>0.66666666666666674</v>
      </c>
      <c r="AE930" s="341">
        <f>IFERROR(100%-BASE_DATOS[[#This Row],[NSK]]/BASE_DATOS[[#This Row],[NSK Original]],"")</f>
        <v>0.22222222222222221</v>
      </c>
      <c r="AF930" s="341">
        <f>IFERROR(BASE_DATOS[[#This Row],[% Max Des.]]-BASE_DATOS[[#This Row],[% Des]],"")</f>
        <v>0.44444444444444453</v>
      </c>
      <c r="AG930" s="284"/>
      <c r="AH930" s="335"/>
      <c r="AI930" s="359" t="str">
        <f>IF(OR(BASE_DATOS[[#This Row],[Hr.]]="",BASE_DATOS[[#This Row],[Hr. Actual]]=""),"",BASE_DATOS[[#This Row],[Hr. Actual]]-BASE_DATOS[[#This Row],[Hr.]]+BASE_DATOS[[#This Row],[Horas Acumuladas]])</f>
        <v/>
      </c>
      <c r="AJ930" s="360" t="str">
        <f>IFERROR(BASE_DATOS[[#This Row],[Precio US$]]/BASE_DATOS[[#This Row],[Horas Rodadas]],"")</f>
        <v/>
      </c>
      <c r="AK930" s="361" t="str">
        <f>IFERROR(BASE_DATOS[[#This Row],[Horas Rodadas]]/(BASE_DATOS[[#This Row],[NSK Original]]-BASE_DATOS[[#This Row],[NSK]]),"")</f>
        <v/>
      </c>
      <c r="AL930" s="361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30" s="362" t="str">
        <f>IFERROR(BASE_DATOS[[#This Row],[Precio US$]]/BASE_DATOS[[#This Row],[Horas Proy.]],"")</f>
        <v/>
      </c>
      <c r="AN930" s="199" t="str">
        <f>IF(OR(BASE_DATOS[[#This Row],[Km.]]="",BASE_DATOS[[#This Row],[Km. Actual]]=""),"",BASE_DATOS[[#This Row],[Km. Actual]]-BASE_DATOS[[#This Row],[Km.]]+BASE_DATOS[[#This Row],[Kilómetros Acumulados]])</f>
        <v/>
      </c>
      <c r="AO930" s="200" t="str">
        <f>IFERROR(BASE_DATOS[[#This Row],[Precio US$]]/BASE_DATOS[[#This Row],[Kilómetros Rodados]],"")</f>
        <v/>
      </c>
      <c r="AP930" s="199" t="str">
        <f>IFERROR(BASE_DATOS[[#This Row],[Kilómetros Rodados]]/(BASE_DATOS[[#This Row],[NSK Original]]-BASE_DATOS[[#This Row],[NSK]]),"")</f>
        <v/>
      </c>
      <c r="AQ930" s="199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30" s="200" t="str">
        <f>IFERROR(BASE_DATOS[[#This Row],[Precio US$]]/BASE_DATOS[[#This Row],[Kilómetros Proy.]],"")</f>
        <v/>
      </c>
      <c r="AS930" s="201" t="s">
        <v>62</v>
      </c>
      <c r="AT930" s="201"/>
      <c r="AU930" s="201" t="s">
        <v>515</v>
      </c>
      <c r="AV930" s="201"/>
      <c r="AW930" s="203"/>
      <c r="AX930" s="204" t="s">
        <v>371</v>
      </c>
      <c r="AY930" s="204" t="str">
        <f>CONCATENATE(BASE_DATOS[[#This Row],[Código_U]]&amp;BASE_DATOS[[#This Row],[Pos.]]&amp;BASE_DATOS[[#This Row],[Situación Actual]])</f>
        <v>TC-2721Rodando</v>
      </c>
    </row>
    <row r="931" spans="1:51" ht="12" x14ac:dyDescent="0.25">
      <c r="A931" s="223" t="s">
        <v>411</v>
      </c>
      <c r="B931" s="217" t="s">
        <v>412</v>
      </c>
      <c r="C931" s="228" t="s">
        <v>296</v>
      </c>
      <c r="D931" s="229" t="s">
        <v>86</v>
      </c>
      <c r="E931" s="255"/>
      <c r="F931" s="256" t="s">
        <v>273</v>
      </c>
      <c r="G931" s="256" t="s">
        <v>271</v>
      </c>
      <c r="H931" s="257" t="str">
        <f>IF(BASE_DATOS[[#This Row],[N-R]]="N",BASE_DATOS[[#This Row],[Diseño]],"Reencauche")</f>
        <v>XWORKSZ</v>
      </c>
      <c r="I931" s="256" t="s">
        <v>373</v>
      </c>
      <c r="J931" s="243" t="s">
        <v>72</v>
      </c>
      <c r="K931" s="258">
        <v>18</v>
      </c>
      <c r="L931" s="241">
        <v>100</v>
      </c>
      <c r="M931" s="259"/>
      <c r="N931" s="260"/>
      <c r="O931" s="277"/>
      <c r="P931" s="278"/>
      <c r="Q931" s="279"/>
      <c r="R931" s="309">
        <v>2</v>
      </c>
      <c r="S931" s="310">
        <v>45385</v>
      </c>
      <c r="T931" s="313"/>
      <c r="U931" s="279"/>
      <c r="V931" s="227">
        <v>15</v>
      </c>
      <c r="W931" s="281">
        <v>16</v>
      </c>
      <c r="X931" s="282">
        <v>15</v>
      </c>
      <c r="Y931" s="293">
        <f t="shared" si="49"/>
        <v>15</v>
      </c>
      <c r="Z931" s="161" t="s">
        <v>73</v>
      </c>
      <c r="AA931" s="342">
        <f>IFERROR(BASE_DATOS[[#This Row],[NSK Original]]-BASE_DATOS[[#This Row],[NSK]]," ")</f>
        <v>3</v>
      </c>
      <c r="AB931" s="343">
        <f>'NSK-TRACTO'!$A$2</f>
        <v>6</v>
      </c>
      <c r="AC931" s="343">
        <f>IF(BASE_DATOS[[#This Row],[NSK]]&gt;=BASE_DATOS[[#This Row],[NSK Reen]],BASE_DATOS[[#This Row],[NSK Reen]],BASE_DATOS[[#This Row],[NSK]])</f>
        <v>6</v>
      </c>
      <c r="AD931" s="344">
        <f>IFERROR(100%-(BASE_DATOS[[#This Row],[NSK Reen]]/BASE_DATOS[[#This Row],[NSK Original]]),"")</f>
        <v>0.66666666666666674</v>
      </c>
      <c r="AE931" s="344">
        <f>IFERROR(100%-BASE_DATOS[[#This Row],[NSK]]/BASE_DATOS[[#This Row],[NSK Original]],"")</f>
        <v>0.16666666666666663</v>
      </c>
      <c r="AF931" s="344">
        <f>IFERROR(BASE_DATOS[[#This Row],[% Max Des.]]-BASE_DATOS[[#This Row],[% Des]],"")</f>
        <v>0.50000000000000011</v>
      </c>
      <c r="AG931" s="287"/>
      <c r="AH931" s="273"/>
      <c r="AI931" s="363" t="str">
        <f>IF(OR(BASE_DATOS[[#This Row],[Hr.]]="",BASE_DATOS[[#This Row],[Hr. Actual]]=""),"",BASE_DATOS[[#This Row],[Hr. Actual]]-BASE_DATOS[[#This Row],[Hr.]]+BASE_DATOS[[#This Row],[Horas Acumuladas]])</f>
        <v/>
      </c>
      <c r="AJ931" s="364" t="str">
        <f>IFERROR(BASE_DATOS[[#This Row],[Precio US$]]/BASE_DATOS[[#This Row],[Horas Rodadas]],"")</f>
        <v/>
      </c>
      <c r="AK931" s="365" t="str">
        <f>IFERROR(BASE_DATOS[[#This Row],[Horas Rodadas]]/(BASE_DATOS[[#This Row],[NSK Original]]-BASE_DATOS[[#This Row],[NSK]]),"")</f>
        <v/>
      </c>
      <c r="AL931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31" s="366" t="str">
        <f>IFERROR(BASE_DATOS[[#This Row],[Precio US$]]/BASE_DATOS[[#This Row],[Horas Proy.]],"")</f>
        <v/>
      </c>
      <c r="AN931" s="176" t="str">
        <f>IF(OR(BASE_DATOS[[#This Row],[Km.]]="",BASE_DATOS[[#This Row],[Km. Actual]]=""),"",BASE_DATOS[[#This Row],[Km. Actual]]-BASE_DATOS[[#This Row],[Km.]]+BASE_DATOS[[#This Row],[Kilómetros Acumulados]])</f>
        <v/>
      </c>
      <c r="AO931" s="177" t="str">
        <f>IFERROR(BASE_DATOS[[#This Row],[Precio US$]]/BASE_DATOS[[#This Row],[Kilómetros Rodados]],"")</f>
        <v/>
      </c>
      <c r="AP931" s="176" t="str">
        <f>IFERROR(BASE_DATOS[[#This Row],[Kilómetros Rodados]]/(BASE_DATOS[[#This Row],[NSK Original]]-BASE_DATOS[[#This Row],[NSK]]),"")</f>
        <v/>
      </c>
      <c r="AQ931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31" s="177" t="str">
        <f>IFERROR(BASE_DATOS[[#This Row],[Precio US$]]/BASE_DATOS[[#This Row],[Kilómetros Proy.]],"")</f>
        <v/>
      </c>
      <c r="AS931" s="170" t="s">
        <v>62</v>
      </c>
      <c r="AT931" s="170"/>
      <c r="AU931" s="170" t="s">
        <v>515</v>
      </c>
      <c r="AV931" s="170"/>
      <c r="AW931" s="179"/>
      <c r="AX931" s="169" t="s">
        <v>371</v>
      </c>
      <c r="AY931" s="169" t="str">
        <f>CONCATENATE(BASE_DATOS[[#This Row],[Código_U]]&amp;BASE_DATOS[[#This Row],[Pos.]]&amp;BASE_DATOS[[#This Row],[Situación Actual]])</f>
        <v>TC-2722Rodando</v>
      </c>
    </row>
    <row r="932" spans="1:51" ht="12" x14ac:dyDescent="0.25">
      <c r="A932" s="223" t="s">
        <v>411</v>
      </c>
      <c r="B932" s="217" t="s">
        <v>412</v>
      </c>
      <c r="C932" s="228" t="s">
        <v>296</v>
      </c>
      <c r="D932" s="229" t="s">
        <v>61</v>
      </c>
      <c r="E932" s="255"/>
      <c r="F932" s="256" t="s">
        <v>273</v>
      </c>
      <c r="G932" s="256" t="s">
        <v>271</v>
      </c>
      <c r="H932" s="257" t="str">
        <f>IF(BASE_DATOS[[#This Row],[N-R]]="N",BASE_DATOS[[#This Row],[Diseño]],"Reencauche")</f>
        <v>XWORKSD</v>
      </c>
      <c r="I932" s="256" t="s">
        <v>374</v>
      </c>
      <c r="J932" s="243" t="s">
        <v>72</v>
      </c>
      <c r="K932" s="258">
        <v>22</v>
      </c>
      <c r="L932" s="241">
        <v>110</v>
      </c>
      <c r="M932" s="259"/>
      <c r="N932" s="260"/>
      <c r="O932" s="277"/>
      <c r="P932" s="278"/>
      <c r="Q932" s="279"/>
      <c r="R932" s="309">
        <v>3</v>
      </c>
      <c r="S932" s="310">
        <v>45385</v>
      </c>
      <c r="T932" s="313"/>
      <c r="U932" s="279"/>
      <c r="V932" s="227">
        <v>15</v>
      </c>
      <c r="W932" s="281"/>
      <c r="X932" s="282">
        <v>16</v>
      </c>
      <c r="Y932" s="293">
        <f t="shared" si="49"/>
        <v>15</v>
      </c>
      <c r="Z932" s="161" t="s">
        <v>73</v>
      </c>
      <c r="AA932" s="342">
        <f>IFERROR(BASE_DATOS[[#This Row],[NSK Original]]-BASE_DATOS[[#This Row],[NSK]]," ")</f>
        <v>7</v>
      </c>
      <c r="AB932" s="343">
        <f>'NSK-TRACTO'!$A$2</f>
        <v>6</v>
      </c>
      <c r="AC932" s="343">
        <f>IF(BASE_DATOS[[#This Row],[NSK]]&gt;=BASE_DATOS[[#This Row],[NSK Reen]],BASE_DATOS[[#This Row],[NSK Reen]],BASE_DATOS[[#This Row],[NSK]])</f>
        <v>6</v>
      </c>
      <c r="AD932" s="344">
        <f>IFERROR(100%-(BASE_DATOS[[#This Row],[NSK Reen]]/BASE_DATOS[[#This Row],[NSK Original]]),"")</f>
        <v>0.72727272727272729</v>
      </c>
      <c r="AE932" s="344">
        <f>IFERROR(100%-BASE_DATOS[[#This Row],[NSK]]/BASE_DATOS[[#This Row],[NSK Original]],"")</f>
        <v>0.31818181818181823</v>
      </c>
      <c r="AF932" s="344">
        <f>IFERROR(BASE_DATOS[[#This Row],[% Max Des.]]-BASE_DATOS[[#This Row],[% Des]],"")</f>
        <v>0.40909090909090906</v>
      </c>
      <c r="AG932" s="287"/>
      <c r="AH932" s="273"/>
      <c r="AI932" s="363" t="str">
        <f>IF(OR(BASE_DATOS[[#This Row],[Hr.]]="",BASE_DATOS[[#This Row],[Hr. Actual]]=""),"",BASE_DATOS[[#This Row],[Hr. Actual]]-BASE_DATOS[[#This Row],[Hr.]]+BASE_DATOS[[#This Row],[Horas Acumuladas]])</f>
        <v/>
      </c>
      <c r="AJ932" s="364" t="str">
        <f>IFERROR(BASE_DATOS[[#This Row],[Precio US$]]/BASE_DATOS[[#This Row],[Horas Rodadas]],"")</f>
        <v/>
      </c>
      <c r="AK932" s="365" t="str">
        <f>IFERROR(BASE_DATOS[[#This Row],[Horas Rodadas]]/(BASE_DATOS[[#This Row],[NSK Original]]-BASE_DATOS[[#This Row],[NSK]]),"")</f>
        <v/>
      </c>
      <c r="AL932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32" s="366" t="str">
        <f>IFERROR(BASE_DATOS[[#This Row],[Precio US$]]/BASE_DATOS[[#This Row],[Horas Proy.]],"")</f>
        <v/>
      </c>
      <c r="AN932" s="176" t="str">
        <f>IF(OR(BASE_DATOS[[#This Row],[Km.]]="",BASE_DATOS[[#This Row],[Km. Actual]]=""),"",BASE_DATOS[[#This Row],[Km. Actual]]-BASE_DATOS[[#This Row],[Km.]]+BASE_DATOS[[#This Row],[Kilómetros Acumulados]])</f>
        <v/>
      </c>
      <c r="AO932" s="177" t="str">
        <f>IFERROR(BASE_DATOS[[#This Row],[Precio US$]]/BASE_DATOS[[#This Row],[Kilómetros Rodados]],"")</f>
        <v/>
      </c>
      <c r="AP932" s="176" t="str">
        <f>IFERROR(BASE_DATOS[[#This Row],[Kilómetros Rodados]]/(BASE_DATOS[[#This Row],[NSK Original]]-BASE_DATOS[[#This Row],[NSK]]),"")</f>
        <v/>
      </c>
      <c r="AQ932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32" s="177" t="str">
        <f>IFERROR(BASE_DATOS[[#This Row],[Precio US$]]/BASE_DATOS[[#This Row],[Kilómetros Proy.]],"")</f>
        <v/>
      </c>
      <c r="AS932" s="170" t="s">
        <v>62</v>
      </c>
      <c r="AT932" s="170"/>
      <c r="AU932" s="170"/>
      <c r="AV932" s="170"/>
      <c r="AW932" s="179"/>
      <c r="AX932" s="169"/>
      <c r="AY932" s="169" t="str">
        <f>CONCATENATE(BASE_DATOS[[#This Row],[Código_U]]&amp;BASE_DATOS[[#This Row],[Pos.]]&amp;BASE_DATOS[[#This Row],[Situación Actual]])</f>
        <v>TC-2723Rodando</v>
      </c>
    </row>
    <row r="933" spans="1:51" ht="12" x14ac:dyDescent="0.25">
      <c r="A933" s="223" t="s">
        <v>411</v>
      </c>
      <c r="B933" s="217" t="s">
        <v>412</v>
      </c>
      <c r="C933" s="228" t="s">
        <v>296</v>
      </c>
      <c r="D933" s="229" t="s">
        <v>61</v>
      </c>
      <c r="E933" s="255"/>
      <c r="F933" s="256" t="s">
        <v>273</v>
      </c>
      <c r="G933" s="256" t="s">
        <v>271</v>
      </c>
      <c r="H933" s="257" t="str">
        <f>IF(BASE_DATOS[[#This Row],[N-R]]="N",BASE_DATOS[[#This Row],[Diseño]],"Reencauche")</f>
        <v>XWORKSD</v>
      </c>
      <c r="I933" s="256" t="s">
        <v>374</v>
      </c>
      <c r="J933" s="243" t="s">
        <v>72</v>
      </c>
      <c r="K933" s="258">
        <v>22</v>
      </c>
      <c r="L933" s="241">
        <v>110</v>
      </c>
      <c r="M933" s="259"/>
      <c r="N933" s="260"/>
      <c r="O933" s="277"/>
      <c r="P933" s="278"/>
      <c r="Q933" s="279"/>
      <c r="R933" s="309">
        <v>4</v>
      </c>
      <c r="S933" s="310">
        <v>45385</v>
      </c>
      <c r="T933" s="313"/>
      <c r="U933" s="279"/>
      <c r="V933" s="227">
        <v>15</v>
      </c>
      <c r="W933" s="281"/>
      <c r="X933" s="282">
        <v>16</v>
      </c>
      <c r="Y933" s="293">
        <f t="shared" si="49"/>
        <v>15</v>
      </c>
      <c r="Z933" s="161" t="s">
        <v>73</v>
      </c>
      <c r="AA933" s="342">
        <f>IFERROR(BASE_DATOS[[#This Row],[NSK Original]]-BASE_DATOS[[#This Row],[NSK]]," ")</f>
        <v>7</v>
      </c>
      <c r="AB933" s="343">
        <f>'NSK-TRACTO'!$A$2</f>
        <v>6</v>
      </c>
      <c r="AC933" s="343">
        <f>IF(BASE_DATOS[[#This Row],[NSK]]&gt;=BASE_DATOS[[#This Row],[NSK Reen]],BASE_DATOS[[#This Row],[NSK Reen]],BASE_DATOS[[#This Row],[NSK]])</f>
        <v>6</v>
      </c>
      <c r="AD933" s="344">
        <f>IFERROR(100%-(BASE_DATOS[[#This Row],[NSK Reen]]/BASE_DATOS[[#This Row],[NSK Original]]),"")</f>
        <v>0.72727272727272729</v>
      </c>
      <c r="AE933" s="344">
        <f>IFERROR(100%-BASE_DATOS[[#This Row],[NSK]]/BASE_DATOS[[#This Row],[NSK Original]],"")</f>
        <v>0.31818181818181823</v>
      </c>
      <c r="AF933" s="344">
        <f>IFERROR(BASE_DATOS[[#This Row],[% Max Des.]]-BASE_DATOS[[#This Row],[% Des]],"")</f>
        <v>0.40909090909090906</v>
      </c>
      <c r="AG933" s="287"/>
      <c r="AH933" s="273"/>
      <c r="AI933" s="363" t="str">
        <f>IF(OR(BASE_DATOS[[#This Row],[Hr.]]="",BASE_DATOS[[#This Row],[Hr. Actual]]=""),"",BASE_DATOS[[#This Row],[Hr. Actual]]-BASE_DATOS[[#This Row],[Hr.]]+BASE_DATOS[[#This Row],[Horas Acumuladas]])</f>
        <v/>
      </c>
      <c r="AJ933" s="364" t="str">
        <f>IFERROR(BASE_DATOS[[#This Row],[Precio US$]]/BASE_DATOS[[#This Row],[Horas Rodadas]],"")</f>
        <v/>
      </c>
      <c r="AK933" s="365" t="str">
        <f>IFERROR(BASE_DATOS[[#This Row],[Horas Rodadas]]/(BASE_DATOS[[#This Row],[NSK Original]]-BASE_DATOS[[#This Row],[NSK]]),"")</f>
        <v/>
      </c>
      <c r="AL933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33" s="366" t="str">
        <f>IFERROR(BASE_DATOS[[#This Row],[Precio US$]]/BASE_DATOS[[#This Row],[Horas Proy.]],"")</f>
        <v/>
      </c>
      <c r="AN933" s="176" t="str">
        <f>IF(OR(BASE_DATOS[[#This Row],[Km.]]="",BASE_DATOS[[#This Row],[Km. Actual]]=""),"",BASE_DATOS[[#This Row],[Km. Actual]]-BASE_DATOS[[#This Row],[Km.]]+BASE_DATOS[[#This Row],[Kilómetros Acumulados]])</f>
        <v/>
      </c>
      <c r="AO933" s="177" t="str">
        <f>IFERROR(BASE_DATOS[[#This Row],[Precio US$]]/BASE_DATOS[[#This Row],[Kilómetros Rodados]],"")</f>
        <v/>
      </c>
      <c r="AP933" s="176" t="str">
        <f>IFERROR(BASE_DATOS[[#This Row],[Kilómetros Rodados]]/(BASE_DATOS[[#This Row],[NSK Original]]-BASE_DATOS[[#This Row],[NSK]]),"")</f>
        <v/>
      </c>
      <c r="AQ933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33" s="177" t="str">
        <f>IFERROR(BASE_DATOS[[#This Row],[Precio US$]]/BASE_DATOS[[#This Row],[Kilómetros Proy.]],"")</f>
        <v/>
      </c>
      <c r="AS933" s="170" t="s">
        <v>62</v>
      </c>
      <c r="AT933" s="170"/>
      <c r="AU933" s="170"/>
      <c r="AV933" s="170"/>
      <c r="AW933" s="179"/>
      <c r="AX933" s="169"/>
      <c r="AY933" s="169" t="str">
        <f>CONCATENATE(BASE_DATOS[[#This Row],[Código_U]]&amp;BASE_DATOS[[#This Row],[Pos.]]&amp;BASE_DATOS[[#This Row],[Situación Actual]])</f>
        <v>TC-2724Rodando</v>
      </c>
    </row>
    <row r="934" spans="1:51" ht="12" x14ac:dyDescent="0.25">
      <c r="A934" s="223" t="s">
        <v>411</v>
      </c>
      <c r="B934" s="217" t="s">
        <v>412</v>
      </c>
      <c r="C934" s="228" t="s">
        <v>296</v>
      </c>
      <c r="D934" s="229" t="s">
        <v>61</v>
      </c>
      <c r="E934" s="255"/>
      <c r="F934" s="256" t="s">
        <v>273</v>
      </c>
      <c r="G934" s="256" t="s">
        <v>271</v>
      </c>
      <c r="H934" s="257" t="str">
        <f>IF(BASE_DATOS[[#This Row],[N-R]]="N",BASE_DATOS[[#This Row],[Diseño]],"Reencauche")</f>
        <v>XWORKSD</v>
      </c>
      <c r="I934" s="256" t="s">
        <v>374</v>
      </c>
      <c r="J934" s="243" t="s">
        <v>72</v>
      </c>
      <c r="K934" s="258">
        <v>22</v>
      </c>
      <c r="L934" s="241">
        <v>110</v>
      </c>
      <c r="M934" s="259"/>
      <c r="N934" s="260"/>
      <c r="O934" s="277"/>
      <c r="P934" s="278"/>
      <c r="Q934" s="279"/>
      <c r="R934" s="309">
        <v>5</v>
      </c>
      <c r="S934" s="310">
        <v>45385</v>
      </c>
      <c r="T934" s="313"/>
      <c r="U934" s="279"/>
      <c r="V934" s="227">
        <v>15</v>
      </c>
      <c r="W934" s="281"/>
      <c r="X934" s="282">
        <v>16</v>
      </c>
      <c r="Y934" s="293">
        <f t="shared" si="49"/>
        <v>15</v>
      </c>
      <c r="Z934" s="161" t="s">
        <v>73</v>
      </c>
      <c r="AA934" s="342">
        <f>IFERROR(BASE_DATOS[[#This Row],[NSK Original]]-BASE_DATOS[[#This Row],[NSK]]," ")</f>
        <v>7</v>
      </c>
      <c r="AB934" s="343">
        <f>'NSK-TRACTO'!$A$2</f>
        <v>6</v>
      </c>
      <c r="AC934" s="343">
        <f>IF(BASE_DATOS[[#This Row],[NSK]]&gt;=BASE_DATOS[[#This Row],[NSK Reen]],BASE_DATOS[[#This Row],[NSK Reen]],BASE_DATOS[[#This Row],[NSK]])</f>
        <v>6</v>
      </c>
      <c r="AD934" s="344">
        <f>IFERROR(100%-(BASE_DATOS[[#This Row],[NSK Reen]]/BASE_DATOS[[#This Row],[NSK Original]]),"")</f>
        <v>0.72727272727272729</v>
      </c>
      <c r="AE934" s="344">
        <f>IFERROR(100%-BASE_DATOS[[#This Row],[NSK]]/BASE_DATOS[[#This Row],[NSK Original]],"")</f>
        <v>0.31818181818181823</v>
      </c>
      <c r="AF934" s="344">
        <f>IFERROR(BASE_DATOS[[#This Row],[% Max Des.]]-BASE_DATOS[[#This Row],[% Des]],"")</f>
        <v>0.40909090909090906</v>
      </c>
      <c r="AG934" s="287"/>
      <c r="AH934" s="273"/>
      <c r="AI934" s="363" t="str">
        <f>IF(OR(BASE_DATOS[[#This Row],[Hr.]]="",BASE_DATOS[[#This Row],[Hr. Actual]]=""),"",BASE_DATOS[[#This Row],[Hr. Actual]]-BASE_DATOS[[#This Row],[Hr.]]+BASE_DATOS[[#This Row],[Horas Acumuladas]])</f>
        <v/>
      </c>
      <c r="AJ934" s="364" t="str">
        <f>IFERROR(BASE_DATOS[[#This Row],[Precio US$]]/BASE_DATOS[[#This Row],[Horas Rodadas]],"")</f>
        <v/>
      </c>
      <c r="AK934" s="365" t="str">
        <f>IFERROR(BASE_DATOS[[#This Row],[Horas Rodadas]]/(BASE_DATOS[[#This Row],[NSK Original]]-BASE_DATOS[[#This Row],[NSK]]),"")</f>
        <v/>
      </c>
      <c r="AL934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34" s="366" t="str">
        <f>IFERROR(BASE_DATOS[[#This Row],[Precio US$]]/BASE_DATOS[[#This Row],[Horas Proy.]],"")</f>
        <v/>
      </c>
      <c r="AN934" s="176" t="str">
        <f>IF(OR(BASE_DATOS[[#This Row],[Km.]]="",BASE_DATOS[[#This Row],[Km. Actual]]=""),"",BASE_DATOS[[#This Row],[Km. Actual]]-BASE_DATOS[[#This Row],[Km.]]+BASE_DATOS[[#This Row],[Kilómetros Acumulados]])</f>
        <v/>
      </c>
      <c r="AO934" s="177" t="str">
        <f>IFERROR(BASE_DATOS[[#This Row],[Precio US$]]/BASE_DATOS[[#This Row],[Kilómetros Rodados]],"")</f>
        <v/>
      </c>
      <c r="AP934" s="176" t="str">
        <f>IFERROR(BASE_DATOS[[#This Row],[Kilómetros Rodados]]/(BASE_DATOS[[#This Row],[NSK Original]]-BASE_DATOS[[#This Row],[NSK]]),"")</f>
        <v/>
      </c>
      <c r="AQ934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34" s="177" t="str">
        <f>IFERROR(BASE_DATOS[[#This Row],[Precio US$]]/BASE_DATOS[[#This Row],[Kilómetros Proy.]],"")</f>
        <v/>
      </c>
      <c r="AS934" s="170" t="s">
        <v>62</v>
      </c>
      <c r="AT934" s="170"/>
      <c r="AU934" s="170"/>
      <c r="AV934" s="170"/>
      <c r="AW934" s="179"/>
      <c r="AX934" s="169"/>
      <c r="AY934" s="169" t="str">
        <f>CONCATENATE(BASE_DATOS[[#This Row],[Código_U]]&amp;BASE_DATOS[[#This Row],[Pos.]]&amp;BASE_DATOS[[#This Row],[Situación Actual]])</f>
        <v>TC-2725Rodando</v>
      </c>
    </row>
    <row r="935" spans="1:51" ht="12" x14ac:dyDescent="0.25">
      <c r="A935" s="223" t="s">
        <v>411</v>
      </c>
      <c r="B935" s="217" t="s">
        <v>412</v>
      </c>
      <c r="C935" s="228" t="s">
        <v>296</v>
      </c>
      <c r="D935" s="229" t="s">
        <v>61</v>
      </c>
      <c r="E935" s="255"/>
      <c r="F935" s="256" t="s">
        <v>273</v>
      </c>
      <c r="G935" s="256" t="s">
        <v>271</v>
      </c>
      <c r="H935" s="257" t="str">
        <f>IF(BASE_DATOS[[#This Row],[N-R]]="N",BASE_DATOS[[#This Row],[Diseño]],"Reencauche")</f>
        <v>XWORKSD</v>
      </c>
      <c r="I935" s="256" t="s">
        <v>374</v>
      </c>
      <c r="J935" s="243" t="s">
        <v>72</v>
      </c>
      <c r="K935" s="258">
        <v>22</v>
      </c>
      <c r="L935" s="241">
        <v>110</v>
      </c>
      <c r="M935" s="259"/>
      <c r="N935" s="260"/>
      <c r="O935" s="277"/>
      <c r="P935" s="278"/>
      <c r="Q935" s="279"/>
      <c r="R935" s="309">
        <v>6</v>
      </c>
      <c r="S935" s="310">
        <v>45385</v>
      </c>
      <c r="T935" s="313"/>
      <c r="U935" s="279"/>
      <c r="V935" s="227">
        <v>15</v>
      </c>
      <c r="W935" s="281"/>
      <c r="X935" s="282">
        <v>16</v>
      </c>
      <c r="Y935" s="293">
        <f t="shared" si="49"/>
        <v>15</v>
      </c>
      <c r="Z935" s="161" t="s">
        <v>73</v>
      </c>
      <c r="AA935" s="342">
        <f>IFERROR(BASE_DATOS[[#This Row],[NSK Original]]-BASE_DATOS[[#This Row],[NSK]]," ")</f>
        <v>7</v>
      </c>
      <c r="AB935" s="343">
        <f>'NSK-TRACTO'!$A$2</f>
        <v>6</v>
      </c>
      <c r="AC935" s="343">
        <f>IF(BASE_DATOS[[#This Row],[NSK]]&gt;=BASE_DATOS[[#This Row],[NSK Reen]],BASE_DATOS[[#This Row],[NSK Reen]],BASE_DATOS[[#This Row],[NSK]])</f>
        <v>6</v>
      </c>
      <c r="AD935" s="344">
        <f>IFERROR(100%-(BASE_DATOS[[#This Row],[NSK Reen]]/BASE_DATOS[[#This Row],[NSK Original]]),"")</f>
        <v>0.72727272727272729</v>
      </c>
      <c r="AE935" s="344">
        <f>IFERROR(100%-BASE_DATOS[[#This Row],[NSK]]/BASE_DATOS[[#This Row],[NSK Original]],"")</f>
        <v>0.31818181818181823</v>
      </c>
      <c r="AF935" s="344">
        <f>IFERROR(BASE_DATOS[[#This Row],[% Max Des.]]-BASE_DATOS[[#This Row],[% Des]],"")</f>
        <v>0.40909090909090906</v>
      </c>
      <c r="AG935" s="287"/>
      <c r="AH935" s="273"/>
      <c r="AI935" s="363" t="str">
        <f>IF(OR(BASE_DATOS[[#This Row],[Hr.]]="",BASE_DATOS[[#This Row],[Hr. Actual]]=""),"",BASE_DATOS[[#This Row],[Hr. Actual]]-BASE_DATOS[[#This Row],[Hr.]]+BASE_DATOS[[#This Row],[Horas Acumuladas]])</f>
        <v/>
      </c>
      <c r="AJ935" s="364" t="str">
        <f>IFERROR(BASE_DATOS[[#This Row],[Precio US$]]/BASE_DATOS[[#This Row],[Horas Rodadas]],"")</f>
        <v/>
      </c>
      <c r="AK935" s="365" t="str">
        <f>IFERROR(BASE_DATOS[[#This Row],[Horas Rodadas]]/(BASE_DATOS[[#This Row],[NSK Original]]-BASE_DATOS[[#This Row],[NSK]]),"")</f>
        <v/>
      </c>
      <c r="AL935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35" s="366" t="str">
        <f>IFERROR(BASE_DATOS[[#This Row],[Precio US$]]/BASE_DATOS[[#This Row],[Horas Proy.]],"")</f>
        <v/>
      </c>
      <c r="AN935" s="176" t="str">
        <f>IF(OR(BASE_DATOS[[#This Row],[Km.]]="",BASE_DATOS[[#This Row],[Km. Actual]]=""),"",BASE_DATOS[[#This Row],[Km. Actual]]-BASE_DATOS[[#This Row],[Km.]]+BASE_DATOS[[#This Row],[Kilómetros Acumulados]])</f>
        <v/>
      </c>
      <c r="AO935" s="177" t="str">
        <f>IFERROR(BASE_DATOS[[#This Row],[Precio US$]]/BASE_DATOS[[#This Row],[Kilómetros Rodados]],"")</f>
        <v/>
      </c>
      <c r="AP935" s="176" t="str">
        <f>IFERROR(BASE_DATOS[[#This Row],[Kilómetros Rodados]]/(BASE_DATOS[[#This Row],[NSK Original]]-BASE_DATOS[[#This Row],[NSK]]),"")</f>
        <v/>
      </c>
      <c r="AQ935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35" s="177" t="str">
        <f>IFERROR(BASE_DATOS[[#This Row],[Precio US$]]/BASE_DATOS[[#This Row],[Kilómetros Proy.]],"")</f>
        <v/>
      </c>
      <c r="AS935" s="170" t="s">
        <v>62</v>
      </c>
      <c r="AT935" s="170"/>
      <c r="AU935" s="170"/>
      <c r="AV935" s="170"/>
      <c r="AW935" s="179"/>
      <c r="AX935" s="169"/>
      <c r="AY935" s="169" t="str">
        <f>CONCATENATE(BASE_DATOS[[#This Row],[Código_U]]&amp;BASE_DATOS[[#This Row],[Pos.]]&amp;BASE_DATOS[[#This Row],[Situación Actual]])</f>
        <v>TC-2726Rodando</v>
      </c>
    </row>
    <row r="936" spans="1:51" ht="12" x14ac:dyDescent="0.25">
      <c r="A936" s="223" t="s">
        <v>411</v>
      </c>
      <c r="B936" s="217" t="s">
        <v>412</v>
      </c>
      <c r="C936" s="228" t="s">
        <v>296</v>
      </c>
      <c r="D936" s="229" t="s">
        <v>61</v>
      </c>
      <c r="E936" s="255"/>
      <c r="F936" s="256" t="s">
        <v>273</v>
      </c>
      <c r="G936" s="256" t="s">
        <v>271</v>
      </c>
      <c r="H936" s="257" t="str">
        <f>IF(BASE_DATOS[[#This Row],[N-R]]="N",BASE_DATOS[[#This Row],[Diseño]],"Reencauche")</f>
        <v>XWORKSD</v>
      </c>
      <c r="I936" s="256" t="s">
        <v>374</v>
      </c>
      <c r="J936" s="243" t="s">
        <v>72</v>
      </c>
      <c r="K936" s="258">
        <v>22</v>
      </c>
      <c r="L936" s="241">
        <v>110</v>
      </c>
      <c r="M936" s="259"/>
      <c r="N936" s="260"/>
      <c r="O936" s="277"/>
      <c r="P936" s="278"/>
      <c r="Q936" s="279"/>
      <c r="R936" s="309">
        <v>7</v>
      </c>
      <c r="S936" s="310">
        <v>45385</v>
      </c>
      <c r="T936" s="313"/>
      <c r="U936" s="279"/>
      <c r="V936" s="227">
        <v>16</v>
      </c>
      <c r="W936" s="281"/>
      <c r="X936" s="282">
        <v>16</v>
      </c>
      <c r="Y936" s="293">
        <f t="shared" si="49"/>
        <v>16</v>
      </c>
      <c r="Z936" s="161" t="s">
        <v>73</v>
      </c>
      <c r="AA936" s="342">
        <f>IFERROR(BASE_DATOS[[#This Row],[NSK Original]]-BASE_DATOS[[#This Row],[NSK]]," ")</f>
        <v>6</v>
      </c>
      <c r="AB936" s="343">
        <f>'NSK-TRACTO'!$A$2</f>
        <v>6</v>
      </c>
      <c r="AC936" s="343">
        <f>IF(BASE_DATOS[[#This Row],[NSK]]&gt;=BASE_DATOS[[#This Row],[NSK Reen]],BASE_DATOS[[#This Row],[NSK Reen]],BASE_DATOS[[#This Row],[NSK]])</f>
        <v>6</v>
      </c>
      <c r="AD936" s="344">
        <f>IFERROR(100%-(BASE_DATOS[[#This Row],[NSK Reen]]/BASE_DATOS[[#This Row],[NSK Original]]),"")</f>
        <v>0.72727272727272729</v>
      </c>
      <c r="AE936" s="344">
        <f>IFERROR(100%-BASE_DATOS[[#This Row],[NSK]]/BASE_DATOS[[#This Row],[NSK Original]],"")</f>
        <v>0.27272727272727271</v>
      </c>
      <c r="AF936" s="344">
        <f>IFERROR(BASE_DATOS[[#This Row],[% Max Des.]]-BASE_DATOS[[#This Row],[% Des]],"")</f>
        <v>0.45454545454545459</v>
      </c>
      <c r="AG936" s="287"/>
      <c r="AH936" s="273"/>
      <c r="AI936" s="363" t="str">
        <f>IF(OR(BASE_DATOS[[#This Row],[Hr.]]="",BASE_DATOS[[#This Row],[Hr. Actual]]=""),"",BASE_DATOS[[#This Row],[Hr. Actual]]-BASE_DATOS[[#This Row],[Hr.]]+BASE_DATOS[[#This Row],[Horas Acumuladas]])</f>
        <v/>
      </c>
      <c r="AJ936" s="364" t="str">
        <f>IFERROR(BASE_DATOS[[#This Row],[Precio US$]]/BASE_DATOS[[#This Row],[Horas Rodadas]],"")</f>
        <v/>
      </c>
      <c r="AK936" s="365" t="str">
        <f>IFERROR(BASE_DATOS[[#This Row],[Horas Rodadas]]/(BASE_DATOS[[#This Row],[NSK Original]]-BASE_DATOS[[#This Row],[NSK]]),"")</f>
        <v/>
      </c>
      <c r="AL936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36" s="366" t="str">
        <f>IFERROR(BASE_DATOS[[#This Row],[Precio US$]]/BASE_DATOS[[#This Row],[Horas Proy.]],"")</f>
        <v/>
      </c>
      <c r="AN936" s="176" t="str">
        <f>IF(OR(BASE_DATOS[[#This Row],[Km.]]="",BASE_DATOS[[#This Row],[Km. Actual]]=""),"",BASE_DATOS[[#This Row],[Km. Actual]]-BASE_DATOS[[#This Row],[Km.]]+BASE_DATOS[[#This Row],[Kilómetros Acumulados]])</f>
        <v/>
      </c>
      <c r="AO936" s="177" t="str">
        <f>IFERROR(BASE_DATOS[[#This Row],[Precio US$]]/BASE_DATOS[[#This Row],[Kilómetros Rodados]],"")</f>
        <v/>
      </c>
      <c r="AP936" s="176" t="str">
        <f>IFERROR(BASE_DATOS[[#This Row],[Kilómetros Rodados]]/(BASE_DATOS[[#This Row],[NSK Original]]-BASE_DATOS[[#This Row],[NSK]]),"")</f>
        <v/>
      </c>
      <c r="AQ936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36" s="177" t="str">
        <f>IFERROR(BASE_DATOS[[#This Row],[Precio US$]]/BASE_DATOS[[#This Row],[Kilómetros Proy.]],"")</f>
        <v/>
      </c>
      <c r="AS936" s="170" t="s">
        <v>62</v>
      </c>
      <c r="AT936" s="170"/>
      <c r="AU936" s="170"/>
      <c r="AV936" s="170"/>
      <c r="AW936" s="179"/>
      <c r="AX936" s="169"/>
      <c r="AY936" s="169" t="str">
        <f>CONCATENATE(BASE_DATOS[[#This Row],[Código_U]]&amp;BASE_DATOS[[#This Row],[Pos.]]&amp;BASE_DATOS[[#This Row],[Situación Actual]])</f>
        <v>TC-2727Rodando</v>
      </c>
    </row>
    <row r="937" spans="1:51" ht="12" x14ac:dyDescent="0.25">
      <c r="A937" s="223" t="s">
        <v>411</v>
      </c>
      <c r="B937" s="217" t="s">
        <v>412</v>
      </c>
      <c r="C937" s="228" t="s">
        <v>296</v>
      </c>
      <c r="D937" s="229" t="s">
        <v>61</v>
      </c>
      <c r="E937" s="255"/>
      <c r="F937" s="256" t="s">
        <v>273</v>
      </c>
      <c r="G937" s="256" t="s">
        <v>271</v>
      </c>
      <c r="H937" s="257" t="str">
        <f>IF(BASE_DATOS[[#This Row],[N-R]]="N",BASE_DATOS[[#This Row],[Diseño]],"Reencauche")</f>
        <v>XWORKSD</v>
      </c>
      <c r="I937" s="256" t="s">
        <v>374</v>
      </c>
      <c r="J937" s="243" t="s">
        <v>72</v>
      </c>
      <c r="K937" s="258">
        <v>22</v>
      </c>
      <c r="L937" s="241">
        <v>110</v>
      </c>
      <c r="M937" s="259"/>
      <c r="N937" s="260"/>
      <c r="O937" s="277"/>
      <c r="P937" s="278"/>
      <c r="Q937" s="279"/>
      <c r="R937" s="309">
        <v>8</v>
      </c>
      <c r="S937" s="310">
        <v>45385</v>
      </c>
      <c r="T937" s="313"/>
      <c r="U937" s="279"/>
      <c r="V937" s="227">
        <v>16</v>
      </c>
      <c r="W937" s="281"/>
      <c r="X937" s="282">
        <v>16</v>
      </c>
      <c r="Y937" s="293">
        <f t="shared" si="49"/>
        <v>16</v>
      </c>
      <c r="Z937" s="161" t="s">
        <v>73</v>
      </c>
      <c r="AA937" s="342">
        <f>IFERROR(BASE_DATOS[[#This Row],[NSK Original]]-BASE_DATOS[[#This Row],[NSK]]," ")</f>
        <v>6</v>
      </c>
      <c r="AB937" s="343">
        <f>'NSK-TRACTO'!$A$2</f>
        <v>6</v>
      </c>
      <c r="AC937" s="343">
        <f>IF(BASE_DATOS[[#This Row],[NSK]]&gt;=BASE_DATOS[[#This Row],[NSK Reen]],BASE_DATOS[[#This Row],[NSK Reen]],BASE_DATOS[[#This Row],[NSK]])</f>
        <v>6</v>
      </c>
      <c r="AD937" s="344">
        <f>IFERROR(100%-(BASE_DATOS[[#This Row],[NSK Reen]]/BASE_DATOS[[#This Row],[NSK Original]]),"")</f>
        <v>0.72727272727272729</v>
      </c>
      <c r="AE937" s="344">
        <f>IFERROR(100%-BASE_DATOS[[#This Row],[NSK]]/BASE_DATOS[[#This Row],[NSK Original]],"")</f>
        <v>0.27272727272727271</v>
      </c>
      <c r="AF937" s="344">
        <f>IFERROR(BASE_DATOS[[#This Row],[% Max Des.]]-BASE_DATOS[[#This Row],[% Des]],"")</f>
        <v>0.45454545454545459</v>
      </c>
      <c r="AG937" s="287"/>
      <c r="AH937" s="273"/>
      <c r="AI937" s="363" t="str">
        <f>IF(OR(BASE_DATOS[[#This Row],[Hr.]]="",BASE_DATOS[[#This Row],[Hr. Actual]]=""),"",BASE_DATOS[[#This Row],[Hr. Actual]]-BASE_DATOS[[#This Row],[Hr.]]+BASE_DATOS[[#This Row],[Horas Acumuladas]])</f>
        <v/>
      </c>
      <c r="AJ937" s="364" t="str">
        <f>IFERROR(BASE_DATOS[[#This Row],[Precio US$]]/BASE_DATOS[[#This Row],[Horas Rodadas]],"")</f>
        <v/>
      </c>
      <c r="AK937" s="365" t="str">
        <f>IFERROR(BASE_DATOS[[#This Row],[Horas Rodadas]]/(BASE_DATOS[[#This Row],[NSK Original]]-BASE_DATOS[[#This Row],[NSK]]),"")</f>
        <v/>
      </c>
      <c r="AL937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37" s="366" t="str">
        <f>IFERROR(BASE_DATOS[[#This Row],[Precio US$]]/BASE_DATOS[[#This Row],[Horas Proy.]],"")</f>
        <v/>
      </c>
      <c r="AN937" s="176" t="str">
        <f>IF(OR(BASE_DATOS[[#This Row],[Km.]]="",BASE_DATOS[[#This Row],[Km. Actual]]=""),"",BASE_DATOS[[#This Row],[Km. Actual]]-BASE_DATOS[[#This Row],[Km.]]+BASE_DATOS[[#This Row],[Kilómetros Acumulados]])</f>
        <v/>
      </c>
      <c r="AO937" s="177" t="str">
        <f>IFERROR(BASE_DATOS[[#This Row],[Precio US$]]/BASE_DATOS[[#This Row],[Kilómetros Rodados]],"")</f>
        <v/>
      </c>
      <c r="AP937" s="176" t="str">
        <f>IFERROR(BASE_DATOS[[#This Row],[Kilómetros Rodados]]/(BASE_DATOS[[#This Row],[NSK Original]]-BASE_DATOS[[#This Row],[NSK]]),"")</f>
        <v/>
      </c>
      <c r="AQ937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37" s="177" t="str">
        <f>IFERROR(BASE_DATOS[[#This Row],[Precio US$]]/BASE_DATOS[[#This Row],[Kilómetros Proy.]],"")</f>
        <v/>
      </c>
      <c r="AS937" s="170" t="s">
        <v>62</v>
      </c>
      <c r="AT937" s="170"/>
      <c r="AU937" s="170"/>
      <c r="AV937" s="170"/>
      <c r="AW937" s="179"/>
      <c r="AX937" s="169"/>
      <c r="AY937" s="169" t="str">
        <f>CONCATENATE(BASE_DATOS[[#This Row],[Código_U]]&amp;BASE_DATOS[[#This Row],[Pos.]]&amp;BASE_DATOS[[#This Row],[Situación Actual]])</f>
        <v>TC-2728Rodando</v>
      </c>
    </row>
    <row r="938" spans="1:51" ht="12" x14ac:dyDescent="0.25">
      <c r="A938" s="223" t="s">
        <v>411</v>
      </c>
      <c r="B938" s="217" t="s">
        <v>412</v>
      </c>
      <c r="C938" s="228" t="s">
        <v>296</v>
      </c>
      <c r="D938" s="229" t="s">
        <v>61</v>
      </c>
      <c r="E938" s="255"/>
      <c r="F938" s="256" t="s">
        <v>273</v>
      </c>
      <c r="G938" s="256" t="s">
        <v>271</v>
      </c>
      <c r="H938" s="257" t="str">
        <f>IF(BASE_DATOS[[#This Row],[N-R]]="N",BASE_DATOS[[#This Row],[Diseño]],"Reencauche")</f>
        <v>XWORKSD</v>
      </c>
      <c r="I938" s="256" t="s">
        <v>374</v>
      </c>
      <c r="J938" s="243" t="s">
        <v>72</v>
      </c>
      <c r="K938" s="258">
        <v>22</v>
      </c>
      <c r="L938" s="241">
        <v>110</v>
      </c>
      <c r="M938" s="259"/>
      <c r="N938" s="260"/>
      <c r="O938" s="277"/>
      <c r="P938" s="278"/>
      <c r="Q938" s="279"/>
      <c r="R938" s="309">
        <v>9</v>
      </c>
      <c r="S938" s="310">
        <v>45385</v>
      </c>
      <c r="T938" s="313"/>
      <c r="U938" s="279"/>
      <c r="V938" s="227">
        <v>16</v>
      </c>
      <c r="W938" s="281"/>
      <c r="X938" s="282">
        <v>16</v>
      </c>
      <c r="Y938" s="293">
        <f t="shared" si="49"/>
        <v>16</v>
      </c>
      <c r="Z938" s="161" t="s">
        <v>73</v>
      </c>
      <c r="AA938" s="342">
        <f>IFERROR(BASE_DATOS[[#This Row],[NSK Original]]-BASE_DATOS[[#This Row],[NSK]]," ")</f>
        <v>6</v>
      </c>
      <c r="AB938" s="343">
        <f>'NSK-TRACTO'!$A$2</f>
        <v>6</v>
      </c>
      <c r="AC938" s="343">
        <f>IF(BASE_DATOS[[#This Row],[NSK]]&gt;=BASE_DATOS[[#This Row],[NSK Reen]],BASE_DATOS[[#This Row],[NSK Reen]],BASE_DATOS[[#This Row],[NSK]])</f>
        <v>6</v>
      </c>
      <c r="AD938" s="344">
        <f>IFERROR(100%-(BASE_DATOS[[#This Row],[NSK Reen]]/BASE_DATOS[[#This Row],[NSK Original]]),"")</f>
        <v>0.72727272727272729</v>
      </c>
      <c r="AE938" s="344">
        <f>IFERROR(100%-BASE_DATOS[[#This Row],[NSK]]/BASE_DATOS[[#This Row],[NSK Original]],"")</f>
        <v>0.27272727272727271</v>
      </c>
      <c r="AF938" s="344">
        <f>IFERROR(BASE_DATOS[[#This Row],[% Max Des.]]-BASE_DATOS[[#This Row],[% Des]],"")</f>
        <v>0.45454545454545459</v>
      </c>
      <c r="AG938" s="287"/>
      <c r="AH938" s="273"/>
      <c r="AI938" s="363" t="str">
        <f>IF(OR(BASE_DATOS[[#This Row],[Hr.]]="",BASE_DATOS[[#This Row],[Hr. Actual]]=""),"",BASE_DATOS[[#This Row],[Hr. Actual]]-BASE_DATOS[[#This Row],[Hr.]]+BASE_DATOS[[#This Row],[Horas Acumuladas]])</f>
        <v/>
      </c>
      <c r="AJ938" s="364" t="str">
        <f>IFERROR(BASE_DATOS[[#This Row],[Precio US$]]/BASE_DATOS[[#This Row],[Horas Rodadas]],"")</f>
        <v/>
      </c>
      <c r="AK938" s="365" t="str">
        <f>IFERROR(BASE_DATOS[[#This Row],[Horas Rodadas]]/(BASE_DATOS[[#This Row],[NSK Original]]-BASE_DATOS[[#This Row],[NSK]]),"")</f>
        <v/>
      </c>
      <c r="AL938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38" s="366" t="str">
        <f>IFERROR(BASE_DATOS[[#This Row],[Precio US$]]/BASE_DATOS[[#This Row],[Horas Proy.]],"")</f>
        <v/>
      </c>
      <c r="AN938" s="176" t="str">
        <f>IF(OR(BASE_DATOS[[#This Row],[Km.]]="",BASE_DATOS[[#This Row],[Km. Actual]]=""),"",BASE_DATOS[[#This Row],[Km. Actual]]-BASE_DATOS[[#This Row],[Km.]]+BASE_DATOS[[#This Row],[Kilómetros Acumulados]])</f>
        <v/>
      </c>
      <c r="AO938" s="177" t="str">
        <f>IFERROR(BASE_DATOS[[#This Row],[Precio US$]]/BASE_DATOS[[#This Row],[Kilómetros Rodados]],"")</f>
        <v/>
      </c>
      <c r="AP938" s="176" t="str">
        <f>IFERROR(BASE_DATOS[[#This Row],[Kilómetros Rodados]]/(BASE_DATOS[[#This Row],[NSK Original]]-BASE_DATOS[[#This Row],[NSK]]),"")</f>
        <v/>
      </c>
      <c r="AQ938" s="176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38" s="177" t="str">
        <f>IFERROR(BASE_DATOS[[#This Row],[Precio US$]]/BASE_DATOS[[#This Row],[Kilómetros Proy.]],"")</f>
        <v/>
      </c>
      <c r="AS938" s="170" t="s">
        <v>62</v>
      </c>
      <c r="AT938" s="170"/>
      <c r="AU938" s="170"/>
      <c r="AV938" s="170"/>
      <c r="AW938" s="179"/>
      <c r="AX938" s="169"/>
      <c r="AY938" s="169" t="str">
        <f>CONCATENATE(BASE_DATOS[[#This Row],[Código_U]]&amp;BASE_DATOS[[#This Row],[Pos.]]&amp;BASE_DATOS[[#This Row],[Situación Actual]])</f>
        <v>TC-2729Rodando</v>
      </c>
    </row>
    <row r="939" spans="1:51" ht="12" x14ac:dyDescent="0.25">
      <c r="A939" s="223" t="s">
        <v>411</v>
      </c>
      <c r="B939" s="217" t="s">
        <v>412</v>
      </c>
      <c r="C939" s="228" t="s">
        <v>296</v>
      </c>
      <c r="D939" s="229" t="s">
        <v>61</v>
      </c>
      <c r="E939" s="255"/>
      <c r="F939" s="256" t="s">
        <v>273</v>
      </c>
      <c r="G939" s="256" t="s">
        <v>271</v>
      </c>
      <c r="H939" s="257" t="str">
        <f>IF(BASE_DATOS[[#This Row],[N-R]]="N",BASE_DATOS[[#This Row],[Diseño]],"Reencauche")</f>
        <v>XWORKSD</v>
      </c>
      <c r="I939" s="256" t="s">
        <v>374</v>
      </c>
      <c r="J939" s="243" t="s">
        <v>72</v>
      </c>
      <c r="K939" s="258">
        <v>22</v>
      </c>
      <c r="L939" s="241">
        <v>110</v>
      </c>
      <c r="M939" s="259"/>
      <c r="N939" s="260"/>
      <c r="O939" s="277"/>
      <c r="P939" s="278"/>
      <c r="Q939" s="279"/>
      <c r="R939" s="309">
        <v>10</v>
      </c>
      <c r="S939" s="310">
        <v>45385</v>
      </c>
      <c r="T939" s="313"/>
      <c r="U939" s="279"/>
      <c r="V939" s="227">
        <v>16</v>
      </c>
      <c r="W939" s="281"/>
      <c r="X939" s="282">
        <v>16</v>
      </c>
      <c r="Y939" s="293">
        <f t="shared" si="49"/>
        <v>16</v>
      </c>
      <c r="Z939" s="161" t="s">
        <v>73</v>
      </c>
      <c r="AA939" s="342">
        <f>IFERROR(BASE_DATOS[[#This Row],[NSK Original]]-BASE_DATOS[[#This Row],[NSK]]," ")</f>
        <v>6</v>
      </c>
      <c r="AB939" s="343">
        <f>'NSK-TRACTO'!$A$2</f>
        <v>6</v>
      </c>
      <c r="AC939" s="343">
        <f>IF(BASE_DATOS[[#This Row],[NSK]]&gt;=BASE_DATOS[[#This Row],[NSK Reen]],BASE_DATOS[[#This Row],[NSK Reen]],BASE_DATOS[[#This Row],[NSK]])</f>
        <v>6</v>
      </c>
      <c r="AD939" s="344">
        <f>IFERROR(100%-(BASE_DATOS[[#This Row],[NSK Reen]]/BASE_DATOS[[#This Row],[NSK Original]]),"")</f>
        <v>0.72727272727272729</v>
      </c>
      <c r="AE939" s="344">
        <f>IFERROR(100%-BASE_DATOS[[#This Row],[NSK]]/BASE_DATOS[[#This Row],[NSK Original]],"")</f>
        <v>0.27272727272727271</v>
      </c>
      <c r="AF939" s="344">
        <f>IFERROR(BASE_DATOS[[#This Row],[% Max Des.]]-BASE_DATOS[[#This Row],[% Des]],"")</f>
        <v>0.45454545454545459</v>
      </c>
      <c r="AG939" s="287"/>
      <c r="AH939" s="273"/>
      <c r="AI939" s="363" t="str">
        <f>IF(OR(BASE_DATOS[[#This Row],[Hr.]]="",BASE_DATOS[[#This Row],[Hr. Actual]]=""),"",BASE_DATOS[[#This Row],[Hr. Actual]]-BASE_DATOS[[#This Row],[Hr.]]+BASE_DATOS[[#This Row],[Horas Acumuladas]])</f>
        <v/>
      </c>
      <c r="AJ939" s="364" t="str">
        <f>IFERROR(BASE_DATOS[[#This Row],[Precio US$]]/BASE_DATOS[[#This Row],[Horas Rodadas]],"")</f>
        <v/>
      </c>
      <c r="AK939" s="365" t="str">
        <f>IFERROR(BASE_DATOS[[#This Row],[Horas Rodadas]]/(BASE_DATOS[[#This Row],[NSK Original]]-BASE_DATOS[[#This Row],[NSK]]),"")</f>
        <v/>
      </c>
      <c r="AL939" s="365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39" s="366" t="str">
        <f>IFERROR(BASE_DATOS[[#This Row],[Precio US$]]/BASE_DATOS[[#This Row],[Horas Proy.]],"")</f>
        <v/>
      </c>
      <c r="AN939" s="171" t="str">
        <f>IF(OR(BASE_DATOS[[#This Row],[Km.]]="",BASE_DATOS[[#This Row],[Km. Actual]]=""),"",BASE_DATOS[[#This Row],[Km. Actual]]-BASE_DATOS[[#This Row],[Km.]]+BASE_DATOS[[#This Row],[Kilómetros Acumulados]])</f>
        <v/>
      </c>
      <c r="AO939" s="172" t="str">
        <f>IFERROR(BASE_DATOS[[#This Row],[Precio US$]]/BASE_DATOS[[#This Row],[Kilómetros Rodados]],"")</f>
        <v/>
      </c>
      <c r="AP939" s="171" t="str">
        <f>IFERROR(BASE_DATOS[[#This Row],[Kilómetros Rodados]]/(BASE_DATOS[[#This Row],[NSK Original]]-BASE_DATOS[[#This Row],[NSK]]),"")</f>
        <v/>
      </c>
      <c r="AQ939" s="17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39" s="172" t="str">
        <f>IFERROR(BASE_DATOS[[#This Row],[Precio US$]]/BASE_DATOS[[#This Row],[Kilómetros Proy.]],"")</f>
        <v/>
      </c>
      <c r="AS939" s="170" t="s">
        <v>62</v>
      </c>
      <c r="AT939" s="170"/>
      <c r="AU939" s="170"/>
      <c r="AV939" s="170"/>
      <c r="AW939" s="174"/>
      <c r="AX939" s="169"/>
      <c r="AY939" s="169" t="str">
        <f>CONCATENATE(BASE_DATOS[[#This Row],[Código_U]]&amp;BASE_DATOS[[#This Row],[Pos.]]&amp;BASE_DATOS[[#This Row],[Situación Actual]])</f>
        <v>TC-27210Rodando</v>
      </c>
    </row>
    <row r="940" spans="1:51" ht="12" x14ac:dyDescent="0.25">
      <c r="A940" s="222" t="s">
        <v>488</v>
      </c>
      <c r="B940" s="213" t="s">
        <v>487</v>
      </c>
      <c r="C940" s="231" t="s">
        <v>95</v>
      </c>
      <c r="D940" s="215" t="s">
        <v>86</v>
      </c>
      <c r="E940" s="232"/>
      <c r="F940" s="235" t="s">
        <v>71</v>
      </c>
      <c r="G940" s="235" t="s">
        <v>479</v>
      </c>
      <c r="H940" s="261" t="str">
        <f>IF(BASE_DATOS[[#This Row],[N-R]]="N",BASE_DATOS[[#This Row],[Diseño]],"Reencauche")</f>
        <v>OMNITRAC S</v>
      </c>
      <c r="I940" s="235" t="s">
        <v>480</v>
      </c>
      <c r="J940" s="235" t="s">
        <v>72</v>
      </c>
      <c r="K940" s="262">
        <v>0</v>
      </c>
      <c r="L940" s="235">
        <v>110</v>
      </c>
      <c r="M940" s="238"/>
      <c r="N940" s="263"/>
      <c r="O940" s="283"/>
      <c r="P940" s="284"/>
      <c r="Q940" s="285"/>
      <c r="R940" s="302">
        <v>1</v>
      </c>
      <c r="S940" s="316">
        <v>45386</v>
      </c>
      <c r="T940" s="317"/>
      <c r="U940" s="285"/>
      <c r="V940" s="222">
        <v>13</v>
      </c>
      <c r="W940" s="213">
        <v>13</v>
      </c>
      <c r="X940" s="327">
        <v>13</v>
      </c>
      <c r="Y940" s="188">
        <f>IFERROR(MIN(V940:X940),"")</f>
        <v>13</v>
      </c>
      <c r="Z940" s="185" t="s">
        <v>85</v>
      </c>
      <c r="AA940" s="345">
        <f>IFERROR(BASE_DATOS[[#This Row],[NSK Original]]-BASE_DATOS[[#This Row],[NSK]]," ")</f>
        <v>-13</v>
      </c>
      <c r="AB940" s="346">
        <f>'NSK-TRACTO'!$A$2</f>
        <v>6</v>
      </c>
      <c r="AC940" s="346">
        <f>IF(BASE_DATOS[[#This Row],[NSK]]&gt;=BASE_DATOS[[#This Row],[NSK Reen]],BASE_DATOS[[#This Row],[NSK Reen]],BASE_DATOS[[#This Row],[NSK]])</f>
        <v>6</v>
      </c>
      <c r="AD940" s="347" t="str">
        <f>IFERROR(100%-(BASE_DATOS[[#This Row],[NSK Reen]]/BASE_DATOS[[#This Row],[NSK Original]]),"")</f>
        <v/>
      </c>
      <c r="AE940" s="347" t="str">
        <f>IFERROR(100%-BASE_DATOS[[#This Row],[NSK]]/BASE_DATOS[[#This Row],[NSK Original]],"")</f>
        <v/>
      </c>
      <c r="AF940" s="347" t="str">
        <f>IFERROR(BASE_DATOS[[#This Row],[% Max Des.]]-BASE_DATOS[[#This Row],[% Des]],"")</f>
        <v/>
      </c>
      <c r="AG940" s="284"/>
      <c r="AH940" s="335"/>
      <c r="AI940" s="367" t="str">
        <f>IF(OR(BASE_DATOS[[#This Row],[Hr.]]="",BASE_DATOS[[#This Row],[Hr. Actual]]=""),"",BASE_DATOS[[#This Row],[Hr. Actual]]-BASE_DATOS[[#This Row],[Hr.]]+BASE_DATOS[[#This Row],[Horas Acumuladas]])</f>
        <v/>
      </c>
      <c r="AJ940" s="368" t="str">
        <f>IFERROR(BASE_DATOS[[#This Row],[Precio US$]]/BASE_DATOS[[#This Row],[Horas Rodadas]],"")</f>
        <v/>
      </c>
      <c r="AK940" s="369" t="str">
        <f>IFERROR(BASE_DATOS[[#This Row],[Horas Rodadas]]/(BASE_DATOS[[#This Row],[NSK Original]]-BASE_DATOS[[#This Row],[NSK]]),"")</f>
        <v/>
      </c>
      <c r="AL940" s="369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40" s="370" t="str">
        <f>IFERROR(BASE_DATOS[[#This Row],[Precio US$]]/BASE_DATOS[[#This Row],[Horas Proy.]],"")</f>
        <v/>
      </c>
      <c r="AN940" s="205" t="str">
        <f>IF(OR(BASE_DATOS[[#This Row],[Km.]]="",BASE_DATOS[[#This Row],[Km. Actual]]=""),"",BASE_DATOS[[#This Row],[Km. Actual]]-BASE_DATOS[[#This Row],[Km.]]+BASE_DATOS[[#This Row],[Kilómetros Acumulados]])</f>
        <v/>
      </c>
      <c r="AO940" s="206" t="str">
        <f>IFERROR(BASE_DATOS[[#This Row],[Precio US$]]/BASE_DATOS[[#This Row],[Kilómetros Rodados]],"")</f>
        <v/>
      </c>
      <c r="AP940" s="205" t="str">
        <f>IFERROR(BASE_DATOS[[#This Row],[Kilómetros Rodados]]/(BASE_DATOS[[#This Row],[NSK Original]]-BASE_DATOS[[#This Row],[NSK]]),"")</f>
        <v/>
      </c>
      <c r="AQ940" s="205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40" s="206" t="str">
        <f>IFERROR(BASE_DATOS[[#This Row],[Precio US$]]/BASE_DATOS[[#This Row],[Kilómetros Proy.]],"")</f>
        <v/>
      </c>
      <c r="AS940" s="201" t="s">
        <v>62</v>
      </c>
      <c r="AT940" s="201"/>
      <c r="AU940" s="201"/>
      <c r="AV940" s="201"/>
      <c r="AW940" s="204"/>
      <c r="AX940" s="204"/>
      <c r="AY940" s="204" t="str">
        <f>CONCATENATE(BASE_DATOS[[#This Row],[Código_U]]&amp;BASE_DATOS[[#This Row],[Pos.]]&amp;BASE_DATOS[[#This Row],[Situación Actual]])</f>
        <v>VQ-321Rodando</v>
      </c>
    </row>
    <row r="941" spans="1:51" ht="12" x14ac:dyDescent="0.25">
      <c r="A941" s="223" t="s">
        <v>488</v>
      </c>
      <c r="B941" s="217" t="s">
        <v>487</v>
      </c>
      <c r="C941" s="230" t="s">
        <v>95</v>
      </c>
      <c r="D941" s="219" t="s">
        <v>86</v>
      </c>
      <c r="E941" s="248"/>
      <c r="F941" s="243" t="s">
        <v>71</v>
      </c>
      <c r="G941" s="243" t="s">
        <v>479</v>
      </c>
      <c r="H941" s="264" t="str">
        <f>IF(BASE_DATOS[[#This Row],[N-R]]="N",BASE_DATOS[[#This Row],[Diseño]],"Reencauche")</f>
        <v>OMNITRAC S</v>
      </c>
      <c r="I941" s="243" t="s">
        <v>480</v>
      </c>
      <c r="J941" s="243" t="s">
        <v>72</v>
      </c>
      <c r="K941" s="265">
        <v>0</v>
      </c>
      <c r="L941" s="243">
        <v>110</v>
      </c>
      <c r="M941" s="246"/>
      <c r="N941" s="266"/>
      <c r="O941" s="286"/>
      <c r="P941" s="287"/>
      <c r="Q941" s="288"/>
      <c r="R941" s="304">
        <v>2</v>
      </c>
      <c r="S941" s="318">
        <v>45386</v>
      </c>
      <c r="T941" s="319"/>
      <c r="U941" s="288"/>
      <c r="V941" s="223">
        <v>13</v>
      </c>
      <c r="W941" s="217">
        <v>13</v>
      </c>
      <c r="X941" s="328">
        <v>13</v>
      </c>
      <c r="Y941" s="164">
        <f t="shared" ref="Y941:Y949" si="50">IFERROR(MIN(V941:X941),"")</f>
        <v>13</v>
      </c>
      <c r="Z941" s="161" t="s">
        <v>85</v>
      </c>
      <c r="AA941" s="348">
        <f>IFERROR(BASE_DATOS[[#This Row],[NSK Original]]-BASE_DATOS[[#This Row],[NSK]]," ")</f>
        <v>-13</v>
      </c>
      <c r="AB941" s="349">
        <f>'NSK-TRACTO'!$A$2</f>
        <v>6</v>
      </c>
      <c r="AC941" s="349">
        <f>IF(BASE_DATOS[[#This Row],[NSK]]&gt;=BASE_DATOS[[#This Row],[NSK Reen]],BASE_DATOS[[#This Row],[NSK Reen]],BASE_DATOS[[#This Row],[NSK]])</f>
        <v>6</v>
      </c>
      <c r="AD941" s="350" t="str">
        <f>IFERROR(100%-(BASE_DATOS[[#This Row],[NSK Reen]]/BASE_DATOS[[#This Row],[NSK Original]]),"")</f>
        <v/>
      </c>
      <c r="AE941" s="350" t="str">
        <f>IFERROR(100%-BASE_DATOS[[#This Row],[NSK]]/BASE_DATOS[[#This Row],[NSK Original]],"")</f>
        <v/>
      </c>
      <c r="AF941" s="350" t="str">
        <f>IFERROR(BASE_DATOS[[#This Row],[% Max Des.]]-BASE_DATOS[[#This Row],[% Des]],"")</f>
        <v/>
      </c>
      <c r="AG941" s="287"/>
      <c r="AH941" s="273"/>
      <c r="AI941" s="371" t="str">
        <f>IF(OR(BASE_DATOS[[#This Row],[Hr.]]="",BASE_DATOS[[#This Row],[Hr. Actual]]=""),"",BASE_DATOS[[#This Row],[Hr. Actual]]-BASE_DATOS[[#This Row],[Hr.]]+BASE_DATOS[[#This Row],[Horas Acumuladas]])</f>
        <v/>
      </c>
      <c r="AJ941" s="372" t="str">
        <f>IFERROR(BASE_DATOS[[#This Row],[Precio US$]]/BASE_DATOS[[#This Row],[Horas Rodadas]],"")</f>
        <v/>
      </c>
      <c r="AK941" s="373" t="str">
        <f>IFERROR(BASE_DATOS[[#This Row],[Horas Rodadas]]/(BASE_DATOS[[#This Row],[NSK Original]]-BASE_DATOS[[#This Row],[NSK]]),"")</f>
        <v/>
      </c>
      <c r="AL941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41" s="374" t="str">
        <f>IFERROR(BASE_DATOS[[#This Row],[Precio US$]]/BASE_DATOS[[#This Row],[Horas Proy.]],"")</f>
        <v/>
      </c>
      <c r="AN941" s="181" t="str">
        <f>IF(OR(BASE_DATOS[[#This Row],[Km.]]="",BASE_DATOS[[#This Row],[Km. Actual]]=""),"",BASE_DATOS[[#This Row],[Km. Actual]]-BASE_DATOS[[#This Row],[Km.]]+BASE_DATOS[[#This Row],[Kilómetros Acumulados]])</f>
        <v/>
      </c>
      <c r="AO941" s="182" t="str">
        <f>IFERROR(BASE_DATOS[[#This Row],[Precio US$]]/BASE_DATOS[[#This Row],[Kilómetros Rodados]],"")</f>
        <v/>
      </c>
      <c r="AP941" s="181" t="str">
        <f>IFERROR(BASE_DATOS[[#This Row],[Kilómetros Rodados]]/(BASE_DATOS[[#This Row],[NSK Original]]-BASE_DATOS[[#This Row],[NSK]]),"")</f>
        <v/>
      </c>
      <c r="AQ941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41" s="182" t="str">
        <f>IFERROR(BASE_DATOS[[#This Row],[Precio US$]]/BASE_DATOS[[#This Row],[Kilómetros Proy.]],"")</f>
        <v/>
      </c>
      <c r="AS941" s="170" t="s">
        <v>62</v>
      </c>
      <c r="AT941" s="170"/>
      <c r="AU941" s="170"/>
      <c r="AV941" s="170"/>
      <c r="AW941" s="169"/>
      <c r="AX941" s="169"/>
      <c r="AY941" s="169" t="str">
        <f>CONCATENATE(BASE_DATOS[[#This Row],[Código_U]]&amp;BASE_DATOS[[#This Row],[Pos.]]&amp;BASE_DATOS[[#This Row],[Situación Actual]])</f>
        <v>VQ-322Rodando</v>
      </c>
    </row>
    <row r="942" spans="1:51" ht="12" x14ac:dyDescent="0.25">
      <c r="A942" s="223" t="s">
        <v>488</v>
      </c>
      <c r="B942" s="217" t="s">
        <v>487</v>
      </c>
      <c r="C942" s="230" t="s">
        <v>95</v>
      </c>
      <c r="D942" s="219" t="s">
        <v>61</v>
      </c>
      <c r="E942" s="248"/>
      <c r="F942" s="243" t="s">
        <v>71</v>
      </c>
      <c r="G942" s="243" t="s">
        <v>478</v>
      </c>
      <c r="H942" s="264" t="str">
        <f>IF(BASE_DATOS[[#This Row],[N-R]]="N",BASE_DATOS[[#This Row],[Diseño]],"Reencauche")</f>
        <v>STK</v>
      </c>
      <c r="I942" s="243" t="s">
        <v>96</v>
      </c>
      <c r="J942" s="243" t="s">
        <v>72</v>
      </c>
      <c r="K942" s="265">
        <v>0</v>
      </c>
      <c r="L942" s="243">
        <v>100</v>
      </c>
      <c r="M942" s="246"/>
      <c r="N942" s="266"/>
      <c r="O942" s="286"/>
      <c r="P942" s="287"/>
      <c r="Q942" s="288"/>
      <c r="R942" s="304">
        <v>3</v>
      </c>
      <c r="S942" s="318">
        <v>45386</v>
      </c>
      <c r="T942" s="319"/>
      <c r="U942" s="288"/>
      <c r="V942" s="223">
        <v>16</v>
      </c>
      <c r="W942" s="217"/>
      <c r="X942" s="328">
        <v>13</v>
      </c>
      <c r="Y942" s="164">
        <f t="shared" si="50"/>
        <v>13</v>
      </c>
      <c r="Z942" s="161" t="s">
        <v>85</v>
      </c>
      <c r="AA942" s="348">
        <f>IFERROR(BASE_DATOS[[#This Row],[NSK Original]]-BASE_DATOS[[#This Row],[NSK]]," ")</f>
        <v>-13</v>
      </c>
      <c r="AB942" s="349">
        <f>'NSK-TRACTO'!$A$2</f>
        <v>6</v>
      </c>
      <c r="AC942" s="349">
        <f>IF(BASE_DATOS[[#This Row],[NSK]]&gt;=BASE_DATOS[[#This Row],[NSK Reen]],BASE_DATOS[[#This Row],[NSK Reen]],BASE_DATOS[[#This Row],[NSK]])</f>
        <v>6</v>
      </c>
      <c r="AD942" s="350" t="str">
        <f>IFERROR(100%-(BASE_DATOS[[#This Row],[NSK Reen]]/BASE_DATOS[[#This Row],[NSK Original]]),"")</f>
        <v/>
      </c>
      <c r="AE942" s="350" t="str">
        <f>IFERROR(100%-BASE_DATOS[[#This Row],[NSK]]/BASE_DATOS[[#This Row],[NSK Original]],"")</f>
        <v/>
      </c>
      <c r="AF942" s="350" t="str">
        <f>IFERROR(BASE_DATOS[[#This Row],[% Max Des.]]-BASE_DATOS[[#This Row],[% Des]],"")</f>
        <v/>
      </c>
      <c r="AG942" s="287"/>
      <c r="AH942" s="273"/>
      <c r="AI942" s="371" t="str">
        <f>IF(OR(BASE_DATOS[[#This Row],[Hr.]]="",BASE_DATOS[[#This Row],[Hr. Actual]]=""),"",BASE_DATOS[[#This Row],[Hr. Actual]]-BASE_DATOS[[#This Row],[Hr.]]+BASE_DATOS[[#This Row],[Horas Acumuladas]])</f>
        <v/>
      </c>
      <c r="AJ942" s="372" t="str">
        <f>IFERROR(BASE_DATOS[[#This Row],[Precio US$]]/BASE_DATOS[[#This Row],[Horas Rodadas]],"")</f>
        <v/>
      </c>
      <c r="AK942" s="373" t="str">
        <f>IFERROR(BASE_DATOS[[#This Row],[Horas Rodadas]]/(BASE_DATOS[[#This Row],[NSK Original]]-BASE_DATOS[[#This Row],[NSK]]),"")</f>
        <v/>
      </c>
      <c r="AL942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42" s="374" t="str">
        <f>IFERROR(BASE_DATOS[[#This Row],[Precio US$]]/BASE_DATOS[[#This Row],[Horas Proy.]],"")</f>
        <v/>
      </c>
      <c r="AN942" s="181" t="str">
        <f>IF(OR(BASE_DATOS[[#This Row],[Km.]]="",BASE_DATOS[[#This Row],[Km. Actual]]=""),"",BASE_DATOS[[#This Row],[Km. Actual]]-BASE_DATOS[[#This Row],[Km.]]+BASE_DATOS[[#This Row],[Kilómetros Acumulados]])</f>
        <v/>
      </c>
      <c r="AO942" s="182" t="str">
        <f>IFERROR(BASE_DATOS[[#This Row],[Precio US$]]/BASE_DATOS[[#This Row],[Kilómetros Rodados]],"")</f>
        <v/>
      </c>
      <c r="AP942" s="181" t="str">
        <f>IFERROR(BASE_DATOS[[#This Row],[Kilómetros Rodados]]/(BASE_DATOS[[#This Row],[NSK Original]]-BASE_DATOS[[#This Row],[NSK]]),"")</f>
        <v/>
      </c>
      <c r="AQ942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42" s="182" t="str">
        <f>IFERROR(BASE_DATOS[[#This Row],[Precio US$]]/BASE_DATOS[[#This Row],[Kilómetros Proy.]],"")</f>
        <v/>
      </c>
      <c r="AS942" s="170" t="s">
        <v>62</v>
      </c>
      <c r="AT942" s="170"/>
      <c r="AU942" s="170"/>
      <c r="AV942" s="170"/>
      <c r="AW942" s="169"/>
      <c r="AX942" s="169"/>
      <c r="AY942" s="169" t="str">
        <f>CONCATENATE(BASE_DATOS[[#This Row],[Código_U]]&amp;BASE_DATOS[[#This Row],[Pos.]]&amp;BASE_DATOS[[#This Row],[Situación Actual]])</f>
        <v>VQ-323Rodando</v>
      </c>
    </row>
    <row r="943" spans="1:51" ht="12" x14ac:dyDescent="0.25">
      <c r="A943" s="223" t="s">
        <v>488</v>
      </c>
      <c r="B943" s="217" t="s">
        <v>487</v>
      </c>
      <c r="C943" s="230" t="s">
        <v>95</v>
      </c>
      <c r="D943" s="219" t="s">
        <v>61</v>
      </c>
      <c r="E943" s="248"/>
      <c r="F943" s="243" t="s">
        <v>71</v>
      </c>
      <c r="G943" s="243" t="s">
        <v>478</v>
      </c>
      <c r="H943" s="264" t="str">
        <f>IF(BASE_DATOS[[#This Row],[N-R]]="N",BASE_DATOS[[#This Row],[Diseño]],"Reencauche")</f>
        <v>STK</v>
      </c>
      <c r="I943" s="243" t="s">
        <v>96</v>
      </c>
      <c r="J943" s="243" t="s">
        <v>72</v>
      </c>
      <c r="K943" s="265">
        <v>0</v>
      </c>
      <c r="L943" s="243">
        <v>100</v>
      </c>
      <c r="M943" s="246"/>
      <c r="N943" s="266"/>
      <c r="O943" s="286"/>
      <c r="P943" s="287"/>
      <c r="Q943" s="288"/>
      <c r="R943" s="304">
        <v>4</v>
      </c>
      <c r="S943" s="318">
        <v>45386</v>
      </c>
      <c r="T943" s="319"/>
      <c r="U943" s="288"/>
      <c r="V943" s="223">
        <v>17</v>
      </c>
      <c r="W943" s="217"/>
      <c r="X943" s="328">
        <v>16</v>
      </c>
      <c r="Y943" s="164">
        <f t="shared" si="50"/>
        <v>16</v>
      </c>
      <c r="Z943" s="161" t="s">
        <v>85</v>
      </c>
      <c r="AA943" s="348">
        <f>IFERROR(BASE_DATOS[[#This Row],[NSK Original]]-BASE_DATOS[[#This Row],[NSK]]," ")</f>
        <v>-16</v>
      </c>
      <c r="AB943" s="349">
        <f>'NSK-TRACTO'!$A$2</f>
        <v>6</v>
      </c>
      <c r="AC943" s="349">
        <f>IF(BASE_DATOS[[#This Row],[NSK]]&gt;=BASE_DATOS[[#This Row],[NSK Reen]],BASE_DATOS[[#This Row],[NSK Reen]],BASE_DATOS[[#This Row],[NSK]])</f>
        <v>6</v>
      </c>
      <c r="AD943" s="350" t="str">
        <f>IFERROR(100%-(BASE_DATOS[[#This Row],[NSK Reen]]/BASE_DATOS[[#This Row],[NSK Original]]),"")</f>
        <v/>
      </c>
      <c r="AE943" s="350" t="str">
        <f>IFERROR(100%-BASE_DATOS[[#This Row],[NSK]]/BASE_DATOS[[#This Row],[NSK Original]],"")</f>
        <v/>
      </c>
      <c r="AF943" s="350" t="str">
        <f>IFERROR(BASE_DATOS[[#This Row],[% Max Des.]]-BASE_DATOS[[#This Row],[% Des]],"")</f>
        <v/>
      </c>
      <c r="AG943" s="287"/>
      <c r="AH943" s="273"/>
      <c r="AI943" s="371" t="str">
        <f>IF(OR(BASE_DATOS[[#This Row],[Hr.]]="",BASE_DATOS[[#This Row],[Hr. Actual]]=""),"",BASE_DATOS[[#This Row],[Hr. Actual]]-BASE_DATOS[[#This Row],[Hr.]]+BASE_DATOS[[#This Row],[Horas Acumuladas]])</f>
        <v/>
      </c>
      <c r="AJ943" s="372" t="str">
        <f>IFERROR(BASE_DATOS[[#This Row],[Precio US$]]/BASE_DATOS[[#This Row],[Horas Rodadas]],"")</f>
        <v/>
      </c>
      <c r="AK943" s="373" t="str">
        <f>IFERROR(BASE_DATOS[[#This Row],[Horas Rodadas]]/(BASE_DATOS[[#This Row],[NSK Original]]-BASE_DATOS[[#This Row],[NSK]]),"")</f>
        <v/>
      </c>
      <c r="AL943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43" s="374" t="str">
        <f>IFERROR(BASE_DATOS[[#This Row],[Precio US$]]/BASE_DATOS[[#This Row],[Horas Proy.]],"")</f>
        <v/>
      </c>
      <c r="AN943" s="181" t="str">
        <f>IF(OR(BASE_DATOS[[#This Row],[Km.]]="",BASE_DATOS[[#This Row],[Km. Actual]]=""),"",BASE_DATOS[[#This Row],[Km. Actual]]-BASE_DATOS[[#This Row],[Km.]]+BASE_DATOS[[#This Row],[Kilómetros Acumulados]])</f>
        <v/>
      </c>
      <c r="AO943" s="182" t="str">
        <f>IFERROR(BASE_DATOS[[#This Row],[Precio US$]]/BASE_DATOS[[#This Row],[Kilómetros Rodados]],"")</f>
        <v/>
      </c>
      <c r="AP943" s="181" t="str">
        <f>IFERROR(BASE_DATOS[[#This Row],[Kilómetros Rodados]]/(BASE_DATOS[[#This Row],[NSK Original]]-BASE_DATOS[[#This Row],[NSK]]),"")</f>
        <v/>
      </c>
      <c r="AQ943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43" s="182" t="str">
        <f>IFERROR(BASE_DATOS[[#This Row],[Precio US$]]/BASE_DATOS[[#This Row],[Kilómetros Proy.]],"")</f>
        <v/>
      </c>
      <c r="AS943" s="170" t="s">
        <v>62</v>
      </c>
      <c r="AT943" s="170"/>
      <c r="AU943" s="170"/>
      <c r="AV943" s="170"/>
      <c r="AW943" s="169"/>
      <c r="AX943" s="169"/>
      <c r="AY943" s="169" t="str">
        <f>CONCATENATE(BASE_DATOS[[#This Row],[Código_U]]&amp;BASE_DATOS[[#This Row],[Pos.]]&amp;BASE_DATOS[[#This Row],[Situación Actual]])</f>
        <v>VQ-324Rodando</v>
      </c>
    </row>
    <row r="944" spans="1:51" ht="12" x14ac:dyDescent="0.25">
      <c r="A944" s="223" t="s">
        <v>488</v>
      </c>
      <c r="B944" s="217" t="s">
        <v>487</v>
      </c>
      <c r="C944" s="230" t="s">
        <v>95</v>
      </c>
      <c r="D944" s="219" t="s">
        <v>61</v>
      </c>
      <c r="E944" s="248"/>
      <c r="F944" s="243" t="s">
        <v>71</v>
      </c>
      <c r="G944" s="243" t="s">
        <v>478</v>
      </c>
      <c r="H944" s="264" t="str">
        <f>IF(BASE_DATOS[[#This Row],[N-R]]="N",BASE_DATOS[[#This Row],[Diseño]],"Reencauche")</f>
        <v>STK</v>
      </c>
      <c r="I944" s="243" t="s">
        <v>96</v>
      </c>
      <c r="J944" s="243" t="s">
        <v>72</v>
      </c>
      <c r="K944" s="265">
        <v>0</v>
      </c>
      <c r="L944" s="243">
        <v>100</v>
      </c>
      <c r="M944" s="246"/>
      <c r="N944" s="266"/>
      <c r="O944" s="286"/>
      <c r="P944" s="287"/>
      <c r="Q944" s="288"/>
      <c r="R944" s="304">
        <v>5</v>
      </c>
      <c r="S944" s="318">
        <v>45386</v>
      </c>
      <c r="T944" s="319"/>
      <c r="U944" s="288"/>
      <c r="V944" s="223">
        <v>12</v>
      </c>
      <c r="W944" s="217"/>
      <c r="X944" s="328">
        <v>11</v>
      </c>
      <c r="Y944" s="164">
        <f t="shared" si="50"/>
        <v>11</v>
      </c>
      <c r="Z944" s="161" t="s">
        <v>85</v>
      </c>
      <c r="AA944" s="348">
        <f>IFERROR(BASE_DATOS[[#This Row],[NSK Original]]-BASE_DATOS[[#This Row],[NSK]]," ")</f>
        <v>-11</v>
      </c>
      <c r="AB944" s="349">
        <f>'NSK-TRACTO'!$A$2</f>
        <v>6</v>
      </c>
      <c r="AC944" s="349">
        <f>IF(BASE_DATOS[[#This Row],[NSK]]&gt;=BASE_DATOS[[#This Row],[NSK Reen]],BASE_DATOS[[#This Row],[NSK Reen]],BASE_DATOS[[#This Row],[NSK]])</f>
        <v>6</v>
      </c>
      <c r="AD944" s="350" t="str">
        <f>IFERROR(100%-(BASE_DATOS[[#This Row],[NSK Reen]]/BASE_DATOS[[#This Row],[NSK Original]]),"")</f>
        <v/>
      </c>
      <c r="AE944" s="350" t="str">
        <f>IFERROR(100%-BASE_DATOS[[#This Row],[NSK]]/BASE_DATOS[[#This Row],[NSK Original]],"")</f>
        <v/>
      </c>
      <c r="AF944" s="350" t="str">
        <f>IFERROR(BASE_DATOS[[#This Row],[% Max Des.]]-BASE_DATOS[[#This Row],[% Des]],"")</f>
        <v/>
      </c>
      <c r="AG944" s="287"/>
      <c r="AH944" s="273"/>
      <c r="AI944" s="371" t="str">
        <f>IF(OR(BASE_DATOS[[#This Row],[Hr.]]="",BASE_DATOS[[#This Row],[Hr. Actual]]=""),"",BASE_DATOS[[#This Row],[Hr. Actual]]-BASE_DATOS[[#This Row],[Hr.]]+BASE_DATOS[[#This Row],[Horas Acumuladas]])</f>
        <v/>
      </c>
      <c r="AJ944" s="372" t="str">
        <f>IFERROR(BASE_DATOS[[#This Row],[Precio US$]]/BASE_DATOS[[#This Row],[Horas Rodadas]],"")</f>
        <v/>
      </c>
      <c r="AK944" s="373" t="str">
        <f>IFERROR(BASE_DATOS[[#This Row],[Horas Rodadas]]/(BASE_DATOS[[#This Row],[NSK Original]]-BASE_DATOS[[#This Row],[NSK]]),"")</f>
        <v/>
      </c>
      <c r="AL944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44" s="374" t="str">
        <f>IFERROR(BASE_DATOS[[#This Row],[Precio US$]]/BASE_DATOS[[#This Row],[Horas Proy.]],"")</f>
        <v/>
      </c>
      <c r="AN944" s="181" t="str">
        <f>IF(OR(BASE_DATOS[[#This Row],[Km.]]="",BASE_DATOS[[#This Row],[Km. Actual]]=""),"",BASE_DATOS[[#This Row],[Km. Actual]]-BASE_DATOS[[#This Row],[Km.]]+BASE_DATOS[[#This Row],[Kilómetros Acumulados]])</f>
        <v/>
      </c>
      <c r="AO944" s="182" t="str">
        <f>IFERROR(BASE_DATOS[[#This Row],[Precio US$]]/BASE_DATOS[[#This Row],[Kilómetros Rodados]],"")</f>
        <v/>
      </c>
      <c r="AP944" s="181" t="str">
        <f>IFERROR(BASE_DATOS[[#This Row],[Kilómetros Rodados]]/(BASE_DATOS[[#This Row],[NSK Original]]-BASE_DATOS[[#This Row],[NSK]]),"")</f>
        <v/>
      </c>
      <c r="AQ944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44" s="182" t="str">
        <f>IFERROR(BASE_DATOS[[#This Row],[Precio US$]]/BASE_DATOS[[#This Row],[Kilómetros Proy.]],"")</f>
        <v/>
      </c>
      <c r="AS944" s="170" t="s">
        <v>62</v>
      </c>
      <c r="AT944" s="170"/>
      <c r="AU944" s="170"/>
      <c r="AV944" s="170"/>
      <c r="AW944" s="169"/>
      <c r="AX944" s="169"/>
      <c r="AY944" s="169" t="str">
        <f>CONCATENATE(BASE_DATOS[[#This Row],[Código_U]]&amp;BASE_DATOS[[#This Row],[Pos.]]&amp;BASE_DATOS[[#This Row],[Situación Actual]])</f>
        <v>VQ-325Rodando</v>
      </c>
    </row>
    <row r="945" spans="1:51" ht="12" x14ac:dyDescent="0.25">
      <c r="A945" s="223" t="s">
        <v>488</v>
      </c>
      <c r="B945" s="217" t="s">
        <v>487</v>
      </c>
      <c r="C945" s="230" t="s">
        <v>95</v>
      </c>
      <c r="D945" s="219" t="s">
        <v>61</v>
      </c>
      <c r="E945" s="248"/>
      <c r="F945" s="243" t="s">
        <v>71</v>
      </c>
      <c r="G945" s="243" t="s">
        <v>478</v>
      </c>
      <c r="H945" s="264" t="str">
        <f>IF(BASE_DATOS[[#This Row],[N-R]]="N",BASE_DATOS[[#This Row],[Diseño]],"Reencauche")</f>
        <v>STK</v>
      </c>
      <c r="I945" s="243" t="s">
        <v>96</v>
      </c>
      <c r="J945" s="243" t="s">
        <v>72</v>
      </c>
      <c r="K945" s="265">
        <v>0</v>
      </c>
      <c r="L945" s="243">
        <v>100</v>
      </c>
      <c r="M945" s="246"/>
      <c r="N945" s="266"/>
      <c r="O945" s="286"/>
      <c r="P945" s="287"/>
      <c r="Q945" s="288"/>
      <c r="R945" s="304">
        <v>6</v>
      </c>
      <c r="S945" s="318">
        <v>45386</v>
      </c>
      <c r="T945" s="319"/>
      <c r="U945" s="288"/>
      <c r="V945" s="223">
        <v>11</v>
      </c>
      <c r="W945" s="217"/>
      <c r="X945" s="328">
        <v>8</v>
      </c>
      <c r="Y945" s="164">
        <f t="shared" si="50"/>
        <v>8</v>
      </c>
      <c r="Z945" s="161" t="s">
        <v>85</v>
      </c>
      <c r="AA945" s="348">
        <f>IFERROR(BASE_DATOS[[#This Row],[NSK Original]]-BASE_DATOS[[#This Row],[NSK]]," ")</f>
        <v>-8</v>
      </c>
      <c r="AB945" s="349">
        <f>'NSK-TRACTO'!$A$2</f>
        <v>6</v>
      </c>
      <c r="AC945" s="349">
        <f>IF(BASE_DATOS[[#This Row],[NSK]]&gt;=BASE_DATOS[[#This Row],[NSK Reen]],BASE_DATOS[[#This Row],[NSK Reen]],BASE_DATOS[[#This Row],[NSK]])</f>
        <v>6</v>
      </c>
      <c r="AD945" s="350" t="str">
        <f>IFERROR(100%-(BASE_DATOS[[#This Row],[NSK Reen]]/BASE_DATOS[[#This Row],[NSK Original]]),"")</f>
        <v/>
      </c>
      <c r="AE945" s="350" t="str">
        <f>IFERROR(100%-BASE_DATOS[[#This Row],[NSK]]/BASE_DATOS[[#This Row],[NSK Original]],"")</f>
        <v/>
      </c>
      <c r="AF945" s="350" t="str">
        <f>IFERROR(BASE_DATOS[[#This Row],[% Max Des.]]-BASE_DATOS[[#This Row],[% Des]],"")</f>
        <v/>
      </c>
      <c r="AG945" s="287"/>
      <c r="AH945" s="273"/>
      <c r="AI945" s="371" t="str">
        <f>IF(OR(BASE_DATOS[[#This Row],[Hr.]]="",BASE_DATOS[[#This Row],[Hr. Actual]]=""),"",BASE_DATOS[[#This Row],[Hr. Actual]]-BASE_DATOS[[#This Row],[Hr.]]+BASE_DATOS[[#This Row],[Horas Acumuladas]])</f>
        <v/>
      </c>
      <c r="AJ945" s="372" t="str">
        <f>IFERROR(BASE_DATOS[[#This Row],[Precio US$]]/BASE_DATOS[[#This Row],[Horas Rodadas]],"")</f>
        <v/>
      </c>
      <c r="AK945" s="373" t="str">
        <f>IFERROR(BASE_DATOS[[#This Row],[Horas Rodadas]]/(BASE_DATOS[[#This Row],[NSK Original]]-BASE_DATOS[[#This Row],[NSK]]),"")</f>
        <v/>
      </c>
      <c r="AL945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45" s="374" t="str">
        <f>IFERROR(BASE_DATOS[[#This Row],[Precio US$]]/BASE_DATOS[[#This Row],[Horas Proy.]],"")</f>
        <v/>
      </c>
      <c r="AN945" s="181" t="str">
        <f>IF(OR(BASE_DATOS[[#This Row],[Km.]]="",BASE_DATOS[[#This Row],[Km. Actual]]=""),"",BASE_DATOS[[#This Row],[Km. Actual]]-BASE_DATOS[[#This Row],[Km.]]+BASE_DATOS[[#This Row],[Kilómetros Acumulados]])</f>
        <v/>
      </c>
      <c r="AO945" s="182" t="str">
        <f>IFERROR(BASE_DATOS[[#This Row],[Precio US$]]/BASE_DATOS[[#This Row],[Kilómetros Rodados]],"")</f>
        <v/>
      </c>
      <c r="AP945" s="181" t="str">
        <f>IFERROR(BASE_DATOS[[#This Row],[Kilómetros Rodados]]/(BASE_DATOS[[#This Row],[NSK Original]]-BASE_DATOS[[#This Row],[NSK]]),"")</f>
        <v/>
      </c>
      <c r="AQ945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45" s="182" t="str">
        <f>IFERROR(BASE_DATOS[[#This Row],[Precio US$]]/BASE_DATOS[[#This Row],[Kilómetros Proy.]],"")</f>
        <v/>
      </c>
      <c r="AS945" s="170" t="s">
        <v>62</v>
      </c>
      <c r="AT945" s="170"/>
      <c r="AU945" s="170"/>
      <c r="AV945" s="170"/>
      <c r="AW945" s="169"/>
      <c r="AX945" s="169"/>
      <c r="AY945" s="169" t="str">
        <f>CONCATENATE(BASE_DATOS[[#This Row],[Código_U]]&amp;BASE_DATOS[[#This Row],[Pos.]]&amp;BASE_DATOS[[#This Row],[Situación Actual]])</f>
        <v>VQ-326Rodando</v>
      </c>
    </row>
    <row r="946" spans="1:51" ht="12" x14ac:dyDescent="0.25">
      <c r="A946" s="223" t="s">
        <v>488</v>
      </c>
      <c r="B946" s="217" t="s">
        <v>487</v>
      </c>
      <c r="C946" s="230" t="s">
        <v>95</v>
      </c>
      <c r="D946" s="219" t="s">
        <v>61</v>
      </c>
      <c r="E946" s="248"/>
      <c r="F946" s="243" t="s">
        <v>273</v>
      </c>
      <c r="G946" s="243" t="s">
        <v>479</v>
      </c>
      <c r="H946" s="264" t="str">
        <f>IF(BASE_DATOS[[#This Row],[N-R]]="N",BASE_DATOS[[#This Row],[Diseño]],"Reencauche")</f>
        <v>XFORCE</v>
      </c>
      <c r="I946" s="243" t="s">
        <v>481</v>
      </c>
      <c r="J946" s="243" t="s">
        <v>72</v>
      </c>
      <c r="K946" s="265">
        <v>0</v>
      </c>
      <c r="L946" s="243">
        <v>110</v>
      </c>
      <c r="M946" s="246"/>
      <c r="N946" s="266"/>
      <c r="O946" s="286"/>
      <c r="P946" s="287"/>
      <c r="Q946" s="288"/>
      <c r="R946" s="304">
        <v>7</v>
      </c>
      <c r="S946" s="318">
        <v>45386</v>
      </c>
      <c r="T946" s="319"/>
      <c r="U946" s="288"/>
      <c r="V946" s="223">
        <v>21</v>
      </c>
      <c r="W946" s="217"/>
      <c r="X946" s="328">
        <v>21</v>
      </c>
      <c r="Y946" s="164">
        <f t="shared" si="50"/>
        <v>21</v>
      </c>
      <c r="Z946" s="161" t="s">
        <v>85</v>
      </c>
      <c r="AA946" s="348">
        <f>IFERROR(BASE_DATOS[[#This Row],[NSK Original]]-BASE_DATOS[[#This Row],[NSK]]," ")</f>
        <v>-21</v>
      </c>
      <c r="AB946" s="349">
        <f>'NSK-TRACTO'!$A$2</f>
        <v>6</v>
      </c>
      <c r="AC946" s="349">
        <f>IF(BASE_DATOS[[#This Row],[NSK]]&gt;=BASE_DATOS[[#This Row],[NSK Reen]],BASE_DATOS[[#This Row],[NSK Reen]],BASE_DATOS[[#This Row],[NSK]])</f>
        <v>6</v>
      </c>
      <c r="AD946" s="350" t="str">
        <f>IFERROR(100%-(BASE_DATOS[[#This Row],[NSK Reen]]/BASE_DATOS[[#This Row],[NSK Original]]),"")</f>
        <v/>
      </c>
      <c r="AE946" s="350" t="str">
        <f>IFERROR(100%-BASE_DATOS[[#This Row],[NSK]]/BASE_DATOS[[#This Row],[NSK Original]],"")</f>
        <v/>
      </c>
      <c r="AF946" s="350" t="str">
        <f>IFERROR(BASE_DATOS[[#This Row],[% Max Des.]]-BASE_DATOS[[#This Row],[% Des]],"")</f>
        <v/>
      </c>
      <c r="AG946" s="287"/>
      <c r="AH946" s="273"/>
      <c r="AI946" s="371" t="str">
        <f>IF(OR(BASE_DATOS[[#This Row],[Hr.]]="",BASE_DATOS[[#This Row],[Hr. Actual]]=""),"",BASE_DATOS[[#This Row],[Hr. Actual]]-BASE_DATOS[[#This Row],[Hr.]]+BASE_DATOS[[#This Row],[Horas Acumuladas]])</f>
        <v/>
      </c>
      <c r="AJ946" s="372" t="str">
        <f>IFERROR(BASE_DATOS[[#This Row],[Precio US$]]/BASE_DATOS[[#This Row],[Horas Rodadas]],"")</f>
        <v/>
      </c>
      <c r="AK946" s="373" t="str">
        <f>IFERROR(BASE_DATOS[[#This Row],[Horas Rodadas]]/(BASE_DATOS[[#This Row],[NSK Original]]-BASE_DATOS[[#This Row],[NSK]]),"")</f>
        <v/>
      </c>
      <c r="AL946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46" s="374" t="str">
        <f>IFERROR(BASE_DATOS[[#This Row],[Precio US$]]/BASE_DATOS[[#This Row],[Horas Proy.]],"")</f>
        <v/>
      </c>
      <c r="AN946" s="181" t="str">
        <f>IF(OR(BASE_DATOS[[#This Row],[Km.]]="",BASE_DATOS[[#This Row],[Km. Actual]]=""),"",BASE_DATOS[[#This Row],[Km. Actual]]-BASE_DATOS[[#This Row],[Km.]]+BASE_DATOS[[#This Row],[Kilómetros Acumulados]])</f>
        <v/>
      </c>
      <c r="AO946" s="182" t="str">
        <f>IFERROR(BASE_DATOS[[#This Row],[Precio US$]]/BASE_DATOS[[#This Row],[Kilómetros Rodados]],"")</f>
        <v/>
      </c>
      <c r="AP946" s="181" t="str">
        <f>IFERROR(BASE_DATOS[[#This Row],[Kilómetros Rodados]]/(BASE_DATOS[[#This Row],[NSK Original]]-BASE_DATOS[[#This Row],[NSK]]),"")</f>
        <v/>
      </c>
      <c r="AQ946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46" s="182" t="str">
        <f>IFERROR(BASE_DATOS[[#This Row],[Precio US$]]/BASE_DATOS[[#This Row],[Kilómetros Proy.]],"")</f>
        <v/>
      </c>
      <c r="AS946" s="170" t="s">
        <v>62</v>
      </c>
      <c r="AT946" s="170"/>
      <c r="AU946" s="170"/>
      <c r="AV946" s="170"/>
      <c r="AW946" s="169"/>
      <c r="AX946" s="169"/>
      <c r="AY946" s="169" t="str">
        <f>CONCATENATE(BASE_DATOS[[#This Row],[Código_U]]&amp;BASE_DATOS[[#This Row],[Pos.]]&amp;BASE_DATOS[[#This Row],[Situación Actual]])</f>
        <v>VQ-327Rodando</v>
      </c>
    </row>
    <row r="947" spans="1:51" ht="12" x14ac:dyDescent="0.25">
      <c r="A947" s="223" t="s">
        <v>488</v>
      </c>
      <c r="B947" s="217" t="s">
        <v>487</v>
      </c>
      <c r="C947" s="230" t="s">
        <v>95</v>
      </c>
      <c r="D947" s="219" t="s">
        <v>61</v>
      </c>
      <c r="E947" s="248"/>
      <c r="F947" s="243" t="s">
        <v>273</v>
      </c>
      <c r="G947" s="243" t="s">
        <v>479</v>
      </c>
      <c r="H947" s="264" t="str">
        <f>IF(BASE_DATOS[[#This Row],[N-R]]="N",BASE_DATOS[[#This Row],[Diseño]],"Reencauche")</f>
        <v>XFORCE</v>
      </c>
      <c r="I947" s="243" t="s">
        <v>481</v>
      </c>
      <c r="J947" s="243" t="s">
        <v>72</v>
      </c>
      <c r="K947" s="265">
        <v>0</v>
      </c>
      <c r="L947" s="243">
        <v>110</v>
      </c>
      <c r="M947" s="246"/>
      <c r="N947" s="266"/>
      <c r="O947" s="286"/>
      <c r="P947" s="287"/>
      <c r="Q947" s="288"/>
      <c r="R947" s="304">
        <v>8</v>
      </c>
      <c r="S947" s="318">
        <v>45386</v>
      </c>
      <c r="T947" s="319"/>
      <c r="U947" s="288"/>
      <c r="V947" s="223">
        <v>21</v>
      </c>
      <c r="W947" s="217"/>
      <c r="X947" s="328">
        <v>21</v>
      </c>
      <c r="Y947" s="164">
        <f t="shared" si="50"/>
        <v>21</v>
      </c>
      <c r="Z947" s="161" t="s">
        <v>85</v>
      </c>
      <c r="AA947" s="348">
        <f>IFERROR(BASE_DATOS[[#This Row],[NSK Original]]-BASE_DATOS[[#This Row],[NSK]]," ")</f>
        <v>-21</v>
      </c>
      <c r="AB947" s="349">
        <f>'NSK-TRACTO'!$A$2</f>
        <v>6</v>
      </c>
      <c r="AC947" s="349">
        <f>IF(BASE_DATOS[[#This Row],[NSK]]&gt;=BASE_DATOS[[#This Row],[NSK Reen]],BASE_DATOS[[#This Row],[NSK Reen]],BASE_DATOS[[#This Row],[NSK]])</f>
        <v>6</v>
      </c>
      <c r="AD947" s="350" t="str">
        <f>IFERROR(100%-(BASE_DATOS[[#This Row],[NSK Reen]]/BASE_DATOS[[#This Row],[NSK Original]]),"")</f>
        <v/>
      </c>
      <c r="AE947" s="350" t="str">
        <f>IFERROR(100%-BASE_DATOS[[#This Row],[NSK]]/BASE_DATOS[[#This Row],[NSK Original]],"")</f>
        <v/>
      </c>
      <c r="AF947" s="350" t="str">
        <f>IFERROR(BASE_DATOS[[#This Row],[% Max Des.]]-BASE_DATOS[[#This Row],[% Des]],"")</f>
        <v/>
      </c>
      <c r="AG947" s="287"/>
      <c r="AH947" s="273"/>
      <c r="AI947" s="371" t="str">
        <f>IF(OR(BASE_DATOS[[#This Row],[Hr.]]="",BASE_DATOS[[#This Row],[Hr. Actual]]=""),"",BASE_DATOS[[#This Row],[Hr. Actual]]-BASE_DATOS[[#This Row],[Hr.]]+BASE_DATOS[[#This Row],[Horas Acumuladas]])</f>
        <v/>
      </c>
      <c r="AJ947" s="372" t="str">
        <f>IFERROR(BASE_DATOS[[#This Row],[Precio US$]]/BASE_DATOS[[#This Row],[Horas Rodadas]],"")</f>
        <v/>
      </c>
      <c r="AK947" s="373" t="str">
        <f>IFERROR(BASE_DATOS[[#This Row],[Horas Rodadas]]/(BASE_DATOS[[#This Row],[NSK Original]]-BASE_DATOS[[#This Row],[NSK]]),"")</f>
        <v/>
      </c>
      <c r="AL947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47" s="374" t="str">
        <f>IFERROR(BASE_DATOS[[#This Row],[Precio US$]]/BASE_DATOS[[#This Row],[Horas Proy.]],"")</f>
        <v/>
      </c>
      <c r="AN947" s="181" t="str">
        <f>IF(OR(BASE_DATOS[[#This Row],[Km.]]="",BASE_DATOS[[#This Row],[Km. Actual]]=""),"",BASE_DATOS[[#This Row],[Km. Actual]]-BASE_DATOS[[#This Row],[Km.]]+BASE_DATOS[[#This Row],[Kilómetros Acumulados]])</f>
        <v/>
      </c>
      <c r="AO947" s="182" t="str">
        <f>IFERROR(BASE_DATOS[[#This Row],[Precio US$]]/BASE_DATOS[[#This Row],[Kilómetros Rodados]],"")</f>
        <v/>
      </c>
      <c r="AP947" s="181" t="str">
        <f>IFERROR(BASE_DATOS[[#This Row],[Kilómetros Rodados]]/(BASE_DATOS[[#This Row],[NSK Original]]-BASE_DATOS[[#This Row],[NSK]]),"")</f>
        <v/>
      </c>
      <c r="AQ947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47" s="182" t="str">
        <f>IFERROR(BASE_DATOS[[#This Row],[Precio US$]]/BASE_DATOS[[#This Row],[Kilómetros Proy.]],"")</f>
        <v/>
      </c>
      <c r="AS947" s="170" t="s">
        <v>62</v>
      </c>
      <c r="AT947" s="170"/>
      <c r="AU947" s="170"/>
      <c r="AV947" s="170"/>
      <c r="AW947" s="169"/>
      <c r="AX947" s="169"/>
      <c r="AY947" s="169" t="str">
        <f>CONCATENATE(BASE_DATOS[[#This Row],[Código_U]]&amp;BASE_DATOS[[#This Row],[Pos.]]&amp;BASE_DATOS[[#This Row],[Situación Actual]])</f>
        <v>VQ-328Rodando</v>
      </c>
    </row>
    <row r="948" spans="1:51" ht="12" x14ac:dyDescent="0.25">
      <c r="A948" s="223" t="s">
        <v>488</v>
      </c>
      <c r="B948" s="217" t="s">
        <v>487</v>
      </c>
      <c r="C948" s="230" t="s">
        <v>95</v>
      </c>
      <c r="D948" s="219" t="s">
        <v>61</v>
      </c>
      <c r="E948" s="248"/>
      <c r="F948" s="243" t="s">
        <v>71</v>
      </c>
      <c r="G948" s="243" t="s">
        <v>479</v>
      </c>
      <c r="H948" s="264" t="str">
        <f>IF(BASE_DATOS[[#This Row],[N-R]]="N",BASE_DATOS[[#This Row],[Diseño]],"Reencauche")</f>
        <v>OMNITRAC D</v>
      </c>
      <c r="I948" s="243" t="s">
        <v>482</v>
      </c>
      <c r="J948" s="243" t="s">
        <v>72</v>
      </c>
      <c r="K948" s="265">
        <v>0</v>
      </c>
      <c r="L948" s="243">
        <v>110</v>
      </c>
      <c r="M948" s="246"/>
      <c r="N948" s="266"/>
      <c r="O948" s="286"/>
      <c r="P948" s="287"/>
      <c r="Q948" s="288"/>
      <c r="R948" s="304">
        <v>9</v>
      </c>
      <c r="S948" s="318">
        <v>45386</v>
      </c>
      <c r="T948" s="319"/>
      <c r="U948" s="288"/>
      <c r="V948" s="223">
        <v>15</v>
      </c>
      <c r="W948" s="217"/>
      <c r="X948" s="328">
        <v>16</v>
      </c>
      <c r="Y948" s="164">
        <f t="shared" si="50"/>
        <v>15</v>
      </c>
      <c r="Z948" s="161" t="s">
        <v>85</v>
      </c>
      <c r="AA948" s="348">
        <f>IFERROR(BASE_DATOS[[#This Row],[NSK Original]]-BASE_DATOS[[#This Row],[NSK]]," ")</f>
        <v>-15</v>
      </c>
      <c r="AB948" s="349">
        <f>'NSK-TRACTO'!$A$2</f>
        <v>6</v>
      </c>
      <c r="AC948" s="349">
        <f>IF(BASE_DATOS[[#This Row],[NSK]]&gt;=BASE_DATOS[[#This Row],[NSK Reen]],BASE_DATOS[[#This Row],[NSK Reen]],BASE_DATOS[[#This Row],[NSK]])</f>
        <v>6</v>
      </c>
      <c r="AD948" s="350" t="str">
        <f>IFERROR(100%-(BASE_DATOS[[#This Row],[NSK Reen]]/BASE_DATOS[[#This Row],[NSK Original]]),"")</f>
        <v/>
      </c>
      <c r="AE948" s="350" t="str">
        <f>IFERROR(100%-BASE_DATOS[[#This Row],[NSK]]/BASE_DATOS[[#This Row],[NSK Original]],"")</f>
        <v/>
      </c>
      <c r="AF948" s="350" t="str">
        <f>IFERROR(BASE_DATOS[[#This Row],[% Max Des.]]-BASE_DATOS[[#This Row],[% Des]],"")</f>
        <v/>
      </c>
      <c r="AG948" s="287"/>
      <c r="AH948" s="273"/>
      <c r="AI948" s="371" t="str">
        <f>IF(OR(BASE_DATOS[[#This Row],[Hr.]]="",BASE_DATOS[[#This Row],[Hr. Actual]]=""),"",BASE_DATOS[[#This Row],[Hr. Actual]]-BASE_DATOS[[#This Row],[Hr.]]+BASE_DATOS[[#This Row],[Horas Acumuladas]])</f>
        <v/>
      </c>
      <c r="AJ948" s="372" t="str">
        <f>IFERROR(BASE_DATOS[[#This Row],[Precio US$]]/BASE_DATOS[[#This Row],[Horas Rodadas]],"")</f>
        <v/>
      </c>
      <c r="AK948" s="373" t="str">
        <f>IFERROR(BASE_DATOS[[#This Row],[Horas Rodadas]]/(BASE_DATOS[[#This Row],[NSK Original]]-BASE_DATOS[[#This Row],[NSK]]),"")</f>
        <v/>
      </c>
      <c r="AL948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48" s="374" t="str">
        <f>IFERROR(BASE_DATOS[[#This Row],[Precio US$]]/BASE_DATOS[[#This Row],[Horas Proy.]],"")</f>
        <v/>
      </c>
      <c r="AN948" s="181" t="str">
        <f>IF(OR(BASE_DATOS[[#This Row],[Km.]]="",BASE_DATOS[[#This Row],[Km. Actual]]=""),"",BASE_DATOS[[#This Row],[Km. Actual]]-BASE_DATOS[[#This Row],[Km.]]+BASE_DATOS[[#This Row],[Kilómetros Acumulados]])</f>
        <v/>
      </c>
      <c r="AO948" s="182" t="str">
        <f>IFERROR(BASE_DATOS[[#This Row],[Precio US$]]/BASE_DATOS[[#This Row],[Kilómetros Rodados]],"")</f>
        <v/>
      </c>
      <c r="AP948" s="181" t="str">
        <f>IFERROR(BASE_DATOS[[#This Row],[Kilómetros Rodados]]/(BASE_DATOS[[#This Row],[NSK Original]]-BASE_DATOS[[#This Row],[NSK]]),"")</f>
        <v/>
      </c>
      <c r="AQ948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48" s="182" t="str">
        <f>IFERROR(BASE_DATOS[[#This Row],[Precio US$]]/BASE_DATOS[[#This Row],[Kilómetros Proy.]],"")</f>
        <v/>
      </c>
      <c r="AS948" s="170" t="s">
        <v>62</v>
      </c>
      <c r="AT948" s="170"/>
      <c r="AU948" s="170"/>
      <c r="AV948" s="170"/>
      <c r="AW948" s="169"/>
      <c r="AX948" s="169"/>
      <c r="AY948" s="169" t="str">
        <f>CONCATENATE(BASE_DATOS[[#This Row],[Código_U]]&amp;BASE_DATOS[[#This Row],[Pos.]]&amp;BASE_DATOS[[#This Row],[Situación Actual]])</f>
        <v>VQ-329Rodando</v>
      </c>
    </row>
    <row r="949" spans="1:51" ht="12" x14ac:dyDescent="0.25">
      <c r="A949" s="223" t="s">
        <v>488</v>
      </c>
      <c r="B949" s="217" t="s">
        <v>487</v>
      </c>
      <c r="C949" s="230" t="s">
        <v>95</v>
      </c>
      <c r="D949" s="219" t="s">
        <v>61</v>
      </c>
      <c r="E949" s="248"/>
      <c r="F949" s="243" t="s">
        <v>71</v>
      </c>
      <c r="G949" s="243" t="s">
        <v>479</v>
      </c>
      <c r="H949" s="264" t="str">
        <f>IF(BASE_DATOS[[#This Row],[N-R]]="N",BASE_DATOS[[#This Row],[Diseño]],"Reencauche")</f>
        <v>OMNITRAC D</v>
      </c>
      <c r="I949" s="243" t="s">
        <v>482</v>
      </c>
      <c r="J949" s="243" t="s">
        <v>72</v>
      </c>
      <c r="K949" s="265">
        <v>0</v>
      </c>
      <c r="L949" s="243">
        <v>110</v>
      </c>
      <c r="M949" s="246"/>
      <c r="N949" s="266"/>
      <c r="O949" s="286"/>
      <c r="P949" s="287"/>
      <c r="Q949" s="288"/>
      <c r="R949" s="304">
        <v>10</v>
      </c>
      <c r="S949" s="318">
        <v>45386</v>
      </c>
      <c r="T949" s="319"/>
      <c r="U949" s="288"/>
      <c r="V949" s="223">
        <v>14</v>
      </c>
      <c r="W949" s="217"/>
      <c r="X949" s="328">
        <v>14</v>
      </c>
      <c r="Y949" s="164">
        <f t="shared" si="50"/>
        <v>14</v>
      </c>
      <c r="Z949" s="161" t="s">
        <v>85</v>
      </c>
      <c r="AA949" s="348">
        <f>IFERROR(BASE_DATOS[[#This Row],[NSK Original]]-BASE_DATOS[[#This Row],[NSK]]," ")</f>
        <v>-14</v>
      </c>
      <c r="AB949" s="349">
        <f>'NSK-TRACTO'!$A$2</f>
        <v>6</v>
      </c>
      <c r="AC949" s="349">
        <f>IF(BASE_DATOS[[#This Row],[NSK]]&gt;=BASE_DATOS[[#This Row],[NSK Reen]],BASE_DATOS[[#This Row],[NSK Reen]],BASE_DATOS[[#This Row],[NSK]])</f>
        <v>6</v>
      </c>
      <c r="AD949" s="350" t="str">
        <f>IFERROR(100%-(BASE_DATOS[[#This Row],[NSK Reen]]/BASE_DATOS[[#This Row],[NSK Original]]),"")</f>
        <v/>
      </c>
      <c r="AE949" s="350" t="str">
        <f>IFERROR(100%-BASE_DATOS[[#This Row],[NSK]]/BASE_DATOS[[#This Row],[NSK Original]],"")</f>
        <v/>
      </c>
      <c r="AF949" s="350" t="str">
        <f>IFERROR(BASE_DATOS[[#This Row],[% Max Des.]]-BASE_DATOS[[#This Row],[% Des]],"")</f>
        <v/>
      </c>
      <c r="AG949" s="287"/>
      <c r="AH949" s="273"/>
      <c r="AI949" s="371" t="str">
        <f>IF(OR(BASE_DATOS[[#This Row],[Hr.]]="",BASE_DATOS[[#This Row],[Hr. Actual]]=""),"",BASE_DATOS[[#This Row],[Hr. Actual]]-BASE_DATOS[[#This Row],[Hr.]]+BASE_DATOS[[#This Row],[Horas Acumuladas]])</f>
        <v/>
      </c>
      <c r="AJ949" s="372" t="str">
        <f>IFERROR(BASE_DATOS[[#This Row],[Precio US$]]/BASE_DATOS[[#This Row],[Horas Rodadas]],"")</f>
        <v/>
      </c>
      <c r="AK949" s="373" t="str">
        <f>IFERROR(BASE_DATOS[[#This Row],[Horas Rodadas]]/(BASE_DATOS[[#This Row],[NSK Original]]-BASE_DATOS[[#This Row],[NSK]]),"")</f>
        <v/>
      </c>
      <c r="AL949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49" s="374" t="str">
        <f>IFERROR(BASE_DATOS[[#This Row],[Precio US$]]/BASE_DATOS[[#This Row],[Horas Proy.]],"")</f>
        <v/>
      </c>
      <c r="AN949" s="183" t="str">
        <f>IF(OR(BASE_DATOS[[#This Row],[Km.]]="",BASE_DATOS[[#This Row],[Km. Actual]]=""),"",BASE_DATOS[[#This Row],[Km. Actual]]-BASE_DATOS[[#This Row],[Km.]]+BASE_DATOS[[#This Row],[Kilómetros Acumulados]])</f>
        <v/>
      </c>
      <c r="AO949" s="184" t="str">
        <f>IFERROR(BASE_DATOS[[#This Row],[Precio US$]]/BASE_DATOS[[#This Row],[Kilómetros Rodados]],"")</f>
        <v/>
      </c>
      <c r="AP949" s="183" t="str">
        <f>IFERROR(BASE_DATOS[[#This Row],[Kilómetros Rodados]]/(BASE_DATOS[[#This Row],[NSK Original]]-BASE_DATOS[[#This Row],[NSK]]),"")</f>
        <v/>
      </c>
      <c r="AQ949" s="183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49" s="184" t="str">
        <f>IFERROR(BASE_DATOS[[#This Row],[Precio US$]]/BASE_DATOS[[#This Row],[Kilómetros Proy.]],"")</f>
        <v/>
      </c>
      <c r="AS949" s="170" t="s">
        <v>62</v>
      </c>
      <c r="AT949" s="170"/>
      <c r="AU949" s="170"/>
      <c r="AV949" s="170"/>
      <c r="AW949" s="180"/>
      <c r="AX949" s="180"/>
      <c r="AY949" s="180" t="str">
        <f>CONCATENATE(BASE_DATOS[[#This Row],[Código_U]]&amp;BASE_DATOS[[#This Row],[Pos.]]&amp;BASE_DATOS[[#This Row],[Situación Actual]])</f>
        <v>VQ-3210Rodando</v>
      </c>
    </row>
    <row r="950" spans="1:51" ht="12" x14ac:dyDescent="0.25">
      <c r="A950" s="222" t="s">
        <v>490</v>
      </c>
      <c r="B950" s="213" t="s">
        <v>489</v>
      </c>
      <c r="C950" s="231" t="s">
        <v>95</v>
      </c>
      <c r="D950" s="215" t="s">
        <v>86</v>
      </c>
      <c r="E950" s="232"/>
      <c r="F950" s="235" t="s">
        <v>71</v>
      </c>
      <c r="G950" s="235" t="s">
        <v>479</v>
      </c>
      <c r="H950" s="261" t="str">
        <f>IF(BASE_DATOS[[#This Row],[N-R]]="N",BASE_DATOS[[#This Row],[Diseño]],"Reencauche")</f>
        <v>OMNITRAC S</v>
      </c>
      <c r="I950" s="235" t="s">
        <v>480</v>
      </c>
      <c r="J950" s="235" t="s">
        <v>72</v>
      </c>
      <c r="K950" s="262">
        <v>0</v>
      </c>
      <c r="L950" s="235">
        <v>110</v>
      </c>
      <c r="M950" s="238"/>
      <c r="N950" s="263"/>
      <c r="O950" s="283"/>
      <c r="P950" s="284"/>
      <c r="Q950" s="285"/>
      <c r="R950" s="302">
        <v>1</v>
      </c>
      <c r="S950" s="316">
        <v>45386</v>
      </c>
      <c r="T950" s="317"/>
      <c r="U950" s="285"/>
      <c r="V950" s="222">
        <v>9</v>
      </c>
      <c r="W950" s="213">
        <v>8</v>
      </c>
      <c r="X950" s="327">
        <v>9</v>
      </c>
      <c r="Y950" s="188">
        <f>IFERROR(MIN(V950:X950),"")</f>
        <v>8</v>
      </c>
      <c r="Z950" s="185" t="s">
        <v>85</v>
      </c>
      <c r="AA950" s="345">
        <f>IFERROR(BASE_DATOS[[#This Row],[NSK Original]]-BASE_DATOS[[#This Row],[NSK]]," ")</f>
        <v>-8</v>
      </c>
      <c r="AB950" s="346">
        <f>'NSK-TRACTO'!$A$2</f>
        <v>6</v>
      </c>
      <c r="AC950" s="346">
        <f>IF(BASE_DATOS[[#This Row],[NSK]]&gt;=BASE_DATOS[[#This Row],[NSK Reen]],BASE_DATOS[[#This Row],[NSK Reen]],BASE_DATOS[[#This Row],[NSK]])</f>
        <v>6</v>
      </c>
      <c r="AD950" s="347" t="str">
        <f>IFERROR(100%-(BASE_DATOS[[#This Row],[NSK Reen]]/BASE_DATOS[[#This Row],[NSK Original]]),"")</f>
        <v/>
      </c>
      <c r="AE950" s="347" t="str">
        <f>IFERROR(100%-BASE_DATOS[[#This Row],[NSK]]/BASE_DATOS[[#This Row],[NSK Original]],"")</f>
        <v/>
      </c>
      <c r="AF950" s="347" t="str">
        <f>IFERROR(BASE_DATOS[[#This Row],[% Max Des.]]-BASE_DATOS[[#This Row],[% Des]],"")</f>
        <v/>
      </c>
      <c r="AG950" s="284"/>
      <c r="AH950" s="335"/>
      <c r="AI950" s="367" t="str">
        <f>IF(OR(BASE_DATOS[[#This Row],[Hr.]]="",BASE_DATOS[[#This Row],[Hr. Actual]]=""),"",BASE_DATOS[[#This Row],[Hr. Actual]]-BASE_DATOS[[#This Row],[Hr.]]+BASE_DATOS[[#This Row],[Horas Acumuladas]])</f>
        <v/>
      </c>
      <c r="AJ950" s="368" t="str">
        <f>IFERROR(BASE_DATOS[[#This Row],[Precio US$]]/BASE_DATOS[[#This Row],[Horas Rodadas]],"")</f>
        <v/>
      </c>
      <c r="AK950" s="369" t="str">
        <f>IFERROR(BASE_DATOS[[#This Row],[Horas Rodadas]]/(BASE_DATOS[[#This Row],[NSK Original]]-BASE_DATOS[[#This Row],[NSK]]),"")</f>
        <v/>
      </c>
      <c r="AL950" s="369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50" s="370" t="str">
        <f>IFERROR(BASE_DATOS[[#This Row],[Precio US$]]/BASE_DATOS[[#This Row],[Horas Proy.]],"")</f>
        <v/>
      </c>
      <c r="AN950" s="207" t="str">
        <f>IF(OR(BASE_DATOS[[#This Row],[Km.]]="",BASE_DATOS[[#This Row],[Km. Actual]]=""),"",BASE_DATOS[[#This Row],[Km. Actual]]-BASE_DATOS[[#This Row],[Km.]]+BASE_DATOS[[#This Row],[Kilómetros Acumulados]])</f>
        <v/>
      </c>
      <c r="AO950" s="208" t="str">
        <f>IFERROR(BASE_DATOS[[#This Row],[Precio US$]]/BASE_DATOS[[#This Row],[Kilómetros Rodados]],"")</f>
        <v/>
      </c>
      <c r="AP950" s="207" t="str">
        <f>IFERROR(BASE_DATOS[[#This Row],[Kilómetros Rodados]]/(BASE_DATOS[[#This Row],[NSK Original]]-BASE_DATOS[[#This Row],[NSK]]),"")</f>
        <v/>
      </c>
      <c r="AQ950" s="207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50" s="208" t="str">
        <f>IFERROR(BASE_DATOS[[#This Row],[Precio US$]]/BASE_DATOS[[#This Row],[Kilómetros Proy.]],"")</f>
        <v/>
      </c>
      <c r="AS950" s="201" t="s">
        <v>62</v>
      </c>
      <c r="AT950" s="201"/>
      <c r="AU950" s="201"/>
      <c r="AV950" s="201"/>
      <c r="AW950" s="192"/>
      <c r="AX950" s="192"/>
      <c r="AY950" s="192" t="str">
        <f>CONCATENATE(BASE_DATOS[[#This Row],[Código_U]]&amp;BASE_DATOS[[#This Row],[Pos.]]&amp;BASE_DATOS[[#This Row],[Situación Actual]])</f>
        <v>VQ-331Rodando</v>
      </c>
    </row>
    <row r="951" spans="1:51" ht="12" x14ac:dyDescent="0.25">
      <c r="A951" s="223" t="s">
        <v>490</v>
      </c>
      <c r="B951" s="217" t="s">
        <v>489</v>
      </c>
      <c r="C951" s="230" t="s">
        <v>95</v>
      </c>
      <c r="D951" s="219" t="s">
        <v>86</v>
      </c>
      <c r="E951" s="248"/>
      <c r="F951" s="243" t="s">
        <v>71</v>
      </c>
      <c r="G951" s="243" t="s">
        <v>479</v>
      </c>
      <c r="H951" s="264" t="str">
        <f>IF(BASE_DATOS[[#This Row],[N-R]]="N",BASE_DATOS[[#This Row],[Diseño]],"Reencauche")</f>
        <v>OMNITRAC S</v>
      </c>
      <c r="I951" s="243" t="s">
        <v>480</v>
      </c>
      <c r="J951" s="243" t="s">
        <v>72</v>
      </c>
      <c r="K951" s="265">
        <v>0</v>
      </c>
      <c r="L951" s="243">
        <v>110</v>
      </c>
      <c r="M951" s="246"/>
      <c r="N951" s="266"/>
      <c r="O951" s="286"/>
      <c r="P951" s="287"/>
      <c r="Q951" s="288"/>
      <c r="R951" s="304">
        <v>2</v>
      </c>
      <c r="S951" s="318">
        <v>45386</v>
      </c>
      <c r="T951" s="319"/>
      <c r="U951" s="288"/>
      <c r="V951" s="223">
        <v>9</v>
      </c>
      <c r="W951" s="217">
        <v>8</v>
      </c>
      <c r="X951" s="328">
        <v>8</v>
      </c>
      <c r="Y951" s="164">
        <f t="shared" ref="Y951:Y959" si="51">IFERROR(MIN(V951:X951),"")</f>
        <v>8</v>
      </c>
      <c r="Z951" s="161" t="s">
        <v>85</v>
      </c>
      <c r="AA951" s="348">
        <f>IFERROR(BASE_DATOS[[#This Row],[NSK Original]]-BASE_DATOS[[#This Row],[NSK]]," ")</f>
        <v>-8</v>
      </c>
      <c r="AB951" s="349">
        <f>'NSK-TRACTO'!$A$2</f>
        <v>6</v>
      </c>
      <c r="AC951" s="349">
        <f>IF(BASE_DATOS[[#This Row],[NSK]]&gt;=BASE_DATOS[[#This Row],[NSK Reen]],BASE_DATOS[[#This Row],[NSK Reen]],BASE_DATOS[[#This Row],[NSK]])</f>
        <v>6</v>
      </c>
      <c r="AD951" s="350" t="str">
        <f>IFERROR(100%-(BASE_DATOS[[#This Row],[NSK Reen]]/BASE_DATOS[[#This Row],[NSK Original]]),"")</f>
        <v/>
      </c>
      <c r="AE951" s="350" t="str">
        <f>IFERROR(100%-BASE_DATOS[[#This Row],[NSK]]/BASE_DATOS[[#This Row],[NSK Original]],"")</f>
        <v/>
      </c>
      <c r="AF951" s="350" t="str">
        <f>IFERROR(BASE_DATOS[[#This Row],[% Max Des.]]-BASE_DATOS[[#This Row],[% Des]],"")</f>
        <v/>
      </c>
      <c r="AG951" s="287"/>
      <c r="AH951" s="273"/>
      <c r="AI951" s="371" t="str">
        <f>IF(OR(BASE_DATOS[[#This Row],[Hr.]]="",BASE_DATOS[[#This Row],[Hr. Actual]]=""),"",BASE_DATOS[[#This Row],[Hr. Actual]]-BASE_DATOS[[#This Row],[Hr.]]+BASE_DATOS[[#This Row],[Horas Acumuladas]])</f>
        <v/>
      </c>
      <c r="AJ951" s="372" t="str">
        <f>IFERROR(BASE_DATOS[[#This Row],[Precio US$]]/BASE_DATOS[[#This Row],[Horas Rodadas]],"")</f>
        <v/>
      </c>
      <c r="AK951" s="373" t="str">
        <f>IFERROR(BASE_DATOS[[#This Row],[Horas Rodadas]]/(BASE_DATOS[[#This Row],[NSK Original]]-BASE_DATOS[[#This Row],[NSK]]),"")</f>
        <v/>
      </c>
      <c r="AL951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51" s="374" t="str">
        <f>IFERROR(BASE_DATOS[[#This Row],[Precio US$]]/BASE_DATOS[[#This Row],[Horas Proy.]],"")</f>
        <v/>
      </c>
      <c r="AN951" s="181" t="str">
        <f>IF(OR(BASE_DATOS[[#This Row],[Km.]]="",BASE_DATOS[[#This Row],[Km. Actual]]=""),"",BASE_DATOS[[#This Row],[Km. Actual]]-BASE_DATOS[[#This Row],[Km.]]+BASE_DATOS[[#This Row],[Kilómetros Acumulados]])</f>
        <v/>
      </c>
      <c r="AO951" s="182" t="str">
        <f>IFERROR(BASE_DATOS[[#This Row],[Precio US$]]/BASE_DATOS[[#This Row],[Kilómetros Rodados]],"")</f>
        <v/>
      </c>
      <c r="AP951" s="181" t="str">
        <f>IFERROR(BASE_DATOS[[#This Row],[Kilómetros Rodados]]/(BASE_DATOS[[#This Row],[NSK Original]]-BASE_DATOS[[#This Row],[NSK]]),"")</f>
        <v/>
      </c>
      <c r="AQ951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51" s="182" t="str">
        <f>IFERROR(BASE_DATOS[[#This Row],[Precio US$]]/BASE_DATOS[[#This Row],[Kilómetros Proy.]],"")</f>
        <v/>
      </c>
      <c r="AS951" s="170" t="s">
        <v>62</v>
      </c>
      <c r="AT951" s="170"/>
      <c r="AU951" s="170"/>
      <c r="AV951" s="170"/>
      <c r="AW951" s="169"/>
      <c r="AX951" s="169"/>
      <c r="AY951" s="169" t="str">
        <f>CONCATENATE(BASE_DATOS[[#This Row],[Código_U]]&amp;BASE_DATOS[[#This Row],[Pos.]]&amp;BASE_DATOS[[#This Row],[Situación Actual]])</f>
        <v>VQ-332Rodando</v>
      </c>
    </row>
    <row r="952" spans="1:51" ht="12" x14ac:dyDescent="0.25">
      <c r="A952" s="223" t="s">
        <v>490</v>
      </c>
      <c r="B952" s="217" t="s">
        <v>489</v>
      </c>
      <c r="C952" s="230" t="s">
        <v>95</v>
      </c>
      <c r="D952" s="219" t="s">
        <v>61</v>
      </c>
      <c r="E952" s="248"/>
      <c r="F952" s="243" t="s">
        <v>71</v>
      </c>
      <c r="G952" s="243" t="s">
        <v>483</v>
      </c>
      <c r="H952" s="264" t="str">
        <f>IF(BASE_DATOS[[#This Row],[N-R]]="N",BASE_DATOS[[#This Row],[Diseño]],"Reencauche")</f>
        <v>G677 OTR</v>
      </c>
      <c r="I952" s="243" t="s">
        <v>484</v>
      </c>
      <c r="J952" s="243" t="s">
        <v>72</v>
      </c>
      <c r="K952" s="265">
        <v>0</v>
      </c>
      <c r="L952" s="243">
        <v>110</v>
      </c>
      <c r="M952" s="246"/>
      <c r="N952" s="266"/>
      <c r="O952" s="286"/>
      <c r="P952" s="287"/>
      <c r="Q952" s="288"/>
      <c r="R952" s="304">
        <v>3</v>
      </c>
      <c r="S952" s="318">
        <v>45386</v>
      </c>
      <c r="T952" s="319"/>
      <c r="U952" s="288"/>
      <c r="V952" s="223">
        <v>11</v>
      </c>
      <c r="W952" s="217"/>
      <c r="X952" s="328">
        <v>11</v>
      </c>
      <c r="Y952" s="164">
        <f t="shared" si="51"/>
        <v>11</v>
      </c>
      <c r="Z952" s="161" t="s">
        <v>85</v>
      </c>
      <c r="AA952" s="348">
        <f>IFERROR(BASE_DATOS[[#This Row],[NSK Original]]-BASE_DATOS[[#This Row],[NSK]]," ")</f>
        <v>-11</v>
      </c>
      <c r="AB952" s="349">
        <f>'NSK-TRACTO'!$A$2</f>
        <v>6</v>
      </c>
      <c r="AC952" s="349">
        <f>IF(BASE_DATOS[[#This Row],[NSK]]&gt;=BASE_DATOS[[#This Row],[NSK Reen]],BASE_DATOS[[#This Row],[NSK Reen]],BASE_DATOS[[#This Row],[NSK]])</f>
        <v>6</v>
      </c>
      <c r="AD952" s="350" t="str">
        <f>IFERROR(100%-(BASE_DATOS[[#This Row],[NSK Reen]]/BASE_DATOS[[#This Row],[NSK Original]]),"")</f>
        <v/>
      </c>
      <c r="AE952" s="350" t="str">
        <f>IFERROR(100%-BASE_DATOS[[#This Row],[NSK]]/BASE_DATOS[[#This Row],[NSK Original]],"")</f>
        <v/>
      </c>
      <c r="AF952" s="350" t="str">
        <f>IFERROR(BASE_DATOS[[#This Row],[% Max Des.]]-BASE_DATOS[[#This Row],[% Des]],"")</f>
        <v/>
      </c>
      <c r="AG952" s="287"/>
      <c r="AH952" s="273"/>
      <c r="AI952" s="371" t="str">
        <f>IF(OR(BASE_DATOS[[#This Row],[Hr.]]="",BASE_DATOS[[#This Row],[Hr. Actual]]=""),"",BASE_DATOS[[#This Row],[Hr. Actual]]-BASE_DATOS[[#This Row],[Hr.]]+BASE_DATOS[[#This Row],[Horas Acumuladas]])</f>
        <v/>
      </c>
      <c r="AJ952" s="372" t="str">
        <f>IFERROR(BASE_DATOS[[#This Row],[Precio US$]]/BASE_DATOS[[#This Row],[Horas Rodadas]],"")</f>
        <v/>
      </c>
      <c r="AK952" s="373" t="str">
        <f>IFERROR(BASE_DATOS[[#This Row],[Horas Rodadas]]/(BASE_DATOS[[#This Row],[NSK Original]]-BASE_DATOS[[#This Row],[NSK]]),"")</f>
        <v/>
      </c>
      <c r="AL952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52" s="374" t="str">
        <f>IFERROR(BASE_DATOS[[#This Row],[Precio US$]]/BASE_DATOS[[#This Row],[Horas Proy.]],"")</f>
        <v/>
      </c>
      <c r="AN952" s="181" t="str">
        <f>IF(OR(BASE_DATOS[[#This Row],[Km.]]="",BASE_DATOS[[#This Row],[Km. Actual]]=""),"",BASE_DATOS[[#This Row],[Km. Actual]]-BASE_DATOS[[#This Row],[Km.]]+BASE_DATOS[[#This Row],[Kilómetros Acumulados]])</f>
        <v/>
      </c>
      <c r="AO952" s="182" t="str">
        <f>IFERROR(BASE_DATOS[[#This Row],[Precio US$]]/BASE_DATOS[[#This Row],[Kilómetros Rodados]],"")</f>
        <v/>
      </c>
      <c r="AP952" s="181" t="str">
        <f>IFERROR(BASE_DATOS[[#This Row],[Kilómetros Rodados]]/(BASE_DATOS[[#This Row],[NSK Original]]-BASE_DATOS[[#This Row],[NSK]]),"")</f>
        <v/>
      </c>
      <c r="AQ952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52" s="182" t="str">
        <f>IFERROR(BASE_DATOS[[#This Row],[Precio US$]]/BASE_DATOS[[#This Row],[Kilómetros Proy.]],"")</f>
        <v/>
      </c>
      <c r="AS952" s="170" t="s">
        <v>62</v>
      </c>
      <c r="AT952" s="170"/>
      <c r="AU952" s="170"/>
      <c r="AV952" s="170"/>
      <c r="AW952" s="169"/>
      <c r="AX952" s="169"/>
      <c r="AY952" s="169" t="str">
        <f>CONCATENATE(BASE_DATOS[[#This Row],[Código_U]]&amp;BASE_DATOS[[#This Row],[Pos.]]&amp;BASE_DATOS[[#This Row],[Situación Actual]])</f>
        <v>VQ-333Rodando</v>
      </c>
    </row>
    <row r="953" spans="1:51" ht="12" x14ac:dyDescent="0.25">
      <c r="A953" s="223" t="s">
        <v>490</v>
      </c>
      <c r="B953" s="217" t="s">
        <v>489</v>
      </c>
      <c r="C953" s="230" t="s">
        <v>95</v>
      </c>
      <c r="D953" s="219" t="s">
        <v>61</v>
      </c>
      <c r="E953" s="248"/>
      <c r="F953" s="243" t="s">
        <v>71</v>
      </c>
      <c r="G953" s="243" t="s">
        <v>483</v>
      </c>
      <c r="H953" s="264" t="str">
        <f>IF(BASE_DATOS[[#This Row],[N-R]]="N",BASE_DATOS[[#This Row],[Diseño]],"Reencauche")</f>
        <v>G677 OTR</v>
      </c>
      <c r="I953" s="243" t="s">
        <v>484</v>
      </c>
      <c r="J953" s="243" t="s">
        <v>72</v>
      </c>
      <c r="K953" s="265">
        <v>0</v>
      </c>
      <c r="L953" s="243">
        <v>110</v>
      </c>
      <c r="M953" s="246"/>
      <c r="N953" s="266"/>
      <c r="O953" s="286"/>
      <c r="P953" s="287"/>
      <c r="Q953" s="288"/>
      <c r="R953" s="304">
        <v>4</v>
      </c>
      <c r="S953" s="318">
        <v>45386</v>
      </c>
      <c r="T953" s="319"/>
      <c r="U953" s="288"/>
      <c r="V953" s="223">
        <v>10</v>
      </c>
      <c r="W953" s="217"/>
      <c r="X953" s="328">
        <v>12</v>
      </c>
      <c r="Y953" s="164">
        <f t="shared" si="51"/>
        <v>10</v>
      </c>
      <c r="Z953" s="161" t="s">
        <v>85</v>
      </c>
      <c r="AA953" s="348">
        <f>IFERROR(BASE_DATOS[[#This Row],[NSK Original]]-BASE_DATOS[[#This Row],[NSK]]," ")</f>
        <v>-10</v>
      </c>
      <c r="AB953" s="349">
        <f>'NSK-TRACTO'!$A$2</f>
        <v>6</v>
      </c>
      <c r="AC953" s="349">
        <f>IF(BASE_DATOS[[#This Row],[NSK]]&gt;=BASE_DATOS[[#This Row],[NSK Reen]],BASE_DATOS[[#This Row],[NSK Reen]],BASE_DATOS[[#This Row],[NSK]])</f>
        <v>6</v>
      </c>
      <c r="AD953" s="350" t="str">
        <f>IFERROR(100%-(BASE_DATOS[[#This Row],[NSK Reen]]/BASE_DATOS[[#This Row],[NSK Original]]),"")</f>
        <v/>
      </c>
      <c r="AE953" s="350" t="str">
        <f>IFERROR(100%-BASE_DATOS[[#This Row],[NSK]]/BASE_DATOS[[#This Row],[NSK Original]],"")</f>
        <v/>
      </c>
      <c r="AF953" s="350" t="str">
        <f>IFERROR(BASE_DATOS[[#This Row],[% Max Des.]]-BASE_DATOS[[#This Row],[% Des]],"")</f>
        <v/>
      </c>
      <c r="AG953" s="287"/>
      <c r="AH953" s="273"/>
      <c r="AI953" s="371" t="str">
        <f>IF(OR(BASE_DATOS[[#This Row],[Hr.]]="",BASE_DATOS[[#This Row],[Hr. Actual]]=""),"",BASE_DATOS[[#This Row],[Hr. Actual]]-BASE_DATOS[[#This Row],[Hr.]]+BASE_DATOS[[#This Row],[Horas Acumuladas]])</f>
        <v/>
      </c>
      <c r="AJ953" s="372" t="str">
        <f>IFERROR(BASE_DATOS[[#This Row],[Precio US$]]/BASE_DATOS[[#This Row],[Horas Rodadas]],"")</f>
        <v/>
      </c>
      <c r="AK953" s="373" t="str">
        <f>IFERROR(BASE_DATOS[[#This Row],[Horas Rodadas]]/(BASE_DATOS[[#This Row],[NSK Original]]-BASE_DATOS[[#This Row],[NSK]]),"")</f>
        <v/>
      </c>
      <c r="AL953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53" s="374" t="str">
        <f>IFERROR(BASE_DATOS[[#This Row],[Precio US$]]/BASE_DATOS[[#This Row],[Horas Proy.]],"")</f>
        <v/>
      </c>
      <c r="AN953" s="181" t="str">
        <f>IF(OR(BASE_DATOS[[#This Row],[Km.]]="",BASE_DATOS[[#This Row],[Km. Actual]]=""),"",BASE_DATOS[[#This Row],[Km. Actual]]-BASE_DATOS[[#This Row],[Km.]]+BASE_DATOS[[#This Row],[Kilómetros Acumulados]])</f>
        <v/>
      </c>
      <c r="AO953" s="182" t="str">
        <f>IFERROR(BASE_DATOS[[#This Row],[Precio US$]]/BASE_DATOS[[#This Row],[Kilómetros Rodados]],"")</f>
        <v/>
      </c>
      <c r="AP953" s="181" t="str">
        <f>IFERROR(BASE_DATOS[[#This Row],[Kilómetros Rodados]]/(BASE_DATOS[[#This Row],[NSK Original]]-BASE_DATOS[[#This Row],[NSK]]),"")</f>
        <v/>
      </c>
      <c r="AQ953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53" s="182" t="str">
        <f>IFERROR(BASE_DATOS[[#This Row],[Precio US$]]/BASE_DATOS[[#This Row],[Kilómetros Proy.]],"")</f>
        <v/>
      </c>
      <c r="AS953" s="170" t="s">
        <v>62</v>
      </c>
      <c r="AT953" s="170"/>
      <c r="AU953" s="170"/>
      <c r="AV953" s="170"/>
      <c r="AW953" s="169"/>
      <c r="AX953" s="169"/>
      <c r="AY953" s="169" t="str">
        <f>CONCATENATE(BASE_DATOS[[#This Row],[Código_U]]&amp;BASE_DATOS[[#This Row],[Pos.]]&amp;BASE_DATOS[[#This Row],[Situación Actual]])</f>
        <v>VQ-334Rodando</v>
      </c>
    </row>
    <row r="954" spans="1:51" ht="12" x14ac:dyDescent="0.25">
      <c r="A954" s="223" t="s">
        <v>490</v>
      </c>
      <c r="B954" s="217" t="s">
        <v>489</v>
      </c>
      <c r="C954" s="230" t="s">
        <v>95</v>
      </c>
      <c r="D954" s="219" t="s">
        <v>61</v>
      </c>
      <c r="E954" s="248"/>
      <c r="F954" s="243" t="s">
        <v>273</v>
      </c>
      <c r="G954" s="243" t="s">
        <v>479</v>
      </c>
      <c r="H954" s="264" t="str">
        <f>IF(BASE_DATOS[[#This Row],[N-R]]="N",BASE_DATOS[[#This Row],[Diseño]],"Reencauche")</f>
        <v>XFORCE</v>
      </c>
      <c r="I954" s="243" t="s">
        <v>481</v>
      </c>
      <c r="J954" s="243" t="s">
        <v>72</v>
      </c>
      <c r="K954" s="265">
        <v>0</v>
      </c>
      <c r="L954" s="243">
        <v>110</v>
      </c>
      <c r="M954" s="246"/>
      <c r="N954" s="266"/>
      <c r="O954" s="286"/>
      <c r="P954" s="287"/>
      <c r="Q954" s="288"/>
      <c r="R954" s="304">
        <v>5</v>
      </c>
      <c r="S954" s="318">
        <v>45386</v>
      </c>
      <c r="T954" s="319"/>
      <c r="U954" s="288"/>
      <c r="V954" s="223">
        <v>25</v>
      </c>
      <c r="W954" s="217"/>
      <c r="X954" s="328">
        <v>25</v>
      </c>
      <c r="Y954" s="164">
        <f t="shared" si="51"/>
        <v>25</v>
      </c>
      <c r="Z954" s="161" t="s">
        <v>85</v>
      </c>
      <c r="AA954" s="348">
        <f>IFERROR(BASE_DATOS[[#This Row],[NSK Original]]-BASE_DATOS[[#This Row],[NSK]]," ")</f>
        <v>-25</v>
      </c>
      <c r="AB954" s="349">
        <f>'NSK-TRACTO'!$A$2</f>
        <v>6</v>
      </c>
      <c r="AC954" s="349">
        <f>IF(BASE_DATOS[[#This Row],[NSK]]&gt;=BASE_DATOS[[#This Row],[NSK Reen]],BASE_DATOS[[#This Row],[NSK Reen]],BASE_DATOS[[#This Row],[NSK]])</f>
        <v>6</v>
      </c>
      <c r="AD954" s="350" t="str">
        <f>IFERROR(100%-(BASE_DATOS[[#This Row],[NSK Reen]]/BASE_DATOS[[#This Row],[NSK Original]]),"")</f>
        <v/>
      </c>
      <c r="AE954" s="350" t="str">
        <f>IFERROR(100%-BASE_DATOS[[#This Row],[NSK]]/BASE_DATOS[[#This Row],[NSK Original]],"")</f>
        <v/>
      </c>
      <c r="AF954" s="350" t="str">
        <f>IFERROR(BASE_DATOS[[#This Row],[% Max Des.]]-BASE_DATOS[[#This Row],[% Des]],"")</f>
        <v/>
      </c>
      <c r="AG954" s="287"/>
      <c r="AH954" s="273"/>
      <c r="AI954" s="371" t="str">
        <f>IF(OR(BASE_DATOS[[#This Row],[Hr.]]="",BASE_DATOS[[#This Row],[Hr. Actual]]=""),"",BASE_DATOS[[#This Row],[Hr. Actual]]-BASE_DATOS[[#This Row],[Hr.]]+BASE_DATOS[[#This Row],[Horas Acumuladas]])</f>
        <v/>
      </c>
      <c r="AJ954" s="372" t="str">
        <f>IFERROR(BASE_DATOS[[#This Row],[Precio US$]]/BASE_DATOS[[#This Row],[Horas Rodadas]],"")</f>
        <v/>
      </c>
      <c r="AK954" s="373" t="str">
        <f>IFERROR(BASE_DATOS[[#This Row],[Horas Rodadas]]/(BASE_DATOS[[#This Row],[NSK Original]]-BASE_DATOS[[#This Row],[NSK]]),"")</f>
        <v/>
      </c>
      <c r="AL954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54" s="374" t="str">
        <f>IFERROR(BASE_DATOS[[#This Row],[Precio US$]]/BASE_DATOS[[#This Row],[Horas Proy.]],"")</f>
        <v/>
      </c>
      <c r="AN954" s="181" t="str">
        <f>IF(OR(BASE_DATOS[[#This Row],[Km.]]="",BASE_DATOS[[#This Row],[Km. Actual]]=""),"",BASE_DATOS[[#This Row],[Km. Actual]]-BASE_DATOS[[#This Row],[Km.]]+BASE_DATOS[[#This Row],[Kilómetros Acumulados]])</f>
        <v/>
      </c>
      <c r="AO954" s="182" t="str">
        <f>IFERROR(BASE_DATOS[[#This Row],[Precio US$]]/BASE_DATOS[[#This Row],[Kilómetros Rodados]],"")</f>
        <v/>
      </c>
      <c r="AP954" s="181" t="str">
        <f>IFERROR(BASE_DATOS[[#This Row],[Kilómetros Rodados]]/(BASE_DATOS[[#This Row],[NSK Original]]-BASE_DATOS[[#This Row],[NSK]]),"")</f>
        <v/>
      </c>
      <c r="AQ954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54" s="182" t="str">
        <f>IFERROR(BASE_DATOS[[#This Row],[Precio US$]]/BASE_DATOS[[#This Row],[Kilómetros Proy.]],"")</f>
        <v/>
      </c>
      <c r="AS954" s="170" t="s">
        <v>62</v>
      </c>
      <c r="AT954" s="170"/>
      <c r="AU954" s="170"/>
      <c r="AV954" s="170"/>
      <c r="AW954" s="169"/>
      <c r="AX954" s="169"/>
      <c r="AY954" s="169" t="str">
        <f>CONCATENATE(BASE_DATOS[[#This Row],[Código_U]]&amp;BASE_DATOS[[#This Row],[Pos.]]&amp;BASE_DATOS[[#This Row],[Situación Actual]])</f>
        <v>VQ-335Rodando</v>
      </c>
    </row>
    <row r="955" spans="1:51" ht="12" x14ac:dyDescent="0.25">
      <c r="A955" s="223" t="s">
        <v>490</v>
      </c>
      <c r="B955" s="217" t="s">
        <v>489</v>
      </c>
      <c r="C955" s="230" t="s">
        <v>95</v>
      </c>
      <c r="D955" s="219" t="s">
        <v>61</v>
      </c>
      <c r="E955" s="248"/>
      <c r="F955" s="243" t="s">
        <v>273</v>
      </c>
      <c r="G955" s="243" t="s">
        <v>479</v>
      </c>
      <c r="H955" s="264" t="str">
        <f>IF(BASE_DATOS[[#This Row],[N-R]]="N",BASE_DATOS[[#This Row],[Diseño]],"Reencauche")</f>
        <v>XFORCE</v>
      </c>
      <c r="I955" s="243" t="s">
        <v>481</v>
      </c>
      <c r="J955" s="243" t="s">
        <v>72</v>
      </c>
      <c r="K955" s="265">
        <v>0</v>
      </c>
      <c r="L955" s="243">
        <v>110</v>
      </c>
      <c r="M955" s="246"/>
      <c r="N955" s="266"/>
      <c r="O955" s="286"/>
      <c r="P955" s="287"/>
      <c r="Q955" s="288"/>
      <c r="R955" s="304">
        <v>6</v>
      </c>
      <c r="S955" s="318">
        <v>45386</v>
      </c>
      <c r="T955" s="319"/>
      <c r="U955" s="288"/>
      <c r="V955" s="223">
        <v>25</v>
      </c>
      <c r="W955" s="217"/>
      <c r="X955" s="328">
        <v>25</v>
      </c>
      <c r="Y955" s="164">
        <f t="shared" si="51"/>
        <v>25</v>
      </c>
      <c r="Z955" s="161" t="s">
        <v>85</v>
      </c>
      <c r="AA955" s="348">
        <f>IFERROR(BASE_DATOS[[#This Row],[NSK Original]]-BASE_DATOS[[#This Row],[NSK]]," ")</f>
        <v>-25</v>
      </c>
      <c r="AB955" s="349">
        <f>'NSK-TRACTO'!$A$2</f>
        <v>6</v>
      </c>
      <c r="AC955" s="349">
        <f>IF(BASE_DATOS[[#This Row],[NSK]]&gt;=BASE_DATOS[[#This Row],[NSK Reen]],BASE_DATOS[[#This Row],[NSK Reen]],BASE_DATOS[[#This Row],[NSK]])</f>
        <v>6</v>
      </c>
      <c r="AD955" s="350" t="str">
        <f>IFERROR(100%-(BASE_DATOS[[#This Row],[NSK Reen]]/BASE_DATOS[[#This Row],[NSK Original]]),"")</f>
        <v/>
      </c>
      <c r="AE955" s="350" t="str">
        <f>IFERROR(100%-BASE_DATOS[[#This Row],[NSK]]/BASE_DATOS[[#This Row],[NSK Original]],"")</f>
        <v/>
      </c>
      <c r="AF955" s="350" t="str">
        <f>IFERROR(BASE_DATOS[[#This Row],[% Max Des.]]-BASE_DATOS[[#This Row],[% Des]],"")</f>
        <v/>
      </c>
      <c r="AG955" s="287"/>
      <c r="AH955" s="273"/>
      <c r="AI955" s="371" t="str">
        <f>IF(OR(BASE_DATOS[[#This Row],[Hr.]]="",BASE_DATOS[[#This Row],[Hr. Actual]]=""),"",BASE_DATOS[[#This Row],[Hr. Actual]]-BASE_DATOS[[#This Row],[Hr.]]+BASE_DATOS[[#This Row],[Horas Acumuladas]])</f>
        <v/>
      </c>
      <c r="AJ955" s="372" t="str">
        <f>IFERROR(BASE_DATOS[[#This Row],[Precio US$]]/BASE_DATOS[[#This Row],[Horas Rodadas]],"")</f>
        <v/>
      </c>
      <c r="AK955" s="373" t="str">
        <f>IFERROR(BASE_DATOS[[#This Row],[Horas Rodadas]]/(BASE_DATOS[[#This Row],[NSK Original]]-BASE_DATOS[[#This Row],[NSK]]),"")</f>
        <v/>
      </c>
      <c r="AL955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55" s="374" t="str">
        <f>IFERROR(BASE_DATOS[[#This Row],[Precio US$]]/BASE_DATOS[[#This Row],[Horas Proy.]],"")</f>
        <v/>
      </c>
      <c r="AN955" s="181" t="str">
        <f>IF(OR(BASE_DATOS[[#This Row],[Km.]]="",BASE_DATOS[[#This Row],[Km. Actual]]=""),"",BASE_DATOS[[#This Row],[Km. Actual]]-BASE_DATOS[[#This Row],[Km.]]+BASE_DATOS[[#This Row],[Kilómetros Acumulados]])</f>
        <v/>
      </c>
      <c r="AO955" s="182" t="str">
        <f>IFERROR(BASE_DATOS[[#This Row],[Precio US$]]/BASE_DATOS[[#This Row],[Kilómetros Rodados]],"")</f>
        <v/>
      </c>
      <c r="AP955" s="181" t="str">
        <f>IFERROR(BASE_DATOS[[#This Row],[Kilómetros Rodados]]/(BASE_DATOS[[#This Row],[NSK Original]]-BASE_DATOS[[#This Row],[NSK]]),"")</f>
        <v/>
      </c>
      <c r="AQ955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55" s="182" t="str">
        <f>IFERROR(BASE_DATOS[[#This Row],[Precio US$]]/BASE_DATOS[[#This Row],[Kilómetros Proy.]],"")</f>
        <v/>
      </c>
      <c r="AS955" s="170" t="s">
        <v>62</v>
      </c>
      <c r="AT955" s="170"/>
      <c r="AU955" s="170"/>
      <c r="AV955" s="170"/>
      <c r="AW955" s="169"/>
      <c r="AX955" s="169"/>
      <c r="AY955" s="169" t="str">
        <f>CONCATENATE(BASE_DATOS[[#This Row],[Código_U]]&amp;BASE_DATOS[[#This Row],[Pos.]]&amp;BASE_DATOS[[#This Row],[Situación Actual]])</f>
        <v>VQ-336Rodando</v>
      </c>
    </row>
    <row r="956" spans="1:51" ht="12" x14ac:dyDescent="0.25">
      <c r="A956" s="223" t="s">
        <v>490</v>
      </c>
      <c r="B956" s="217" t="s">
        <v>489</v>
      </c>
      <c r="C956" s="230" t="s">
        <v>95</v>
      </c>
      <c r="D956" s="219" t="s">
        <v>61</v>
      </c>
      <c r="E956" s="248"/>
      <c r="F956" s="243" t="s">
        <v>71</v>
      </c>
      <c r="G956" s="243" t="s">
        <v>478</v>
      </c>
      <c r="H956" s="264" t="str">
        <f>IF(BASE_DATOS[[#This Row],[N-R]]="N",BASE_DATOS[[#This Row],[Diseño]],"Reencauche")</f>
        <v>STK</v>
      </c>
      <c r="I956" s="243" t="s">
        <v>96</v>
      </c>
      <c r="J956" s="243" t="s">
        <v>72</v>
      </c>
      <c r="K956" s="265">
        <v>0</v>
      </c>
      <c r="L956" s="243">
        <v>100</v>
      </c>
      <c r="M956" s="246"/>
      <c r="N956" s="266"/>
      <c r="O956" s="286"/>
      <c r="P956" s="287"/>
      <c r="Q956" s="288"/>
      <c r="R956" s="304">
        <v>7</v>
      </c>
      <c r="S956" s="318">
        <v>45386</v>
      </c>
      <c r="T956" s="319"/>
      <c r="U956" s="288"/>
      <c r="V956" s="223">
        <v>12</v>
      </c>
      <c r="W956" s="217"/>
      <c r="X956" s="328">
        <v>11</v>
      </c>
      <c r="Y956" s="164">
        <f t="shared" si="51"/>
        <v>11</v>
      </c>
      <c r="Z956" s="161" t="s">
        <v>85</v>
      </c>
      <c r="AA956" s="348">
        <f>IFERROR(BASE_DATOS[[#This Row],[NSK Original]]-BASE_DATOS[[#This Row],[NSK]]," ")</f>
        <v>-11</v>
      </c>
      <c r="AB956" s="349">
        <f>'NSK-TRACTO'!$A$2</f>
        <v>6</v>
      </c>
      <c r="AC956" s="349">
        <f>IF(BASE_DATOS[[#This Row],[NSK]]&gt;=BASE_DATOS[[#This Row],[NSK Reen]],BASE_DATOS[[#This Row],[NSK Reen]],BASE_DATOS[[#This Row],[NSK]])</f>
        <v>6</v>
      </c>
      <c r="AD956" s="350" t="str">
        <f>IFERROR(100%-(BASE_DATOS[[#This Row],[NSK Reen]]/BASE_DATOS[[#This Row],[NSK Original]]),"")</f>
        <v/>
      </c>
      <c r="AE956" s="350" t="str">
        <f>IFERROR(100%-BASE_DATOS[[#This Row],[NSK]]/BASE_DATOS[[#This Row],[NSK Original]],"")</f>
        <v/>
      </c>
      <c r="AF956" s="350" t="str">
        <f>IFERROR(BASE_DATOS[[#This Row],[% Max Des.]]-BASE_DATOS[[#This Row],[% Des]],"")</f>
        <v/>
      </c>
      <c r="AG956" s="287"/>
      <c r="AH956" s="273"/>
      <c r="AI956" s="371" t="str">
        <f>IF(OR(BASE_DATOS[[#This Row],[Hr.]]="",BASE_DATOS[[#This Row],[Hr. Actual]]=""),"",BASE_DATOS[[#This Row],[Hr. Actual]]-BASE_DATOS[[#This Row],[Hr.]]+BASE_DATOS[[#This Row],[Horas Acumuladas]])</f>
        <v/>
      </c>
      <c r="AJ956" s="372" t="str">
        <f>IFERROR(BASE_DATOS[[#This Row],[Precio US$]]/BASE_DATOS[[#This Row],[Horas Rodadas]],"")</f>
        <v/>
      </c>
      <c r="AK956" s="373" t="str">
        <f>IFERROR(BASE_DATOS[[#This Row],[Horas Rodadas]]/(BASE_DATOS[[#This Row],[NSK Original]]-BASE_DATOS[[#This Row],[NSK]]),"")</f>
        <v/>
      </c>
      <c r="AL956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56" s="374" t="str">
        <f>IFERROR(BASE_DATOS[[#This Row],[Precio US$]]/BASE_DATOS[[#This Row],[Horas Proy.]],"")</f>
        <v/>
      </c>
      <c r="AN956" s="181" t="str">
        <f>IF(OR(BASE_DATOS[[#This Row],[Km.]]="",BASE_DATOS[[#This Row],[Km. Actual]]=""),"",BASE_DATOS[[#This Row],[Km. Actual]]-BASE_DATOS[[#This Row],[Km.]]+BASE_DATOS[[#This Row],[Kilómetros Acumulados]])</f>
        <v/>
      </c>
      <c r="AO956" s="182" t="str">
        <f>IFERROR(BASE_DATOS[[#This Row],[Precio US$]]/BASE_DATOS[[#This Row],[Kilómetros Rodados]],"")</f>
        <v/>
      </c>
      <c r="AP956" s="181" t="str">
        <f>IFERROR(BASE_DATOS[[#This Row],[Kilómetros Rodados]]/(BASE_DATOS[[#This Row],[NSK Original]]-BASE_DATOS[[#This Row],[NSK]]),"")</f>
        <v/>
      </c>
      <c r="AQ956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56" s="182" t="str">
        <f>IFERROR(BASE_DATOS[[#This Row],[Precio US$]]/BASE_DATOS[[#This Row],[Kilómetros Proy.]],"")</f>
        <v/>
      </c>
      <c r="AS956" s="170" t="s">
        <v>62</v>
      </c>
      <c r="AT956" s="170"/>
      <c r="AU956" s="170"/>
      <c r="AV956" s="170"/>
      <c r="AW956" s="169"/>
      <c r="AX956" s="169"/>
      <c r="AY956" s="169" t="str">
        <f>CONCATENATE(BASE_DATOS[[#This Row],[Código_U]]&amp;BASE_DATOS[[#This Row],[Pos.]]&amp;BASE_DATOS[[#This Row],[Situación Actual]])</f>
        <v>VQ-337Rodando</v>
      </c>
    </row>
    <row r="957" spans="1:51" ht="12" x14ac:dyDescent="0.25">
      <c r="A957" s="223" t="s">
        <v>490</v>
      </c>
      <c r="B957" s="217" t="s">
        <v>489</v>
      </c>
      <c r="C957" s="230" t="s">
        <v>95</v>
      </c>
      <c r="D957" s="219" t="s">
        <v>61</v>
      </c>
      <c r="E957" s="248"/>
      <c r="F957" s="243" t="s">
        <v>71</v>
      </c>
      <c r="G957" s="243" t="s">
        <v>478</v>
      </c>
      <c r="H957" s="264" t="str">
        <f>IF(BASE_DATOS[[#This Row],[N-R]]="N",BASE_DATOS[[#This Row],[Diseño]],"Reencauche")</f>
        <v>STK</v>
      </c>
      <c r="I957" s="243" t="s">
        <v>96</v>
      </c>
      <c r="J957" s="243" t="s">
        <v>72</v>
      </c>
      <c r="K957" s="265">
        <v>0</v>
      </c>
      <c r="L957" s="243">
        <v>100</v>
      </c>
      <c r="M957" s="246"/>
      <c r="N957" s="266"/>
      <c r="O957" s="286"/>
      <c r="P957" s="287"/>
      <c r="Q957" s="288"/>
      <c r="R957" s="304">
        <v>8</v>
      </c>
      <c r="S957" s="318">
        <v>45386</v>
      </c>
      <c r="T957" s="319"/>
      <c r="U957" s="288"/>
      <c r="V957" s="223">
        <v>10</v>
      </c>
      <c r="W957" s="217"/>
      <c r="X957" s="328">
        <v>14</v>
      </c>
      <c r="Y957" s="164">
        <f t="shared" si="51"/>
        <v>10</v>
      </c>
      <c r="Z957" s="161" t="s">
        <v>85</v>
      </c>
      <c r="AA957" s="348">
        <f>IFERROR(BASE_DATOS[[#This Row],[NSK Original]]-BASE_DATOS[[#This Row],[NSK]]," ")</f>
        <v>-10</v>
      </c>
      <c r="AB957" s="349">
        <f>'NSK-TRACTO'!$A$2</f>
        <v>6</v>
      </c>
      <c r="AC957" s="349">
        <f>IF(BASE_DATOS[[#This Row],[NSK]]&gt;=BASE_DATOS[[#This Row],[NSK Reen]],BASE_DATOS[[#This Row],[NSK Reen]],BASE_DATOS[[#This Row],[NSK]])</f>
        <v>6</v>
      </c>
      <c r="AD957" s="350" t="str">
        <f>IFERROR(100%-(BASE_DATOS[[#This Row],[NSK Reen]]/BASE_DATOS[[#This Row],[NSK Original]]),"")</f>
        <v/>
      </c>
      <c r="AE957" s="350" t="str">
        <f>IFERROR(100%-BASE_DATOS[[#This Row],[NSK]]/BASE_DATOS[[#This Row],[NSK Original]],"")</f>
        <v/>
      </c>
      <c r="AF957" s="350" t="str">
        <f>IFERROR(BASE_DATOS[[#This Row],[% Max Des.]]-BASE_DATOS[[#This Row],[% Des]],"")</f>
        <v/>
      </c>
      <c r="AG957" s="287"/>
      <c r="AH957" s="273"/>
      <c r="AI957" s="371" t="str">
        <f>IF(OR(BASE_DATOS[[#This Row],[Hr.]]="",BASE_DATOS[[#This Row],[Hr. Actual]]=""),"",BASE_DATOS[[#This Row],[Hr. Actual]]-BASE_DATOS[[#This Row],[Hr.]]+BASE_DATOS[[#This Row],[Horas Acumuladas]])</f>
        <v/>
      </c>
      <c r="AJ957" s="372" t="str">
        <f>IFERROR(BASE_DATOS[[#This Row],[Precio US$]]/BASE_DATOS[[#This Row],[Horas Rodadas]],"")</f>
        <v/>
      </c>
      <c r="AK957" s="373" t="str">
        <f>IFERROR(BASE_DATOS[[#This Row],[Horas Rodadas]]/(BASE_DATOS[[#This Row],[NSK Original]]-BASE_DATOS[[#This Row],[NSK]]),"")</f>
        <v/>
      </c>
      <c r="AL957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57" s="374" t="str">
        <f>IFERROR(BASE_DATOS[[#This Row],[Precio US$]]/BASE_DATOS[[#This Row],[Horas Proy.]],"")</f>
        <v/>
      </c>
      <c r="AN957" s="181" t="str">
        <f>IF(OR(BASE_DATOS[[#This Row],[Km.]]="",BASE_DATOS[[#This Row],[Km. Actual]]=""),"",BASE_DATOS[[#This Row],[Km. Actual]]-BASE_DATOS[[#This Row],[Km.]]+BASE_DATOS[[#This Row],[Kilómetros Acumulados]])</f>
        <v/>
      </c>
      <c r="AO957" s="182" t="str">
        <f>IFERROR(BASE_DATOS[[#This Row],[Precio US$]]/BASE_DATOS[[#This Row],[Kilómetros Rodados]],"")</f>
        <v/>
      </c>
      <c r="AP957" s="181" t="str">
        <f>IFERROR(BASE_DATOS[[#This Row],[Kilómetros Rodados]]/(BASE_DATOS[[#This Row],[NSK Original]]-BASE_DATOS[[#This Row],[NSK]]),"")</f>
        <v/>
      </c>
      <c r="AQ957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57" s="182" t="str">
        <f>IFERROR(BASE_DATOS[[#This Row],[Precio US$]]/BASE_DATOS[[#This Row],[Kilómetros Proy.]],"")</f>
        <v/>
      </c>
      <c r="AS957" s="170" t="s">
        <v>62</v>
      </c>
      <c r="AT957" s="170"/>
      <c r="AU957" s="170"/>
      <c r="AV957" s="170"/>
      <c r="AW957" s="169"/>
      <c r="AX957" s="169"/>
      <c r="AY957" s="169" t="str">
        <f>CONCATENATE(BASE_DATOS[[#This Row],[Código_U]]&amp;BASE_DATOS[[#This Row],[Pos.]]&amp;BASE_DATOS[[#This Row],[Situación Actual]])</f>
        <v>VQ-338Rodando</v>
      </c>
    </row>
    <row r="958" spans="1:51" ht="12" x14ac:dyDescent="0.25">
      <c r="A958" s="223" t="s">
        <v>490</v>
      </c>
      <c r="B958" s="217" t="s">
        <v>489</v>
      </c>
      <c r="C958" s="230" t="s">
        <v>95</v>
      </c>
      <c r="D958" s="219" t="s">
        <v>61</v>
      </c>
      <c r="E958" s="248"/>
      <c r="F958" s="243" t="s">
        <v>71</v>
      </c>
      <c r="G958" s="243" t="s">
        <v>478</v>
      </c>
      <c r="H958" s="264" t="str">
        <f>IF(BASE_DATOS[[#This Row],[N-R]]="N",BASE_DATOS[[#This Row],[Diseño]],"Reencauche")</f>
        <v>STK</v>
      </c>
      <c r="I958" s="243" t="s">
        <v>96</v>
      </c>
      <c r="J958" s="243" t="s">
        <v>72</v>
      </c>
      <c r="K958" s="265">
        <v>0</v>
      </c>
      <c r="L958" s="243">
        <v>100</v>
      </c>
      <c r="M958" s="246"/>
      <c r="N958" s="266"/>
      <c r="O958" s="286"/>
      <c r="P958" s="287"/>
      <c r="Q958" s="288"/>
      <c r="R958" s="304">
        <v>9</v>
      </c>
      <c r="S958" s="318">
        <v>45386</v>
      </c>
      <c r="T958" s="319"/>
      <c r="U958" s="288"/>
      <c r="V958" s="223">
        <v>13</v>
      </c>
      <c r="W958" s="217"/>
      <c r="X958" s="328">
        <v>13</v>
      </c>
      <c r="Y958" s="164">
        <f t="shared" si="51"/>
        <v>13</v>
      </c>
      <c r="Z958" s="161" t="s">
        <v>85</v>
      </c>
      <c r="AA958" s="348">
        <f>IFERROR(BASE_DATOS[[#This Row],[NSK Original]]-BASE_DATOS[[#This Row],[NSK]]," ")</f>
        <v>-13</v>
      </c>
      <c r="AB958" s="349">
        <f>'NSK-TRACTO'!$A$2</f>
        <v>6</v>
      </c>
      <c r="AC958" s="349">
        <f>IF(BASE_DATOS[[#This Row],[NSK]]&gt;=BASE_DATOS[[#This Row],[NSK Reen]],BASE_DATOS[[#This Row],[NSK Reen]],BASE_DATOS[[#This Row],[NSK]])</f>
        <v>6</v>
      </c>
      <c r="AD958" s="350" t="str">
        <f>IFERROR(100%-(BASE_DATOS[[#This Row],[NSK Reen]]/BASE_DATOS[[#This Row],[NSK Original]]),"")</f>
        <v/>
      </c>
      <c r="AE958" s="350" t="str">
        <f>IFERROR(100%-BASE_DATOS[[#This Row],[NSK]]/BASE_DATOS[[#This Row],[NSK Original]],"")</f>
        <v/>
      </c>
      <c r="AF958" s="350" t="str">
        <f>IFERROR(BASE_DATOS[[#This Row],[% Max Des.]]-BASE_DATOS[[#This Row],[% Des]],"")</f>
        <v/>
      </c>
      <c r="AG958" s="287"/>
      <c r="AH958" s="273"/>
      <c r="AI958" s="371" t="str">
        <f>IF(OR(BASE_DATOS[[#This Row],[Hr.]]="",BASE_DATOS[[#This Row],[Hr. Actual]]=""),"",BASE_DATOS[[#This Row],[Hr. Actual]]-BASE_DATOS[[#This Row],[Hr.]]+BASE_DATOS[[#This Row],[Horas Acumuladas]])</f>
        <v/>
      </c>
      <c r="AJ958" s="372" t="str">
        <f>IFERROR(BASE_DATOS[[#This Row],[Precio US$]]/BASE_DATOS[[#This Row],[Horas Rodadas]],"")</f>
        <v/>
      </c>
      <c r="AK958" s="373" t="str">
        <f>IFERROR(BASE_DATOS[[#This Row],[Horas Rodadas]]/(BASE_DATOS[[#This Row],[NSK Original]]-BASE_DATOS[[#This Row],[NSK]]),"")</f>
        <v/>
      </c>
      <c r="AL958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58" s="374" t="str">
        <f>IFERROR(BASE_DATOS[[#This Row],[Precio US$]]/BASE_DATOS[[#This Row],[Horas Proy.]],"")</f>
        <v/>
      </c>
      <c r="AN958" s="181" t="str">
        <f>IF(OR(BASE_DATOS[[#This Row],[Km.]]="",BASE_DATOS[[#This Row],[Km. Actual]]=""),"",BASE_DATOS[[#This Row],[Km. Actual]]-BASE_DATOS[[#This Row],[Km.]]+BASE_DATOS[[#This Row],[Kilómetros Acumulados]])</f>
        <v/>
      </c>
      <c r="AO958" s="182" t="str">
        <f>IFERROR(BASE_DATOS[[#This Row],[Precio US$]]/BASE_DATOS[[#This Row],[Kilómetros Rodados]],"")</f>
        <v/>
      </c>
      <c r="AP958" s="181" t="str">
        <f>IFERROR(BASE_DATOS[[#This Row],[Kilómetros Rodados]]/(BASE_DATOS[[#This Row],[NSK Original]]-BASE_DATOS[[#This Row],[NSK]]),"")</f>
        <v/>
      </c>
      <c r="AQ958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58" s="182" t="str">
        <f>IFERROR(BASE_DATOS[[#This Row],[Precio US$]]/BASE_DATOS[[#This Row],[Kilómetros Proy.]],"")</f>
        <v/>
      </c>
      <c r="AS958" s="170" t="s">
        <v>62</v>
      </c>
      <c r="AT958" s="170"/>
      <c r="AU958" s="170"/>
      <c r="AV958" s="170"/>
      <c r="AW958" s="169"/>
      <c r="AX958" s="169"/>
      <c r="AY958" s="169" t="str">
        <f>CONCATENATE(BASE_DATOS[[#This Row],[Código_U]]&amp;BASE_DATOS[[#This Row],[Pos.]]&amp;BASE_DATOS[[#This Row],[Situación Actual]])</f>
        <v>VQ-339Rodando</v>
      </c>
    </row>
    <row r="959" spans="1:51" ht="12" x14ac:dyDescent="0.25">
      <c r="A959" s="223" t="s">
        <v>490</v>
      </c>
      <c r="B959" s="217" t="s">
        <v>489</v>
      </c>
      <c r="C959" s="230" t="s">
        <v>95</v>
      </c>
      <c r="D959" s="219" t="s">
        <v>61</v>
      </c>
      <c r="E959" s="248"/>
      <c r="F959" s="243" t="s">
        <v>71</v>
      </c>
      <c r="G959" s="243" t="s">
        <v>483</v>
      </c>
      <c r="H959" s="264" t="str">
        <f>IF(BASE_DATOS[[#This Row],[N-R]]="N",BASE_DATOS[[#This Row],[Diseño]],"Reencauche")</f>
        <v>G677 OTR</v>
      </c>
      <c r="I959" s="243" t="s">
        <v>484</v>
      </c>
      <c r="J959" s="243" t="s">
        <v>72</v>
      </c>
      <c r="K959" s="265">
        <v>0</v>
      </c>
      <c r="L959" s="243">
        <v>110</v>
      </c>
      <c r="M959" s="246"/>
      <c r="N959" s="266"/>
      <c r="O959" s="286"/>
      <c r="P959" s="287"/>
      <c r="Q959" s="288"/>
      <c r="R959" s="304">
        <v>10</v>
      </c>
      <c r="S959" s="318">
        <v>45386</v>
      </c>
      <c r="T959" s="319"/>
      <c r="U959" s="288"/>
      <c r="V959" s="223">
        <v>11</v>
      </c>
      <c r="W959" s="217"/>
      <c r="X959" s="328">
        <v>9</v>
      </c>
      <c r="Y959" s="164">
        <f t="shared" si="51"/>
        <v>9</v>
      </c>
      <c r="Z959" s="161" t="s">
        <v>85</v>
      </c>
      <c r="AA959" s="348">
        <f>IFERROR(BASE_DATOS[[#This Row],[NSK Original]]-BASE_DATOS[[#This Row],[NSK]]," ")</f>
        <v>-9</v>
      </c>
      <c r="AB959" s="349">
        <f>'NSK-TRACTO'!$A$2</f>
        <v>6</v>
      </c>
      <c r="AC959" s="349">
        <f>IF(BASE_DATOS[[#This Row],[NSK]]&gt;=BASE_DATOS[[#This Row],[NSK Reen]],BASE_DATOS[[#This Row],[NSK Reen]],BASE_DATOS[[#This Row],[NSK]])</f>
        <v>6</v>
      </c>
      <c r="AD959" s="350" t="str">
        <f>IFERROR(100%-(BASE_DATOS[[#This Row],[NSK Reen]]/BASE_DATOS[[#This Row],[NSK Original]]),"")</f>
        <v/>
      </c>
      <c r="AE959" s="350" t="str">
        <f>IFERROR(100%-BASE_DATOS[[#This Row],[NSK]]/BASE_DATOS[[#This Row],[NSK Original]],"")</f>
        <v/>
      </c>
      <c r="AF959" s="350" t="str">
        <f>IFERROR(BASE_DATOS[[#This Row],[% Max Des.]]-BASE_DATOS[[#This Row],[% Des]],"")</f>
        <v/>
      </c>
      <c r="AG959" s="287"/>
      <c r="AH959" s="273"/>
      <c r="AI959" s="371" t="str">
        <f>IF(OR(BASE_DATOS[[#This Row],[Hr.]]="",BASE_DATOS[[#This Row],[Hr. Actual]]=""),"",BASE_DATOS[[#This Row],[Hr. Actual]]-BASE_DATOS[[#This Row],[Hr.]]+BASE_DATOS[[#This Row],[Horas Acumuladas]])</f>
        <v/>
      </c>
      <c r="AJ959" s="372" t="str">
        <f>IFERROR(BASE_DATOS[[#This Row],[Precio US$]]/BASE_DATOS[[#This Row],[Horas Rodadas]],"")</f>
        <v/>
      </c>
      <c r="AK959" s="373" t="str">
        <f>IFERROR(BASE_DATOS[[#This Row],[Horas Rodadas]]/(BASE_DATOS[[#This Row],[NSK Original]]-BASE_DATOS[[#This Row],[NSK]]),"")</f>
        <v/>
      </c>
      <c r="AL959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59" s="374" t="str">
        <f>IFERROR(BASE_DATOS[[#This Row],[Precio US$]]/BASE_DATOS[[#This Row],[Horas Proy.]],"")</f>
        <v/>
      </c>
      <c r="AN959" s="183" t="str">
        <f>IF(OR(BASE_DATOS[[#This Row],[Km.]]="",BASE_DATOS[[#This Row],[Km. Actual]]=""),"",BASE_DATOS[[#This Row],[Km. Actual]]-BASE_DATOS[[#This Row],[Km.]]+BASE_DATOS[[#This Row],[Kilómetros Acumulados]])</f>
        <v/>
      </c>
      <c r="AO959" s="184" t="str">
        <f>IFERROR(BASE_DATOS[[#This Row],[Precio US$]]/BASE_DATOS[[#This Row],[Kilómetros Rodados]],"")</f>
        <v/>
      </c>
      <c r="AP959" s="183" t="str">
        <f>IFERROR(BASE_DATOS[[#This Row],[Kilómetros Rodados]]/(BASE_DATOS[[#This Row],[NSK Original]]-BASE_DATOS[[#This Row],[NSK]]),"")</f>
        <v/>
      </c>
      <c r="AQ959" s="183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59" s="184" t="str">
        <f>IFERROR(BASE_DATOS[[#This Row],[Precio US$]]/BASE_DATOS[[#This Row],[Kilómetros Proy.]],"")</f>
        <v/>
      </c>
      <c r="AS959" s="170" t="s">
        <v>62</v>
      </c>
      <c r="AT959" s="170"/>
      <c r="AU959" s="170"/>
      <c r="AV959" s="170"/>
      <c r="AW959" s="180"/>
      <c r="AX959" s="180"/>
      <c r="AY959" s="180" t="str">
        <f>CONCATENATE(BASE_DATOS[[#This Row],[Código_U]]&amp;BASE_DATOS[[#This Row],[Pos.]]&amp;BASE_DATOS[[#This Row],[Situación Actual]])</f>
        <v>VQ-3310Rodando</v>
      </c>
    </row>
    <row r="960" spans="1:51" ht="12" x14ac:dyDescent="0.25">
      <c r="A960" s="222" t="s">
        <v>492</v>
      </c>
      <c r="B960" s="213" t="s">
        <v>491</v>
      </c>
      <c r="C960" s="231" t="s">
        <v>95</v>
      </c>
      <c r="D960" s="215" t="s">
        <v>86</v>
      </c>
      <c r="E960" s="232"/>
      <c r="F960" s="235" t="s">
        <v>71</v>
      </c>
      <c r="G960" s="235" t="s">
        <v>479</v>
      </c>
      <c r="H960" s="261" t="str">
        <f>IF(BASE_DATOS[[#This Row],[N-R]]="N",BASE_DATOS[[#This Row],[Diseño]],"Reencauche")</f>
        <v>OMNITRAC S</v>
      </c>
      <c r="I960" s="235" t="s">
        <v>480</v>
      </c>
      <c r="J960" s="235" t="s">
        <v>72</v>
      </c>
      <c r="K960" s="262">
        <v>0</v>
      </c>
      <c r="L960" s="235">
        <v>110</v>
      </c>
      <c r="M960" s="238"/>
      <c r="N960" s="263"/>
      <c r="O960" s="283"/>
      <c r="P960" s="284"/>
      <c r="Q960" s="285"/>
      <c r="R960" s="302">
        <v>1</v>
      </c>
      <c r="S960" s="316">
        <v>45386</v>
      </c>
      <c r="T960" s="317"/>
      <c r="U960" s="285"/>
      <c r="V960" s="222">
        <v>13</v>
      </c>
      <c r="W960" s="213">
        <v>11</v>
      </c>
      <c r="X960" s="327">
        <v>12</v>
      </c>
      <c r="Y960" s="188">
        <f>IFERROR(MIN(V960:X960),"")</f>
        <v>11</v>
      </c>
      <c r="Z960" s="185" t="s">
        <v>85</v>
      </c>
      <c r="AA960" s="345">
        <f>IFERROR(BASE_DATOS[[#This Row],[NSK Original]]-BASE_DATOS[[#This Row],[NSK]]," ")</f>
        <v>-11</v>
      </c>
      <c r="AB960" s="346">
        <f>'NSK-TRACTO'!$A$2</f>
        <v>6</v>
      </c>
      <c r="AC960" s="346">
        <f>IF(BASE_DATOS[[#This Row],[NSK]]&gt;=BASE_DATOS[[#This Row],[NSK Reen]],BASE_DATOS[[#This Row],[NSK Reen]],BASE_DATOS[[#This Row],[NSK]])</f>
        <v>6</v>
      </c>
      <c r="AD960" s="347" t="str">
        <f>IFERROR(100%-(BASE_DATOS[[#This Row],[NSK Reen]]/BASE_DATOS[[#This Row],[NSK Original]]),"")</f>
        <v/>
      </c>
      <c r="AE960" s="347" t="str">
        <f>IFERROR(100%-BASE_DATOS[[#This Row],[NSK]]/BASE_DATOS[[#This Row],[NSK Original]],"")</f>
        <v/>
      </c>
      <c r="AF960" s="347" t="str">
        <f>IFERROR(BASE_DATOS[[#This Row],[% Max Des.]]-BASE_DATOS[[#This Row],[% Des]],"")</f>
        <v/>
      </c>
      <c r="AG960" s="284"/>
      <c r="AH960" s="335"/>
      <c r="AI960" s="367" t="str">
        <f>IF(OR(BASE_DATOS[[#This Row],[Hr.]]="",BASE_DATOS[[#This Row],[Hr. Actual]]=""),"",BASE_DATOS[[#This Row],[Hr. Actual]]-BASE_DATOS[[#This Row],[Hr.]]+BASE_DATOS[[#This Row],[Horas Acumuladas]])</f>
        <v/>
      </c>
      <c r="AJ960" s="368" t="str">
        <f>IFERROR(BASE_DATOS[[#This Row],[Precio US$]]/BASE_DATOS[[#This Row],[Horas Rodadas]],"")</f>
        <v/>
      </c>
      <c r="AK960" s="369" t="str">
        <f>IFERROR(BASE_DATOS[[#This Row],[Horas Rodadas]]/(BASE_DATOS[[#This Row],[NSK Original]]-BASE_DATOS[[#This Row],[NSK]]),"")</f>
        <v/>
      </c>
      <c r="AL960" s="369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60" s="370" t="str">
        <f>IFERROR(BASE_DATOS[[#This Row],[Precio US$]]/BASE_DATOS[[#This Row],[Horas Proy.]],"")</f>
        <v/>
      </c>
      <c r="AN960" s="207" t="str">
        <f>IF(OR(BASE_DATOS[[#This Row],[Km.]]="",BASE_DATOS[[#This Row],[Km. Actual]]=""),"",BASE_DATOS[[#This Row],[Km. Actual]]-BASE_DATOS[[#This Row],[Km.]]+BASE_DATOS[[#This Row],[Kilómetros Acumulados]])</f>
        <v/>
      </c>
      <c r="AO960" s="208" t="str">
        <f>IFERROR(BASE_DATOS[[#This Row],[Precio US$]]/BASE_DATOS[[#This Row],[Kilómetros Rodados]],"")</f>
        <v/>
      </c>
      <c r="AP960" s="207" t="str">
        <f>IFERROR(BASE_DATOS[[#This Row],[Kilómetros Rodados]]/(BASE_DATOS[[#This Row],[NSK Original]]-BASE_DATOS[[#This Row],[NSK]]),"")</f>
        <v/>
      </c>
      <c r="AQ960" s="207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60" s="208" t="str">
        <f>IFERROR(BASE_DATOS[[#This Row],[Precio US$]]/BASE_DATOS[[#This Row],[Kilómetros Proy.]],"")</f>
        <v/>
      </c>
      <c r="AS960" s="201" t="s">
        <v>62</v>
      </c>
      <c r="AT960" s="201"/>
      <c r="AU960" s="201"/>
      <c r="AV960" s="201"/>
      <c r="AW960" s="192"/>
      <c r="AX960" s="192"/>
      <c r="AY960" s="192" t="str">
        <f>CONCATENATE(BASE_DATOS[[#This Row],[Código_U]]&amp;BASE_DATOS[[#This Row],[Pos.]]&amp;BASE_DATOS[[#This Row],[Situación Actual]])</f>
        <v>VQ-361Rodando</v>
      </c>
    </row>
    <row r="961" spans="1:51" ht="12" x14ac:dyDescent="0.25">
      <c r="A961" s="223" t="s">
        <v>492</v>
      </c>
      <c r="B961" s="217" t="s">
        <v>491</v>
      </c>
      <c r="C961" s="230" t="s">
        <v>95</v>
      </c>
      <c r="D961" s="219" t="s">
        <v>86</v>
      </c>
      <c r="E961" s="248"/>
      <c r="F961" s="243" t="s">
        <v>71</v>
      </c>
      <c r="G961" s="243" t="s">
        <v>479</v>
      </c>
      <c r="H961" s="264" t="str">
        <f>IF(BASE_DATOS[[#This Row],[N-R]]="N",BASE_DATOS[[#This Row],[Diseño]],"Reencauche")</f>
        <v>OMNITRAC S</v>
      </c>
      <c r="I961" s="243" t="s">
        <v>480</v>
      </c>
      <c r="J961" s="243" t="s">
        <v>72</v>
      </c>
      <c r="K961" s="265">
        <v>0</v>
      </c>
      <c r="L961" s="243">
        <v>110</v>
      </c>
      <c r="M961" s="246"/>
      <c r="N961" s="266"/>
      <c r="O961" s="286"/>
      <c r="P961" s="287"/>
      <c r="Q961" s="288"/>
      <c r="R961" s="304">
        <v>2</v>
      </c>
      <c r="S961" s="318">
        <v>45386</v>
      </c>
      <c r="T961" s="319"/>
      <c r="U961" s="288"/>
      <c r="V961" s="223">
        <v>13</v>
      </c>
      <c r="W961" s="217">
        <v>11</v>
      </c>
      <c r="X961" s="328">
        <v>13</v>
      </c>
      <c r="Y961" s="164">
        <f t="shared" ref="Y961:Y969" si="52">IFERROR(MIN(V961:X961),"")</f>
        <v>11</v>
      </c>
      <c r="Z961" s="161" t="s">
        <v>85</v>
      </c>
      <c r="AA961" s="348">
        <f>IFERROR(BASE_DATOS[[#This Row],[NSK Original]]-BASE_DATOS[[#This Row],[NSK]]," ")</f>
        <v>-11</v>
      </c>
      <c r="AB961" s="349">
        <f>'NSK-TRACTO'!$A$2</f>
        <v>6</v>
      </c>
      <c r="AC961" s="349">
        <f>IF(BASE_DATOS[[#This Row],[NSK]]&gt;=BASE_DATOS[[#This Row],[NSK Reen]],BASE_DATOS[[#This Row],[NSK Reen]],BASE_DATOS[[#This Row],[NSK]])</f>
        <v>6</v>
      </c>
      <c r="AD961" s="350" t="str">
        <f>IFERROR(100%-(BASE_DATOS[[#This Row],[NSK Reen]]/BASE_DATOS[[#This Row],[NSK Original]]),"")</f>
        <v/>
      </c>
      <c r="AE961" s="350" t="str">
        <f>IFERROR(100%-BASE_DATOS[[#This Row],[NSK]]/BASE_DATOS[[#This Row],[NSK Original]],"")</f>
        <v/>
      </c>
      <c r="AF961" s="350" t="str">
        <f>IFERROR(BASE_DATOS[[#This Row],[% Max Des.]]-BASE_DATOS[[#This Row],[% Des]],"")</f>
        <v/>
      </c>
      <c r="AG961" s="287"/>
      <c r="AH961" s="273"/>
      <c r="AI961" s="371" t="str">
        <f>IF(OR(BASE_DATOS[[#This Row],[Hr.]]="",BASE_DATOS[[#This Row],[Hr. Actual]]=""),"",BASE_DATOS[[#This Row],[Hr. Actual]]-BASE_DATOS[[#This Row],[Hr.]]+BASE_DATOS[[#This Row],[Horas Acumuladas]])</f>
        <v/>
      </c>
      <c r="AJ961" s="372" t="str">
        <f>IFERROR(BASE_DATOS[[#This Row],[Precio US$]]/BASE_DATOS[[#This Row],[Horas Rodadas]],"")</f>
        <v/>
      </c>
      <c r="AK961" s="373" t="str">
        <f>IFERROR(BASE_DATOS[[#This Row],[Horas Rodadas]]/(BASE_DATOS[[#This Row],[NSK Original]]-BASE_DATOS[[#This Row],[NSK]]),"")</f>
        <v/>
      </c>
      <c r="AL961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61" s="374" t="str">
        <f>IFERROR(BASE_DATOS[[#This Row],[Precio US$]]/BASE_DATOS[[#This Row],[Horas Proy.]],"")</f>
        <v/>
      </c>
      <c r="AN961" s="181" t="str">
        <f>IF(OR(BASE_DATOS[[#This Row],[Km.]]="",BASE_DATOS[[#This Row],[Km. Actual]]=""),"",BASE_DATOS[[#This Row],[Km. Actual]]-BASE_DATOS[[#This Row],[Km.]]+BASE_DATOS[[#This Row],[Kilómetros Acumulados]])</f>
        <v/>
      </c>
      <c r="AO961" s="182" t="str">
        <f>IFERROR(BASE_DATOS[[#This Row],[Precio US$]]/BASE_DATOS[[#This Row],[Kilómetros Rodados]],"")</f>
        <v/>
      </c>
      <c r="AP961" s="181" t="str">
        <f>IFERROR(BASE_DATOS[[#This Row],[Kilómetros Rodados]]/(BASE_DATOS[[#This Row],[NSK Original]]-BASE_DATOS[[#This Row],[NSK]]),"")</f>
        <v/>
      </c>
      <c r="AQ961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61" s="182" t="str">
        <f>IFERROR(BASE_DATOS[[#This Row],[Precio US$]]/BASE_DATOS[[#This Row],[Kilómetros Proy.]],"")</f>
        <v/>
      </c>
      <c r="AS961" s="170" t="s">
        <v>62</v>
      </c>
      <c r="AT961" s="170"/>
      <c r="AU961" s="170"/>
      <c r="AV961" s="170"/>
      <c r="AW961" s="169"/>
      <c r="AX961" s="169"/>
      <c r="AY961" s="169" t="str">
        <f>CONCATENATE(BASE_DATOS[[#This Row],[Código_U]]&amp;BASE_DATOS[[#This Row],[Pos.]]&amp;BASE_DATOS[[#This Row],[Situación Actual]])</f>
        <v>VQ-362Rodando</v>
      </c>
    </row>
    <row r="962" spans="1:51" ht="12" x14ac:dyDescent="0.25">
      <c r="A962" s="223" t="s">
        <v>492</v>
      </c>
      <c r="B962" s="217" t="s">
        <v>491</v>
      </c>
      <c r="C962" s="230" t="s">
        <v>95</v>
      </c>
      <c r="D962" s="219" t="s">
        <v>61</v>
      </c>
      <c r="E962" s="248"/>
      <c r="F962" s="243" t="s">
        <v>485</v>
      </c>
      <c r="G962" s="243" t="s">
        <v>483</v>
      </c>
      <c r="H962" s="264" t="str">
        <f>IF(BASE_DATOS[[#This Row],[N-R]]="N",BASE_DATOS[[#This Row],[Diseño]],"Reencauche")</f>
        <v>ETOT II</v>
      </c>
      <c r="I962" s="243" t="s">
        <v>486</v>
      </c>
      <c r="J962" s="243" t="s">
        <v>72</v>
      </c>
      <c r="K962" s="265">
        <v>0</v>
      </c>
      <c r="L962" s="243">
        <v>110</v>
      </c>
      <c r="M962" s="246"/>
      <c r="N962" s="266"/>
      <c r="O962" s="286"/>
      <c r="P962" s="287"/>
      <c r="Q962" s="288"/>
      <c r="R962" s="304">
        <v>3</v>
      </c>
      <c r="S962" s="318">
        <v>45386</v>
      </c>
      <c r="T962" s="319"/>
      <c r="U962" s="288"/>
      <c r="V962" s="223">
        <v>9</v>
      </c>
      <c r="W962" s="217"/>
      <c r="X962" s="328">
        <v>9</v>
      </c>
      <c r="Y962" s="164">
        <f t="shared" si="52"/>
        <v>9</v>
      </c>
      <c r="Z962" s="161" t="s">
        <v>385</v>
      </c>
      <c r="AA962" s="348">
        <f>IFERROR(BASE_DATOS[[#This Row],[NSK Original]]-BASE_DATOS[[#This Row],[NSK]]," ")</f>
        <v>-9</v>
      </c>
      <c r="AB962" s="349">
        <f>'NSK-TRACTO'!$A$2</f>
        <v>6</v>
      </c>
      <c r="AC962" s="349">
        <f>IF(BASE_DATOS[[#This Row],[NSK]]&gt;=BASE_DATOS[[#This Row],[NSK Reen]],BASE_DATOS[[#This Row],[NSK Reen]],BASE_DATOS[[#This Row],[NSK]])</f>
        <v>6</v>
      </c>
      <c r="AD962" s="350" t="str">
        <f>IFERROR(100%-(BASE_DATOS[[#This Row],[NSK Reen]]/BASE_DATOS[[#This Row],[NSK Original]]),"")</f>
        <v/>
      </c>
      <c r="AE962" s="350" t="str">
        <f>IFERROR(100%-BASE_DATOS[[#This Row],[NSK]]/BASE_DATOS[[#This Row],[NSK Original]],"")</f>
        <v/>
      </c>
      <c r="AF962" s="350" t="str">
        <f>IFERROR(BASE_DATOS[[#This Row],[% Max Des.]]-BASE_DATOS[[#This Row],[% Des]],"")</f>
        <v/>
      </c>
      <c r="AG962" s="287"/>
      <c r="AH962" s="273"/>
      <c r="AI962" s="371" t="str">
        <f>IF(OR(BASE_DATOS[[#This Row],[Hr.]]="",BASE_DATOS[[#This Row],[Hr. Actual]]=""),"",BASE_DATOS[[#This Row],[Hr. Actual]]-BASE_DATOS[[#This Row],[Hr.]]+BASE_DATOS[[#This Row],[Horas Acumuladas]])</f>
        <v/>
      </c>
      <c r="AJ962" s="372" t="str">
        <f>IFERROR(BASE_DATOS[[#This Row],[Precio US$]]/BASE_DATOS[[#This Row],[Horas Rodadas]],"")</f>
        <v/>
      </c>
      <c r="AK962" s="373" t="str">
        <f>IFERROR(BASE_DATOS[[#This Row],[Horas Rodadas]]/(BASE_DATOS[[#This Row],[NSK Original]]-BASE_DATOS[[#This Row],[NSK]]),"")</f>
        <v/>
      </c>
      <c r="AL962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62" s="374" t="str">
        <f>IFERROR(BASE_DATOS[[#This Row],[Precio US$]]/BASE_DATOS[[#This Row],[Horas Proy.]],"")</f>
        <v/>
      </c>
      <c r="AN962" s="181" t="str">
        <f>IF(OR(BASE_DATOS[[#This Row],[Km.]]="",BASE_DATOS[[#This Row],[Km. Actual]]=""),"",BASE_DATOS[[#This Row],[Km. Actual]]-BASE_DATOS[[#This Row],[Km.]]+BASE_DATOS[[#This Row],[Kilómetros Acumulados]])</f>
        <v/>
      </c>
      <c r="AO962" s="182" t="str">
        <f>IFERROR(BASE_DATOS[[#This Row],[Precio US$]]/BASE_DATOS[[#This Row],[Kilómetros Rodados]],"")</f>
        <v/>
      </c>
      <c r="AP962" s="181" t="str">
        <f>IFERROR(BASE_DATOS[[#This Row],[Kilómetros Rodados]]/(BASE_DATOS[[#This Row],[NSK Original]]-BASE_DATOS[[#This Row],[NSK]]),"")</f>
        <v/>
      </c>
      <c r="AQ962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62" s="182" t="str">
        <f>IFERROR(BASE_DATOS[[#This Row],[Precio US$]]/BASE_DATOS[[#This Row],[Kilómetros Proy.]],"")</f>
        <v/>
      </c>
      <c r="AS962" s="170" t="s">
        <v>62</v>
      </c>
      <c r="AT962" s="170"/>
      <c r="AU962" s="170"/>
      <c r="AV962" s="170"/>
      <c r="AW962" s="169"/>
      <c r="AX962" s="169"/>
      <c r="AY962" s="169" t="str">
        <f>CONCATENATE(BASE_DATOS[[#This Row],[Código_U]]&amp;BASE_DATOS[[#This Row],[Pos.]]&amp;BASE_DATOS[[#This Row],[Situación Actual]])</f>
        <v>VQ-363Rodando</v>
      </c>
    </row>
    <row r="963" spans="1:51" ht="12" x14ac:dyDescent="0.25">
      <c r="A963" s="223" t="s">
        <v>492</v>
      </c>
      <c r="B963" s="217" t="s">
        <v>491</v>
      </c>
      <c r="C963" s="230" t="s">
        <v>95</v>
      </c>
      <c r="D963" s="219" t="s">
        <v>61</v>
      </c>
      <c r="E963" s="248"/>
      <c r="F963" s="243" t="s">
        <v>485</v>
      </c>
      <c r="G963" s="243" t="s">
        <v>483</v>
      </c>
      <c r="H963" s="264" t="str">
        <f>IF(BASE_DATOS[[#This Row],[N-R]]="N",BASE_DATOS[[#This Row],[Diseño]],"Reencauche")</f>
        <v>ETOT II</v>
      </c>
      <c r="I963" s="243" t="s">
        <v>486</v>
      </c>
      <c r="J963" s="243" t="s">
        <v>72</v>
      </c>
      <c r="K963" s="265">
        <v>0</v>
      </c>
      <c r="L963" s="243">
        <v>110</v>
      </c>
      <c r="M963" s="246"/>
      <c r="N963" s="266"/>
      <c r="O963" s="286"/>
      <c r="P963" s="287"/>
      <c r="Q963" s="288"/>
      <c r="R963" s="304">
        <v>4</v>
      </c>
      <c r="S963" s="318">
        <v>45386</v>
      </c>
      <c r="T963" s="319"/>
      <c r="U963" s="288"/>
      <c r="V963" s="223">
        <v>9</v>
      </c>
      <c r="W963" s="217"/>
      <c r="X963" s="328">
        <v>11</v>
      </c>
      <c r="Y963" s="164">
        <f t="shared" si="52"/>
        <v>9</v>
      </c>
      <c r="Z963" s="161" t="s">
        <v>85</v>
      </c>
      <c r="AA963" s="348">
        <f>IFERROR(BASE_DATOS[[#This Row],[NSK Original]]-BASE_DATOS[[#This Row],[NSK]]," ")</f>
        <v>-9</v>
      </c>
      <c r="AB963" s="349">
        <f>'NSK-TRACTO'!$A$2</f>
        <v>6</v>
      </c>
      <c r="AC963" s="349">
        <f>IF(BASE_DATOS[[#This Row],[NSK]]&gt;=BASE_DATOS[[#This Row],[NSK Reen]],BASE_DATOS[[#This Row],[NSK Reen]],BASE_DATOS[[#This Row],[NSK]])</f>
        <v>6</v>
      </c>
      <c r="AD963" s="350" t="str">
        <f>IFERROR(100%-(BASE_DATOS[[#This Row],[NSK Reen]]/BASE_DATOS[[#This Row],[NSK Original]]),"")</f>
        <v/>
      </c>
      <c r="AE963" s="350" t="str">
        <f>IFERROR(100%-BASE_DATOS[[#This Row],[NSK]]/BASE_DATOS[[#This Row],[NSK Original]],"")</f>
        <v/>
      </c>
      <c r="AF963" s="350" t="str">
        <f>IFERROR(BASE_DATOS[[#This Row],[% Max Des.]]-BASE_DATOS[[#This Row],[% Des]],"")</f>
        <v/>
      </c>
      <c r="AG963" s="287"/>
      <c r="AH963" s="273"/>
      <c r="AI963" s="371" t="str">
        <f>IF(OR(BASE_DATOS[[#This Row],[Hr.]]="",BASE_DATOS[[#This Row],[Hr. Actual]]=""),"",BASE_DATOS[[#This Row],[Hr. Actual]]-BASE_DATOS[[#This Row],[Hr.]]+BASE_DATOS[[#This Row],[Horas Acumuladas]])</f>
        <v/>
      </c>
      <c r="AJ963" s="372" t="str">
        <f>IFERROR(BASE_DATOS[[#This Row],[Precio US$]]/BASE_DATOS[[#This Row],[Horas Rodadas]],"")</f>
        <v/>
      </c>
      <c r="AK963" s="373" t="str">
        <f>IFERROR(BASE_DATOS[[#This Row],[Horas Rodadas]]/(BASE_DATOS[[#This Row],[NSK Original]]-BASE_DATOS[[#This Row],[NSK]]),"")</f>
        <v/>
      </c>
      <c r="AL963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63" s="374" t="str">
        <f>IFERROR(BASE_DATOS[[#This Row],[Precio US$]]/BASE_DATOS[[#This Row],[Horas Proy.]],"")</f>
        <v/>
      </c>
      <c r="AN963" s="181" t="str">
        <f>IF(OR(BASE_DATOS[[#This Row],[Km.]]="",BASE_DATOS[[#This Row],[Km. Actual]]=""),"",BASE_DATOS[[#This Row],[Km. Actual]]-BASE_DATOS[[#This Row],[Km.]]+BASE_DATOS[[#This Row],[Kilómetros Acumulados]])</f>
        <v/>
      </c>
      <c r="AO963" s="182" t="str">
        <f>IFERROR(BASE_DATOS[[#This Row],[Precio US$]]/BASE_DATOS[[#This Row],[Kilómetros Rodados]],"")</f>
        <v/>
      </c>
      <c r="AP963" s="181" t="str">
        <f>IFERROR(BASE_DATOS[[#This Row],[Kilómetros Rodados]]/(BASE_DATOS[[#This Row],[NSK Original]]-BASE_DATOS[[#This Row],[NSK]]),"")</f>
        <v/>
      </c>
      <c r="AQ963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63" s="182" t="str">
        <f>IFERROR(BASE_DATOS[[#This Row],[Precio US$]]/BASE_DATOS[[#This Row],[Kilómetros Proy.]],"")</f>
        <v/>
      </c>
      <c r="AS963" s="170" t="s">
        <v>62</v>
      </c>
      <c r="AT963" s="170"/>
      <c r="AU963" s="170"/>
      <c r="AV963" s="170"/>
      <c r="AW963" s="169"/>
      <c r="AX963" s="169"/>
      <c r="AY963" s="169" t="str">
        <f>CONCATENATE(BASE_DATOS[[#This Row],[Código_U]]&amp;BASE_DATOS[[#This Row],[Pos.]]&amp;BASE_DATOS[[#This Row],[Situación Actual]])</f>
        <v>VQ-364Rodando</v>
      </c>
    </row>
    <row r="964" spans="1:51" ht="12" x14ac:dyDescent="0.25">
      <c r="A964" s="223" t="s">
        <v>492</v>
      </c>
      <c r="B964" s="217" t="s">
        <v>491</v>
      </c>
      <c r="C964" s="230" t="s">
        <v>95</v>
      </c>
      <c r="D964" s="219" t="s">
        <v>61</v>
      </c>
      <c r="E964" s="248"/>
      <c r="F964" s="243" t="s">
        <v>485</v>
      </c>
      <c r="G964" s="243" t="s">
        <v>483</v>
      </c>
      <c r="H964" s="264" t="str">
        <f>IF(BASE_DATOS[[#This Row],[N-R]]="N",BASE_DATOS[[#This Row],[Diseño]],"Reencauche")</f>
        <v>ETOT II</v>
      </c>
      <c r="I964" s="243" t="s">
        <v>486</v>
      </c>
      <c r="J964" s="243" t="s">
        <v>72</v>
      </c>
      <c r="K964" s="265">
        <v>0</v>
      </c>
      <c r="L964" s="243">
        <v>110</v>
      </c>
      <c r="M964" s="246"/>
      <c r="N964" s="266"/>
      <c r="O964" s="286"/>
      <c r="P964" s="287"/>
      <c r="Q964" s="288"/>
      <c r="R964" s="304">
        <v>5</v>
      </c>
      <c r="S964" s="318">
        <v>45386</v>
      </c>
      <c r="T964" s="319"/>
      <c r="U964" s="288"/>
      <c r="V964" s="223">
        <v>6</v>
      </c>
      <c r="W964" s="217"/>
      <c r="X964" s="328">
        <v>8</v>
      </c>
      <c r="Y964" s="164">
        <f t="shared" si="52"/>
        <v>6</v>
      </c>
      <c r="Z964" s="161" t="s">
        <v>85</v>
      </c>
      <c r="AA964" s="348">
        <f>IFERROR(BASE_DATOS[[#This Row],[NSK Original]]-BASE_DATOS[[#This Row],[NSK]]," ")</f>
        <v>-6</v>
      </c>
      <c r="AB964" s="349">
        <f>'NSK-TRACTO'!$A$2</f>
        <v>6</v>
      </c>
      <c r="AC964" s="349">
        <f>IF(BASE_DATOS[[#This Row],[NSK]]&gt;=BASE_DATOS[[#This Row],[NSK Reen]],BASE_DATOS[[#This Row],[NSK Reen]],BASE_DATOS[[#This Row],[NSK]])</f>
        <v>6</v>
      </c>
      <c r="AD964" s="350" t="str">
        <f>IFERROR(100%-(BASE_DATOS[[#This Row],[NSK Reen]]/BASE_DATOS[[#This Row],[NSK Original]]),"")</f>
        <v/>
      </c>
      <c r="AE964" s="350" t="str">
        <f>IFERROR(100%-BASE_DATOS[[#This Row],[NSK]]/BASE_DATOS[[#This Row],[NSK Original]],"")</f>
        <v/>
      </c>
      <c r="AF964" s="350" t="str">
        <f>IFERROR(BASE_DATOS[[#This Row],[% Max Des.]]-BASE_DATOS[[#This Row],[% Des]],"")</f>
        <v/>
      </c>
      <c r="AG964" s="287"/>
      <c r="AH964" s="273"/>
      <c r="AI964" s="371" t="str">
        <f>IF(OR(BASE_DATOS[[#This Row],[Hr.]]="",BASE_DATOS[[#This Row],[Hr. Actual]]=""),"",BASE_DATOS[[#This Row],[Hr. Actual]]-BASE_DATOS[[#This Row],[Hr.]]+BASE_DATOS[[#This Row],[Horas Acumuladas]])</f>
        <v/>
      </c>
      <c r="AJ964" s="372" t="str">
        <f>IFERROR(BASE_DATOS[[#This Row],[Precio US$]]/BASE_DATOS[[#This Row],[Horas Rodadas]],"")</f>
        <v/>
      </c>
      <c r="AK964" s="373" t="str">
        <f>IFERROR(BASE_DATOS[[#This Row],[Horas Rodadas]]/(BASE_DATOS[[#This Row],[NSK Original]]-BASE_DATOS[[#This Row],[NSK]]),"")</f>
        <v/>
      </c>
      <c r="AL964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64" s="374" t="str">
        <f>IFERROR(BASE_DATOS[[#This Row],[Precio US$]]/BASE_DATOS[[#This Row],[Horas Proy.]],"")</f>
        <v/>
      </c>
      <c r="AN964" s="181" t="str">
        <f>IF(OR(BASE_DATOS[[#This Row],[Km.]]="",BASE_DATOS[[#This Row],[Km. Actual]]=""),"",BASE_DATOS[[#This Row],[Km. Actual]]-BASE_DATOS[[#This Row],[Km.]]+BASE_DATOS[[#This Row],[Kilómetros Acumulados]])</f>
        <v/>
      </c>
      <c r="AO964" s="182" t="str">
        <f>IFERROR(BASE_DATOS[[#This Row],[Precio US$]]/BASE_DATOS[[#This Row],[Kilómetros Rodados]],"")</f>
        <v/>
      </c>
      <c r="AP964" s="181" t="str">
        <f>IFERROR(BASE_DATOS[[#This Row],[Kilómetros Rodados]]/(BASE_DATOS[[#This Row],[NSK Original]]-BASE_DATOS[[#This Row],[NSK]]),"")</f>
        <v/>
      </c>
      <c r="AQ964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64" s="182" t="str">
        <f>IFERROR(BASE_DATOS[[#This Row],[Precio US$]]/BASE_DATOS[[#This Row],[Kilómetros Proy.]],"")</f>
        <v/>
      </c>
      <c r="AS964" s="170" t="s">
        <v>62</v>
      </c>
      <c r="AT964" s="170"/>
      <c r="AU964" s="170"/>
      <c r="AV964" s="170"/>
      <c r="AW964" s="169"/>
      <c r="AX964" s="169"/>
      <c r="AY964" s="169" t="str">
        <f>CONCATENATE(BASE_DATOS[[#This Row],[Código_U]]&amp;BASE_DATOS[[#This Row],[Pos.]]&amp;BASE_DATOS[[#This Row],[Situación Actual]])</f>
        <v>VQ-365Rodando</v>
      </c>
    </row>
    <row r="965" spans="1:51" ht="12" x14ac:dyDescent="0.25">
      <c r="A965" s="223" t="s">
        <v>492</v>
      </c>
      <c r="B965" s="217" t="s">
        <v>491</v>
      </c>
      <c r="C965" s="230" t="s">
        <v>95</v>
      </c>
      <c r="D965" s="219" t="s">
        <v>61</v>
      </c>
      <c r="E965" s="248"/>
      <c r="F965" s="243" t="s">
        <v>71</v>
      </c>
      <c r="G965" s="243" t="s">
        <v>483</v>
      </c>
      <c r="H965" s="264" t="str">
        <f>IF(BASE_DATOS[[#This Row],[N-R]]="N",BASE_DATOS[[#This Row],[Diseño]],"Reencauche")</f>
        <v>G677 OTR</v>
      </c>
      <c r="I965" s="243" t="s">
        <v>484</v>
      </c>
      <c r="J965" s="243" t="s">
        <v>72</v>
      </c>
      <c r="K965" s="265">
        <v>0</v>
      </c>
      <c r="L965" s="243">
        <v>110</v>
      </c>
      <c r="M965" s="246"/>
      <c r="N965" s="266"/>
      <c r="O965" s="286"/>
      <c r="P965" s="287"/>
      <c r="Q965" s="288"/>
      <c r="R965" s="304">
        <v>6</v>
      </c>
      <c r="S965" s="318">
        <v>45386</v>
      </c>
      <c r="T965" s="319"/>
      <c r="U965" s="288"/>
      <c r="V965" s="223">
        <v>4</v>
      </c>
      <c r="W965" s="217"/>
      <c r="X965" s="328">
        <v>5</v>
      </c>
      <c r="Y965" s="164">
        <f t="shared" si="52"/>
        <v>4</v>
      </c>
      <c r="Z965" s="161" t="s">
        <v>85</v>
      </c>
      <c r="AA965" s="348">
        <f>IFERROR(BASE_DATOS[[#This Row],[NSK Original]]-BASE_DATOS[[#This Row],[NSK]]," ")</f>
        <v>-4</v>
      </c>
      <c r="AB965" s="349">
        <f>'NSK-TRACTO'!$A$2</f>
        <v>6</v>
      </c>
      <c r="AC965" s="349">
        <f>IF(BASE_DATOS[[#This Row],[NSK]]&gt;=BASE_DATOS[[#This Row],[NSK Reen]],BASE_DATOS[[#This Row],[NSK Reen]],BASE_DATOS[[#This Row],[NSK]])</f>
        <v>4</v>
      </c>
      <c r="AD965" s="350" t="str">
        <f>IFERROR(100%-(BASE_DATOS[[#This Row],[NSK Reen]]/BASE_DATOS[[#This Row],[NSK Original]]),"")</f>
        <v/>
      </c>
      <c r="AE965" s="350" t="str">
        <f>IFERROR(100%-BASE_DATOS[[#This Row],[NSK]]/BASE_DATOS[[#This Row],[NSK Original]],"")</f>
        <v/>
      </c>
      <c r="AF965" s="350" t="str">
        <f>IFERROR(BASE_DATOS[[#This Row],[% Max Des.]]-BASE_DATOS[[#This Row],[% Des]],"")</f>
        <v/>
      </c>
      <c r="AG965" s="287"/>
      <c r="AH965" s="273"/>
      <c r="AI965" s="371" t="str">
        <f>IF(OR(BASE_DATOS[[#This Row],[Hr.]]="",BASE_DATOS[[#This Row],[Hr. Actual]]=""),"",BASE_DATOS[[#This Row],[Hr. Actual]]-BASE_DATOS[[#This Row],[Hr.]]+BASE_DATOS[[#This Row],[Horas Acumuladas]])</f>
        <v/>
      </c>
      <c r="AJ965" s="372" t="str">
        <f>IFERROR(BASE_DATOS[[#This Row],[Precio US$]]/BASE_DATOS[[#This Row],[Horas Rodadas]],"")</f>
        <v/>
      </c>
      <c r="AK965" s="373" t="str">
        <f>IFERROR(BASE_DATOS[[#This Row],[Horas Rodadas]]/(BASE_DATOS[[#This Row],[NSK Original]]-BASE_DATOS[[#This Row],[NSK]]),"")</f>
        <v/>
      </c>
      <c r="AL965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65" s="374" t="str">
        <f>IFERROR(BASE_DATOS[[#This Row],[Precio US$]]/BASE_DATOS[[#This Row],[Horas Proy.]],"")</f>
        <v/>
      </c>
      <c r="AN965" s="181" t="str">
        <f>IF(OR(BASE_DATOS[[#This Row],[Km.]]="",BASE_DATOS[[#This Row],[Km. Actual]]=""),"",BASE_DATOS[[#This Row],[Km. Actual]]-BASE_DATOS[[#This Row],[Km.]]+BASE_DATOS[[#This Row],[Kilómetros Acumulados]])</f>
        <v/>
      </c>
      <c r="AO965" s="182" t="str">
        <f>IFERROR(BASE_DATOS[[#This Row],[Precio US$]]/BASE_DATOS[[#This Row],[Kilómetros Rodados]],"")</f>
        <v/>
      </c>
      <c r="AP965" s="181" t="str">
        <f>IFERROR(BASE_DATOS[[#This Row],[Kilómetros Rodados]]/(BASE_DATOS[[#This Row],[NSK Original]]-BASE_DATOS[[#This Row],[NSK]]),"")</f>
        <v/>
      </c>
      <c r="AQ965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65" s="182" t="str">
        <f>IFERROR(BASE_DATOS[[#This Row],[Precio US$]]/BASE_DATOS[[#This Row],[Kilómetros Proy.]],"")</f>
        <v/>
      </c>
      <c r="AS965" s="170" t="s">
        <v>62</v>
      </c>
      <c r="AT965" s="170" t="s">
        <v>515</v>
      </c>
      <c r="AU965" s="170"/>
      <c r="AV965" s="170"/>
      <c r="AW965" s="169"/>
      <c r="AX965" s="169"/>
      <c r="AY965" s="169" t="str">
        <f>CONCATENATE(BASE_DATOS[[#This Row],[Código_U]]&amp;BASE_DATOS[[#This Row],[Pos.]]&amp;BASE_DATOS[[#This Row],[Situación Actual]])</f>
        <v>VQ-366Rodando</v>
      </c>
    </row>
    <row r="966" spans="1:51" ht="12" x14ac:dyDescent="0.25">
      <c r="A966" s="223" t="s">
        <v>492</v>
      </c>
      <c r="B966" s="217" t="s">
        <v>491</v>
      </c>
      <c r="C966" s="230" t="s">
        <v>95</v>
      </c>
      <c r="D966" s="219" t="s">
        <v>61</v>
      </c>
      <c r="E966" s="248"/>
      <c r="F966" s="243" t="s">
        <v>71</v>
      </c>
      <c r="G966" s="243" t="s">
        <v>478</v>
      </c>
      <c r="H966" s="264" t="str">
        <f>IF(BASE_DATOS[[#This Row],[N-R]]="N",BASE_DATOS[[#This Row],[Diseño]],"Reencauche")</f>
        <v>STK</v>
      </c>
      <c r="I966" s="243" t="s">
        <v>96</v>
      </c>
      <c r="J966" s="243" t="s">
        <v>72</v>
      </c>
      <c r="K966" s="265">
        <v>0</v>
      </c>
      <c r="L966" s="243">
        <v>100</v>
      </c>
      <c r="M966" s="246"/>
      <c r="N966" s="266"/>
      <c r="O966" s="286"/>
      <c r="P966" s="287"/>
      <c r="Q966" s="288"/>
      <c r="R966" s="304">
        <v>7</v>
      </c>
      <c r="S966" s="318">
        <v>45386</v>
      </c>
      <c r="T966" s="319"/>
      <c r="U966" s="288"/>
      <c r="V966" s="223">
        <v>14</v>
      </c>
      <c r="W966" s="217"/>
      <c r="X966" s="328">
        <v>13</v>
      </c>
      <c r="Y966" s="164">
        <f t="shared" si="52"/>
        <v>13</v>
      </c>
      <c r="Z966" s="161" t="s">
        <v>85</v>
      </c>
      <c r="AA966" s="348">
        <f>IFERROR(BASE_DATOS[[#This Row],[NSK Original]]-BASE_DATOS[[#This Row],[NSK]]," ")</f>
        <v>-13</v>
      </c>
      <c r="AB966" s="349">
        <f>'NSK-TRACTO'!$A$2</f>
        <v>6</v>
      </c>
      <c r="AC966" s="349">
        <f>IF(BASE_DATOS[[#This Row],[NSK]]&gt;=BASE_DATOS[[#This Row],[NSK Reen]],BASE_DATOS[[#This Row],[NSK Reen]],BASE_DATOS[[#This Row],[NSK]])</f>
        <v>6</v>
      </c>
      <c r="AD966" s="350" t="str">
        <f>IFERROR(100%-(BASE_DATOS[[#This Row],[NSK Reen]]/BASE_DATOS[[#This Row],[NSK Original]]),"")</f>
        <v/>
      </c>
      <c r="AE966" s="350" t="str">
        <f>IFERROR(100%-BASE_DATOS[[#This Row],[NSK]]/BASE_DATOS[[#This Row],[NSK Original]],"")</f>
        <v/>
      </c>
      <c r="AF966" s="350" t="str">
        <f>IFERROR(BASE_DATOS[[#This Row],[% Max Des.]]-BASE_DATOS[[#This Row],[% Des]],"")</f>
        <v/>
      </c>
      <c r="AG966" s="287"/>
      <c r="AH966" s="273"/>
      <c r="AI966" s="371" t="str">
        <f>IF(OR(BASE_DATOS[[#This Row],[Hr.]]="",BASE_DATOS[[#This Row],[Hr. Actual]]=""),"",BASE_DATOS[[#This Row],[Hr. Actual]]-BASE_DATOS[[#This Row],[Hr.]]+BASE_DATOS[[#This Row],[Horas Acumuladas]])</f>
        <v/>
      </c>
      <c r="AJ966" s="372" t="str">
        <f>IFERROR(BASE_DATOS[[#This Row],[Precio US$]]/BASE_DATOS[[#This Row],[Horas Rodadas]],"")</f>
        <v/>
      </c>
      <c r="AK966" s="373" t="str">
        <f>IFERROR(BASE_DATOS[[#This Row],[Horas Rodadas]]/(BASE_DATOS[[#This Row],[NSK Original]]-BASE_DATOS[[#This Row],[NSK]]),"")</f>
        <v/>
      </c>
      <c r="AL966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66" s="374" t="str">
        <f>IFERROR(BASE_DATOS[[#This Row],[Precio US$]]/BASE_DATOS[[#This Row],[Horas Proy.]],"")</f>
        <v/>
      </c>
      <c r="AN966" s="181" t="str">
        <f>IF(OR(BASE_DATOS[[#This Row],[Km.]]="",BASE_DATOS[[#This Row],[Km. Actual]]=""),"",BASE_DATOS[[#This Row],[Km. Actual]]-BASE_DATOS[[#This Row],[Km.]]+BASE_DATOS[[#This Row],[Kilómetros Acumulados]])</f>
        <v/>
      </c>
      <c r="AO966" s="182" t="str">
        <f>IFERROR(BASE_DATOS[[#This Row],[Precio US$]]/BASE_DATOS[[#This Row],[Kilómetros Rodados]],"")</f>
        <v/>
      </c>
      <c r="AP966" s="181" t="str">
        <f>IFERROR(BASE_DATOS[[#This Row],[Kilómetros Rodados]]/(BASE_DATOS[[#This Row],[NSK Original]]-BASE_DATOS[[#This Row],[NSK]]),"")</f>
        <v/>
      </c>
      <c r="AQ966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66" s="182" t="str">
        <f>IFERROR(BASE_DATOS[[#This Row],[Precio US$]]/BASE_DATOS[[#This Row],[Kilómetros Proy.]],"")</f>
        <v/>
      </c>
      <c r="AS966" s="170" t="s">
        <v>62</v>
      </c>
      <c r="AT966" s="170" t="s">
        <v>515</v>
      </c>
      <c r="AU966" s="170"/>
      <c r="AV966" s="170"/>
      <c r="AW966" s="169"/>
      <c r="AX966" s="169"/>
      <c r="AY966" s="169" t="str">
        <f>CONCATENATE(BASE_DATOS[[#This Row],[Código_U]]&amp;BASE_DATOS[[#This Row],[Pos.]]&amp;BASE_DATOS[[#This Row],[Situación Actual]])</f>
        <v>VQ-367Rodando</v>
      </c>
    </row>
    <row r="967" spans="1:51" ht="12" x14ac:dyDescent="0.25">
      <c r="A967" s="223" t="s">
        <v>492</v>
      </c>
      <c r="B967" s="217" t="s">
        <v>491</v>
      </c>
      <c r="C967" s="230" t="s">
        <v>95</v>
      </c>
      <c r="D967" s="219" t="s">
        <v>61</v>
      </c>
      <c r="E967" s="248"/>
      <c r="F967" s="243" t="s">
        <v>71</v>
      </c>
      <c r="G967" s="243" t="s">
        <v>478</v>
      </c>
      <c r="H967" s="264" t="str">
        <f>IF(BASE_DATOS[[#This Row],[N-R]]="N",BASE_DATOS[[#This Row],[Diseño]],"Reencauche")</f>
        <v>STK</v>
      </c>
      <c r="I967" s="243" t="s">
        <v>96</v>
      </c>
      <c r="J967" s="243" t="s">
        <v>72</v>
      </c>
      <c r="K967" s="265">
        <v>0</v>
      </c>
      <c r="L967" s="243">
        <v>100</v>
      </c>
      <c r="M967" s="246"/>
      <c r="N967" s="266"/>
      <c r="O967" s="286"/>
      <c r="P967" s="287"/>
      <c r="Q967" s="288"/>
      <c r="R967" s="304">
        <v>8</v>
      </c>
      <c r="S967" s="318">
        <v>45386</v>
      </c>
      <c r="T967" s="319"/>
      <c r="U967" s="288"/>
      <c r="V967" s="223">
        <v>13</v>
      </c>
      <c r="W967" s="217"/>
      <c r="X967" s="328">
        <v>17</v>
      </c>
      <c r="Y967" s="164">
        <f t="shared" si="52"/>
        <v>13</v>
      </c>
      <c r="Z967" s="161" t="s">
        <v>85</v>
      </c>
      <c r="AA967" s="348">
        <f>IFERROR(BASE_DATOS[[#This Row],[NSK Original]]-BASE_DATOS[[#This Row],[NSK]]," ")</f>
        <v>-13</v>
      </c>
      <c r="AB967" s="349">
        <f>'NSK-TRACTO'!$A$2</f>
        <v>6</v>
      </c>
      <c r="AC967" s="349">
        <f>IF(BASE_DATOS[[#This Row],[NSK]]&gt;=BASE_DATOS[[#This Row],[NSK Reen]],BASE_DATOS[[#This Row],[NSK Reen]],BASE_DATOS[[#This Row],[NSK]])</f>
        <v>6</v>
      </c>
      <c r="AD967" s="350" t="str">
        <f>IFERROR(100%-(BASE_DATOS[[#This Row],[NSK Reen]]/BASE_DATOS[[#This Row],[NSK Original]]),"")</f>
        <v/>
      </c>
      <c r="AE967" s="350" t="str">
        <f>IFERROR(100%-BASE_DATOS[[#This Row],[NSK]]/BASE_DATOS[[#This Row],[NSK Original]],"")</f>
        <v/>
      </c>
      <c r="AF967" s="350" t="str">
        <f>IFERROR(BASE_DATOS[[#This Row],[% Max Des.]]-BASE_DATOS[[#This Row],[% Des]],"")</f>
        <v/>
      </c>
      <c r="AG967" s="287"/>
      <c r="AH967" s="273"/>
      <c r="AI967" s="371" t="str">
        <f>IF(OR(BASE_DATOS[[#This Row],[Hr.]]="",BASE_DATOS[[#This Row],[Hr. Actual]]=""),"",BASE_DATOS[[#This Row],[Hr. Actual]]-BASE_DATOS[[#This Row],[Hr.]]+BASE_DATOS[[#This Row],[Horas Acumuladas]])</f>
        <v/>
      </c>
      <c r="AJ967" s="372" t="str">
        <f>IFERROR(BASE_DATOS[[#This Row],[Precio US$]]/BASE_DATOS[[#This Row],[Horas Rodadas]],"")</f>
        <v/>
      </c>
      <c r="AK967" s="373" t="str">
        <f>IFERROR(BASE_DATOS[[#This Row],[Horas Rodadas]]/(BASE_DATOS[[#This Row],[NSK Original]]-BASE_DATOS[[#This Row],[NSK]]),"")</f>
        <v/>
      </c>
      <c r="AL967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67" s="374" t="str">
        <f>IFERROR(BASE_DATOS[[#This Row],[Precio US$]]/BASE_DATOS[[#This Row],[Horas Proy.]],"")</f>
        <v/>
      </c>
      <c r="AN967" s="181" t="str">
        <f>IF(OR(BASE_DATOS[[#This Row],[Km.]]="",BASE_DATOS[[#This Row],[Km. Actual]]=""),"",BASE_DATOS[[#This Row],[Km. Actual]]-BASE_DATOS[[#This Row],[Km.]]+BASE_DATOS[[#This Row],[Kilómetros Acumulados]])</f>
        <v/>
      </c>
      <c r="AO967" s="182" t="str">
        <f>IFERROR(BASE_DATOS[[#This Row],[Precio US$]]/BASE_DATOS[[#This Row],[Kilómetros Rodados]],"")</f>
        <v/>
      </c>
      <c r="AP967" s="181" t="str">
        <f>IFERROR(BASE_DATOS[[#This Row],[Kilómetros Rodados]]/(BASE_DATOS[[#This Row],[NSK Original]]-BASE_DATOS[[#This Row],[NSK]]),"")</f>
        <v/>
      </c>
      <c r="AQ967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67" s="182" t="str">
        <f>IFERROR(BASE_DATOS[[#This Row],[Precio US$]]/BASE_DATOS[[#This Row],[Kilómetros Proy.]],"")</f>
        <v/>
      </c>
      <c r="AS967" s="170" t="s">
        <v>62</v>
      </c>
      <c r="AT967" s="170"/>
      <c r="AU967" s="170"/>
      <c r="AV967" s="170"/>
      <c r="AW967" s="169"/>
      <c r="AX967" s="169"/>
      <c r="AY967" s="169" t="str">
        <f>CONCATENATE(BASE_DATOS[[#This Row],[Código_U]]&amp;BASE_DATOS[[#This Row],[Pos.]]&amp;BASE_DATOS[[#This Row],[Situación Actual]])</f>
        <v>VQ-368Rodando</v>
      </c>
    </row>
    <row r="968" spans="1:51" ht="12" x14ac:dyDescent="0.25">
      <c r="A968" s="223" t="s">
        <v>492</v>
      </c>
      <c r="B968" s="217" t="s">
        <v>491</v>
      </c>
      <c r="C968" s="230" t="s">
        <v>95</v>
      </c>
      <c r="D968" s="219" t="s">
        <v>61</v>
      </c>
      <c r="E968" s="248"/>
      <c r="F968" s="243" t="s">
        <v>273</v>
      </c>
      <c r="G968" s="243" t="s">
        <v>479</v>
      </c>
      <c r="H968" s="264" t="str">
        <f>IF(BASE_DATOS[[#This Row],[N-R]]="N",BASE_DATOS[[#This Row],[Diseño]],"Reencauche")</f>
        <v>XFORCE</v>
      </c>
      <c r="I968" s="243" t="s">
        <v>481</v>
      </c>
      <c r="J968" s="243" t="s">
        <v>72</v>
      </c>
      <c r="K968" s="265">
        <v>0</v>
      </c>
      <c r="L968" s="243">
        <v>110</v>
      </c>
      <c r="M968" s="246"/>
      <c r="N968" s="266"/>
      <c r="O968" s="286"/>
      <c r="P968" s="287"/>
      <c r="Q968" s="288"/>
      <c r="R968" s="304">
        <v>9</v>
      </c>
      <c r="S968" s="318">
        <v>45386</v>
      </c>
      <c r="T968" s="319"/>
      <c r="U968" s="288"/>
      <c r="V968" s="223">
        <v>26</v>
      </c>
      <c r="W968" s="217"/>
      <c r="X968" s="328">
        <v>26</v>
      </c>
      <c r="Y968" s="164">
        <f t="shared" si="52"/>
        <v>26</v>
      </c>
      <c r="Z968" s="161" t="s">
        <v>85</v>
      </c>
      <c r="AA968" s="348">
        <f>IFERROR(BASE_DATOS[[#This Row],[NSK Original]]-BASE_DATOS[[#This Row],[NSK]]," ")</f>
        <v>-26</v>
      </c>
      <c r="AB968" s="349">
        <f>'NSK-TRACTO'!$A$2</f>
        <v>6</v>
      </c>
      <c r="AC968" s="349">
        <f>IF(BASE_DATOS[[#This Row],[NSK]]&gt;=BASE_DATOS[[#This Row],[NSK Reen]],BASE_DATOS[[#This Row],[NSK Reen]],BASE_DATOS[[#This Row],[NSK]])</f>
        <v>6</v>
      </c>
      <c r="AD968" s="350" t="str">
        <f>IFERROR(100%-(BASE_DATOS[[#This Row],[NSK Reen]]/BASE_DATOS[[#This Row],[NSK Original]]),"")</f>
        <v/>
      </c>
      <c r="AE968" s="350" t="str">
        <f>IFERROR(100%-BASE_DATOS[[#This Row],[NSK]]/BASE_DATOS[[#This Row],[NSK Original]],"")</f>
        <v/>
      </c>
      <c r="AF968" s="350" t="str">
        <f>IFERROR(BASE_DATOS[[#This Row],[% Max Des.]]-BASE_DATOS[[#This Row],[% Des]],"")</f>
        <v/>
      </c>
      <c r="AG968" s="287"/>
      <c r="AH968" s="273"/>
      <c r="AI968" s="371" t="str">
        <f>IF(OR(BASE_DATOS[[#This Row],[Hr.]]="",BASE_DATOS[[#This Row],[Hr. Actual]]=""),"",BASE_DATOS[[#This Row],[Hr. Actual]]-BASE_DATOS[[#This Row],[Hr.]]+BASE_DATOS[[#This Row],[Horas Acumuladas]])</f>
        <v/>
      </c>
      <c r="AJ968" s="372" t="str">
        <f>IFERROR(BASE_DATOS[[#This Row],[Precio US$]]/BASE_DATOS[[#This Row],[Horas Rodadas]],"")</f>
        <v/>
      </c>
      <c r="AK968" s="373" t="str">
        <f>IFERROR(BASE_DATOS[[#This Row],[Horas Rodadas]]/(BASE_DATOS[[#This Row],[NSK Original]]-BASE_DATOS[[#This Row],[NSK]]),"")</f>
        <v/>
      </c>
      <c r="AL968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68" s="374" t="str">
        <f>IFERROR(BASE_DATOS[[#This Row],[Precio US$]]/BASE_DATOS[[#This Row],[Horas Proy.]],"")</f>
        <v/>
      </c>
      <c r="AN968" s="181" t="str">
        <f>IF(OR(BASE_DATOS[[#This Row],[Km.]]="",BASE_DATOS[[#This Row],[Km. Actual]]=""),"",BASE_DATOS[[#This Row],[Km. Actual]]-BASE_DATOS[[#This Row],[Km.]]+BASE_DATOS[[#This Row],[Kilómetros Acumulados]])</f>
        <v/>
      </c>
      <c r="AO968" s="182" t="str">
        <f>IFERROR(BASE_DATOS[[#This Row],[Precio US$]]/BASE_DATOS[[#This Row],[Kilómetros Rodados]],"")</f>
        <v/>
      </c>
      <c r="AP968" s="181" t="str">
        <f>IFERROR(BASE_DATOS[[#This Row],[Kilómetros Rodados]]/(BASE_DATOS[[#This Row],[NSK Original]]-BASE_DATOS[[#This Row],[NSK]]),"")</f>
        <v/>
      </c>
      <c r="AQ968" s="181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68" s="182" t="str">
        <f>IFERROR(BASE_DATOS[[#This Row],[Precio US$]]/BASE_DATOS[[#This Row],[Kilómetros Proy.]],"")</f>
        <v/>
      </c>
      <c r="AS968" s="170" t="s">
        <v>62</v>
      </c>
      <c r="AT968" s="170"/>
      <c r="AU968" s="170"/>
      <c r="AV968" s="170"/>
      <c r="AW968" s="169"/>
      <c r="AX968" s="169"/>
      <c r="AY968" s="169" t="str">
        <f>CONCATENATE(BASE_DATOS[[#This Row],[Código_U]]&amp;BASE_DATOS[[#This Row],[Pos.]]&amp;BASE_DATOS[[#This Row],[Situación Actual]])</f>
        <v>VQ-369Rodando</v>
      </c>
    </row>
    <row r="969" spans="1:51" ht="12" x14ac:dyDescent="0.25">
      <c r="A969" s="223" t="s">
        <v>492</v>
      </c>
      <c r="B969" s="217" t="s">
        <v>491</v>
      </c>
      <c r="C969" s="230" t="s">
        <v>95</v>
      </c>
      <c r="D969" s="219" t="s">
        <v>61</v>
      </c>
      <c r="E969" s="248"/>
      <c r="F969" s="243" t="s">
        <v>273</v>
      </c>
      <c r="G969" s="243" t="s">
        <v>479</v>
      </c>
      <c r="H969" s="264" t="str">
        <f>IF(BASE_DATOS[[#This Row],[N-R]]="N",BASE_DATOS[[#This Row],[Diseño]],"Reencauche")</f>
        <v>XFORCE</v>
      </c>
      <c r="I969" s="243" t="s">
        <v>481</v>
      </c>
      <c r="J969" s="243" t="s">
        <v>72</v>
      </c>
      <c r="K969" s="265">
        <v>0</v>
      </c>
      <c r="L969" s="243">
        <v>110</v>
      </c>
      <c r="M969" s="246"/>
      <c r="N969" s="266"/>
      <c r="O969" s="286"/>
      <c r="P969" s="287"/>
      <c r="Q969" s="288"/>
      <c r="R969" s="304">
        <v>10</v>
      </c>
      <c r="S969" s="318">
        <v>45386</v>
      </c>
      <c r="T969" s="319"/>
      <c r="U969" s="288"/>
      <c r="V969" s="223">
        <v>26</v>
      </c>
      <c r="W969" s="217"/>
      <c r="X969" s="328">
        <v>26</v>
      </c>
      <c r="Y969" s="164">
        <f t="shared" si="52"/>
        <v>26</v>
      </c>
      <c r="Z969" s="161" t="s">
        <v>85</v>
      </c>
      <c r="AA969" s="348">
        <f>IFERROR(BASE_DATOS[[#This Row],[NSK Original]]-BASE_DATOS[[#This Row],[NSK]]," ")</f>
        <v>-26</v>
      </c>
      <c r="AB969" s="349">
        <f>'NSK-TRACTO'!$A$2</f>
        <v>6</v>
      </c>
      <c r="AC969" s="349">
        <f>IF(BASE_DATOS[[#This Row],[NSK]]&gt;=BASE_DATOS[[#This Row],[NSK Reen]],BASE_DATOS[[#This Row],[NSK Reen]],BASE_DATOS[[#This Row],[NSK]])</f>
        <v>6</v>
      </c>
      <c r="AD969" s="350" t="str">
        <f>IFERROR(100%-(BASE_DATOS[[#This Row],[NSK Reen]]/BASE_DATOS[[#This Row],[NSK Original]]),"")</f>
        <v/>
      </c>
      <c r="AE969" s="350" t="str">
        <f>IFERROR(100%-BASE_DATOS[[#This Row],[NSK]]/BASE_DATOS[[#This Row],[NSK Original]],"")</f>
        <v/>
      </c>
      <c r="AF969" s="350" t="str">
        <f>IFERROR(BASE_DATOS[[#This Row],[% Max Des.]]-BASE_DATOS[[#This Row],[% Des]],"")</f>
        <v/>
      </c>
      <c r="AG969" s="287"/>
      <c r="AH969" s="273"/>
      <c r="AI969" s="371" t="str">
        <f>IF(OR(BASE_DATOS[[#This Row],[Hr.]]="",BASE_DATOS[[#This Row],[Hr. Actual]]=""),"",BASE_DATOS[[#This Row],[Hr. Actual]]-BASE_DATOS[[#This Row],[Hr.]]+BASE_DATOS[[#This Row],[Horas Acumuladas]])</f>
        <v/>
      </c>
      <c r="AJ969" s="372" t="str">
        <f>IFERROR(BASE_DATOS[[#This Row],[Precio US$]]/BASE_DATOS[[#This Row],[Horas Rodadas]],"")</f>
        <v/>
      </c>
      <c r="AK969" s="373" t="str">
        <f>IFERROR(BASE_DATOS[[#This Row],[Horas Rodadas]]/(BASE_DATOS[[#This Row],[NSK Original]]-BASE_DATOS[[#This Row],[NSK]]),"")</f>
        <v/>
      </c>
      <c r="AL969" s="373" t="str">
        <f>IF(BASE_DATOS[[#This Row],[Situación Actual]]="RETIRADO","",IF(BASE_DATOS[[#This Row],[Situación Actual]]="RODANDO",IFERROR(BASE_DATOS[[#This Row],[Hrs/mm]]*(BASE_DATOS[[#This Row],[NSK]]-BASE_DATOS[[#This Row],[NSK Form.]])+BASE_DATOS[[#This Row],[Horas Rodadas]],"")))</f>
        <v/>
      </c>
      <c r="AM969" s="374" t="str">
        <f>IFERROR(BASE_DATOS[[#This Row],[Precio US$]]/BASE_DATOS[[#This Row],[Horas Proy.]],"")</f>
        <v/>
      </c>
      <c r="AN969" s="183" t="str">
        <f>IF(OR(BASE_DATOS[[#This Row],[Km.]]="",BASE_DATOS[[#This Row],[Km. Actual]]=""),"",BASE_DATOS[[#This Row],[Km. Actual]]-BASE_DATOS[[#This Row],[Km.]]+BASE_DATOS[[#This Row],[Kilómetros Acumulados]])</f>
        <v/>
      </c>
      <c r="AO969" s="184" t="str">
        <f>IFERROR(BASE_DATOS[[#This Row],[Precio US$]]/BASE_DATOS[[#This Row],[Kilómetros Rodados]],"")</f>
        <v/>
      </c>
      <c r="AP969" s="183" t="str">
        <f>IFERROR(BASE_DATOS[[#This Row],[Kilómetros Rodados]]/(BASE_DATOS[[#This Row],[NSK Original]]-BASE_DATOS[[#This Row],[NSK]]),"")</f>
        <v/>
      </c>
      <c r="AQ969" s="183" t="str">
        <f>IF(BASE_DATOS[[#This Row],[Situación Actual]]="RETIRADO","",IF(BASE_DATOS[[#This Row],[Situación Actual]]="RODANDO",IFERROR(BASE_DATOS[[#This Row],[Kms/ mm]]*(BASE_DATOS[[#This Row],[NSK]]-BASE_DATOS[[#This Row],[NSK Form.]])+BASE_DATOS[[#This Row],[Kilómetros Rodados]],"")))</f>
        <v/>
      </c>
      <c r="AR969" s="184" t="str">
        <f>IFERROR(BASE_DATOS[[#This Row],[Precio US$]]/BASE_DATOS[[#This Row],[Kilómetros Proy.]],"")</f>
        <v/>
      </c>
      <c r="AS969" s="170" t="s">
        <v>62</v>
      </c>
      <c r="AT969" s="170"/>
      <c r="AU969" s="170"/>
      <c r="AV969" s="170"/>
      <c r="AW969" s="180"/>
      <c r="AX969" s="180"/>
      <c r="AY969" s="180" t="str">
        <f>CONCATENATE(BASE_DATOS[[#This Row],[Código_U]]&amp;BASE_DATOS[[#This Row],[Pos.]]&amp;BASE_DATOS[[#This Row],[Situación Actual]])</f>
        <v>VQ-3610Rodando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AN4:AR4"/>
    <mergeCell ref="A4:D4"/>
    <mergeCell ref="E4:N4"/>
    <mergeCell ref="AA4:AH4"/>
    <mergeCell ref="O4:Q4"/>
    <mergeCell ref="AI4:AM4"/>
  </mergeCells>
  <phoneticPr fontId="39" type="noConversion"/>
  <conditionalFormatting sqref="E6:E969">
    <cfRule type="duplicateValues" dxfId="13" priority="23907"/>
    <cfRule type="duplicateValues" dxfId="12" priority="23908"/>
    <cfRule type="duplicateValues" dxfId="11" priority="23909"/>
  </conditionalFormatting>
  <conditionalFormatting sqref="Y5">
    <cfRule type="iconSet" priority="23914">
      <iconSet>
        <cfvo type="percent" val="0"/>
        <cfvo type="num" val="8" gte="0"/>
        <cfvo type="num" val="12"/>
      </iconSet>
    </cfRule>
  </conditionalFormatting>
  <conditionalFormatting sqref="Y6:Y969">
    <cfRule type="iconSet" priority="23913">
      <iconSet>
        <cfvo type="percent" val="0"/>
        <cfvo type="num" val="7"/>
        <cfvo type="num" val="10"/>
      </iconSet>
    </cfRule>
  </conditionalFormatting>
  <conditionalFormatting sqref="AL6:AL969 AQ6:AQ969">
    <cfRule type="containsText" dxfId="10" priority="383" operator="containsText" text="FALSO">
      <formula>NOT(ISERROR(SEARCH("FALSO",AL6)))</formula>
    </cfRule>
  </conditionalFormatting>
  <conditionalFormatting sqref="AS6:AV969">
    <cfRule type="containsText" dxfId="9" priority="386" operator="containsText" text="RETIRADO">
      <formula>NOT(ISERROR(SEARCH("RETIRADO",AS6)))</formula>
    </cfRule>
    <cfRule type="containsText" dxfId="8" priority="387" operator="containsText" text="RODANDO">
      <formula>NOT(ISERROR(SEARCH("RODANDO",AS6)))</formula>
    </cfRule>
  </conditionalFormatting>
  <dataValidations count="1">
    <dataValidation type="list" allowBlank="1" showInputMessage="1" showErrorMessage="1" sqref="D6:D969" xr:uid="{3B190AE8-CC5C-490B-A594-E9713CF3FF4D}">
      <formula1>VALOR_EJE</formula1>
    </dataValidation>
  </dataValidations>
  <pageMargins left="0.7" right="0.7" top="0.75" bottom="0.75" header="0.3" footer="0.3"/>
  <pageSetup paperSize="9" orientation="landscape" r:id="rId1"/>
  <ignoredErrors>
    <ignoredError sqref="R6:R21 R23:R39 R41:R57 R59:R105 R107:R113 R115:R121 R123:R155 R157:R193 R195:R211 R213:R229 R231:R237 R239:R255 R257:R263 R265:R281 R283:R299 R301:R317 R319:R335 R337:R353 R355:R371 R373:R379 R381:R397 R399:R405 R407:R423 R425:R431 R433:R449 R451:R467 R469:R484 R486:R502 R504:R520 R522:R538 R540:R556 R558:R584 R586:R612 R614:R620 R622:R638 R640:R696 R698:R734 R736:R752 R754:R760 R762:R768 R770:R776 R778:R794 R796:R802 R804:R810 R812:R818 R820:R826 R828:R834 R836:R852 R854:R860 R862:R867 R869:R874 R876:R969" numberStoredAsText="1"/>
    <ignoredError sqref="Y6:Y969 AA6:AF969 AI6:AR969 AY6:AY969" unlockedFormula="1"/>
  </ignoredError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E2BF-247E-4E87-A649-F46890C65BA9}">
  <sheetPr>
    <tabColor theme="5" tint="0.39997558519241921"/>
  </sheetPr>
  <dimension ref="A1:BV224"/>
  <sheetViews>
    <sheetView showGridLines="0" workbookViewId="0"/>
  </sheetViews>
  <sheetFormatPr baseColWidth="10" defaultColWidth="11.5546875" defaultRowHeight="10.199999999999999" customHeight="1" x14ac:dyDescent="0.3"/>
  <cols>
    <col min="1" max="3" width="7.88671875" style="108" customWidth="1"/>
    <col min="4" max="4" width="4.77734375" style="108" customWidth="1"/>
    <col min="5" max="5" width="2.77734375" style="108" customWidth="1"/>
    <col min="6" max="6" width="3.77734375" style="108" customWidth="1"/>
    <col min="7" max="8" width="10.77734375" style="108" customWidth="1"/>
    <col min="9" max="9" width="1.88671875" style="108" customWidth="1"/>
    <col min="10" max="10" width="10.77734375" style="108" customWidth="1"/>
    <col min="11" max="11" width="7.88671875" style="108" customWidth="1"/>
    <col min="12" max="12" width="11.109375" style="108" customWidth="1"/>
    <col min="13" max="13" width="10" style="108" bestFit="1" customWidth="1"/>
    <col min="14" max="23" width="4.77734375" style="152" customWidth="1"/>
    <col min="24" max="24" width="6.6640625" style="108" customWidth="1"/>
    <col min="25" max="25" width="5.77734375" style="108" customWidth="1"/>
    <col min="26" max="26" width="11.5546875" style="108"/>
    <col min="27" max="27" width="5.77734375" style="108" customWidth="1"/>
    <col min="28" max="28" width="2.77734375" style="108" customWidth="1"/>
    <col min="29" max="29" width="5.77734375" style="108" customWidth="1"/>
    <col min="30" max="16384" width="11.5546875" style="108"/>
  </cols>
  <sheetData>
    <row r="1" spans="1:33" ht="10.199999999999999" customHeight="1" x14ac:dyDescent="0.3">
      <c r="A1" s="417" t="s">
        <v>506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4"/>
      <c r="M1" s="394"/>
      <c r="X1" s="394"/>
    </row>
    <row r="2" spans="1:33" ht="15.6" x14ac:dyDescent="0.2">
      <c r="A2" s="110">
        <v>6</v>
      </c>
      <c r="D2" s="524" t="s">
        <v>271</v>
      </c>
      <c r="E2" s="524"/>
      <c r="F2" s="524"/>
      <c r="G2" s="524"/>
      <c r="H2" s="524"/>
      <c r="I2" s="451"/>
      <c r="L2" s="403" t="s">
        <v>43</v>
      </c>
      <c r="M2" s="404" t="s">
        <v>62</v>
      </c>
      <c r="W2" s="446" t="s">
        <v>507</v>
      </c>
      <c r="X2" s="447">
        <f>SUM(X6:X200)</f>
        <v>500</v>
      </c>
      <c r="AG2" s="395"/>
    </row>
    <row r="3" spans="1:33" x14ac:dyDescent="0.2">
      <c r="A3" s="111">
        <v>7</v>
      </c>
      <c r="B3" s="113">
        <v>9</v>
      </c>
      <c r="C3" s="428"/>
      <c r="D3" s="515" t="s">
        <v>493</v>
      </c>
      <c r="E3" s="515"/>
      <c r="F3" s="516"/>
      <c r="G3" s="519" t="s">
        <v>69</v>
      </c>
      <c r="H3" s="520"/>
      <c r="I3" s="107"/>
      <c r="J3" s="428"/>
      <c r="K3" s="428"/>
      <c r="L3" s="403" t="s">
        <v>504</v>
      </c>
      <c r="M3" s="404" t="s">
        <v>296</v>
      </c>
      <c r="N3" s="143" t="str">
        <f t="shared" ref="N3:W3" si="0">IF(COUNT(N6:N56)=0,"X","")</f>
        <v/>
      </c>
      <c r="O3" s="143" t="str">
        <f t="shared" si="0"/>
        <v/>
      </c>
      <c r="P3" s="143" t="str">
        <f t="shared" si="0"/>
        <v/>
      </c>
      <c r="Q3" s="143" t="str">
        <f t="shared" si="0"/>
        <v/>
      </c>
      <c r="R3" s="143" t="str">
        <f t="shared" si="0"/>
        <v/>
      </c>
      <c r="S3" s="143" t="str">
        <f t="shared" si="0"/>
        <v/>
      </c>
      <c r="T3" s="143" t="str">
        <f t="shared" si="0"/>
        <v/>
      </c>
      <c r="U3" s="143" t="str">
        <f t="shared" si="0"/>
        <v/>
      </c>
      <c r="V3" s="143" t="str">
        <f t="shared" si="0"/>
        <v/>
      </c>
      <c r="W3" s="143" t="str">
        <f t="shared" si="0"/>
        <v/>
      </c>
      <c r="AG3" s="396"/>
    </row>
    <row r="4" spans="1:33" ht="10.199999999999999" customHeight="1" x14ac:dyDescent="0.3">
      <c r="A4" s="112">
        <v>10</v>
      </c>
      <c r="D4" s="517"/>
      <c r="E4" s="517"/>
      <c r="F4" s="518"/>
      <c r="G4" s="429" t="s">
        <v>86</v>
      </c>
      <c r="H4" s="429" t="s">
        <v>61</v>
      </c>
      <c r="I4" s="107"/>
      <c r="J4" s="448" t="s">
        <v>508</v>
      </c>
      <c r="L4" s="407"/>
      <c r="M4" s="407"/>
      <c r="N4" s="521" t="s">
        <v>80</v>
      </c>
      <c r="O4" s="522"/>
      <c r="P4" s="522"/>
      <c r="Q4" s="522"/>
      <c r="R4" s="522"/>
      <c r="S4" s="522"/>
      <c r="T4" s="522"/>
      <c r="U4" s="522"/>
      <c r="V4" s="522"/>
      <c r="W4" s="523"/>
      <c r="X4" s="430"/>
    </row>
    <row r="5" spans="1:33" ht="11.4" x14ac:dyDescent="0.2">
      <c r="D5" s="397">
        <v>0</v>
      </c>
      <c r="E5" s="397" t="s">
        <v>474</v>
      </c>
      <c r="F5" s="398">
        <f>A2</f>
        <v>6</v>
      </c>
      <c r="G5" s="468">
        <f>COUNTIFS($N$6:$O$200,"&lt;="&amp;$F$5)</f>
        <v>8</v>
      </c>
      <c r="H5" s="469">
        <f>COUNTIFS($P$6:$W$200,"&lt;="&amp;$F$5)</f>
        <v>24</v>
      </c>
      <c r="I5" s="143"/>
      <c r="J5" s="390">
        <f>COUNTIFS('NSK-ENCAPSULADO'!$T$6:$T$200,"&lt;="&amp;$F$5)</f>
        <v>7</v>
      </c>
      <c r="L5" s="437" t="s">
        <v>502</v>
      </c>
      <c r="M5" s="438" t="s">
        <v>503</v>
      </c>
      <c r="N5" s="439">
        <v>1</v>
      </c>
      <c r="O5" s="439">
        <v>2</v>
      </c>
      <c r="P5" s="441">
        <v>3</v>
      </c>
      <c r="Q5" s="439">
        <v>4</v>
      </c>
      <c r="R5" s="439">
        <v>5</v>
      </c>
      <c r="S5" s="439">
        <v>6</v>
      </c>
      <c r="T5" s="439">
        <v>7</v>
      </c>
      <c r="U5" s="439">
        <v>8</v>
      </c>
      <c r="V5" s="439">
        <v>9</v>
      </c>
      <c r="W5" s="440">
        <v>10</v>
      </c>
      <c r="X5" s="431" t="s">
        <v>69</v>
      </c>
    </row>
    <row r="6" spans="1:33" ht="11.4" x14ac:dyDescent="0.2">
      <c r="D6" s="399">
        <f>A3</f>
        <v>7</v>
      </c>
      <c r="E6" s="399" t="s">
        <v>474</v>
      </c>
      <c r="F6" s="400">
        <f>B3</f>
        <v>9</v>
      </c>
      <c r="G6" s="470">
        <f>COUNTIFS($N$6:$O$200,"&gt;="&amp;$D$6,$N$6:$O$200,"&lt;="&amp;$F$6)</f>
        <v>32</v>
      </c>
      <c r="H6" s="471">
        <f>COUNTIFS($P$6:$W$200,"&gt;="&amp;$D$6,$P$6:$W$200,"&lt;="&amp;$F$6)</f>
        <v>70</v>
      </c>
      <c r="I6" s="428"/>
      <c r="J6" s="391">
        <f>COUNTIFS('NSK-ENCAPSULADO'!$T$6:$T$200,"&gt;="&amp;$D$6,'NSK-ENCAPSULADO'!$T$6:$T$200,"&lt;="&amp;$F$6)</f>
        <v>13</v>
      </c>
      <c r="L6" s="411" t="s">
        <v>110</v>
      </c>
      <c r="M6" s="414" t="s">
        <v>109</v>
      </c>
      <c r="N6" s="425">
        <f>IFERROR(_xlfn.XLOOKUP(CONCATENATE($L6,N$5,$M$2),BASE_DATOS[Reporte NSK],BASE_DATOS[NSK],,0),"")</f>
        <v>12</v>
      </c>
      <c r="O6" s="426">
        <f>IFERROR(_xlfn.XLOOKUP(CONCATENATE($L6,O$5,$M$2),BASE_DATOS[Reporte NSK],BASE_DATOS[NSK],,0),"")</f>
        <v>13</v>
      </c>
      <c r="P6" s="442">
        <f>IFERROR(_xlfn.XLOOKUP(CONCATENATE($L6,P$5,$M$2),BASE_DATOS[Reporte NSK],BASE_DATOS[NSK],,0),"")</f>
        <v>20</v>
      </c>
      <c r="Q6" s="426">
        <f>IFERROR(_xlfn.XLOOKUP(CONCATENATE($L6,Q$5,$M$2),BASE_DATOS[Reporte NSK],BASE_DATOS[NSK],,0),"")</f>
        <v>20</v>
      </c>
      <c r="R6" s="426">
        <f>IFERROR(_xlfn.XLOOKUP(CONCATENATE($L6,R$5,$M$2),BASE_DATOS[Reporte NSK],BASE_DATOS[NSK],,0),"")</f>
        <v>20</v>
      </c>
      <c r="S6" s="426">
        <f>IFERROR(_xlfn.XLOOKUP(CONCATENATE($L6,S$5,$M$2),BASE_DATOS[Reporte NSK],BASE_DATOS[NSK],,0),"")</f>
        <v>20</v>
      </c>
      <c r="T6" s="427">
        <f>IFERROR(_xlfn.XLOOKUP(CONCATENATE($L6,T$5,$M$2),BASE_DATOS[Reporte NSK],BASE_DATOS[NSK],,0),"")</f>
        <v>21</v>
      </c>
      <c r="U6" s="427">
        <f>IFERROR(_xlfn.XLOOKUP(CONCATENATE($L6,U$5,$M$2),BASE_DATOS[Reporte NSK],BASE_DATOS[NSK],,0),"")</f>
        <v>21</v>
      </c>
      <c r="V6" s="427">
        <f>IFERROR(_xlfn.XLOOKUP(CONCATENATE($L6,V$5,$M$2),BASE_DATOS[Reporte NSK],BASE_DATOS[NSK],,0),"")</f>
        <v>21</v>
      </c>
      <c r="W6" s="433">
        <f>IFERROR(_xlfn.XLOOKUP(CONCATENATE($L6,W$5,$M$2),BASE_DATOS[Reporte NSK],BASE_DATOS[NSK],,0),"")</f>
        <v>21</v>
      </c>
      <c r="X6" s="432">
        <f t="shared" ref="X6:X37" si="1">IF(COUNT(N6:W6)&gt;0,COUNT(N6:W6),"")</f>
        <v>10</v>
      </c>
    </row>
    <row r="7" spans="1:33" ht="11.4" x14ac:dyDescent="0.2">
      <c r="D7" s="401" t="s">
        <v>494</v>
      </c>
      <c r="E7" s="401" t="s">
        <v>474</v>
      </c>
      <c r="F7" s="402">
        <f>A4</f>
        <v>10</v>
      </c>
      <c r="G7" s="472">
        <f>COUNTIFS($N$6:$O$200,"&gt;="&amp;$F$7)</f>
        <v>60</v>
      </c>
      <c r="H7" s="473">
        <f>COUNTIFS($P$6:$W$200,"&gt;="&amp;$F$7)</f>
        <v>306</v>
      </c>
      <c r="I7" s="409"/>
      <c r="J7" s="392">
        <f>COUNTIFS('NSK-ENCAPSULADO'!$T$6:$T$200,"&gt;="&amp;$F$7)</f>
        <v>25</v>
      </c>
      <c r="L7" s="412" t="s">
        <v>113</v>
      </c>
      <c r="M7" s="415" t="s">
        <v>114</v>
      </c>
      <c r="N7" s="423">
        <f>IFERROR(_xlfn.XLOOKUP(CONCATENATE($L7,N$5,$M$2),BASE_DATOS[Reporte NSK],BASE_DATOS[NSK],,0),"")</f>
        <v>14</v>
      </c>
      <c r="O7" s="424">
        <f>IFERROR(_xlfn.XLOOKUP(CONCATENATE($L7,O$5,$M$2),BASE_DATOS[Reporte NSK],BASE_DATOS[NSK],,0),"")</f>
        <v>13</v>
      </c>
      <c r="P7" s="443">
        <f>IFERROR(_xlfn.XLOOKUP(CONCATENATE($L7,P$5,$M$2),BASE_DATOS[Reporte NSK],BASE_DATOS[NSK],,0),"")</f>
        <v>8</v>
      </c>
      <c r="Q7" s="424">
        <f>IFERROR(_xlfn.XLOOKUP(CONCATENATE($L7,Q$5,$M$2),BASE_DATOS[Reporte NSK],BASE_DATOS[NSK],,0),"")</f>
        <v>7</v>
      </c>
      <c r="R7" s="424">
        <f>IFERROR(_xlfn.XLOOKUP(CONCATENATE($L7,R$5,$M$2),BASE_DATOS[Reporte NSK],BASE_DATOS[NSK],,0),"")</f>
        <v>8</v>
      </c>
      <c r="S7" s="424">
        <f>IFERROR(_xlfn.XLOOKUP(CONCATENATE($L7,S$5,$M$2),BASE_DATOS[Reporte NSK],BASE_DATOS[NSK],,0),"")</f>
        <v>8</v>
      </c>
      <c r="T7" s="424">
        <f>IFERROR(_xlfn.XLOOKUP(CONCATENATE($L7,T$5,$M$2),BASE_DATOS[Reporte NSK],BASE_DATOS[NSK],,0),"")</f>
        <v>10</v>
      </c>
      <c r="U7" s="424">
        <f>IFERROR(_xlfn.XLOOKUP(CONCATENATE($L7,U$5,$M$2),BASE_DATOS[Reporte NSK],BASE_DATOS[NSK],,0),"")</f>
        <v>6</v>
      </c>
      <c r="V7" s="424">
        <f>IFERROR(_xlfn.XLOOKUP(CONCATENATE($L7,V$5,$M$2),BASE_DATOS[Reporte NSK],BASE_DATOS[NSK],,0),"")</f>
        <v>9</v>
      </c>
      <c r="W7" s="434">
        <f>IFERROR(_xlfn.XLOOKUP(CONCATENATE($L7,W$5,$M$2),BASE_DATOS[Reporte NSK],BASE_DATOS[NSK],,0),"")</f>
        <v>10</v>
      </c>
      <c r="X7" s="418">
        <f t="shared" si="1"/>
        <v>10</v>
      </c>
    </row>
    <row r="8" spans="1:33" x14ac:dyDescent="0.2">
      <c r="D8" s="405"/>
      <c r="E8" s="405"/>
      <c r="F8" s="405"/>
      <c r="G8" s="406">
        <f>SUM(G5:G7)</f>
        <v>100</v>
      </c>
      <c r="H8" s="406">
        <f>SUM(H5:H7)</f>
        <v>400</v>
      </c>
      <c r="I8" s="152"/>
      <c r="J8" s="406">
        <f>SUM(J5:J7)</f>
        <v>45</v>
      </c>
      <c r="L8" s="412" t="s">
        <v>117</v>
      </c>
      <c r="M8" s="415" t="s">
        <v>118</v>
      </c>
      <c r="N8" s="419">
        <f>IFERROR(_xlfn.XLOOKUP(CONCATENATE($L8,N$5,$M$2),BASE_DATOS[Reporte NSK],BASE_DATOS[NSK],,0),"")</f>
        <v>10</v>
      </c>
      <c r="O8" s="420">
        <f>IFERROR(_xlfn.XLOOKUP(CONCATENATE($L8,O$5,$M$2),BASE_DATOS[Reporte NSK],BASE_DATOS[NSK],,0),"")</f>
        <v>12</v>
      </c>
      <c r="P8" s="444">
        <f>IFERROR(_xlfn.XLOOKUP(CONCATENATE($L8,P$5,$M$2),BASE_DATOS[Reporte NSK],BASE_DATOS[NSK],,0),"")</f>
        <v>7</v>
      </c>
      <c r="Q8" s="420">
        <f>IFERROR(_xlfn.XLOOKUP(CONCATENATE($L8,Q$5,$M$2),BASE_DATOS[Reporte NSK],BASE_DATOS[NSK],,0),"")</f>
        <v>7</v>
      </c>
      <c r="R8" s="420">
        <f>IFERROR(_xlfn.XLOOKUP(CONCATENATE($L8,R$5,$M$2),BASE_DATOS[Reporte NSK],BASE_DATOS[NSK],,0),"")</f>
        <v>8</v>
      </c>
      <c r="S8" s="420">
        <f>IFERROR(_xlfn.XLOOKUP(CONCATENATE($L8,S$5,$M$2),BASE_DATOS[Reporte NSK],BASE_DATOS[NSK],,0),"")</f>
        <v>10</v>
      </c>
      <c r="T8" s="420">
        <f>IFERROR(_xlfn.XLOOKUP(CONCATENATE($L8,T$5,$M$2),BASE_DATOS[Reporte NSK],BASE_DATOS[NSK],,0),"")</f>
        <v>20</v>
      </c>
      <c r="U8" s="420">
        <f>IFERROR(_xlfn.XLOOKUP(CONCATENATE($L8,U$5,$M$2),BASE_DATOS[Reporte NSK],BASE_DATOS[NSK],,0),"")</f>
        <v>20</v>
      </c>
      <c r="V8" s="420">
        <f>IFERROR(_xlfn.XLOOKUP(CONCATENATE($L8,V$5,$M$2),BASE_DATOS[Reporte NSK],BASE_DATOS[NSK],,0),"")</f>
        <v>20</v>
      </c>
      <c r="W8" s="435">
        <f>IFERROR(_xlfn.XLOOKUP(CONCATENATE($L8,W$5,$M$2),BASE_DATOS[Reporte NSK],BASE_DATOS[NSK],,0),"")</f>
        <v>20</v>
      </c>
      <c r="X8" s="418">
        <f t="shared" si="1"/>
        <v>10</v>
      </c>
    </row>
    <row r="9" spans="1:33" x14ac:dyDescent="0.2">
      <c r="L9" s="412" t="s">
        <v>121</v>
      </c>
      <c r="M9" s="415" t="s">
        <v>122</v>
      </c>
      <c r="N9" s="419">
        <f>IFERROR(_xlfn.XLOOKUP(CONCATENATE($L9,N$5,$M$2),BASE_DATOS[Reporte NSK],BASE_DATOS[NSK],,0),"")</f>
        <v>11</v>
      </c>
      <c r="O9" s="420">
        <f>IFERROR(_xlfn.XLOOKUP(CONCATENATE($L9,O$5,$M$2),BASE_DATOS[Reporte NSK],BASE_DATOS[NSK],,0),"")</f>
        <v>11</v>
      </c>
      <c r="P9" s="444">
        <f>IFERROR(_xlfn.XLOOKUP(CONCATENATE($L9,P$5,$M$2),BASE_DATOS[Reporte NSK],BASE_DATOS[NSK],,0),"")</f>
        <v>14</v>
      </c>
      <c r="Q9" s="420">
        <f>IFERROR(_xlfn.XLOOKUP(CONCATENATE($L9,Q$5,$M$2),BASE_DATOS[Reporte NSK],BASE_DATOS[NSK],,0),"")</f>
        <v>14</v>
      </c>
      <c r="R9" s="420">
        <f>IFERROR(_xlfn.XLOOKUP(CONCATENATE($L9,R$5,$M$2),BASE_DATOS[Reporte NSK],BASE_DATOS[NSK],,0),"")</f>
        <v>15</v>
      </c>
      <c r="S9" s="420">
        <f>IFERROR(_xlfn.XLOOKUP(CONCATENATE($L9,S$5,$M$2),BASE_DATOS[Reporte NSK],BASE_DATOS[NSK],,0),"")</f>
        <v>15</v>
      </c>
      <c r="T9" s="420">
        <f>IFERROR(_xlfn.XLOOKUP(CONCATENATE($L9,T$5,$M$2),BASE_DATOS[Reporte NSK],BASE_DATOS[NSK],,0),"")</f>
        <v>19</v>
      </c>
      <c r="U9" s="420">
        <f>IFERROR(_xlfn.XLOOKUP(CONCATENATE($L9,U$5,$M$2),BASE_DATOS[Reporte NSK],BASE_DATOS[NSK],,0),"")</f>
        <v>18</v>
      </c>
      <c r="V9" s="420">
        <f>IFERROR(_xlfn.XLOOKUP(CONCATENATE($L9,V$5,$M$2),BASE_DATOS[Reporte NSK],BASE_DATOS[NSK],,0),"")</f>
        <v>18</v>
      </c>
      <c r="W9" s="435">
        <f>IFERROR(_xlfn.XLOOKUP(CONCATENATE($L9,W$5,$M$2),BASE_DATOS[Reporte NSK],BASE_DATOS[NSK],,0),"")</f>
        <v>18</v>
      </c>
      <c r="X9" s="418">
        <f t="shared" si="1"/>
        <v>10</v>
      </c>
      <c r="AA9" s="408"/>
      <c r="AB9" s="408"/>
      <c r="AC9" s="408"/>
      <c r="AD9" s="408"/>
      <c r="AE9" s="409"/>
    </row>
    <row r="10" spans="1:33" x14ac:dyDescent="0.2">
      <c r="L10" s="412" t="s">
        <v>123</v>
      </c>
      <c r="M10" s="415" t="s">
        <v>124</v>
      </c>
      <c r="N10" s="419">
        <f>IFERROR(_xlfn.XLOOKUP(CONCATENATE($L10,N$5,$M$2),BASE_DATOS[Reporte NSK],BASE_DATOS[NSK],,0),"")</f>
        <v>7</v>
      </c>
      <c r="O10" s="420">
        <f>IFERROR(_xlfn.XLOOKUP(CONCATENATE($L10,O$5,$M$2),BASE_DATOS[Reporte NSK],BASE_DATOS[NSK],,0),"")</f>
        <v>9</v>
      </c>
      <c r="P10" s="444">
        <f>IFERROR(_xlfn.XLOOKUP(CONCATENATE($L10,P$5,$M$2),BASE_DATOS[Reporte NSK],BASE_DATOS[NSK],,0),"")</f>
        <v>8</v>
      </c>
      <c r="Q10" s="420">
        <f>IFERROR(_xlfn.XLOOKUP(CONCATENATE($L10,Q$5,$M$2),BASE_DATOS[Reporte NSK],BASE_DATOS[NSK],,0),"")</f>
        <v>9</v>
      </c>
      <c r="R10" s="420">
        <f>IFERROR(_xlfn.XLOOKUP(CONCATENATE($L10,R$5,$M$2),BASE_DATOS[Reporte NSK],BASE_DATOS[NSK],,0),"")</f>
        <v>8</v>
      </c>
      <c r="S10" s="420">
        <f>IFERROR(_xlfn.XLOOKUP(CONCATENATE($L10,S$5,$M$2),BASE_DATOS[Reporte NSK],BASE_DATOS[NSK],,0),"")</f>
        <v>8</v>
      </c>
      <c r="T10" s="420">
        <f>IFERROR(_xlfn.XLOOKUP(CONCATENATE($L10,T$5,$M$2),BASE_DATOS[Reporte NSK],BASE_DATOS[NSK],,0),"")</f>
        <v>5</v>
      </c>
      <c r="U10" s="420">
        <f>IFERROR(_xlfn.XLOOKUP(CONCATENATE($L10,U$5,$M$2),BASE_DATOS[Reporte NSK],BASE_DATOS[NSK],,0),"")</f>
        <v>6</v>
      </c>
      <c r="V10" s="420">
        <f>IFERROR(_xlfn.XLOOKUP(CONCATENATE($L10,V$5,$M$2),BASE_DATOS[Reporte NSK],BASE_DATOS[NSK],,0),"")</f>
        <v>4</v>
      </c>
      <c r="W10" s="435">
        <f>IFERROR(_xlfn.XLOOKUP(CONCATENATE($L10,W$5,$M$2),BASE_DATOS[Reporte NSK],BASE_DATOS[NSK],,0),"")</f>
        <v>4</v>
      </c>
      <c r="X10" s="418">
        <f t="shared" si="1"/>
        <v>10</v>
      </c>
    </row>
    <row r="11" spans="1:33" x14ac:dyDescent="0.2">
      <c r="L11" s="412" t="s">
        <v>125</v>
      </c>
      <c r="M11" s="415" t="s">
        <v>126</v>
      </c>
      <c r="N11" s="419">
        <f>IFERROR(_xlfn.XLOOKUP(CONCATENATE($L11,N$5,$M$2),BASE_DATOS[Reporte NSK],BASE_DATOS[NSK],,0),"")</f>
        <v>11</v>
      </c>
      <c r="O11" s="420">
        <f>IFERROR(_xlfn.XLOOKUP(CONCATENATE($L11,O$5,$M$2),BASE_DATOS[Reporte NSK],BASE_DATOS[NSK],,0),"")</f>
        <v>11</v>
      </c>
      <c r="P11" s="444">
        <f>IFERROR(_xlfn.XLOOKUP(CONCATENATE($L11,P$5,$M$2),BASE_DATOS[Reporte NSK],BASE_DATOS[NSK],,0),"")</f>
        <v>18</v>
      </c>
      <c r="Q11" s="420">
        <f>IFERROR(_xlfn.XLOOKUP(CONCATENATE($L11,Q$5,$M$2),BASE_DATOS[Reporte NSK],BASE_DATOS[NSK],,0),"")</f>
        <v>17</v>
      </c>
      <c r="R11" s="420">
        <f>IFERROR(_xlfn.XLOOKUP(CONCATENATE($L11,R$5,$M$2),BASE_DATOS[Reporte NSK],BASE_DATOS[NSK],,0),"")</f>
        <v>16</v>
      </c>
      <c r="S11" s="420">
        <f>IFERROR(_xlfn.XLOOKUP(CONCATENATE($L11,S$5,$M$2),BASE_DATOS[Reporte NSK],BASE_DATOS[NSK],,0),"")</f>
        <v>16</v>
      </c>
      <c r="T11" s="420">
        <f>IFERROR(_xlfn.XLOOKUP(CONCATENATE($L11,T$5,$M$2),BASE_DATOS[Reporte NSK],BASE_DATOS[NSK],,0),"")</f>
        <v>16</v>
      </c>
      <c r="U11" s="420">
        <f>IFERROR(_xlfn.XLOOKUP(CONCATENATE($L11,U$5,$M$2),BASE_DATOS[Reporte NSK],BASE_DATOS[NSK],,0),"")</f>
        <v>14</v>
      </c>
      <c r="V11" s="420">
        <f>IFERROR(_xlfn.XLOOKUP(CONCATENATE($L11,V$5,$M$2),BASE_DATOS[Reporte NSK],BASE_DATOS[NSK],,0),"")</f>
        <v>17</v>
      </c>
      <c r="W11" s="435">
        <f>IFERROR(_xlfn.XLOOKUP(CONCATENATE($L11,W$5,$M$2),BASE_DATOS[Reporte NSK],BASE_DATOS[NSK],,0),"")</f>
        <v>17</v>
      </c>
      <c r="X11" s="418">
        <f t="shared" si="1"/>
        <v>10</v>
      </c>
    </row>
    <row r="12" spans="1:33" x14ac:dyDescent="0.2">
      <c r="L12" s="412" t="s">
        <v>133</v>
      </c>
      <c r="M12" s="415" t="s">
        <v>134</v>
      </c>
      <c r="N12" s="419">
        <f>IFERROR(_xlfn.XLOOKUP(CONCATENATE($L12,N$5,$M$2),BASE_DATOS[Reporte NSK],BASE_DATOS[NSK],,0),"")</f>
        <v>14</v>
      </c>
      <c r="O12" s="420">
        <f>IFERROR(_xlfn.XLOOKUP(CONCATENATE($L12,O$5,$M$2),BASE_DATOS[Reporte NSK],BASE_DATOS[NSK],,0),"")</f>
        <v>14</v>
      </c>
      <c r="P12" s="444">
        <f>IFERROR(_xlfn.XLOOKUP(CONCATENATE($L12,P$5,$M$2),BASE_DATOS[Reporte NSK],BASE_DATOS[NSK],,0),"")</f>
        <v>22</v>
      </c>
      <c r="Q12" s="420">
        <f>IFERROR(_xlfn.XLOOKUP(CONCATENATE($L12,Q$5,$M$2),BASE_DATOS[Reporte NSK],BASE_DATOS[NSK],,0),"")</f>
        <v>22</v>
      </c>
      <c r="R12" s="420">
        <f>IFERROR(_xlfn.XLOOKUP(CONCATENATE($L12,R$5,$M$2),BASE_DATOS[Reporte NSK],BASE_DATOS[NSK],,0),"")</f>
        <v>22</v>
      </c>
      <c r="S12" s="420">
        <f>IFERROR(_xlfn.XLOOKUP(CONCATENATE($L12,S$5,$M$2),BASE_DATOS[Reporte NSK],BASE_DATOS[NSK],,0),"")</f>
        <v>22</v>
      </c>
      <c r="T12" s="420">
        <f>IFERROR(_xlfn.XLOOKUP(CONCATENATE($L12,T$5,$M$2),BASE_DATOS[Reporte NSK],BASE_DATOS[NSK],,0),"")</f>
        <v>17</v>
      </c>
      <c r="U12" s="420">
        <f>IFERROR(_xlfn.XLOOKUP(CONCATENATE($L12,U$5,$M$2),BASE_DATOS[Reporte NSK],BASE_DATOS[NSK],,0),"")</f>
        <v>17</v>
      </c>
      <c r="V12" s="420">
        <f>IFERROR(_xlfn.XLOOKUP(CONCATENATE($L12,V$5,$M$2),BASE_DATOS[Reporte NSK],BASE_DATOS[NSK],,0),"")</f>
        <v>17</v>
      </c>
      <c r="W12" s="435">
        <f>IFERROR(_xlfn.XLOOKUP(CONCATENATE($L12,W$5,$M$2),BASE_DATOS[Reporte NSK],BASE_DATOS[NSK],,0),"")</f>
        <v>17</v>
      </c>
      <c r="X12" s="418">
        <f t="shared" si="1"/>
        <v>10</v>
      </c>
    </row>
    <row r="13" spans="1:33" x14ac:dyDescent="0.2">
      <c r="L13" s="412" t="s">
        <v>137</v>
      </c>
      <c r="M13" s="415" t="s">
        <v>138</v>
      </c>
      <c r="N13" s="419">
        <f>IFERROR(_xlfn.XLOOKUP(CONCATENATE($L13,N$5,$M$2),BASE_DATOS[Reporte NSK],BASE_DATOS[NSK],,0),"")</f>
        <v>16</v>
      </c>
      <c r="O13" s="420">
        <f>IFERROR(_xlfn.XLOOKUP(CONCATENATE($L13,O$5,$M$2),BASE_DATOS[Reporte NSK],BASE_DATOS[NSK],,0),"")</f>
        <v>16</v>
      </c>
      <c r="P13" s="444">
        <f>IFERROR(_xlfn.XLOOKUP(CONCATENATE($L13,P$5,$M$2),BASE_DATOS[Reporte NSK],BASE_DATOS[NSK],,0),"")</f>
        <v>13</v>
      </c>
      <c r="Q13" s="420">
        <f>IFERROR(_xlfn.XLOOKUP(CONCATENATE($L13,Q$5,$M$2),BASE_DATOS[Reporte NSK],BASE_DATOS[NSK],,0),"")</f>
        <v>13</v>
      </c>
      <c r="R13" s="420">
        <f>IFERROR(_xlfn.XLOOKUP(CONCATENATE($L13,R$5,$M$2),BASE_DATOS[Reporte NSK],BASE_DATOS[NSK],,0),"")</f>
        <v>13</v>
      </c>
      <c r="S13" s="420">
        <f>IFERROR(_xlfn.XLOOKUP(CONCATENATE($L13,S$5,$M$2),BASE_DATOS[Reporte NSK],BASE_DATOS[NSK],,0),"")</f>
        <v>13</v>
      </c>
      <c r="T13" s="420">
        <f>IFERROR(_xlfn.XLOOKUP(CONCATENATE($L13,T$5,$M$2),BASE_DATOS[Reporte NSK],BASE_DATOS[NSK],,0),"")</f>
        <v>8</v>
      </c>
      <c r="U13" s="420">
        <f>IFERROR(_xlfn.XLOOKUP(CONCATENATE($L13,U$5,$M$2),BASE_DATOS[Reporte NSK],BASE_DATOS[NSK],,0),"")</f>
        <v>8</v>
      </c>
      <c r="V13" s="420">
        <f>IFERROR(_xlfn.XLOOKUP(CONCATENATE($L13,V$5,$M$2),BASE_DATOS[Reporte NSK],BASE_DATOS[NSK],,0),"")</f>
        <v>9</v>
      </c>
      <c r="W13" s="435">
        <f>IFERROR(_xlfn.XLOOKUP(CONCATENATE($L13,W$5,$M$2),BASE_DATOS[Reporte NSK],BASE_DATOS[NSK],,0),"")</f>
        <v>9</v>
      </c>
      <c r="X13" s="418">
        <f t="shared" si="1"/>
        <v>10</v>
      </c>
    </row>
    <row r="14" spans="1:33" x14ac:dyDescent="0.2">
      <c r="L14" s="412" t="s">
        <v>141</v>
      </c>
      <c r="M14" s="415" t="s">
        <v>142</v>
      </c>
      <c r="N14" s="419">
        <f>IFERROR(_xlfn.XLOOKUP(CONCATENATE($L14,N$5,$M$2),BASE_DATOS[Reporte NSK],BASE_DATOS[NSK],,0),"")</f>
        <v>8</v>
      </c>
      <c r="O14" s="420">
        <f>IFERROR(_xlfn.XLOOKUP(CONCATENATE($L14,O$5,$M$2),BASE_DATOS[Reporte NSK],BASE_DATOS[NSK],,0),"")</f>
        <v>9</v>
      </c>
      <c r="P14" s="444">
        <f>IFERROR(_xlfn.XLOOKUP(CONCATENATE($L14,P$5,$M$2),BASE_DATOS[Reporte NSK],BASE_DATOS[NSK],,0),"")</f>
        <v>21</v>
      </c>
      <c r="Q14" s="420">
        <f>IFERROR(_xlfn.XLOOKUP(CONCATENATE($L14,Q$5,$M$2),BASE_DATOS[Reporte NSK],BASE_DATOS[NSK],,0),"")</f>
        <v>21</v>
      </c>
      <c r="R14" s="420">
        <f>IFERROR(_xlfn.XLOOKUP(CONCATENATE($L14,R$5,$M$2),BASE_DATOS[Reporte NSK],BASE_DATOS[NSK],,0),"")</f>
        <v>21</v>
      </c>
      <c r="S14" s="420">
        <f>IFERROR(_xlfn.XLOOKUP(CONCATENATE($L14,S$5,$M$2),BASE_DATOS[Reporte NSK],BASE_DATOS[NSK],,0),"")</f>
        <v>21</v>
      </c>
      <c r="T14" s="420">
        <f>IFERROR(_xlfn.XLOOKUP(CONCATENATE($L14,T$5,$M$2),BASE_DATOS[Reporte NSK],BASE_DATOS[NSK],,0),"")</f>
        <v>18</v>
      </c>
      <c r="U14" s="420">
        <f>IFERROR(_xlfn.XLOOKUP(CONCATENATE($L14,U$5,$M$2),BASE_DATOS[Reporte NSK],BASE_DATOS[NSK],,0),"")</f>
        <v>18</v>
      </c>
      <c r="V14" s="420">
        <f>IFERROR(_xlfn.XLOOKUP(CONCATENATE($L14,V$5,$M$2),BASE_DATOS[Reporte NSK],BASE_DATOS[NSK],,0),"")</f>
        <v>18</v>
      </c>
      <c r="W14" s="435">
        <f>IFERROR(_xlfn.XLOOKUP(CONCATENATE($L14,W$5,$M$2),BASE_DATOS[Reporte NSK],BASE_DATOS[NSK],,0),"")</f>
        <v>18</v>
      </c>
      <c r="X14" s="418">
        <f t="shared" si="1"/>
        <v>10</v>
      </c>
    </row>
    <row r="15" spans="1:33" x14ac:dyDescent="0.2">
      <c r="L15" s="412" t="s">
        <v>143</v>
      </c>
      <c r="M15" s="415" t="s">
        <v>144</v>
      </c>
      <c r="N15" s="419">
        <f>IFERROR(_xlfn.XLOOKUP(CONCATENATE($L15,N$5,$M$2),BASE_DATOS[Reporte NSK],BASE_DATOS[NSK],,0),"")</f>
        <v>9</v>
      </c>
      <c r="O15" s="420">
        <f>IFERROR(_xlfn.XLOOKUP(CONCATENATE($L15,O$5,$M$2),BASE_DATOS[Reporte NSK],BASE_DATOS[NSK],,0),"")</f>
        <v>10</v>
      </c>
      <c r="P15" s="444">
        <f>IFERROR(_xlfn.XLOOKUP(CONCATENATE($L15,P$5,$M$2),BASE_DATOS[Reporte NSK],BASE_DATOS[NSK],,0),"")</f>
        <v>11</v>
      </c>
      <c r="Q15" s="420">
        <f>IFERROR(_xlfn.XLOOKUP(CONCATENATE($L15,Q$5,$M$2),BASE_DATOS[Reporte NSK],BASE_DATOS[NSK],,0),"")</f>
        <v>9</v>
      </c>
      <c r="R15" s="420">
        <f>IFERROR(_xlfn.XLOOKUP(CONCATENATE($L15,R$5,$M$2),BASE_DATOS[Reporte NSK],BASE_DATOS[NSK],,0),"")</f>
        <v>7</v>
      </c>
      <c r="S15" s="420">
        <f>IFERROR(_xlfn.XLOOKUP(CONCATENATE($L15,S$5,$M$2),BASE_DATOS[Reporte NSK],BASE_DATOS[NSK],,0),"")</f>
        <v>6</v>
      </c>
      <c r="T15" s="420">
        <f>IFERROR(_xlfn.XLOOKUP(CONCATENATE($L15,T$5,$M$2),BASE_DATOS[Reporte NSK],BASE_DATOS[NSK],,0),"")</f>
        <v>6</v>
      </c>
      <c r="U15" s="420">
        <f>IFERROR(_xlfn.XLOOKUP(CONCATENATE($L15,U$5,$M$2),BASE_DATOS[Reporte NSK],BASE_DATOS[NSK],,0),"")</f>
        <v>4</v>
      </c>
      <c r="V15" s="420">
        <f>IFERROR(_xlfn.XLOOKUP(CONCATENATE($L15,V$5,$M$2),BASE_DATOS[Reporte NSK],BASE_DATOS[NSK],,0),"")</f>
        <v>10</v>
      </c>
      <c r="W15" s="435">
        <f>IFERROR(_xlfn.XLOOKUP(CONCATENATE($L15,W$5,$M$2),BASE_DATOS[Reporte NSK],BASE_DATOS[NSK],,0),"")</f>
        <v>7</v>
      </c>
      <c r="X15" s="418">
        <f t="shared" si="1"/>
        <v>10</v>
      </c>
    </row>
    <row r="16" spans="1:33" x14ac:dyDescent="0.2">
      <c r="L16" s="412" t="s">
        <v>145</v>
      </c>
      <c r="M16" s="415" t="s">
        <v>146</v>
      </c>
      <c r="N16" s="419">
        <f>IFERROR(_xlfn.XLOOKUP(CONCATENATE($L16,N$5,$M$2),BASE_DATOS[Reporte NSK],BASE_DATOS[NSK],,0),"")</f>
        <v>6</v>
      </c>
      <c r="O16" s="420">
        <f>IFERROR(_xlfn.XLOOKUP(CONCATENATE($L16,O$5,$M$2),BASE_DATOS[Reporte NSK],BASE_DATOS[NSK],,0),"")</f>
        <v>10</v>
      </c>
      <c r="P16" s="444">
        <f>IFERROR(_xlfn.XLOOKUP(CONCATENATE($L16,P$5,$M$2),BASE_DATOS[Reporte NSK],BASE_DATOS[NSK],,0),"")</f>
        <v>12</v>
      </c>
      <c r="Q16" s="420">
        <f>IFERROR(_xlfn.XLOOKUP(CONCATENATE($L16,Q$5,$M$2),BASE_DATOS[Reporte NSK],BASE_DATOS[NSK],,0),"")</f>
        <v>12</v>
      </c>
      <c r="R16" s="420">
        <f>IFERROR(_xlfn.XLOOKUP(CONCATENATE($L16,R$5,$M$2),BASE_DATOS[Reporte NSK],BASE_DATOS[NSK],,0),"")</f>
        <v>12</v>
      </c>
      <c r="S16" s="420">
        <f>IFERROR(_xlfn.XLOOKUP(CONCATENATE($L16,S$5,$M$2),BASE_DATOS[Reporte NSK],BASE_DATOS[NSK],,0),"")</f>
        <v>12</v>
      </c>
      <c r="T16" s="420">
        <f>IFERROR(_xlfn.XLOOKUP(CONCATENATE($L16,T$5,$M$2),BASE_DATOS[Reporte NSK],BASE_DATOS[NSK],,0),"")</f>
        <v>5</v>
      </c>
      <c r="U16" s="420">
        <f>IFERROR(_xlfn.XLOOKUP(CONCATENATE($L16,U$5,$M$2),BASE_DATOS[Reporte NSK],BASE_DATOS[NSK],,0),"")</f>
        <v>5</v>
      </c>
      <c r="V16" s="420">
        <f>IFERROR(_xlfn.XLOOKUP(CONCATENATE($L16,V$5,$M$2),BASE_DATOS[Reporte NSK],BASE_DATOS[NSK],,0),"")</f>
        <v>6</v>
      </c>
      <c r="W16" s="435">
        <f>IFERROR(_xlfn.XLOOKUP(CONCATENATE($L16,W$5,$M$2),BASE_DATOS[Reporte NSK],BASE_DATOS[NSK],,0),"")</f>
        <v>6</v>
      </c>
      <c r="X16" s="418">
        <f t="shared" si="1"/>
        <v>10</v>
      </c>
    </row>
    <row r="17" spans="12:24" x14ac:dyDescent="0.2">
      <c r="L17" s="412" t="s">
        <v>149</v>
      </c>
      <c r="M17" s="415" t="s">
        <v>150</v>
      </c>
      <c r="N17" s="419">
        <f>IFERROR(_xlfn.XLOOKUP(CONCATENATE($L17,N$5,$M$2),BASE_DATOS[Reporte NSK],BASE_DATOS[NSK],,0),"")</f>
        <v>8</v>
      </c>
      <c r="O17" s="420">
        <f>IFERROR(_xlfn.XLOOKUP(CONCATENATE($L17,O$5,$M$2),BASE_DATOS[Reporte NSK],BASE_DATOS[NSK],,0),"")</f>
        <v>7</v>
      </c>
      <c r="P17" s="444">
        <f>IFERROR(_xlfn.XLOOKUP(CONCATENATE($L17,P$5,$M$2),BASE_DATOS[Reporte NSK],BASE_DATOS[NSK],,0),"")</f>
        <v>8</v>
      </c>
      <c r="Q17" s="420">
        <f>IFERROR(_xlfn.XLOOKUP(CONCATENATE($L17,Q$5,$M$2),BASE_DATOS[Reporte NSK],BASE_DATOS[NSK],,0),"")</f>
        <v>7</v>
      </c>
      <c r="R17" s="420">
        <f>IFERROR(_xlfn.XLOOKUP(CONCATENATE($L17,R$5,$M$2),BASE_DATOS[Reporte NSK],BASE_DATOS[NSK],,0),"")</f>
        <v>9</v>
      </c>
      <c r="S17" s="420">
        <f>IFERROR(_xlfn.XLOOKUP(CONCATENATE($L17,S$5,$M$2),BASE_DATOS[Reporte NSK],BASE_DATOS[NSK],,0),"")</f>
        <v>8</v>
      </c>
      <c r="T17" s="420">
        <f>IFERROR(_xlfn.XLOOKUP(CONCATENATE($L17,T$5,$M$2),BASE_DATOS[Reporte NSK],BASE_DATOS[NSK],,0),"")</f>
        <v>13</v>
      </c>
      <c r="U17" s="420">
        <f>IFERROR(_xlfn.XLOOKUP(CONCATENATE($L17,U$5,$M$2),BASE_DATOS[Reporte NSK],BASE_DATOS[NSK],,0),"")</f>
        <v>13</v>
      </c>
      <c r="V17" s="420">
        <f>IFERROR(_xlfn.XLOOKUP(CONCATENATE($L17,V$5,$M$2),BASE_DATOS[Reporte NSK],BASE_DATOS[NSK],,0),"")</f>
        <v>13</v>
      </c>
      <c r="W17" s="435">
        <f>IFERROR(_xlfn.XLOOKUP(CONCATENATE($L17,W$5,$M$2),BASE_DATOS[Reporte NSK],BASE_DATOS[NSK],,0),"")</f>
        <v>13</v>
      </c>
      <c r="X17" s="418">
        <f t="shared" si="1"/>
        <v>10</v>
      </c>
    </row>
    <row r="18" spans="12:24" x14ac:dyDescent="0.2">
      <c r="L18" s="412" t="s">
        <v>153</v>
      </c>
      <c r="M18" s="415" t="s">
        <v>154</v>
      </c>
      <c r="N18" s="419">
        <f>IFERROR(_xlfn.XLOOKUP(CONCATENATE($L18,N$5,$M$2),BASE_DATOS[Reporte NSK],BASE_DATOS[NSK],,0),"")</f>
        <v>8</v>
      </c>
      <c r="O18" s="420">
        <f>IFERROR(_xlfn.XLOOKUP(CONCATENATE($L18,O$5,$M$2),BASE_DATOS[Reporte NSK],BASE_DATOS[NSK],,0),"")</f>
        <v>5</v>
      </c>
      <c r="P18" s="444">
        <f>IFERROR(_xlfn.XLOOKUP(CONCATENATE($L18,P$5,$M$2),BASE_DATOS[Reporte NSK],BASE_DATOS[NSK],,0),"")</f>
        <v>19</v>
      </c>
      <c r="Q18" s="420">
        <f>IFERROR(_xlfn.XLOOKUP(CONCATENATE($L18,Q$5,$M$2),BASE_DATOS[Reporte NSK],BASE_DATOS[NSK],,0),"")</f>
        <v>19</v>
      </c>
      <c r="R18" s="420">
        <f>IFERROR(_xlfn.XLOOKUP(CONCATENATE($L18,R$5,$M$2),BASE_DATOS[Reporte NSK],BASE_DATOS[NSK],,0),"")</f>
        <v>19</v>
      </c>
      <c r="S18" s="420">
        <f>IFERROR(_xlfn.XLOOKUP(CONCATENATE($L18,S$5,$M$2),BASE_DATOS[Reporte NSK],BASE_DATOS[NSK],,0),"")</f>
        <v>19</v>
      </c>
      <c r="T18" s="420">
        <f>IFERROR(_xlfn.XLOOKUP(CONCATENATE($L18,T$5,$M$2),BASE_DATOS[Reporte NSK],BASE_DATOS[NSK],,0),"")</f>
        <v>5</v>
      </c>
      <c r="U18" s="420">
        <f>IFERROR(_xlfn.XLOOKUP(CONCATENATE($L18,U$5,$M$2),BASE_DATOS[Reporte NSK],BASE_DATOS[NSK],,0),"")</f>
        <v>5</v>
      </c>
      <c r="V18" s="420">
        <f>IFERROR(_xlfn.XLOOKUP(CONCATENATE($L18,V$5,$M$2),BASE_DATOS[Reporte NSK],BASE_DATOS[NSK],,0),"")</f>
        <v>4</v>
      </c>
      <c r="W18" s="435">
        <f>IFERROR(_xlfn.XLOOKUP(CONCATENATE($L18,W$5,$M$2),BASE_DATOS[Reporte NSK],BASE_DATOS[NSK],,0),"")</f>
        <v>4</v>
      </c>
      <c r="X18" s="418">
        <f t="shared" si="1"/>
        <v>10</v>
      </c>
    </row>
    <row r="19" spans="12:24" x14ac:dyDescent="0.2">
      <c r="L19" s="412" t="s">
        <v>159</v>
      </c>
      <c r="M19" s="415" t="s">
        <v>160</v>
      </c>
      <c r="N19" s="419">
        <f>IFERROR(_xlfn.XLOOKUP(CONCATENATE($L19,N$5,$M$2),BASE_DATOS[Reporte NSK],BASE_DATOS[NSK],,0),"")</f>
        <v>14</v>
      </c>
      <c r="O19" s="420">
        <f>IFERROR(_xlfn.XLOOKUP(CONCATENATE($L19,O$5,$M$2),BASE_DATOS[Reporte NSK],BASE_DATOS[NSK],,0),"")</f>
        <v>14</v>
      </c>
      <c r="P19" s="444">
        <f>IFERROR(_xlfn.XLOOKUP(CONCATENATE($L19,P$5,$M$2),BASE_DATOS[Reporte NSK],BASE_DATOS[NSK],,0),"")</f>
        <v>11</v>
      </c>
      <c r="Q19" s="420">
        <f>IFERROR(_xlfn.XLOOKUP(CONCATENATE($L19,Q$5,$M$2),BASE_DATOS[Reporte NSK],BASE_DATOS[NSK],,0),"")</f>
        <v>8</v>
      </c>
      <c r="R19" s="420">
        <f>IFERROR(_xlfn.XLOOKUP(CONCATENATE($L19,R$5,$M$2),BASE_DATOS[Reporte NSK],BASE_DATOS[NSK],,0),"")</f>
        <v>10</v>
      </c>
      <c r="S19" s="420">
        <f>IFERROR(_xlfn.XLOOKUP(CONCATENATE($L19,S$5,$M$2),BASE_DATOS[Reporte NSK],BASE_DATOS[NSK],,0),"")</f>
        <v>13</v>
      </c>
      <c r="T19" s="420">
        <f>IFERROR(_xlfn.XLOOKUP(CONCATENATE($L19,T$5,$M$2),BASE_DATOS[Reporte NSK],BASE_DATOS[NSK],,0),"")</f>
        <v>17</v>
      </c>
      <c r="U19" s="420">
        <f>IFERROR(_xlfn.XLOOKUP(CONCATENATE($L19,U$5,$M$2),BASE_DATOS[Reporte NSK],BASE_DATOS[NSK],,0),"")</f>
        <v>17</v>
      </c>
      <c r="V19" s="420">
        <f>IFERROR(_xlfn.XLOOKUP(CONCATENATE($L19,V$5,$M$2),BASE_DATOS[Reporte NSK],BASE_DATOS[NSK],,0),"")</f>
        <v>17</v>
      </c>
      <c r="W19" s="435">
        <f>IFERROR(_xlfn.XLOOKUP(CONCATENATE($L19,W$5,$M$2),BASE_DATOS[Reporte NSK],BASE_DATOS[NSK],,0),"")</f>
        <v>17</v>
      </c>
      <c r="X19" s="418">
        <f t="shared" si="1"/>
        <v>10</v>
      </c>
    </row>
    <row r="20" spans="12:24" x14ac:dyDescent="0.2">
      <c r="L20" s="412" t="s">
        <v>165</v>
      </c>
      <c r="M20" s="415" t="s">
        <v>166</v>
      </c>
      <c r="N20" s="419">
        <f>IFERROR(_xlfn.XLOOKUP(CONCATENATE($L20,N$5,$M$2),BASE_DATOS[Reporte NSK],BASE_DATOS[NSK],,0),"")</f>
        <v>9</v>
      </c>
      <c r="O20" s="420">
        <f>IFERROR(_xlfn.XLOOKUP(CONCATENATE($L20,O$5,$M$2),BASE_DATOS[Reporte NSK],BASE_DATOS[NSK],,0),"")</f>
        <v>10</v>
      </c>
      <c r="P20" s="444">
        <f>IFERROR(_xlfn.XLOOKUP(CONCATENATE($L20,P$5,$M$2),BASE_DATOS[Reporte NSK],BASE_DATOS[NSK],,0),"")</f>
        <v>20</v>
      </c>
      <c r="Q20" s="420">
        <f>IFERROR(_xlfn.XLOOKUP(CONCATENATE($L20,Q$5,$M$2),BASE_DATOS[Reporte NSK],BASE_DATOS[NSK],,0),"")</f>
        <v>20</v>
      </c>
      <c r="R20" s="420">
        <f>IFERROR(_xlfn.XLOOKUP(CONCATENATE($L20,R$5,$M$2),BASE_DATOS[Reporte NSK],BASE_DATOS[NSK],,0),"")</f>
        <v>20</v>
      </c>
      <c r="S20" s="420">
        <f>IFERROR(_xlfn.XLOOKUP(CONCATENATE($L20,S$5,$M$2),BASE_DATOS[Reporte NSK],BASE_DATOS[NSK],,0),"")</f>
        <v>20</v>
      </c>
      <c r="T20" s="420">
        <f>IFERROR(_xlfn.XLOOKUP(CONCATENATE($L20,T$5,$M$2),BASE_DATOS[Reporte NSK],BASE_DATOS[NSK],,0),"")</f>
        <v>9</v>
      </c>
      <c r="U20" s="420">
        <f>IFERROR(_xlfn.XLOOKUP(CONCATENATE($L20,U$5,$M$2),BASE_DATOS[Reporte NSK],BASE_DATOS[NSK],,0),"")</f>
        <v>9</v>
      </c>
      <c r="V20" s="420">
        <f>IFERROR(_xlfn.XLOOKUP(CONCATENATE($L20,V$5,$M$2),BASE_DATOS[Reporte NSK],BASE_DATOS[NSK],,0),"")</f>
        <v>10</v>
      </c>
      <c r="W20" s="435">
        <f>IFERROR(_xlfn.XLOOKUP(CONCATENATE($L20,W$5,$M$2),BASE_DATOS[Reporte NSK],BASE_DATOS[NSK],,0),"")</f>
        <v>10</v>
      </c>
      <c r="X20" s="418">
        <f t="shared" si="1"/>
        <v>10</v>
      </c>
    </row>
    <row r="21" spans="12:24" x14ac:dyDescent="0.2">
      <c r="L21" s="412" t="s">
        <v>169</v>
      </c>
      <c r="M21" s="415" t="s">
        <v>170</v>
      </c>
      <c r="N21" s="419">
        <f>IFERROR(_xlfn.XLOOKUP(CONCATENATE($L21,N$5,$M$2),BASE_DATOS[Reporte NSK],BASE_DATOS[NSK],,0),"")</f>
        <v>15</v>
      </c>
      <c r="O21" s="420">
        <f>IFERROR(_xlfn.XLOOKUP(CONCATENATE($L21,O$5,$M$2),BASE_DATOS[Reporte NSK],BASE_DATOS[NSK],,0),"")</f>
        <v>15</v>
      </c>
      <c r="P21" s="444">
        <f>IFERROR(_xlfn.XLOOKUP(CONCATENATE($L21,P$5,$M$2),BASE_DATOS[Reporte NSK],BASE_DATOS[NSK],,0),"")</f>
        <v>15</v>
      </c>
      <c r="Q21" s="420">
        <f>IFERROR(_xlfn.XLOOKUP(CONCATENATE($L21,Q$5,$M$2),BASE_DATOS[Reporte NSK],BASE_DATOS[NSK],,0),"")</f>
        <v>14</v>
      </c>
      <c r="R21" s="420">
        <f>IFERROR(_xlfn.XLOOKUP(CONCATENATE($L21,R$5,$M$2),BASE_DATOS[Reporte NSK],BASE_DATOS[NSK],,0),"")</f>
        <v>16</v>
      </c>
      <c r="S21" s="420">
        <f>IFERROR(_xlfn.XLOOKUP(CONCATENATE($L21,S$5,$M$2),BASE_DATOS[Reporte NSK],BASE_DATOS[NSK],,0),"")</f>
        <v>15</v>
      </c>
      <c r="T21" s="420">
        <f>IFERROR(_xlfn.XLOOKUP(CONCATENATE($L21,T$5,$M$2),BASE_DATOS[Reporte NSK],BASE_DATOS[NSK],,0),"")</f>
        <v>11</v>
      </c>
      <c r="U21" s="420">
        <f>IFERROR(_xlfn.XLOOKUP(CONCATENATE($L21,U$5,$M$2),BASE_DATOS[Reporte NSK],BASE_DATOS[NSK],,0),"")</f>
        <v>11</v>
      </c>
      <c r="V21" s="420">
        <f>IFERROR(_xlfn.XLOOKUP(CONCATENATE($L21,V$5,$M$2),BASE_DATOS[Reporte NSK],BASE_DATOS[NSK],,0),"")</f>
        <v>9</v>
      </c>
      <c r="W21" s="435">
        <f>IFERROR(_xlfn.XLOOKUP(CONCATENATE($L21,W$5,$M$2),BASE_DATOS[Reporte NSK],BASE_DATOS[NSK],,0),"")</f>
        <v>10</v>
      </c>
      <c r="X21" s="418">
        <f t="shared" si="1"/>
        <v>10</v>
      </c>
    </row>
    <row r="22" spans="12:24" x14ac:dyDescent="0.2">
      <c r="L22" s="412" t="s">
        <v>173</v>
      </c>
      <c r="M22" s="415" t="s">
        <v>174</v>
      </c>
      <c r="N22" s="419">
        <f>IFERROR(_xlfn.XLOOKUP(CONCATENATE($L22,N$5,$M$2),BASE_DATOS[Reporte NSK],BASE_DATOS[NSK],,0),"")</f>
        <v>14</v>
      </c>
      <c r="O22" s="420">
        <f>IFERROR(_xlfn.XLOOKUP(CONCATENATE($L22,O$5,$M$2),BASE_DATOS[Reporte NSK],BASE_DATOS[NSK],,0),"")</f>
        <v>13</v>
      </c>
      <c r="P22" s="444">
        <f>IFERROR(_xlfn.XLOOKUP(CONCATENATE($L22,P$5,$M$2),BASE_DATOS[Reporte NSK],BASE_DATOS[NSK],,0),"")</f>
        <v>19</v>
      </c>
      <c r="Q22" s="420">
        <f>IFERROR(_xlfn.XLOOKUP(CONCATENATE($L22,Q$5,$M$2),BASE_DATOS[Reporte NSK],BASE_DATOS[NSK],,0),"")</f>
        <v>19</v>
      </c>
      <c r="R22" s="420">
        <f>IFERROR(_xlfn.XLOOKUP(CONCATENATE($L22,R$5,$M$2),BASE_DATOS[Reporte NSK],BASE_DATOS[NSK],,0),"")</f>
        <v>19</v>
      </c>
      <c r="S22" s="420">
        <f>IFERROR(_xlfn.XLOOKUP(CONCATENATE($L22,S$5,$M$2),BASE_DATOS[Reporte NSK],BASE_DATOS[NSK],,0),"")</f>
        <v>19</v>
      </c>
      <c r="T22" s="420">
        <f>IFERROR(_xlfn.XLOOKUP(CONCATENATE($L22,T$5,$M$2),BASE_DATOS[Reporte NSK],BASE_DATOS[NSK],,0),"")</f>
        <v>9</v>
      </c>
      <c r="U22" s="420">
        <f>IFERROR(_xlfn.XLOOKUP(CONCATENATE($L22,U$5,$M$2),BASE_DATOS[Reporte NSK],BASE_DATOS[NSK],,0),"")</f>
        <v>9</v>
      </c>
      <c r="V22" s="420">
        <f>IFERROR(_xlfn.XLOOKUP(CONCATENATE($L22,V$5,$M$2),BASE_DATOS[Reporte NSK],BASE_DATOS[NSK],,0),"")</f>
        <v>9</v>
      </c>
      <c r="W22" s="435">
        <f>IFERROR(_xlfn.XLOOKUP(CONCATENATE($L22,W$5,$M$2),BASE_DATOS[Reporte NSK],BASE_DATOS[NSK],,0),"")</f>
        <v>8</v>
      </c>
      <c r="X22" s="418">
        <f t="shared" si="1"/>
        <v>10</v>
      </c>
    </row>
    <row r="23" spans="12:24" x14ac:dyDescent="0.2">
      <c r="L23" s="412" t="s">
        <v>177</v>
      </c>
      <c r="M23" s="415" t="s">
        <v>178</v>
      </c>
      <c r="N23" s="419">
        <f>IFERROR(_xlfn.XLOOKUP(CONCATENATE($L23,N$5,$M$2),BASE_DATOS[Reporte NSK],BASE_DATOS[NSK],,0),"")</f>
        <v>12</v>
      </c>
      <c r="O23" s="420">
        <f>IFERROR(_xlfn.XLOOKUP(CONCATENATE($L23,O$5,$M$2),BASE_DATOS[Reporte NSK],BASE_DATOS[NSK],,0),"")</f>
        <v>12</v>
      </c>
      <c r="P23" s="444">
        <f>IFERROR(_xlfn.XLOOKUP(CONCATENATE($L23,P$5,$M$2),BASE_DATOS[Reporte NSK],BASE_DATOS[NSK],,0),"")</f>
        <v>10</v>
      </c>
      <c r="Q23" s="420">
        <f>IFERROR(_xlfn.XLOOKUP(CONCATENATE($L23,Q$5,$M$2),BASE_DATOS[Reporte NSK],BASE_DATOS[NSK],,0),"")</f>
        <v>8</v>
      </c>
      <c r="R23" s="420">
        <f>IFERROR(_xlfn.XLOOKUP(CONCATENATE($L23,R$5,$M$2),BASE_DATOS[Reporte NSK],BASE_DATOS[NSK],,0),"")</f>
        <v>12</v>
      </c>
      <c r="S23" s="420">
        <f>IFERROR(_xlfn.XLOOKUP(CONCATENATE($L23,S$5,$M$2),BASE_DATOS[Reporte NSK],BASE_DATOS[NSK],,0),"")</f>
        <v>12</v>
      </c>
      <c r="T23" s="420">
        <f>IFERROR(_xlfn.XLOOKUP(CONCATENATE($L23,T$5,$M$2),BASE_DATOS[Reporte NSK],BASE_DATOS[NSK],,0),"")</f>
        <v>11</v>
      </c>
      <c r="U23" s="420">
        <f>IFERROR(_xlfn.XLOOKUP(CONCATENATE($L23,U$5,$M$2),BASE_DATOS[Reporte NSK],BASE_DATOS[NSK],,0),"")</f>
        <v>9</v>
      </c>
      <c r="V23" s="420">
        <f>IFERROR(_xlfn.XLOOKUP(CONCATENATE($L23,V$5,$M$2),BASE_DATOS[Reporte NSK],BASE_DATOS[NSK],,0),"")</f>
        <v>9</v>
      </c>
      <c r="W23" s="435">
        <f>IFERROR(_xlfn.XLOOKUP(CONCATENATE($L23,W$5,$M$2),BASE_DATOS[Reporte NSK],BASE_DATOS[NSK],,0),"")</f>
        <v>10</v>
      </c>
      <c r="X23" s="418">
        <f t="shared" si="1"/>
        <v>10</v>
      </c>
    </row>
    <row r="24" spans="12:24" x14ac:dyDescent="0.2">
      <c r="L24" s="412" t="s">
        <v>181</v>
      </c>
      <c r="M24" s="415" t="s">
        <v>182</v>
      </c>
      <c r="N24" s="419">
        <f>IFERROR(_xlfn.XLOOKUP(CONCATENATE($L24,N$5,$M$2),BASE_DATOS[Reporte NSK],BASE_DATOS[NSK],,0),"")</f>
        <v>8</v>
      </c>
      <c r="O24" s="420">
        <f>IFERROR(_xlfn.XLOOKUP(CONCATENATE($L24,O$5,$M$2),BASE_DATOS[Reporte NSK],BASE_DATOS[NSK],,0),"")</f>
        <v>9</v>
      </c>
      <c r="P24" s="444">
        <f>IFERROR(_xlfn.XLOOKUP(CONCATENATE($L24,P$5,$M$2),BASE_DATOS[Reporte NSK],BASE_DATOS[NSK],,0),"")</f>
        <v>11</v>
      </c>
      <c r="Q24" s="420">
        <f>IFERROR(_xlfn.XLOOKUP(CONCATENATE($L24,Q$5,$M$2),BASE_DATOS[Reporte NSK],BASE_DATOS[NSK],,0),"")</f>
        <v>11</v>
      </c>
      <c r="R24" s="420">
        <f>IFERROR(_xlfn.XLOOKUP(CONCATENATE($L24,R$5,$M$2),BASE_DATOS[Reporte NSK],BASE_DATOS[NSK],,0),"")</f>
        <v>11</v>
      </c>
      <c r="S24" s="420">
        <f>IFERROR(_xlfn.XLOOKUP(CONCATENATE($L24,S$5,$M$2),BASE_DATOS[Reporte NSK],BASE_DATOS[NSK],,0),"")</f>
        <v>11</v>
      </c>
      <c r="T24" s="420">
        <f>IFERROR(_xlfn.XLOOKUP(CONCATENATE($L24,T$5,$M$2),BASE_DATOS[Reporte NSK],BASE_DATOS[NSK],,0),"")</f>
        <v>17</v>
      </c>
      <c r="U24" s="420">
        <f>IFERROR(_xlfn.XLOOKUP(CONCATENATE($L24,U$5,$M$2),BASE_DATOS[Reporte NSK],BASE_DATOS[NSK],,0),"")</f>
        <v>17</v>
      </c>
      <c r="V24" s="420">
        <f>IFERROR(_xlfn.XLOOKUP(CONCATENATE($L24,V$5,$M$2),BASE_DATOS[Reporte NSK],BASE_DATOS[NSK],,0),"")</f>
        <v>17</v>
      </c>
      <c r="W24" s="435">
        <f>IFERROR(_xlfn.XLOOKUP(CONCATENATE($L24,W$5,$M$2),BASE_DATOS[Reporte NSK],BASE_DATOS[NSK],,0),"")</f>
        <v>17</v>
      </c>
      <c r="X24" s="418">
        <f t="shared" si="1"/>
        <v>10</v>
      </c>
    </row>
    <row r="25" spans="12:24" x14ac:dyDescent="0.2">
      <c r="L25" s="412" t="s">
        <v>185</v>
      </c>
      <c r="M25" s="415" t="s">
        <v>186</v>
      </c>
      <c r="N25" s="419">
        <f>IFERROR(_xlfn.XLOOKUP(CONCATENATE($L25,N$5,$M$2),BASE_DATOS[Reporte NSK],BASE_DATOS[NSK],,0),"")</f>
        <v>12</v>
      </c>
      <c r="O25" s="420">
        <f>IFERROR(_xlfn.XLOOKUP(CONCATENATE($L25,O$5,$M$2),BASE_DATOS[Reporte NSK],BASE_DATOS[NSK],,0),"")</f>
        <v>13</v>
      </c>
      <c r="P25" s="444">
        <f>IFERROR(_xlfn.XLOOKUP(CONCATENATE($L25,P$5,$M$2),BASE_DATOS[Reporte NSK],BASE_DATOS[NSK],,0),"")</f>
        <v>17</v>
      </c>
      <c r="Q25" s="420">
        <f>IFERROR(_xlfn.XLOOKUP(CONCATENATE($L25,Q$5,$M$2),BASE_DATOS[Reporte NSK],BASE_DATOS[NSK],,0),"")</f>
        <v>17</v>
      </c>
      <c r="R25" s="420">
        <f>IFERROR(_xlfn.XLOOKUP(CONCATENATE($L25,R$5,$M$2),BASE_DATOS[Reporte NSK],BASE_DATOS[NSK],,0),"")</f>
        <v>16</v>
      </c>
      <c r="S25" s="420">
        <f>IFERROR(_xlfn.XLOOKUP(CONCATENATE($L25,S$5,$M$2),BASE_DATOS[Reporte NSK],BASE_DATOS[NSK],,0),"")</f>
        <v>16</v>
      </c>
      <c r="T25" s="420">
        <f>IFERROR(_xlfn.XLOOKUP(CONCATENATE($L25,T$5,$M$2),BASE_DATOS[Reporte NSK],BASE_DATOS[NSK],,0),"")</f>
        <v>16</v>
      </c>
      <c r="U25" s="420">
        <f>IFERROR(_xlfn.XLOOKUP(CONCATENATE($L25,U$5,$M$2),BASE_DATOS[Reporte NSK],BASE_DATOS[NSK],,0),"")</f>
        <v>16</v>
      </c>
      <c r="V25" s="420">
        <f>IFERROR(_xlfn.XLOOKUP(CONCATENATE($L25,V$5,$M$2),BASE_DATOS[Reporte NSK],BASE_DATOS[NSK],,0),"")</f>
        <v>15</v>
      </c>
      <c r="W25" s="435">
        <f>IFERROR(_xlfn.XLOOKUP(CONCATENATE($L25,W$5,$M$2),BASE_DATOS[Reporte NSK],BASE_DATOS[NSK],,0),"")</f>
        <v>15</v>
      </c>
      <c r="X25" s="418">
        <f t="shared" si="1"/>
        <v>10</v>
      </c>
    </row>
    <row r="26" spans="12:24" x14ac:dyDescent="0.2">
      <c r="L26" s="412" t="s">
        <v>191</v>
      </c>
      <c r="M26" s="415" t="s">
        <v>192</v>
      </c>
      <c r="N26" s="419">
        <f>IFERROR(_xlfn.XLOOKUP(CONCATENATE($L26,N$5,$M$2),BASE_DATOS[Reporte NSK],BASE_DATOS[NSK],,0),"")</f>
        <v>14</v>
      </c>
      <c r="O26" s="420">
        <f>IFERROR(_xlfn.XLOOKUP(CONCATENATE($L26,O$5,$M$2),BASE_DATOS[Reporte NSK],BASE_DATOS[NSK],,0),"")</f>
        <v>15</v>
      </c>
      <c r="P26" s="444">
        <f>IFERROR(_xlfn.XLOOKUP(CONCATENATE($L26,P$5,$M$2),BASE_DATOS[Reporte NSK],BASE_DATOS[NSK],,0),"")</f>
        <v>11</v>
      </c>
      <c r="Q26" s="420">
        <f>IFERROR(_xlfn.XLOOKUP(CONCATENATE($L26,Q$5,$M$2),BASE_DATOS[Reporte NSK],BASE_DATOS[NSK],,0),"")</f>
        <v>11</v>
      </c>
      <c r="R26" s="420">
        <f>IFERROR(_xlfn.XLOOKUP(CONCATENATE($L26,R$5,$M$2),BASE_DATOS[Reporte NSK],BASE_DATOS[NSK],,0),"")</f>
        <v>10</v>
      </c>
      <c r="S26" s="420">
        <f>IFERROR(_xlfn.XLOOKUP(CONCATENATE($L26,S$5,$M$2),BASE_DATOS[Reporte NSK],BASE_DATOS[NSK],,0),"")</f>
        <v>10</v>
      </c>
      <c r="T26" s="420">
        <f>IFERROR(_xlfn.XLOOKUP(CONCATENATE($L26,T$5,$M$2),BASE_DATOS[Reporte NSK],BASE_DATOS[NSK],,0),"")</f>
        <v>14</v>
      </c>
      <c r="U26" s="420">
        <f>IFERROR(_xlfn.XLOOKUP(CONCATENATE($L26,U$5,$M$2),BASE_DATOS[Reporte NSK],BASE_DATOS[NSK],,0),"")</f>
        <v>13</v>
      </c>
      <c r="V26" s="420">
        <f>IFERROR(_xlfn.XLOOKUP(CONCATENATE($L26,V$5,$M$2),BASE_DATOS[Reporte NSK],BASE_DATOS[NSK],,0),"")</f>
        <v>14</v>
      </c>
      <c r="W26" s="435">
        <f>IFERROR(_xlfn.XLOOKUP(CONCATENATE($L26,W$5,$M$2),BASE_DATOS[Reporte NSK],BASE_DATOS[NSK],,0),"")</f>
        <v>14</v>
      </c>
      <c r="X26" s="418">
        <f t="shared" si="1"/>
        <v>10</v>
      </c>
    </row>
    <row r="27" spans="12:24" x14ac:dyDescent="0.2">
      <c r="L27" s="412" t="s">
        <v>197</v>
      </c>
      <c r="M27" s="415" t="s">
        <v>198</v>
      </c>
      <c r="N27" s="419">
        <f>IFERROR(_xlfn.XLOOKUP(CONCATENATE($L27,N$5,$M$2),BASE_DATOS[Reporte NSK],BASE_DATOS[NSK],,0),"")</f>
        <v>14</v>
      </c>
      <c r="O27" s="420">
        <f>IFERROR(_xlfn.XLOOKUP(CONCATENATE($L27,O$5,$M$2),BASE_DATOS[Reporte NSK],BASE_DATOS[NSK],,0),"")</f>
        <v>14</v>
      </c>
      <c r="P27" s="444">
        <f>IFERROR(_xlfn.XLOOKUP(CONCATENATE($L27,P$5,$M$2),BASE_DATOS[Reporte NSK],BASE_DATOS[NSK],,0),"")</f>
        <v>19</v>
      </c>
      <c r="Q27" s="420">
        <f>IFERROR(_xlfn.XLOOKUP(CONCATENATE($L27,Q$5,$M$2),BASE_DATOS[Reporte NSK],BASE_DATOS[NSK],,0),"")</f>
        <v>19</v>
      </c>
      <c r="R27" s="420">
        <f>IFERROR(_xlfn.XLOOKUP(CONCATENATE($L27,R$5,$M$2),BASE_DATOS[Reporte NSK],BASE_DATOS[NSK],,0),"")</f>
        <v>20</v>
      </c>
      <c r="S27" s="420">
        <f>IFERROR(_xlfn.XLOOKUP(CONCATENATE($L27,S$5,$M$2),BASE_DATOS[Reporte NSK],BASE_DATOS[NSK],,0),"")</f>
        <v>20</v>
      </c>
      <c r="T27" s="420">
        <f>IFERROR(_xlfn.XLOOKUP(CONCATENATE($L27,T$5,$M$2),BASE_DATOS[Reporte NSK],BASE_DATOS[NSK],,0),"")</f>
        <v>16</v>
      </c>
      <c r="U27" s="420">
        <f>IFERROR(_xlfn.XLOOKUP(CONCATENATE($L27,U$5,$M$2),BASE_DATOS[Reporte NSK],BASE_DATOS[NSK],,0),"")</f>
        <v>16</v>
      </c>
      <c r="V27" s="420">
        <f>IFERROR(_xlfn.XLOOKUP(CONCATENATE($L27,V$5,$M$2),BASE_DATOS[Reporte NSK],BASE_DATOS[NSK],,0),"")</f>
        <v>17</v>
      </c>
      <c r="W27" s="435">
        <f>IFERROR(_xlfn.XLOOKUP(CONCATENATE($L27,W$5,$M$2),BASE_DATOS[Reporte NSK],BASE_DATOS[NSK],,0),"")</f>
        <v>17</v>
      </c>
      <c r="X27" s="418">
        <f t="shared" si="1"/>
        <v>10</v>
      </c>
    </row>
    <row r="28" spans="12:24" x14ac:dyDescent="0.2">
      <c r="L28" s="412" t="s">
        <v>203</v>
      </c>
      <c r="M28" s="415" t="s">
        <v>204</v>
      </c>
      <c r="N28" s="419">
        <f>IFERROR(_xlfn.XLOOKUP(CONCATENATE($L28,N$5,$M$2),BASE_DATOS[Reporte NSK],BASE_DATOS[NSK],,0),"")</f>
        <v>16</v>
      </c>
      <c r="O28" s="420">
        <f>IFERROR(_xlfn.XLOOKUP(CONCATENATE($L28,O$5,$M$2),BASE_DATOS[Reporte NSK],BASE_DATOS[NSK],,0),"")</f>
        <v>15</v>
      </c>
      <c r="P28" s="444">
        <f>IFERROR(_xlfn.XLOOKUP(CONCATENATE($L28,P$5,$M$2),BASE_DATOS[Reporte NSK],BASE_DATOS[NSK],,0),"")</f>
        <v>12</v>
      </c>
      <c r="Q28" s="420">
        <f>IFERROR(_xlfn.XLOOKUP(CONCATENATE($L28,Q$5,$M$2),BASE_DATOS[Reporte NSK],BASE_DATOS[NSK],,0),"")</f>
        <v>12</v>
      </c>
      <c r="R28" s="420">
        <f>IFERROR(_xlfn.XLOOKUP(CONCATENATE($L28,R$5,$M$2),BASE_DATOS[Reporte NSK],BASE_DATOS[NSK],,0),"")</f>
        <v>12</v>
      </c>
      <c r="S28" s="420">
        <f>IFERROR(_xlfn.XLOOKUP(CONCATENATE($L28,S$5,$M$2),BASE_DATOS[Reporte NSK],BASE_DATOS[NSK],,0),"")</f>
        <v>12</v>
      </c>
      <c r="T28" s="420">
        <f>IFERROR(_xlfn.XLOOKUP(CONCATENATE($L28,T$5,$M$2),BASE_DATOS[Reporte NSK],BASE_DATOS[NSK],,0),"")</f>
        <v>10</v>
      </c>
      <c r="U28" s="420">
        <f>IFERROR(_xlfn.XLOOKUP(CONCATENATE($L28,U$5,$M$2),BASE_DATOS[Reporte NSK],BASE_DATOS[NSK],,0),"")</f>
        <v>10</v>
      </c>
      <c r="V28" s="420">
        <f>IFERROR(_xlfn.XLOOKUP(CONCATENATE($L28,V$5,$M$2),BASE_DATOS[Reporte NSK],BASE_DATOS[NSK],,0),"")</f>
        <v>10</v>
      </c>
      <c r="W28" s="435">
        <f>IFERROR(_xlfn.XLOOKUP(CONCATENATE($L28,W$5,$M$2),BASE_DATOS[Reporte NSK],BASE_DATOS[NSK],,0),"")</f>
        <v>10</v>
      </c>
      <c r="X28" s="418">
        <f t="shared" si="1"/>
        <v>10</v>
      </c>
    </row>
    <row r="29" spans="12:24" x14ac:dyDescent="0.2">
      <c r="L29" s="412" t="s">
        <v>207</v>
      </c>
      <c r="M29" s="415" t="s">
        <v>208</v>
      </c>
      <c r="N29" s="419">
        <f>IFERROR(_xlfn.XLOOKUP(CONCATENATE($L29,N$5,$M$2),BASE_DATOS[Reporte NSK],BASE_DATOS[NSK],,0),"")</f>
        <v>9</v>
      </c>
      <c r="O29" s="420">
        <f>IFERROR(_xlfn.XLOOKUP(CONCATENATE($L29,O$5,$M$2),BASE_DATOS[Reporte NSK],BASE_DATOS[NSK],,0),"")</f>
        <v>11</v>
      </c>
      <c r="P29" s="444">
        <f>IFERROR(_xlfn.XLOOKUP(CONCATENATE($L29,P$5,$M$2),BASE_DATOS[Reporte NSK],BASE_DATOS[NSK],,0),"")</f>
        <v>19</v>
      </c>
      <c r="Q29" s="420">
        <f>IFERROR(_xlfn.XLOOKUP(CONCATENATE($L29,Q$5,$M$2),BASE_DATOS[Reporte NSK],BASE_DATOS[NSK],,0),"")</f>
        <v>19</v>
      </c>
      <c r="R29" s="420">
        <f>IFERROR(_xlfn.XLOOKUP(CONCATENATE($L29,R$5,$M$2),BASE_DATOS[Reporte NSK],BASE_DATOS[NSK],,0),"")</f>
        <v>19</v>
      </c>
      <c r="S29" s="420">
        <f>IFERROR(_xlfn.XLOOKUP(CONCATENATE($L29,S$5,$M$2),BASE_DATOS[Reporte NSK],BASE_DATOS[NSK],,0),"")</f>
        <v>19</v>
      </c>
      <c r="T29" s="420">
        <f>IFERROR(_xlfn.XLOOKUP(CONCATENATE($L29,T$5,$M$2),BASE_DATOS[Reporte NSK],BASE_DATOS[NSK],,0),"")</f>
        <v>17</v>
      </c>
      <c r="U29" s="420">
        <f>IFERROR(_xlfn.XLOOKUP(CONCATENATE($L29,U$5,$M$2),BASE_DATOS[Reporte NSK],BASE_DATOS[NSK],,0),"")</f>
        <v>17</v>
      </c>
      <c r="V29" s="420">
        <f>IFERROR(_xlfn.XLOOKUP(CONCATENATE($L29,V$5,$M$2),BASE_DATOS[Reporte NSK],BASE_DATOS[NSK],,0),"")</f>
        <v>17</v>
      </c>
      <c r="W29" s="435">
        <f>IFERROR(_xlfn.XLOOKUP(CONCATENATE($L29,W$5,$M$2),BASE_DATOS[Reporte NSK],BASE_DATOS[NSK],,0),"")</f>
        <v>17</v>
      </c>
      <c r="X29" s="418">
        <f t="shared" si="1"/>
        <v>10</v>
      </c>
    </row>
    <row r="30" spans="12:24" x14ac:dyDescent="0.2">
      <c r="L30" s="412" t="s">
        <v>211</v>
      </c>
      <c r="M30" s="415" t="s">
        <v>212</v>
      </c>
      <c r="N30" s="419">
        <f>IFERROR(_xlfn.XLOOKUP(CONCATENATE($L30,N$5,$M$2),BASE_DATOS[Reporte NSK],BASE_DATOS[NSK],,0),"")</f>
        <v>14</v>
      </c>
      <c r="O30" s="420">
        <f>IFERROR(_xlfn.XLOOKUP(CONCATENATE($L30,O$5,$M$2),BASE_DATOS[Reporte NSK],BASE_DATOS[NSK],,0),"")</f>
        <v>15</v>
      </c>
      <c r="P30" s="444">
        <f>IFERROR(_xlfn.XLOOKUP(CONCATENATE($L30,P$5,$M$2),BASE_DATOS[Reporte NSK],BASE_DATOS[NSK],,0),"")</f>
        <v>20</v>
      </c>
      <c r="Q30" s="420">
        <f>IFERROR(_xlfn.XLOOKUP(CONCATENATE($L30,Q$5,$M$2),BASE_DATOS[Reporte NSK],BASE_DATOS[NSK],,0),"")</f>
        <v>20</v>
      </c>
      <c r="R30" s="420">
        <f>IFERROR(_xlfn.XLOOKUP(CONCATENATE($L30,R$5,$M$2),BASE_DATOS[Reporte NSK],BASE_DATOS[NSK],,0),"")</f>
        <v>20</v>
      </c>
      <c r="S30" s="420">
        <f>IFERROR(_xlfn.XLOOKUP(CONCATENATE($L30,S$5,$M$2),BASE_DATOS[Reporte NSK],BASE_DATOS[NSK],,0),"")</f>
        <v>20</v>
      </c>
      <c r="T30" s="420">
        <f>IFERROR(_xlfn.XLOOKUP(CONCATENATE($L30,T$5,$M$2),BASE_DATOS[Reporte NSK],BASE_DATOS[NSK],,0),"")</f>
        <v>19</v>
      </c>
      <c r="U30" s="420">
        <f>IFERROR(_xlfn.XLOOKUP(CONCATENATE($L30,U$5,$M$2),BASE_DATOS[Reporte NSK],BASE_DATOS[NSK],,0),"")</f>
        <v>19</v>
      </c>
      <c r="V30" s="420">
        <f>IFERROR(_xlfn.XLOOKUP(CONCATENATE($L30,V$5,$M$2),BASE_DATOS[Reporte NSK],BASE_DATOS[NSK],,0),"")</f>
        <v>19</v>
      </c>
      <c r="W30" s="435">
        <f>IFERROR(_xlfn.XLOOKUP(CONCATENATE($L30,W$5,$M$2),BASE_DATOS[Reporte NSK],BASE_DATOS[NSK],,0),"")</f>
        <v>19</v>
      </c>
      <c r="X30" s="418">
        <f t="shared" si="1"/>
        <v>10</v>
      </c>
    </row>
    <row r="31" spans="12:24" x14ac:dyDescent="0.2">
      <c r="L31" s="412" t="s">
        <v>215</v>
      </c>
      <c r="M31" s="415" t="s">
        <v>216</v>
      </c>
      <c r="N31" s="419">
        <f>IFERROR(_xlfn.XLOOKUP(CONCATENATE($L31,N$5,$M$2),BASE_DATOS[Reporte NSK],BASE_DATOS[NSK],,0),"")</f>
        <v>5</v>
      </c>
      <c r="O31" s="420">
        <f>IFERROR(_xlfn.XLOOKUP(CONCATENATE($L31,O$5,$M$2),BASE_DATOS[Reporte NSK],BASE_DATOS[NSK],,0),"")</f>
        <v>9</v>
      </c>
      <c r="P31" s="444">
        <f>IFERROR(_xlfn.XLOOKUP(CONCATENATE($L31,P$5,$M$2),BASE_DATOS[Reporte NSK],BASE_DATOS[NSK],,0),"")</f>
        <v>19</v>
      </c>
      <c r="Q31" s="420">
        <f>IFERROR(_xlfn.XLOOKUP(CONCATENATE($L31,Q$5,$M$2),BASE_DATOS[Reporte NSK],BASE_DATOS[NSK],,0),"")</f>
        <v>19</v>
      </c>
      <c r="R31" s="420">
        <f>IFERROR(_xlfn.XLOOKUP(CONCATENATE($L31,R$5,$M$2),BASE_DATOS[Reporte NSK],BASE_DATOS[NSK],,0),"")</f>
        <v>20</v>
      </c>
      <c r="S31" s="420">
        <f>IFERROR(_xlfn.XLOOKUP(CONCATENATE($L31,S$5,$M$2),BASE_DATOS[Reporte NSK],BASE_DATOS[NSK],,0),"")</f>
        <v>20</v>
      </c>
      <c r="T31" s="420">
        <f>IFERROR(_xlfn.XLOOKUP(CONCATENATE($L31,T$5,$M$2),BASE_DATOS[Reporte NSK],BASE_DATOS[NSK],,0),"")</f>
        <v>14</v>
      </c>
      <c r="U31" s="420">
        <f>IFERROR(_xlfn.XLOOKUP(CONCATENATE($L31,U$5,$M$2),BASE_DATOS[Reporte NSK],BASE_DATOS[NSK],,0),"")</f>
        <v>14</v>
      </c>
      <c r="V31" s="420">
        <f>IFERROR(_xlfn.XLOOKUP(CONCATENATE($L31,V$5,$M$2),BASE_DATOS[Reporte NSK],BASE_DATOS[NSK],,0),"")</f>
        <v>14</v>
      </c>
      <c r="W31" s="435">
        <f>IFERROR(_xlfn.XLOOKUP(CONCATENATE($L31,W$5,$M$2),BASE_DATOS[Reporte NSK],BASE_DATOS[NSK],,0),"")</f>
        <v>14</v>
      </c>
      <c r="X31" s="418">
        <f t="shared" si="1"/>
        <v>10</v>
      </c>
    </row>
    <row r="32" spans="12:24" x14ac:dyDescent="0.2">
      <c r="L32" s="412" t="s">
        <v>219</v>
      </c>
      <c r="M32" s="415" t="s">
        <v>220</v>
      </c>
      <c r="N32" s="419">
        <f>IFERROR(_xlfn.XLOOKUP(CONCATENATE($L32,N$5,$M$2),BASE_DATOS[Reporte NSK],BASE_DATOS[NSK],,0),"")</f>
        <v>14</v>
      </c>
      <c r="O32" s="420">
        <f>IFERROR(_xlfn.XLOOKUP(CONCATENATE($L32,O$5,$M$2),BASE_DATOS[Reporte NSK],BASE_DATOS[NSK],,0),"")</f>
        <v>14</v>
      </c>
      <c r="P32" s="444">
        <f>IFERROR(_xlfn.XLOOKUP(CONCATENATE($L32,P$5,$M$2),BASE_DATOS[Reporte NSK],BASE_DATOS[NSK],,0),"")</f>
        <v>19</v>
      </c>
      <c r="Q32" s="420">
        <f>IFERROR(_xlfn.XLOOKUP(CONCATENATE($L32,Q$5,$M$2),BASE_DATOS[Reporte NSK],BASE_DATOS[NSK],,0),"")</f>
        <v>19</v>
      </c>
      <c r="R32" s="420">
        <f>IFERROR(_xlfn.XLOOKUP(CONCATENATE($L32,R$5,$M$2),BASE_DATOS[Reporte NSK],BASE_DATOS[NSK],,0),"")</f>
        <v>19</v>
      </c>
      <c r="S32" s="420">
        <f>IFERROR(_xlfn.XLOOKUP(CONCATENATE($L32,S$5,$M$2),BASE_DATOS[Reporte NSK],BASE_DATOS[NSK],,0),"")</f>
        <v>19</v>
      </c>
      <c r="T32" s="420">
        <f>IFERROR(_xlfn.XLOOKUP(CONCATENATE($L32,T$5,$M$2),BASE_DATOS[Reporte NSK],BASE_DATOS[NSK],,0),"")</f>
        <v>18</v>
      </c>
      <c r="U32" s="420">
        <f>IFERROR(_xlfn.XLOOKUP(CONCATENATE($L32,U$5,$M$2),BASE_DATOS[Reporte NSK],BASE_DATOS[NSK],,0),"")</f>
        <v>18</v>
      </c>
      <c r="V32" s="420">
        <f>IFERROR(_xlfn.XLOOKUP(CONCATENATE($L32,V$5,$M$2),BASE_DATOS[Reporte NSK],BASE_DATOS[NSK],,0),"")</f>
        <v>18</v>
      </c>
      <c r="W32" s="435">
        <f>IFERROR(_xlfn.XLOOKUP(CONCATENATE($L32,W$5,$M$2),BASE_DATOS[Reporte NSK],BASE_DATOS[NSK],,0),"")</f>
        <v>18</v>
      </c>
      <c r="X32" s="418">
        <f t="shared" si="1"/>
        <v>10</v>
      </c>
    </row>
    <row r="33" spans="12:24" x14ac:dyDescent="0.2">
      <c r="L33" s="412" t="s">
        <v>223</v>
      </c>
      <c r="M33" s="415" t="s">
        <v>224</v>
      </c>
      <c r="N33" s="419">
        <f>IFERROR(_xlfn.XLOOKUP(CONCATENATE($L33,N$5,$M$2),BASE_DATOS[Reporte NSK],BASE_DATOS[NSK],,0),"")</f>
        <v>8</v>
      </c>
      <c r="O33" s="420">
        <f>IFERROR(_xlfn.XLOOKUP(CONCATENATE($L33,O$5,$M$2),BASE_DATOS[Reporte NSK],BASE_DATOS[NSK],,0),"")</f>
        <v>11</v>
      </c>
      <c r="P33" s="444">
        <f>IFERROR(_xlfn.XLOOKUP(CONCATENATE($L33,P$5,$M$2),BASE_DATOS[Reporte NSK],BASE_DATOS[NSK],,0),"")</f>
        <v>10</v>
      </c>
      <c r="Q33" s="420">
        <f>IFERROR(_xlfn.XLOOKUP(CONCATENATE($L33,Q$5,$M$2),BASE_DATOS[Reporte NSK],BASE_DATOS[NSK],,0),"")</f>
        <v>10</v>
      </c>
      <c r="R33" s="420">
        <f>IFERROR(_xlfn.XLOOKUP(CONCATENATE($L33,R$5,$M$2),BASE_DATOS[Reporte NSK],BASE_DATOS[NSK],,0),"")</f>
        <v>8</v>
      </c>
      <c r="S33" s="420">
        <f>IFERROR(_xlfn.XLOOKUP(CONCATENATE($L33,S$5,$M$2),BASE_DATOS[Reporte NSK],BASE_DATOS[NSK],,0),"")</f>
        <v>10</v>
      </c>
      <c r="T33" s="420">
        <f>IFERROR(_xlfn.XLOOKUP(CONCATENATE($L33,T$5,$M$2),BASE_DATOS[Reporte NSK],BASE_DATOS[NSK],,0),"")</f>
        <v>17</v>
      </c>
      <c r="U33" s="420">
        <f>IFERROR(_xlfn.XLOOKUP(CONCATENATE($L33,U$5,$M$2),BASE_DATOS[Reporte NSK],BASE_DATOS[NSK],,0),"")</f>
        <v>17</v>
      </c>
      <c r="V33" s="420">
        <f>IFERROR(_xlfn.XLOOKUP(CONCATENATE($L33,V$5,$M$2),BASE_DATOS[Reporte NSK],BASE_DATOS[NSK],,0),"")</f>
        <v>17</v>
      </c>
      <c r="W33" s="435">
        <f>IFERROR(_xlfn.XLOOKUP(CONCATENATE($L33,W$5,$M$2),BASE_DATOS[Reporte NSK],BASE_DATOS[NSK],,0),"")</f>
        <v>17</v>
      </c>
      <c r="X33" s="418">
        <f t="shared" si="1"/>
        <v>10</v>
      </c>
    </row>
    <row r="34" spans="12:24" x14ac:dyDescent="0.2">
      <c r="L34" s="412" t="s">
        <v>227</v>
      </c>
      <c r="M34" s="415" t="s">
        <v>228</v>
      </c>
      <c r="N34" s="419">
        <f>IFERROR(_xlfn.XLOOKUP(CONCATENATE($L34,N$5,$M$2),BASE_DATOS[Reporte NSK],BASE_DATOS[NSK],,0),"")</f>
        <v>8</v>
      </c>
      <c r="O34" s="420">
        <f>IFERROR(_xlfn.XLOOKUP(CONCATENATE($L34,O$5,$M$2),BASE_DATOS[Reporte NSK],BASE_DATOS[NSK],,0),"")</f>
        <v>9</v>
      </c>
      <c r="P34" s="444">
        <f>IFERROR(_xlfn.XLOOKUP(CONCATENATE($L34,P$5,$M$2),BASE_DATOS[Reporte NSK],BASE_DATOS[NSK],,0),"")</f>
        <v>14</v>
      </c>
      <c r="Q34" s="420">
        <f>IFERROR(_xlfn.XLOOKUP(CONCATENATE($L34,Q$5,$M$2),BASE_DATOS[Reporte NSK],BASE_DATOS[NSK],,0),"")</f>
        <v>14</v>
      </c>
      <c r="R34" s="420">
        <f>IFERROR(_xlfn.XLOOKUP(CONCATENATE($L34,R$5,$M$2),BASE_DATOS[Reporte NSK],BASE_DATOS[NSK],,0),"")</f>
        <v>13</v>
      </c>
      <c r="S34" s="420">
        <f>IFERROR(_xlfn.XLOOKUP(CONCATENATE($L34,S$5,$M$2),BASE_DATOS[Reporte NSK],BASE_DATOS[NSK],,0),"")</f>
        <v>13</v>
      </c>
      <c r="T34" s="420">
        <f>IFERROR(_xlfn.XLOOKUP(CONCATENATE($L34,T$5,$M$2),BASE_DATOS[Reporte NSK],BASE_DATOS[NSK],,0),"")</f>
        <v>19</v>
      </c>
      <c r="U34" s="420">
        <f>IFERROR(_xlfn.XLOOKUP(CONCATENATE($L34,U$5,$M$2),BASE_DATOS[Reporte NSK],BASE_DATOS[NSK],,0),"")</f>
        <v>19</v>
      </c>
      <c r="V34" s="420">
        <f>IFERROR(_xlfn.XLOOKUP(CONCATENATE($L34,V$5,$M$2),BASE_DATOS[Reporte NSK],BASE_DATOS[NSK],,0),"")</f>
        <v>19</v>
      </c>
      <c r="W34" s="435">
        <f>IFERROR(_xlfn.XLOOKUP(CONCATENATE($L34,W$5,$M$2),BASE_DATOS[Reporte NSK],BASE_DATOS[NSK],,0),"")</f>
        <v>19</v>
      </c>
      <c r="X34" s="418">
        <f t="shared" si="1"/>
        <v>10</v>
      </c>
    </row>
    <row r="35" spans="12:24" x14ac:dyDescent="0.2">
      <c r="L35" s="412" t="s">
        <v>231</v>
      </c>
      <c r="M35" s="415" t="s">
        <v>232</v>
      </c>
      <c r="N35" s="419">
        <f>IFERROR(_xlfn.XLOOKUP(CONCATENATE($L35,N$5,$M$2),BASE_DATOS[Reporte NSK],BASE_DATOS[NSK],,0),"")</f>
        <v>9</v>
      </c>
      <c r="O35" s="420">
        <f>IFERROR(_xlfn.XLOOKUP(CONCATENATE($L35,O$5,$M$2),BASE_DATOS[Reporte NSK],BASE_DATOS[NSK],,0),"")</f>
        <v>10</v>
      </c>
      <c r="P35" s="444">
        <f>IFERROR(_xlfn.XLOOKUP(CONCATENATE($L35,P$5,$M$2),BASE_DATOS[Reporte NSK],BASE_DATOS[NSK],,0),"")</f>
        <v>19</v>
      </c>
      <c r="Q35" s="420">
        <f>IFERROR(_xlfn.XLOOKUP(CONCATENATE($L35,Q$5,$M$2),BASE_DATOS[Reporte NSK],BASE_DATOS[NSK],,0),"")</f>
        <v>19</v>
      </c>
      <c r="R35" s="420">
        <f>IFERROR(_xlfn.XLOOKUP(CONCATENATE($L35,R$5,$M$2),BASE_DATOS[Reporte NSK],BASE_DATOS[NSK],,0),"")</f>
        <v>19</v>
      </c>
      <c r="S35" s="420">
        <f>IFERROR(_xlfn.XLOOKUP(CONCATENATE($L35,S$5,$M$2),BASE_DATOS[Reporte NSK],BASE_DATOS[NSK],,0),"")</f>
        <v>19</v>
      </c>
      <c r="T35" s="420">
        <f>IFERROR(_xlfn.XLOOKUP(CONCATENATE($L35,T$5,$M$2),BASE_DATOS[Reporte NSK],BASE_DATOS[NSK],,0),"")</f>
        <v>18</v>
      </c>
      <c r="U35" s="420">
        <f>IFERROR(_xlfn.XLOOKUP(CONCATENATE($L35,U$5,$M$2),BASE_DATOS[Reporte NSK],BASE_DATOS[NSK],,0),"")</f>
        <v>18</v>
      </c>
      <c r="V35" s="420">
        <f>IFERROR(_xlfn.XLOOKUP(CONCATENATE($L35,V$5,$M$2),BASE_DATOS[Reporte NSK],BASE_DATOS[NSK],,0),"")</f>
        <v>18</v>
      </c>
      <c r="W35" s="435">
        <f>IFERROR(_xlfn.XLOOKUP(CONCATENATE($L35,W$5,$M$2),BASE_DATOS[Reporte NSK],BASE_DATOS[NSK],,0),"")</f>
        <v>18</v>
      </c>
      <c r="X35" s="418">
        <f t="shared" si="1"/>
        <v>10</v>
      </c>
    </row>
    <row r="36" spans="12:24" x14ac:dyDescent="0.2">
      <c r="L36" s="412" t="s">
        <v>234</v>
      </c>
      <c r="M36" s="415" t="s">
        <v>235</v>
      </c>
      <c r="N36" s="419">
        <f>IFERROR(_xlfn.XLOOKUP(CONCATENATE($L36,N$5,$M$2),BASE_DATOS[Reporte NSK],BASE_DATOS[NSK],,0),"")</f>
        <v>13</v>
      </c>
      <c r="O36" s="420">
        <f>IFERROR(_xlfn.XLOOKUP(CONCATENATE($L36,O$5,$M$2),BASE_DATOS[Reporte NSK],BASE_DATOS[NSK],,0),"")</f>
        <v>13</v>
      </c>
      <c r="P36" s="444">
        <f>IFERROR(_xlfn.XLOOKUP(CONCATENATE($L36,P$5,$M$2),BASE_DATOS[Reporte NSK],BASE_DATOS[NSK],,0),"")</f>
        <v>20</v>
      </c>
      <c r="Q36" s="420">
        <f>IFERROR(_xlfn.XLOOKUP(CONCATENATE($L36,Q$5,$M$2),BASE_DATOS[Reporte NSK],BASE_DATOS[NSK],,0),"")</f>
        <v>20</v>
      </c>
      <c r="R36" s="420">
        <f>IFERROR(_xlfn.XLOOKUP(CONCATENATE($L36,R$5,$M$2),BASE_DATOS[Reporte NSK],BASE_DATOS[NSK],,0),"")</f>
        <v>20</v>
      </c>
      <c r="S36" s="420">
        <f>IFERROR(_xlfn.XLOOKUP(CONCATENATE($L36,S$5,$M$2),BASE_DATOS[Reporte NSK],BASE_DATOS[NSK],,0),"")</f>
        <v>20</v>
      </c>
      <c r="T36" s="420">
        <f>IFERROR(_xlfn.XLOOKUP(CONCATENATE($L36,T$5,$M$2),BASE_DATOS[Reporte NSK],BASE_DATOS[NSK],,0),"")</f>
        <v>19</v>
      </c>
      <c r="U36" s="420">
        <f>IFERROR(_xlfn.XLOOKUP(CONCATENATE($L36,U$5,$M$2),BASE_DATOS[Reporte NSK],BASE_DATOS[NSK],,0),"")</f>
        <v>19</v>
      </c>
      <c r="V36" s="420">
        <f>IFERROR(_xlfn.XLOOKUP(CONCATENATE($L36,V$5,$M$2),BASE_DATOS[Reporte NSK],BASE_DATOS[NSK],,0),"")</f>
        <v>19</v>
      </c>
      <c r="W36" s="435">
        <f>IFERROR(_xlfn.XLOOKUP(CONCATENATE($L36,W$5,$M$2),BASE_DATOS[Reporte NSK],BASE_DATOS[NSK],,0),"")</f>
        <v>19</v>
      </c>
      <c r="X36" s="418">
        <f t="shared" si="1"/>
        <v>10</v>
      </c>
    </row>
    <row r="37" spans="12:24" x14ac:dyDescent="0.2">
      <c r="L37" s="412" t="s">
        <v>468</v>
      </c>
      <c r="M37" s="415" t="s">
        <v>467</v>
      </c>
      <c r="N37" s="419">
        <f>IFERROR(_xlfn.XLOOKUP(CONCATENATE($L37,N$5,$M$2),BASE_DATOS[Reporte NSK],BASE_DATOS[NSK],,0),"")</f>
        <v>4</v>
      </c>
      <c r="O37" s="420">
        <f>IFERROR(_xlfn.XLOOKUP(CONCATENATE($L37,O$5,$M$2),BASE_DATOS[Reporte NSK],BASE_DATOS[NSK],,0),"")</f>
        <v>8</v>
      </c>
      <c r="P37" s="444">
        <f>IFERROR(_xlfn.XLOOKUP(CONCATENATE($L37,P$5,$M$2),BASE_DATOS[Reporte NSK],BASE_DATOS[NSK],,0),"")</f>
        <v>11</v>
      </c>
      <c r="Q37" s="420">
        <f>IFERROR(_xlfn.XLOOKUP(CONCATENATE($L37,Q$5,$M$2),BASE_DATOS[Reporte NSK],BASE_DATOS[NSK],,0),"")</f>
        <v>11</v>
      </c>
      <c r="R37" s="420">
        <f>IFERROR(_xlfn.XLOOKUP(CONCATENATE($L37,R$5,$M$2),BASE_DATOS[Reporte NSK],BASE_DATOS[NSK],,0),"")</f>
        <v>9</v>
      </c>
      <c r="S37" s="420">
        <f>IFERROR(_xlfn.XLOOKUP(CONCATENATE($L37,S$5,$M$2),BASE_DATOS[Reporte NSK],BASE_DATOS[NSK],,0),"")</f>
        <v>9</v>
      </c>
      <c r="T37" s="420">
        <f>IFERROR(_xlfn.XLOOKUP(CONCATENATE($L37,T$5,$M$2),BASE_DATOS[Reporte NSK],BASE_DATOS[NSK],,0),"")</f>
        <v>13</v>
      </c>
      <c r="U37" s="420">
        <f>IFERROR(_xlfn.XLOOKUP(CONCATENATE($L37,U$5,$M$2),BASE_DATOS[Reporte NSK],BASE_DATOS[NSK],,0),"")</f>
        <v>13</v>
      </c>
      <c r="V37" s="420">
        <f>IFERROR(_xlfn.XLOOKUP(CONCATENATE($L37,V$5,$M$2),BASE_DATOS[Reporte NSK],BASE_DATOS[NSK],,0),"")</f>
        <v>10</v>
      </c>
      <c r="W37" s="435">
        <f>IFERROR(_xlfn.XLOOKUP(CONCATENATE($L37,W$5,$M$2),BASE_DATOS[Reporte NSK],BASE_DATOS[NSK],,0),"")</f>
        <v>9</v>
      </c>
      <c r="X37" s="418">
        <f t="shared" si="1"/>
        <v>10</v>
      </c>
    </row>
    <row r="38" spans="12:24" x14ac:dyDescent="0.2">
      <c r="L38" s="412" t="s">
        <v>237</v>
      </c>
      <c r="M38" s="415" t="s">
        <v>238</v>
      </c>
      <c r="N38" s="419">
        <f>IFERROR(_xlfn.XLOOKUP(CONCATENATE($L38,N$5,$M$2),BASE_DATOS[Reporte NSK],BASE_DATOS[NSK],,0),"")</f>
        <v>15</v>
      </c>
      <c r="O38" s="420">
        <f>IFERROR(_xlfn.XLOOKUP(CONCATENATE($L38,O$5,$M$2),BASE_DATOS[Reporte NSK],BASE_DATOS[NSK],,0),"")</f>
        <v>15</v>
      </c>
      <c r="P38" s="444">
        <f>IFERROR(_xlfn.XLOOKUP(CONCATENATE($L38,P$5,$M$2),BASE_DATOS[Reporte NSK],BASE_DATOS[NSK],,0),"")</f>
        <v>9</v>
      </c>
      <c r="Q38" s="420">
        <f>IFERROR(_xlfn.XLOOKUP(CONCATENATE($L38,Q$5,$M$2),BASE_DATOS[Reporte NSK],BASE_DATOS[NSK],,0),"")</f>
        <v>9</v>
      </c>
      <c r="R38" s="420">
        <f>IFERROR(_xlfn.XLOOKUP(CONCATENATE($L38,R$5,$M$2),BASE_DATOS[Reporte NSK],BASE_DATOS[NSK],,0),"")</f>
        <v>9</v>
      </c>
      <c r="S38" s="420">
        <f>IFERROR(_xlfn.XLOOKUP(CONCATENATE($L38,S$5,$M$2),BASE_DATOS[Reporte NSK],BASE_DATOS[NSK],,0),"")</f>
        <v>9</v>
      </c>
      <c r="T38" s="420">
        <f>IFERROR(_xlfn.XLOOKUP(CONCATENATE($L38,T$5,$M$2),BASE_DATOS[Reporte NSK],BASE_DATOS[NSK],,0),"")</f>
        <v>17</v>
      </c>
      <c r="U38" s="420">
        <f>IFERROR(_xlfn.XLOOKUP(CONCATENATE($L38,U$5,$M$2),BASE_DATOS[Reporte NSK],BASE_DATOS[NSK],,0),"")</f>
        <v>17</v>
      </c>
      <c r="V38" s="420">
        <f>IFERROR(_xlfn.XLOOKUP(CONCATENATE($L38,V$5,$M$2),BASE_DATOS[Reporte NSK],BASE_DATOS[NSK],,0),"")</f>
        <v>16</v>
      </c>
      <c r="W38" s="435">
        <f>IFERROR(_xlfn.XLOOKUP(CONCATENATE($L38,W$5,$M$2),BASE_DATOS[Reporte NSK],BASE_DATOS[NSK],,0),"")</f>
        <v>16</v>
      </c>
      <c r="X38" s="418">
        <f t="shared" ref="X38:X69" si="2">IF(COUNT(N38:W38)&gt;0,COUNT(N38:W38),"")</f>
        <v>10</v>
      </c>
    </row>
    <row r="39" spans="12:24" x14ac:dyDescent="0.2">
      <c r="L39" s="412" t="s">
        <v>240</v>
      </c>
      <c r="M39" s="415" t="s">
        <v>241</v>
      </c>
      <c r="N39" s="419">
        <f>IFERROR(_xlfn.XLOOKUP(CONCATENATE($L39,N$5,$M$2),BASE_DATOS[Reporte NSK],BASE_DATOS[NSK],,0),"")</f>
        <v>13</v>
      </c>
      <c r="O39" s="420">
        <f>IFERROR(_xlfn.XLOOKUP(CONCATENATE($L39,O$5,$M$2),BASE_DATOS[Reporte NSK],BASE_DATOS[NSK],,0),"")</f>
        <v>12</v>
      </c>
      <c r="P39" s="444">
        <f>IFERROR(_xlfn.XLOOKUP(CONCATENATE($L39,P$5,$M$2),BASE_DATOS[Reporte NSK],BASE_DATOS[NSK],,0),"")</f>
        <v>8</v>
      </c>
      <c r="Q39" s="420">
        <f>IFERROR(_xlfn.XLOOKUP(CONCATENATE($L39,Q$5,$M$2),BASE_DATOS[Reporte NSK],BASE_DATOS[NSK],,0),"")</f>
        <v>6</v>
      </c>
      <c r="R39" s="420">
        <f>IFERROR(_xlfn.XLOOKUP(CONCATENATE($L39,R$5,$M$2),BASE_DATOS[Reporte NSK],BASE_DATOS[NSK],,0),"")</f>
        <v>6</v>
      </c>
      <c r="S39" s="420">
        <f>IFERROR(_xlfn.XLOOKUP(CONCATENATE($L39,S$5,$M$2),BASE_DATOS[Reporte NSK],BASE_DATOS[NSK],,0),"")</f>
        <v>8</v>
      </c>
      <c r="T39" s="420">
        <f>IFERROR(_xlfn.XLOOKUP(CONCATENATE($L39,T$5,$M$2),BASE_DATOS[Reporte NSK],BASE_DATOS[NSK],,0),"")</f>
        <v>9</v>
      </c>
      <c r="U39" s="420">
        <f>IFERROR(_xlfn.XLOOKUP(CONCATENATE($L39,U$5,$M$2),BASE_DATOS[Reporte NSK],BASE_DATOS[NSK],,0),"")</f>
        <v>9</v>
      </c>
      <c r="V39" s="420">
        <f>IFERROR(_xlfn.XLOOKUP(CONCATENATE($L39,V$5,$M$2),BASE_DATOS[Reporte NSK],BASE_DATOS[NSK],,0),"")</f>
        <v>9</v>
      </c>
      <c r="W39" s="435">
        <f>IFERROR(_xlfn.XLOOKUP(CONCATENATE($L39,W$5,$M$2),BASE_DATOS[Reporte NSK],BASE_DATOS[NSK],,0),"")</f>
        <v>9</v>
      </c>
      <c r="X39" s="418">
        <f t="shared" si="2"/>
        <v>10</v>
      </c>
    </row>
    <row r="40" spans="12:24" x14ac:dyDescent="0.2">
      <c r="L40" s="412" t="s">
        <v>245</v>
      </c>
      <c r="M40" s="415" t="s">
        <v>246</v>
      </c>
      <c r="N40" s="419">
        <f>IFERROR(_xlfn.XLOOKUP(CONCATENATE($L40,N$5,$M$2),BASE_DATOS[Reporte NSK],BASE_DATOS[NSK],,0),"")</f>
        <v>11</v>
      </c>
      <c r="O40" s="420">
        <f>IFERROR(_xlfn.XLOOKUP(CONCATENATE($L40,O$5,$M$2),BASE_DATOS[Reporte NSK],BASE_DATOS[NSK],,0),"")</f>
        <v>14</v>
      </c>
      <c r="P40" s="444">
        <f>IFERROR(_xlfn.XLOOKUP(CONCATENATE($L40,P$5,$M$2),BASE_DATOS[Reporte NSK],BASE_DATOS[NSK],,0),"")</f>
        <v>11</v>
      </c>
      <c r="Q40" s="420">
        <f>IFERROR(_xlfn.XLOOKUP(CONCATENATE($L40,Q$5,$M$2),BASE_DATOS[Reporte NSK],BASE_DATOS[NSK],,0),"")</f>
        <v>9</v>
      </c>
      <c r="R40" s="420">
        <f>IFERROR(_xlfn.XLOOKUP(CONCATENATE($L40,R$5,$M$2),BASE_DATOS[Reporte NSK],BASE_DATOS[NSK],,0),"")</f>
        <v>9</v>
      </c>
      <c r="S40" s="420">
        <f>IFERROR(_xlfn.XLOOKUP(CONCATENATE($L40,S$5,$M$2),BASE_DATOS[Reporte NSK],BASE_DATOS[NSK],,0),"")</f>
        <v>11</v>
      </c>
      <c r="T40" s="420">
        <f>IFERROR(_xlfn.XLOOKUP(CONCATENATE($L40,T$5,$M$2),BASE_DATOS[Reporte NSK],BASE_DATOS[NSK],,0),"")</f>
        <v>18</v>
      </c>
      <c r="U40" s="420">
        <f>IFERROR(_xlfn.XLOOKUP(CONCATENATE($L40,U$5,$M$2),BASE_DATOS[Reporte NSK],BASE_DATOS[NSK],,0),"")</f>
        <v>19</v>
      </c>
      <c r="V40" s="420">
        <f>IFERROR(_xlfn.XLOOKUP(CONCATENATE($L40,V$5,$M$2),BASE_DATOS[Reporte NSK],BASE_DATOS[NSK],,0),"")</f>
        <v>19</v>
      </c>
      <c r="W40" s="435">
        <f>IFERROR(_xlfn.XLOOKUP(CONCATENATE($L40,W$5,$M$2),BASE_DATOS[Reporte NSK],BASE_DATOS[NSK],,0),"")</f>
        <v>19</v>
      </c>
      <c r="X40" s="418">
        <f t="shared" si="2"/>
        <v>10</v>
      </c>
    </row>
    <row r="41" spans="12:24" x14ac:dyDescent="0.2">
      <c r="L41" s="412" t="s">
        <v>247</v>
      </c>
      <c r="M41" s="415" t="s">
        <v>248</v>
      </c>
      <c r="N41" s="419">
        <f>IFERROR(_xlfn.XLOOKUP(CONCATENATE($L41,N$5,$M$2),BASE_DATOS[Reporte NSK],BASE_DATOS[NSK],,0),"")</f>
        <v>3</v>
      </c>
      <c r="O41" s="420">
        <f>IFERROR(_xlfn.XLOOKUP(CONCATENATE($L41,O$5,$M$2),BASE_DATOS[Reporte NSK],BASE_DATOS[NSK],,0),"")</f>
        <v>7</v>
      </c>
      <c r="P41" s="444">
        <f>IFERROR(_xlfn.XLOOKUP(CONCATENATE($L41,P$5,$M$2),BASE_DATOS[Reporte NSK],BASE_DATOS[NSK],,0),"")</f>
        <v>6</v>
      </c>
      <c r="Q41" s="420">
        <f>IFERROR(_xlfn.XLOOKUP(CONCATENATE($L41,Q$5,$M$2),BASE_DATOS[Reporte NSK],BASE_DATOS[NSK],,0),"")</f>
        <v>6</v>
      </c>
      <c r="R41" s="420">
        <f>IFERROR(_xlfn.XLOOKUP(CONCATENATE($L41,R$5,$M$2),BASE_DATOS[Reporte NSK],BASE_DATOS[NSK],,0),"")</f>
        <v>3</v>
      </c>
      <c r="S41" s="420">
        <f>IFERROR(_xlfn.XLOOKUP(CONCATENATE($L41,S$5,$M$2),BASE_DATOS[Reporte NSK],BASE_DATOS[NSK],,0),"")</f>
        <v>5</v>
      </c>
      <c r="T41" s="420">
        <f>IFERROR(_xlfn.XLOOKUP(CONCATENATE($L41,T$5,$M$2),BASE_DATOS[Reporte NSK],BASE_DATOS[NSK],,0),"")</f>
        <v>7</v>
      </c>
      <c r="U41" s="420">
        <f>IFERROR(_xlfn.XLOOKUP(CONCATENATE($L41,U$5,$M$2),BASE_DATOS[Reporte NSK],BASE_DATOS[NSK],,0),"")</f>
        <v>7</v>
      </c>
      <c r="V41" s="420">
        <f>IFERROR(_xlfn.XLOOKUP(CONCATENATE($L41,V$5,$M$2),BASE_DATOS[Reporte NSK],BASE_DATOS[NSK],,0),"")</f>
        <v>7</v>
      </c>
      <c r="W41" s="435">
        <f>IFERROR(_xlfn.XLOOKUP(CONCATENATE($L41,W$5,$M$2),BASE_DATOS[Reporte NSK],BASE_DATOS[NSK],,0),"")</f>
        <v>7</v>
      </c>
      <c r="X41" s="418">
        <f t="shared" si="2"/>
        <v>10</v>
      </c>
    </row>
    <row r="42" spans="12:24" x14ac:dyDescent="0.2">
      <c r="L42" s="412" t="s">
        <v>249</v>
      </c>
      <c r="M42" s="415" t="s">
        <v>250</v>
      </c>
      <c r="N42" s="419">
        <f>IFERROR(_xlfn.XLOOKUP(CONCATENATE($L42,N$5,$M$2),BASE_DATOS[Reporte NSK],BASE_DATOS[NSK],,0),"")</f>
        <v>7</v>
      </c>
      <c r="O42" s="420">
        <f>IFERROR(_xlfn.XLOOKUP(CONCATENATE($L42,O$5,$M$2),BASE_DATOS[Reporte NSK],BASE_DATOS[NSK],,0),"")</f>
        <v>8</v>
      </c>
      <c r="P42" s="444">
        <f>IFERROR(_xlfn.XLOOKUP(CONCATENATE($L42,P$5,$M$2),BASE_DATOS[Reporte NSK],BASE_DATOS[NSK],,0),"")</f>
        <v>8</v>
      </c>
      <c r="Q42" s="420">
        <f>IFERROR(_xlfn.XLOOKUP(CONCATENATE($L42,Q$5,$M$2),BASE_DATOS[Reporte NSK],BASE_DATOS[NSK],,0),"")</f>
        <v>8</v>
      </c>
      <c r="R42" s="420">
        <f>IFERROR(_xlfn.XLOOKUP(CONCATENATE($L42,R$5,$M$2),BASE_DATOS[Reporte NSK],BASE_DATOS[NSK],,0),"")</f>
        <v>8</v>
      </c>
      <c r="S42" s="420">
        <f>IFERROR(_xlfn.XLOOKUP(CONCATENATE($L42,S$5,$M$2),BASE_DATOS[Reporte NSK],BASE_DATOS[NSK],,0),"")</f>
        <v>7</v>
      </c>
      <c r="T42" s="420">
        <f>IFERROR(_xlfn.XLOOKUP(CONCATENATE($L42,T$5,$M$2),BASE_DATOS[Reporte NSK],BASE_DATOS[NSK],,0),"")</f>
        <v>9</v>
      </c>
      <c r="U42" s="420">
        <f>IFERROR(_xlfn.XLOOKUP(CONCATENATE($L42,U$5,$M$2),BASE_DATOS[Reporte NSK],BASE_DATOS[NSK],,0),"")</f>
        <v>9</v>
      </c>
      <c r="V42" s="420">
        <f>IFERROR(_xlfn.XLOOKUP(CONCATENATE($L42,V$5,$M$2),BASE_DATOS[Reporte NSK],BASE_DATOS[NSK],,0),"")</f>
        <v>8</v>
      </c>
      <c r="W42" s="435">
        <f>IFERROR(_xlfn.XLOOKUP(CONCATENATE($L42,W$5,$M$2),BASE_DATOS[Reporte NSK],BASE_DATOS[NSK],,0),"")</f>
        <v>8</v>
      </c>
      <c r="X42" s="418">
        <f t="shared" si="2"/>
        <v>10</v>
      </c>
    </row>
    <row r="43" spans="12:24" x14ac:dyDescent="0.2">
      <c r="L43" s="412" t="s">
        <v>251</v>
      </c>
      <c r="M43" s="415" t="s">
        <v>252</v>
      </c>
      <c r="N43" s="419">
        <f>IFERROR(_xlfn.XLOOKUP(CONCATENATE($L43,N$5,$M$2),BASE_DATOS[Reporte NSK],BASE_DATOS[NSK],,0),"")</f>
        <v>5</v>
      </c>
      <c r="O43" s="420">
        <f>IFERROR(_xlfn.XLOOKUP(CONCATENATE($L43,O$5,$M$2),BASE_DATOS[Reporte NSK],BASE_DATOS[NSK],,0),"")</f>
        <v>8</v>
      </c>
      <c r="P43" s="444">
        <f>IFERROR(_xlfn.XLOOKUP(CONCATENATE($L43,P$5,$M$2),BASE_DATOS[Reporte NSK],BASE_DATOS[NSK],,0),"")</f>
        <v>9</v>
      </c>
      <c r="Q43" s="420">
        <f>IFERROR(_xlfn.XLOOKUP(CONCATENATE($L43,Q$5,$M$2),BASE_DATOS[Reporte NSK],BASE_DATOS[NSK],,0),"")</f>
        <v>9</v>
      </c>
      <c r="R43" s="420">
        <f>IFERROR(_xlfn.XLOOKUP(CONCATENATE($L43,R$5,$M$2),BASE_DATOS[Reporte NSK],BASE_DATOS[NSK],,0),"")</f>
        <v>8</v>
      </c>
      <c r="S43" s="420">
        <f>IFERROR(_xlfn.XLOOKUP(CONCATENATE($L43,S$5,$M$2),BASE_DATOS[Reporte NSK],BASE_DATOS[NSK],,0),"")</f>
        <v>8</v>
      </c>
      <c r="T43" s="420">
        <f>IFERROR(_xlfn.XLOOKUP(CONCATENATE($L43,T$5,$M$2),BASE_DATOS[Reporte NSK],BASE_DATOS[NSK],,0),"")</f>
        <v>7</v>
      </c>
      <c r="U43" s="420">
        <f>IFERROR(_xlfn.XLOOKUP(CONCATENATE($L43,U$5,$M$2),BASE_DATOS[Reporte NSK],BASE_DATOS[NSK],,0),"")</f>
        <v>7</v>
      </c>
      <c r="V43" s="420">
        <f>IFERROR(_xlfn.XLOOKUP(CONCATENATE($L43,V$5,$M$2),BASE_DATOS[Reporte NSK],BASE_DATOS[NSK],,0),"")</f>
        <v>6</v>
      </c>
      <c r="W43" s="435">
        <f>IFERROR(_xlfn.XLOOKUP(CONCATENATE($L43,W$5,$M$2),BASE_DATOS[Reporte NSK],BASE_DATOS[NSK],,0),"")</f>
        <v>6</v>
      </c>
      <c r="X43" s="418">
        <f t="shared" si="2"/>
        <v>10</v>
      </c>
    </row>
    <row r="44" spans="12:24" x14ac:dyDescent="0.2">
      <c r="L44" s="412" t="s">
        <v>421</v>
      </c>
      <c r="M44" s="415" t="s">
        <v>264</v>
      </c>
      <c r="N44" s="419">
        <f>IFERROR(_xlfn.XLOOKUP(CONCATENATE($L44,N$5,$M$2),BASE_DATOS[Reporte NSK],BASE_DATOS[NSK],,0),"")</f>
        <v>9</v>
      </c>
      <c r="O44" s="420">
        <f>IFERROR(_xlfn.XLOOKUP(CONCATENATE($L44,O$5,$M$2),BASE_DATOS[Reporte NSK],BASE_DATOS[NSK],,0),"")</f>
        <v>7</v>
      </c>
      <c r="P44" s="444">
        <f>IFERROR(_xlfn.XLOOKUP(CONCATENATE($L44,P$5,$M$2),BASE_DATOS[Reporte NSK],BASE_DATOS[NSK],,0),"")</f>
        <v>11</v>
      </c>
      <c r="Q44" s="420">
        <f>IFERROR(_xlfn.XLOOKUP(CONCATENATE($L44,Q$5,$M$2),BASE_DATOS[Reporte NSK],BASE_DATOS[NSK],,0),"")</f>
        <v>11</v>
      </c>
      <c r="R44" s="420">
        <f>IFERROR(_xlfn.XLOOKUP(CONCATENATE($L44,R$5,$M$2),BASE_DATOS[Reporte NSK],BASE_DATOS[NSK],,0),"")</f>
        <v>11</v>
      </c>
      <c r="S44" s="420">
        <f>IFERROR(_xlfn.XLOOKUP(CONCATENATE($L44,S$5,$M$2),BASE_DATOS[Reporte NSK],BASE_DATOS[NSK],,0),"")</f>
        <v>11</v>
      </c>
      <c r="T44" s="420">
        <f>IFERROR(_xlfn.XLOOKUP(CONCATENATE($L44,T$5,$M$2),BASE_DATOS[Reporte NSK],BASE_DATOS[NSK],,0),"")</f>
        <v>11</v>
      </c>
      <c r="U44" s="420">
        <f>IFERROR(_xlfn.XLOOKUP(CONCATENATE($L44,U$5,$M$2),BASE_DATOS[Reporte NSK],BASE_DATOS[NSK],,0),"")</f>
        <v>11</v>
      </c>
      <c r="V44" s="420">
        <f>IFERROR(_xlfn.XLOOKUP(CONCATENATE($L44,V$5,$M$2),BASE_DATOS[Reporte NSK],BASE_DATOS[NSK],,0),"")</f>
        <v>11</v>
      </c>
      <c r="W44" s="435">
        <f>IFERROR(_xlfn.XLOOKUP(CONCATENATE($L44,W$5,$M$2),BASE_DATOS[Reporte NSK],BASE_DATOS[NSK],,0),"")</f>
        <v>11</v>
      </c>
      <c r="X44" s="418">
        <f t="shared" si="2"/>
        <v>10</v>
      </c>
    </row>
    <row r="45" spans="12:24" x14ac:dyDescent="0.2">
      <c r="L45" s="412" t="s">
        <v>463</v>
      </c>
      <c r="M45" s="415" t="s">
        <v>259</v>
      </c>
      <c r="N45" s="419">
        <f>IFERROR(_xlfn.XLOOKUP(CONCATENATE($L45,N$5,$M$2),BASE_DATOS[Reporte NSK],BASE_DATOS[NSK],,0),"")</f>
        <v>7</v>
      </c>
      <c r="O45" s="420">
        <f>IFERROR(_xlfn.XLOOKUP(CONCATENATE($L45,O$5,$M$2),BASE_DATOS[Reporte NSK],BASE_DATOS[NSK],,0),"")</f>
        <v>9</v>
      </c>
      <c r="P45" s="444">
        <f>IFERROR(_xlfn.XLOOKUP(CONCATENATE($L45,P$5,$M$2),BASE_DATOS[Reporte NSK],BASE_DATOS[NSK],,0),"")</f>
        <v>12</v>
      </c>
      <c r="Q45" s="420">
        <f>IFERROR(_xlfn.XLOOKUP(CONCATENATE($L45,Q$5,$M$2),BASE_DATOS[Reporte NSK],BASE_DATOS[NSK],,0),"")</f>
        <v>12</v>
      </c>
      <c r="R45" s="420">
        <f>IFERROR(_xlfn.XLOOKUP(CONCATENATE($L45,R$5,$M$2),BASE_DATOS[Reporte NSK],BASE_DATOS[NSK],,0),"")</f>
        <v>12</v>
      </c>
      <c r="S45" s="420">
        <f>IFERROR(_xlfn.XLOOKUP(CONCATENATE($L45,S$5,$M$2),BASE_DATOS[Reporte NSK],BASE_DATOS[NSK],,0),"")</f>
        <v>12</v>
      </c>
      <c r="T45" s="420">
        <f>IFERROR(_xlfn.XLOOKUP(CONCATENATE($L45,T$5,$M$2),BASE_DATOS[Reporte NSK],BASE_DATOS[NSK],,0),"")</f>
        <v>10</v>
      </c>
      <c r="U45" s="420">
        <f>IFERROR(_xlfn.XLOOKUP(CONCATENATE($L45,U$5,$M$2),BASE_DATOS[Reporte NSK],BASE_DATOS[NSK],,0),"")</f>
        <v>10</v>
      </c>
      <c r="V45" s="420">
        <f>IFERROR(_xlfn.XLOOKUP(CONCATENATE($L45,V$5,$M$2),BASE_DATOS[Reporte NSK],BASE_DATOS[NSK],,0),"")</f>
        <v>10</v>
      </c>
      <c r="W45" s="435">
        <f>IFERROR(_xlfn.XLOOKUP(CONCATENATE($L45,W$5,$M$2),BASE_DATOS[Reporte NSK],BASE_DATOS[NSK],,0),"")</f>
        <v>10</v>
      </c>
      <c r="X45" s="418">
        <f t="shared" si="2"/>
        <v>10</v>
      </c>
    </row>
    <row r="46" spans="12:24" x14ac:dyDescent="0.2">
      <c r="L46" s="412" t="s">
        <v>419</v>
      </c>
      <c r="M46" s="415" t="s">
        <v>257</v>
      </c>
      <c r="N46" s="419">
        <f>IFERROR(_xlfn.XLOOKUP(CONCATENATE($L46,N$5,$M$2),BASE_DATOS[Reporte NSK],BASE_DATOS[NSK],,0),"")</f>
        <v>8</v>
      </c>
      <c r="O46" s="420">
        <f>IFERROR(_xlfn.XLOOKUP(CONCATENATE($L46,O$5,$M$2),BASE_DATOS[Reporte NSK],BASE_DATOS[NSK],,0),"")</f>
        <v>6</v>
      </c>
      <c r="P46" s="444">
        <f>IFERROR(_xlfn.XLOOKUP(CONCATENATE($L46,P$5,$M$2),BASE_DATOS[Reporte NSK],BASE_DATOS[NSK],,0),"")</f>
        <v>11</v>
      </c>
      <c r="Q46" s="420">
        <f>IFERROR(_xlfn.XLOOKUP(CONCATENATE($L46,Q$5,$M$2),BASE_DATOS[Reporte NSK],BASE_DATOS[NSK],,0),"")</f>
        <v>11</v>
      </c>
      <c r="R46" s="420">
        <f>IFERROR(_xlfn.XLOOKUP(CONCATENATE($L46,R$5,$M$2),BASE_DATOS[Reporte NSK],BASE_DATOS[NSK],,0),"")</f>
        <v>11</v>
      </c>
      <c r="S46" s="420">
        <f>IFERROR(_xlfn.XLOOKUP(CONCATENATE($L46,S$5,$M$2),BASE_DATOS[Reporte NSK],BASE_DATOS[NSK],,0),"")</f>
        <v>12</v>
      </c>
      <c r="T46" s="420">
        <f>IFERROR(_xlfn.XLOOKUP(CONCATENATE($L46,T$5,$M$2),BASE_DATOS[Reporte NSK],BASE_DATOS[NSK],,0),"")</f>
        <v>11</v>
      </c>
      <c r="U46" s="420">
        <f>IFERROR(_xlfn.XLOOKUP(CONCATENATE($L46,U$5,$M$2),BASE_DATOS[Reporte NSK],BASE_DATOS[NSK],,0),"")</f>
        <v>11</v>
      </c>
      <c r="V46" s="420">
        <f>IFERROR(_xlfn.XLOOKUP(CONCATENATE($L46,V$5,$M$2),BASE_DATOS[Reporte NSK],BASE_DATOS[NSK],,0),"")</f>
        <v>8</v>
      </c>
      <c r="W46" s="435">
        <f>IFERROR(_xlfn.XLOOKUP(CONCATENATE($L46,W$5,$M$2),BASE_DATOS[Reporte NSK],BASE_DATOS[NSK],,0),"")</f>
        <v>8</v>
      </c>
      <c r="X46" s="418">
        <f t="shared" si="2"/>
        <v>10</v>
      </c>
    </row>
    <row r="47" spans="12:24" x14ac:dyDescent="0.2">
      <c r="L47" s="412" t="s">
        <v>404</v>
      </c>
      <c r="M47" s="415" t="s">
        <v>256</v>
      </c>
      <c r="N47" s="419">
        <f>IFERROR(_xlfn.XLOOKUP(CONCATENATE($L47,N$5,$M$2),BASE_DATOS[Reporte NSK],BASE_DATOS[NSK],,0),"")</f>
        <v>10</v>
      </c>
      <c r="O47" s="420">
        <f>IFERROR(_xlfn.XLOOKUP(CONCATENATE($L47,O$5,$M$2),BASE_DATOS[Reporte NSK],BASE_DATOS[NSK],,0),"")</f>
        <v>7</v>
      </c>
      <c r="P47" s="444">
        <f>IFERROR(_xlfn.XLOOKUP(CONCATENATE($L47,P$5,$M$2),BASE_DATOS[Reporte NSK],BASE_DATOS[NSK],,0),"")</f>
        <v>14</v>
      </c>
      <c r="Q47" s="420">
        <f>IFERROR(_xlfn.XLOOKUP(CONCATENATE($L47,Q$5,$M$2),BASE_DATOS[Reporte NSK],BASE_DATOS[NSK],,0),"")</f>
        <v>13</v>
      </c>
      <c r="R47" s="420">
        <f>IFERROR(_xlfn.XLOOKUP(CONCATENATE($L47,R$5,$M$2),BASE_DATOS[Reporte NSK],BASE_DATOS[NSK],,0),"")</f>
        <v>13</v>
      </c>
      <c r="S47" s="420">
        <f>IFERROR(_xlfn.XLOOKUP(CONCATENATE($L47,S$5,$M$2),BASE_DATOS[Reporte NSK],BASE_DATOS[NSK],,0),"")</f>
        <v>13</v>
      </c>
      <c r="T47" s="420">
        <f>IFERROR(_xlfn.XLOOKUP(CONCATENATE($L47,T$5,$M$2),BASE_DATOS[Reporte NSK],BASE_DATOS[NSK],,0),"")</f>
        <v>13</v>
      </c>
      <c r="U47" s="420">
        <f>IFERROR(_xlfn.XLOOKUP(CONCATENATE($L47,U$5,$M$2),BASE_DATOS[Reporte NSK],BASE_DATOS[NSK],,0),"")</f>
        <v>13</v>
      </c>
      <c r="V47" s="420">
        <f>IFERROR(_xlfn.XLOOKUP(CONCATENATE($L47,V$5,$M$2),BASE_DATOS[Reporte NSK],BASE_DATOS[NSK],,0),"")</f>
        <v>13</v>
      </c>
      <c r="W47" s="435">
        <f>IFERROR(_xlfn.XLOOKUP(CONCATENATE($L47,W$5,$M$2),BASE_DATOS[Reporte NSK],BASE_DATOS[NSK],,0),"")</f>
        <v>13</v>
      </c>
      <c r="X47" s="418">
        <f t="shared" si="2"/>
        <v>10</v>
      </c>
    </row>
    <row r="48" spans="12:24" x14ac:dyDescent="0.2">
      <c r="L48" s="412" t="s">
        <v>407</v>
      </c>
      <c r="M48" s="415" t="s">
        <v>253</v>
      </c>
      <c r="N48" s="419">
        <f>IFERROR(_xlfn.XLOOKUP(CONCATENATE($L48,N$5,$M$2),BASE_DATOS[Reporte NSK],BASE_DATOS[NSK],,0),"")</f>
        <v>8</v>
      </c>
      <c r="O48" s="420">
        <f>IFERROR(_xlfn.XLOOKUP(CONCATENATE($L48,O$5,$M$2),BASE_DATOS[Reporte NSK],BASE_DATOS[NSK],,0),"")</f>
        <v>7</v>
      </c>
      <c r="P48" s="444">
        <f>IFERROR(_xlfn.XLOOKUP(CONCATENATE($L48,P$5,$M$2),BASE_DATOS[Reporte NSK],BASE_DATOS[NSK],,0),"")</f>
        <v>13</v>
      </c>
      <c r="Q48" s="420">
        <f>IFERROR(_xlfn.XLOOKUP(CONCATENATE($L48,Q$5,$M$2),BASE_DATOS[Reporte NSK],BASE_DATOS[NSK],,0),"")</f>
        <v>13</v>
      </c>
      <c r="R48" s="420">
        <f>IFERROR(_xlfn.XLOOKUP(CONCATENATE($L48,R$5,$M$2),BASE_DATOS[Reporte NSK],BASE_DATOS[NSK],,0),"")</f>
        <v>13</v>
      </c>
      <c r="S48" s="420">
        <f>IFERROR(_xlfn.XLOOKUP(CONCATENATE($L48,S$5,$M$2),BASE_DATOS[Reporte NSK],BASE_DATOS[NSK],,0),"")</f>
        <v>13</v>
      </c>
      <c r="T48" s="420">
        <f>IFERROR(_xlfn.XLOOKUP(CONCATENATE($L48,T$5,$M$2),BASE_DATOS[Reporte NSK],BASE_DATOS[NSK],,0),"")</f>
        <v>13</v>
      </c>
      <c r="U48" s="420">
        <f>IFERROR(_xlfn.XLOOKUP(CONCATENATE($L48,U$5,$M$2),BASE_DATOS[Reporte NSK],BASE_DATOS[NSK],,0),"")</f>
        <v>12</v>
      </c>
      <c r="V48" s="420">
        <f>IFERROR(_xlfn.XLOOKUP(CONCATENATE($L48,V$5,$M$2),BASE_DATOS[Reporte NSK],BASE_DATOS[NSK],,0),"")</f>
        <v>12</v>
      </c>
      <c r="W48" s="435">
        <f>IFERROR(_xlfn.XLOOKUP(CONCATENATE($L48,W$5,$M$2),BASE_DATOS[Reporte NSK],BASE_DATOS[NSK],,0),"")</f>
        <v>12</v>
      </c>
      <c r="X48" s="418">
        <f t="shared" si="2"/>
        <v>10</v>
      </c>
    </row>
    <row r="49" spans="12:24" x14ac:dyDescent="0.2">
      <c r="L49" s="412" t="s">
        <v>420</v>
      </c>
      <c r="M49" s="415" t="s">
        <v>255</v>
      </c>
      <c r="N49" s="419">
        <f>IFERROR(_xlfn.XLOOKUP(CONCATENATE($L49,N$5,$M$2),BASE_DATOS[Reporte NSK],BASE_DATOS[NSK],,0),"")</f>
        <v>6</v>
      </c>
      <c r="O49" s="420">
        <f>IFERROR(_xlfn.XLOOKUP(CONCATENATE($L49,O$5,$M$2),BASE_DATOS[Reporte NSK],BASE_DATOS[NSK],,0),"")</f>
        <v>9</v>
      </c>
      <c r="P49" s="444">
        <f>IFERROR(_xlfn.XLOOKUP(CONCATENATE($L49,P$5,$M$2),BASE_DATOS[Reporte NSK],BASE_DATOS[NSK],,0),"")</f>
        <v>13</v>
      </c>
      <c r="Q49" s="420">
        <f>IFERROR(_xlfn.XLOOKUP(CONCATENATE($L49,Q$5,$M$2),BASE_DATOS[Reporte NSK],BASE_DATOS[NSK],,0),"")</f>
        <v>13</v>
      </c>
      <c r="R49" s="420">
        <f>IFERROR(_xlfn.XLOOKUP(CONCATENATE($L49,R$5,$M$2),BASE_DATOS[Reporte NSK],BASE_DATOS[NSK],,0),"")</f>
        <v>12</v>
      </c>
      <c r="S49" s="420">
        <f>IFERROR(_xlfn.XLOOKUP(CONCATENATE($L49,S$5,$M$2),BASE_DATOS[Reporte NSK],BASE_DATOS[NSK],,0),"")</f>
        <v>12</v>
      </c>
      <c r="T49" s="420">
        <f>IFERROR(_xlfn.XLOOKUP(CONCATENATE($L49,T$5,$M$2),BASE_DATOS[Reporte NSK],BASE_DATOS[NSK],,0),"")</f>
        <v>12</v>
      </c>
      <c r="U49" s="420">
        <f>IFERROR(_xlfn.XLOOKUP(CONCATENATE($L49,U$5,$M$2),BASE_DATOS[Reporte NSK],BASE_DATOS[NSK],,0),"")</f>
        <v>12</v>
      </c>
      <c r="V49" s="420">
        <f>IFERROR(_xlfn.XLOOKUP(CONCATENATE($L49,V$5,$M$2),BASE_DATOS[Reporte NSK],BASE_DATOS[NSK],,0),"")</f>
        <v>10</v>
      </c>
      <c r="W49" s="435">
        <f>IFERROR(_xlfn.XLOOKUP(CONCATENATE($L49,W$5,$M$2),BASE_DATOS[Reporte NSK],BASE_DATOS[NSK],,0),"")</f>
        <v>10</v>
      </c>
      <c r="X49" s="418">
        <f t="shared" si="2"/>
        <v>10</v>
      </c>
    </row>
    <row r="50" spans="12:24" x14ac:dyDescent="0.2">
      <c r="L50" s="412" t="s">
        <v>456</v>
      </c>
      <c r="M50" s="415" t="s">
        <v>368</v>
      </c>
      <c r="N50" s="419">
        <f>IFERROR(_xlfn.XLOOKUP(CONCATENATE($L50,N$5,$M$2),BASE_DATOS[Reporte NSK],BASE_DATOS[NSK],,0),"")</f>
        <v>11</v>
      </c>
      <c r="O50" s="420">
        <f>IFERROR(_xlfn.XLOOKUP(CONCATENATE($L50,O$5,$M$2),BASE_DATOS[Reporte NSK],BASE_DATOS[NSK],,0),"")</f>
        <v>12</v>
      </c>
      <c r="P50" s="444">
        <f>IFERROR(_xlfn.XLOOKUP(CONCATENATE($L50,P$5,$M$2),BASE_DATOS[Reporte NSK],BASE_DATOS[NSK],,0),"")</f>
        <v>15</v>
      </c>
      <c r="Q50" s="420">
        <f>IFERROR(_xlfn.XLOOKUP(CONCATENATE($L50,Q$5,$M$2),BASE_DATOS[Reporte NSK],BASE_DATOS[NSK],,0),"")</f>
        <v>15</v>
      </c>
      <c r="R50" s="420">
        <f>IFERROR(_xlfn.XLOOKUP(CONCATENATE($L50,R$5,$M$2),BASE_DATOS[Reporte NSK],BASE_DATOS[NSK],,0),"")</f>
        <v>15</v>
      </c>
      <c r="S50" s="420">
        <f>IFERROR(_xlfn.XLOOKUP(CONCATENATE($L50,S$5,$M$2),BASE_DATOS[Reporte NSK],BASE_DATOS[NSK],,0),"")</f>
        <v>15</v>
      </c>
      <c r="T50" s="420">
        <f>IFERROR(_xlfn.XLOOKUP(CONCATENATE($L50,T$5,$M$2),BASE_DATOS[Reporte NSK],BASE_DATOS[NSK],,0),"")</f>
        <v>15</v>
      </c>
      <c r="U50" s="420">
        <f>IFERROR(_xlfn.XLOOKUP(CONCATENATE($L50,U$5,$M$2),BASE_DATOS[Reporte NSK],BASE_DATOS[NSK],,0),"")</f>
        <v>15</v>
      </c>
      <c r="V50" s="420">
        <f>IFERROR(_xlfn.XLOOKUP(CONCATENATE($L50,V$5,$M$2),BASE_DATOS[Reporte NSK],BASE_DATOS[NSK],,0),"")</f>
        <v>15</v>
      </c>
      <c r="W50" s="435">
        <f>IFERROR(_xlfn.XLOOKUP(CONCATENATE($L50,W$5,$M$2),BASE_DATOS[Reporte NSK],BASE_DATOS[NSK],,0),"")</f>
        <v>15</v>
      </c>
      <c r="X50" s="418">
        <f t="shared" si="2"/>
        <v>10</v>
      </c>
    </row>
    <row r="51" spans="12:24" x14ac:dyDescent="0.2">
      <c r="L51" s="412" t="s">
        <v>405</v>
      </c>
      <c r="M51" s="415" t="s">
        <v>367</v>
      </c>
      <c r="N51" s="419">
        <f>IFERROR(_xlfn.XLOOKUP(CONCATENATE($L51,N$5,$M$2),BASE_DATOS[Reporte NSK],BASE_DATOS[NSK],,0),"")</f>
        <v>9</v>
      </c>
      <c r="O51" s="420">
        <f>IFERROR(_xlfn.XLOOKUP(CONCATENATE($L51,O$5,$M$2),BASE_DATOS[Reporte NSK],BASE_DATOS[NSK],,0),"")</f>
        <v>12</v>
      </c>
      <c r="P51" s="444">
        <f>IFERROR(_xlfn.XLOOKUP(CONCATENATE($L51,P$5,$M$2),BASE_DATOS[Reporte NSK],BASE_DATOS[NSK],,0),"")</f>
        <v>15</v>
      </c>
      <c r="Q51" s="420">
        <f>IFERROR(_xlfn.XLOOKUP(CONCATENATE($L51,Q$5,$M$2),BASE_DATOS[Reporte NSK],BASE_DATOS[NSK],,0),"")</f>
        <v>15</v>
      </c>
      <c r="R51" s="420">
        <f>IFERROR(_xlfn.XLOOKUP(CONCATENATE($L51,R$5,$M$2),BASE_DATOS[Reporte NSK],BASE_DATOS[NSK],,0),"")</f>
        <v>14</v>
      </c>
      <c r="S51" s="420">
        <f>IFERROR(_xlfn.XLOOKUP(CONCATENATE($L51,S$5,$M$2),BASE_DATOS[Reporte NSK],BASE_DATOS[NSK],,0),"")</f>
        <v>14</v>
      </c>
      <c r="T51" s="420">
        <f>IFERROR(_xlfn.XLOOKUP(CONCATENATE($L51,T$5,$M$2),BASE_DATOS[Reporte NSK],BASE_DATOS[NSK],,0),"")</f>
        <v>15</v>
      </c>
      <c r="U51" s="420">
        <f>IFERROR(_xlfn.XLOOKUP(CONCATENATE($L51,U$5,$M$2),BASE_DATOS[Reporte NSK],BASE_DATOS[NSK],,0),"")</f>
        <v>15</v>
      </c>
      <c r="V51" s="420">
        <f>IFERROR(_xlfn.XLOOKUP(CONCATENATE($L51,V$5,$M$2),BASE_DATOS[Reporte NSK],BASE_DATOS[NSK],,0),"")</f>
        <v>14</v>
      </c>
      <c r="W51" s="435">
        <f>IFERROR(_xlfn.XLOOKUP(CONCATENATE($L51,W$5,$M$2),BASE_DATOS[Reporte NSK],BASE_DATOS[NSK],,0),"")</f>
        <v>14</v>
      </c>
      <c r="X51" s="418">
        <f t="shared" si="2"/>
        <v>10</v>
      </c>
    </row>
    <row r="52" spans="12:24" x14ac:dyDescent="0.2">
      <c r="L52" s="412" t="s">
        <v>408</v>
      </c>
      <c r="M52" s="415" t="s">
        <v>353</v>
      </c>
      <c r="N52" s="419">
        <f>IFERROR(_xlfn.XLOOKUP(CONCATENATE($L52,N$5,$M$2),BASE_DATOS[Reporte NSK],BASE_DATOS[NSK],,0),"")</f>
        <v>11</v>
      </c>
      <c r="O52" s="420">
        <f>IFERROR(_xlfn.XLOOKUP(CONCATENATE($L52,O$5,$M$2),BASE_DATOS[Reporte NSK],BASE_DATOS[NSK],,0),"")</f>
        <v>11</v>
      </c>
      <c r="P52" s="444">
        <f>IFERROR(_xlfn.XLOOKUP(CONCATENATE($L52,P$5,$M$2),BASE_DATOS[Reporte NSK],BASE_DATOS[NSK],,0),"")</f>
        <v>16</v>
      </c>
      <c r="Q52" s="420">
        <f>IFERROR(_xlfn.XLOOKUP(CONCATENATE($L52,Q$5,$M$2),BASE_DATOS[Reporte NSK],BASE_DATOS[NSK],,0),"")</f>
        <v>16</v>
      </c>
      <c r="R52" s="420">
        <f>IFERROR(_xlfn.XLOOKUP(CONCATENATE($L52,R$5,$M$2),BASE_DATOS[Reporte NSK],BASE_DATOS[NSK],,0),"")</f>
        <v>16</v>
      </c>
      <c r="S52" s="420">
        <f>IFERROR(_xlfn.XLOOKUP(CONCATENATE($L52,S$5,$M$2),BASE_DATOS[Reporte NSK],BASE_DATOS[NSK],,0),"")</f>
        <v>16</v>
      </c>
      <c r="T52" s="420">
        <f>IFERROR(_xlfn.XLOOKUP(CONCATENATE($L52,T$5,$M$2),BASE_DATOS[Reporte NSK],BASE_DATOS[NSK],,0),"")</f>
        <v>15</v>
      </c>
      <c r="U52" s="420">
        <f>IFERROR(_xlfn.XLOOKUP(CONCATENATE($L52,U$5,$M$2),BASE_DATOS[Reporte NSK],BASE_DATOS[NSK],,0),"")</f>
        <v>15</v>
      </c>
      <c r="V52" s="420">
        <f>IFERROR(_xlfn.XLOOKUP(CONCATENATE($L52,V$5,$M$2),BASE_DATOS[Reporte NSK],BASE_DATOS[NSK],,0),"")</f>
        <v>15</v>
      </c>
      <c r="W52" s="435">
        <f>IFERROR(_xlfn.XLOOKUP(CONCATENATE($L52,W$5,$M$2),BASE_DATOS[Reporte NSK],BASE_DATOS[NSK],,0),"")</f>
        <v>15</v>
      </c>
      <c r="X52" s="418">
        <f t="shared" si="2"/>
        <v>10</v>
      </c>
    </row>
    <row r="53" spans="12:24" x14ac:dyDescent="0.2">
      <c r="L53" s="412" t="s">
        <v>402</v>
      </c>
      <c r="M53" s="415" t="s">
        <v>401</v>
      </c>
      <c r="N53" s="419">
        <f>IFERROR(_xlfn.XLOOKUP(CONCATENATE($L53,N$5,$M$2),BASE_DATOS[Reporte NSK],BASE_DATOS[NSK],,0),"")</f>
        <v>15</v>
      </c>
      <c r="O53" s="420">
        <f>IFERROR(_xlfn.XLOOKUP(CONCATENATE($L53,O$5,$M$2),BASE_DATOS[Reporte NSK],BASE_DATOS[NSK],,0),"")</f>
        <v>12</v>
      </c>
      <c r="P53" s="444">
        <f>IFERROR(_xlfn.XLOOKUP(CONCATENATE($L53,P$5,$M$2),BASE_DATOS[Reporte NSK],BASE_DATOS[NSK],,0),"")</f>
        <v>16</v>
      </c>
      <c r="Q53" s="420">
        <f>IFERROR(_xlfn.XLOOKUP(CONCATENATE($L53,Q$5,$M$2),BASE_DATOS[Reporte NSK],BASE_DATOS[NSK],,0),"")</f>
        <v>16</v>
      </c>
      <c r="R53" s="420">
        <f>IFERROR(_xlfn.XLOOKUP(CONCATENATE($L53,R$5,$M$2),BASE_DATOS[Reporte NSK],BASE_DATOS[NSK],,0),"")</f>
        <v>17</v>
      </c>
      <c r="S53" s="420">
        <f>IFERROR(_xlfn.XLOOKUP(CONCATENATE($L53,S$5,$M$2),BASE_DATOS[Reporte NSK],BASE_DATOS[NSK],,0),"")</f>
        <v>17</v>
      </c>
      <c r="T53" s="420">
        <f>IFERROR(_xlfn.XLOOKUP(CONCATENATE($L53,T$5,$M$2),BASE_DATOS[Reporte NSK],BASE_DATOS[NSK],,0),"")</f>
        <v>17</v>
      </c>
      <c r="U53" s="420">
        <f>IFERROR(_xlfn.XLOOKUP(CONCATENATE($L53,U$5,$M$2),BASE_DATOS[Reporte NSK],BASE_DATOS[NSK],,0),"")</f>
        <v>17</v>
      </c>
      <c r="V53" s="420">
        <f>IFERROR(_xlfn.XLOOKUP(CONCATENATE($L53,V$5,$M$2),BASE_DATOS[Reporte NSK],BASE_DATOS[NSK],,0),"")</f>
        <v>17</v>
      </c>
      <c r="W53" s="435">
        <f>IFERROR(_xlfn.XLOOKUP(CONCATENATE($L53,W$5,$M$2),BASE_DATOS[Reporte NSK],BASE_DATOS[NSK],,0),"")</f>
        <v>17</v>
      </c>
      <c r="X53" s="418">
        <f t="shared" si="2"/>
        <v>10</v>
      </c>
    </row>
    <row r="54" spans="12:24" x14ac:dyDescent="0.2">
      <c r="L54" s="412" t="s">
        <v>410</v>
      </c>
      <c r="M54" s="415" t="s">
        <v>372</v>
      </c>
      <c r="N54" s="419">
        <f>IFERROR(_xlfn.XLOOKUP(CONCATENATE($L54,N$5,$M$2),BASE_DATOS[Reporte NSK],BASE_DATOS[NSK],,0),"")</f>
        <v>13</v>
      </c>
      <c r="O54" s="420">
        <f>IFERROR(_xlfn.XLOOKUP(CONCATENATE($L54,O$5,$M$2),BASE_DATOS[Reporte NSK],BASE_DATOS[NSK],,0),"")</f>
        <v>14</v>
      </c>
      <c r="P54" s="444">
        <f>IFERROR(_xlfn.XLOOKUP(CONCATENATE($L54,P$5,$M$2),BASE_DATOS[Reporte NSK],BASE_DATOS[NSK],,0),"")</f>
        <v>15</v>
      </c>
      <c r="Q54" s="420">
        <f>IFERROR(_xlfn.XLOOKUP(CONCATENATE($L54,Q$5,$M$2),BASE_DATOS[Reporte NSK],BASE_DATOS[NSK],,0),"")</f>
        <v>15</v>
      </c>
      <c r="R54" s="420">
        <f>IFERROR(_xlfn.XLOOKUP(CONCATENATE($L54,R$5,$M$2),BASE_DATOS[Reporte NSK],BASE_DATOS[NSK],,0),"")</f>
        <v>15</v>
      </c>
      <c r="S54" s="420">
        <f>IFERROR(_xlfn.XLOOKUP(CONCATENATE($L54,S$5,$M$2),BASE_DATOS[Reporte NSK],BASE_DATOS[NSK],,0),"")</f>
        <v>15</v>
      </c>
      <c r="T54" s="420">
        <f>IFERROR(_xlfn.XLOOKUP(CONCATENATE($L54,T$5,$M$2),BASE_DATOS[Reporte NSK],BASE_DATOS[NSK],,0),"")</f>
        <v>15</v>
      </c>
      <c r="U54" s="420">
        <f>IFERROR(_xlfn.XLOOKUP(CONCATENATE($L54,U$5,$M$2),BASE_DATOS[Reporte NSK],BASE_DATOS[NSK],,0),"")</f>
        <v>15</v>
      </c>
      <c r="V54" s="420">
        <f>IFERROR(_xlfn.XLOOKUP(CONCATENATE($L54,V$5,$M$2),BASE_DATOS[Reporte NSK],BASE_DATOS[NSK],,0),"")</f>
        <v>15</v>
      </c>
      <c r="W54" s="435">
        <f>IFERROR(_xlfn.XLOOKUP(CONCATENATE($L54,W$5,$M$2),BASE_DATOS[Reporte NSK],BASE_DATOS[NSK],,0),"")</f>
        <v>15</v>
      </c>
      <c r="X54" s="418">
        <f t="shared" si="2"/>
        <v>10</v>
      </c>
    </row>
    <row r="55" spans="12:24" x14ac:dyDescent="0.2">
      <c r="L55" s="413" t="s">
        <v>411</v>
      </c>
      <c r="M55" s="416" t="s">
        <v>412</v>
      </c>
      <c r="N55" s="419">
        <f>IFERROR(_xlfn.XLOOKUP(CONCATENATE($L55,N$5,$M$2),BASE_DATOS[Reporte NSK],BASE_DATOS[NSK],,0),"")</f>
        <v>14</v>
      </c>
      <c r="O55" s="420">
        <f>IFERROR(_xlfn.XLOOKUP(CONCATENATE($L55,O$5,$M$2),BASE_DATOS[Reporte NSK],BASE_DATOS[NSK],,0),"")</f>
        <v>15</v>
      </c>
      <c r="P55" s="444">
        <f>IFERROR(_xlfn.XLOOKUP(CONCATENATE($L55,P$5,$M$2),BASE_DATOS[Reporte NSK],BASE_DATOS[NSK],,0),"")</f>
        <v>15</v>
      </c>
      <c r="Q55" s="420">
        <f>IFERROR(_xlfn.XLOOKUP(CONCATENATE($L55,Q$5,$M$2),BASE_DATOS[Reporte NSK],BASE_DATOS[NSK],,0),"")</f>
        <v>15</v>
      </c>
      <c r="R55" s="420">
        <f>IFERROR(_xlfn.XLOOKUP(CONCATENATE($L55,R$5,$M$2),BASE_DATOS[Reporte NSK],BASE_DATOS[NSK],,0),"")</f>
        <v>15</v>
      </c>
      <c r="S55" s="420">
        <f>IFERROR(_xlfn.XLOOKUP(CONCATENATE($L55,S$5,$M$2),BASE_DATOS[Reporte NSK],BASE_DATOS[NSK],,0),"")</f>
        <v>15</v>
      </c>
      <c r="T55" s="420">
        <f>IFERROR(_xlfn.XLOOKUP(CONCATENATE($L55,T$5,$M$2),BASE_DATOS[Reporte NSK],BASE_DATOS[NSK],,0),"")</f>
        <v>16</v>
      </c>
      <c r="U55" s="420">
        <f>IFERROR(_xlfn.XLOOKUP(CONCATENATE($L55,U$5,$M$2),BASE_DATOS[Reporte NSK],BASE_DATOS[NSK],,0),"")</f>
        <v>16</v>
      </c>
      <c r="V55" s="420">
        <f>IFERROR(_xlfn.XLOOKUP(CONCATENATE($L55,V$5,$M$2),BASE_DATOS[Reporte NSK],BASE_DATOS[NSK],,0),"")</f>
        <v>16</v>
      </c>
      <c r="W55" s="435">
        <f>IFERROR(_xlfn.XLOOKUP(CONCATENATE($L55,W$5,$M$2),BASE_DATOS[Reporte NSK],BASE_DATOS[NSK],,0),"")</f>
        <v>16</v>
      </c>
      <c r="X55" s="418">
        <f t="shared" si="2"/>
        <v>10</v>
      </c>
    </row>
    <row r="56" spans="12:24" ht="10.199999999999999" customHeight="1" x14ac:dyDescent="0.2">
      <c r="L56" s="412"/>
      <c r="M56" s="415"/>
      <c r="N56" s="419" t="str">
        <f>IFERROR(_xlfn.XLOOKUP(CONCATENATE($L56,N$5,$M$2),BASE_DATOS[Reporte NSK],BASE_DATOS[NSK],,0),"")</f>
        <v/>
      </c>
      <c r="O56" s="420" t="str">
        <f>IFERROR(_xlfn.XLOOKUP(CONCATENATE($L56,O$5,$M$2),BASE_DATOS[Reporte NSK],BASE_DATOS[NSK],,0),"")</f>
        <v/>
      </c>
      <c r="P56" s="444" t="str">
        <f>IFERROR(_xlfn.XLOOKUP(CONCATENATE($L56,P$5,$M$2),BASE_DATOS[Reporte NSK],BASE_DATOS[NSK],,0),"")</f>
        <v/>
      </c>
      <c r="Q56" s="420" t="str">
        <f>IFERROR(_xlfn.XLOOKUP(CONCATENATE($L56,Q$5,$M$2),BASE_DATOS[Reporte NSK],BASE_DATOS[NSK],,0),"")</f>
        <v/>
      </c>
      <c r="R56" s="420" t="str">
        <f>IFERROR(_xlfn.XLOOKUP(CONCATENATE($L56,R$5,$M$2),BASE_DATOS[Reporte NSK],BASE_DATOS[NSK],,0),"")</f>
        <v/>
      </c>
      <c r="S56" s="420" t="str">
        <f>IFERROR(_xlfn.XLOOKUP(CONCATENATE($L56,S$5,$M$2),BASE_DATOS[Reporte NSK],BASE_DATOS[NSK],,0),"")</f>
        <v/>
      </c>
      <c r="T56" s="420" t="str">
        <f>IFERROR(_xlfn.XLOOKUP(CONCATENATE($L56,T$5,$M$2),BASE_DATOS[Reporte NSK],BASE_DATOS[NSK],,0),"")</f>
        <v/>
      </c>
      <c r="U56" s="420" t="str">
        <f>IFERROR(_xlfn.XLOOKUP(CONCATENATE($L56,U$5,$M$2),BASE_DATOS[Reporte NSK],BASE_DATOS[NSK],,0),"")</f>
        <v/>
      </c>
      <c r="V56" s="420" t="str">
        <f>IFERROR(_xlfn.XLOOKUP(CONCATENATE($L56,V$5,$M$2),BASE_DATOS[Reporte NSK],BASE_DATOS[NSK],,0),"")</f>
        <v/>
      </c>
      <c r="W56" s="435" t="str">
        <f>IFERROR(_xlfn.XLOOKUP(CONCATENATE($L56,W$5,$M$2),BASE_DATOS[Reporte NSK],BASE_DATOS[NSK],,0),"")</f>
        <v/>
      </c>
      <c r="X56" s="418" t="str">
        <f t="shared" si="2"/>
        <v/>
      </c>
    </row>
    <row r="57" spans="12:24" ht="10.199999999999999" customHeight="1" x14ac:dyDescent="0.2">
      <c r="L57" s="412"/>
      <c r="M57" s="415"/>
      <c r="N57" s="419" t="str">
        <f>IFERROR(_xlfn.XLOOKUP(CONCATENATE($L57,N$5,$M$2),BASE_DATOS[Reporte NSK],BASE_DATOS[NSK],,0),"")</f>
        <v/>
      </c>
      <c r="O57" s="420" t="str">
        <f>IFERROR(_xlfn.XLOOKUP(CONCATENATE($L57,O$5,$M$2),BASE_DATOS[Reporte NSK],BASE_DATOS[NSK],,0),"")</f>
        <v/>
      </c>
      <c r="P57" s="444" t="str">
        <f>IFERROR(_xlfn.XLOOKUP(CONCATENATE($L57,P$5,$M$2),BASE_DATOS[Reporte NSK],BASE_DATOS[NSK],,0),"")</f>
        <v/>
      </c>
      <c r="Q57" s="420" t="str">
        <f>IFERROR(_xlfn.XLOOKUP(CONCATENATE($L57,Q$5,$M$2),BASE_DATOS[Reporte NSK],BASE_DATOS[NSK],,0),"")</f>
        <v/>
      </c>
      <c r="R57" s="420" t="str">
        <f>IFERROR(_xlfn.XLOOKUP(CONCATENATE($L57,R$5,$M$2),BASE_DATOS[Reporte NSK],BASE_DATOS[NSK],,0),"")</f>
        <v/>
      </c>
      <c r="S57" s="420" t="str">
        <f>IFERROR(_xlfn.XLOOKUP(CONCATENATE($L57,S$5,$M$2),BASE_DATOS[Reporte NSK],BASE_DATOS[NSK],,0),"")</f>
        <v/>
      </c>
      <c r="T57" s="420" t="str">
        <f>IFERROR(_xlfn.XLOOKUP(CONCATENATE($L57,T$5,$M$2),BASE_DATOS[Reporte NSK],BASE_DATOS[NSK],,0),"")</f>
        <v/>
      </c>
      <c r="U57" s="420" t="str">
        <f>IFERROR(_xlfn.XLOOKUP(CONCATENATE($L57,U$5,$M$2),BASE_DATOS[Reporte NSK],BASE_DATOS[NSK],,0),"")</f>
        <v/>
      </c>
      <c r="V57" s="420" t="str">
        <f>IFERROR(_xlfn.XLOOKUP(CONCATENATE($L57,V$5,$M$2),BASE_DATOS[Reporte NSK],BASE_DATOS[NSK],,0),"")</f>
        <v/>
      </c>
      <c r="W57" s="435" t="str">
        <f>IFERROR(_xlfn.XLOOKUP(CONCATENATE($L57,W$5,$M$2),BASE_DATOS[Reporte NSK],BASE_DATOS[NSK],,0),"")</f>
        <v/>
      </c>
      <c r="X57" s="418" t="str">
        <f t="shared" si="2"/>
        <v/>
      </c>
    </row>
    <row r="58" spans="12:24" ht="10.199999999999999" customHeight="1" x14ac:dyDescent="0.2">
      <c r="L58" s="412"/>
      <c r="M58" s="415"/>
      <c r="N58" s="419" t="str">
        <f>IFERROR(_xlfn.XLOOKUP(CONCATENATE($L58,N$5,$M$2),BASE_DATOS[Reporte NSK],BASE_DATOS[NSK],,0),"")</f>
        <v/>
      </c>
      <c r="O58" s="420" t="str">
        <f>IFERROR(_xlfn.XLOOKUP(CONCATENATE($L58,O$5,$M$2),BASE_DATOS[Reporte NSK],BASE_DATOS[NSK],,0),"")</f>
        <v/>
      </c>
      <c r="P58" s="444" t="str">
        <f>IFERROR(_xlfn.XLOOKUP(CONCATENATE($L58,P$5,$M$2),BASE_DATOS[Reporte NSK],BASE_DATOS[NSK],,0),"")</f>
        <v/>
      </c>
      <c r="Q58" s="420" t="str">
        <f>IFERROR(_xlfn.XLOOKUP(CONCATENATE($L58,Q$5,$M$2),BASE_DATOS[Reporte NSK],BASE_DATOS[NSK],,0),"")</f>
        <v/>
      </c>
      <c r="R58" s="420" t="str">
        <f>IFERROR(_xlfn.XLOOKUP(CONCATENATE($L58,R$5,$M$2),BASE_DATOS[Reporte NSK],BASE_DATOS[NSK],,0),"")</f>
        <v/>
      </c>
      <c r="S58" s="420" t="str">
        <f>IFERROR(_xlfn.XLOOKUP(CONCATENATE($L58,S$5,$M$2),BASE_DATOS[Reporte NSK],BASE_DATOS[NSK],,0),"")</f>
        <v/>
      </c>
      <c r="T58" s="420" t="str">
        <f>IFERROR(_xlfn.XLOOKUP(CONCATENATE($L58,T$5,$M$2),BASE_DATOS[Reporte NSK],BASE_DATOS[NSK],,0),"")</f>
        <v/>
      </c>
      <c r="U58" s="420" t="str">
        <f>IFERROR(_xlfn.XLOOKUP(CONCATENATE($L58,U$5,$M$2),BASE_DATOS[Reporte NSK],BASE_DATOS[NSK],,0),"")</f>
        <v/>
      </c>
      <c r="V58" s="420" t="str">
        <f>IFERROR(_xlfn.XLOOKUP(CONCATENATE($L58,V$5,$M$2),BASE_DATOS[Reporte NSK],BASE_DATOS[NSK],,0),"")</f>
        <v/>
      </c>
      <c r="W58" s="435" t="str">
        <f>IFERROR(_xlfn.XLOOKUP(CONCATENATE($L58,W$5,$M$2),BASE_DATOS[Reporte NSK],BASE_DATOS[NSK],,0),"")</f>
        <v/>
      </c>
      <c r="X58" s="418" t="str">
        <f t="shared" si="2"/>
        <v/>
      </c>
    </row>
    <row r="59" spans="12:24" ht="10.199999999999999" customHeight="1" x14ac:dyDescent="0.2">
      <c r="L59" s="412"/>
      <c r="M59" s="415"/>
      <c r="N59" s="419" t="str">
        <f>IFERROR(_xlfn.XLOOKUP(CONCATENATE($L59,N$5,$M$2),BASE_DATOS[Reporte NSK],BASE_DATOS[NSK],,0),"")</f>
        <v/>
      </c>
      <c r="O59" s="420" t="str">
        <f>IFERROR(_xlfn.XLOOKUP(CONCATENATE($L59,O$5,$M$2),BASE_DATOS[Reporte NSK],BASE_DATOS[NSK],,0),"")</f>
        <v/>
      </c>
      <c r="P59" s="444" t="str">
        <f>IFERROR(_xlfn.XLOOKUP(CONCATENATE($L59,P$5,$M$2),BASE_DATOS[Reporte NSK],BASE_DATOS[NSK],,0),"")</f>
        <v/>
      </c>
      <c r="Q59" s="420" t="str">
        <f>IFERROR(_xlfn.XLOOKUP(CONCATENATE($L59,Q$5,$M$2),BASE_DATOS[Reporte NSK],BASE_DATOS[NSK],,0),"")</f>
        <v/>
      </c>
      <c r="R59" s="420" t="str">
        <f>IFERROR(_xlfn.XLOOKUP(CONCATENATE($L59,R$5,$M$2),BASE_DATOS[Reporte NSK],BASE_DATOS[NSK],,0),"")</f>
        <v/>
      </c>
      <c r="S59" s="420" t="str">
        <f>IFERROR(_xlfn.XLOOKUP(CONCATENATE($L59,S$5,$M$2),BASE_DATOS[Reporte NSK],BASE_DATOS[NSK],,0),"")</f>
        <v/>
      </c>
      <c r="T59" s="420" t="str">
        <f>IFERROR(_xlfn.XLOOKUP(CONCATENATE($L59,T$5,$M$2),BASE_DATOS[Reporte NSK],BASE_DATOS[NSK],,0),"")</f>
        <v/>
      </c>
      <c r="U59" s="420" t="str">
        <f>IFERROR(_xlfn.XLOOKUP(CONCATENATE($L59,U$5,$M$2),BASE_DATOS[Reporte NSK],BASE_DATOS[NSK],,0),"")</f>
        <v/>
      </c>
      <c r="V59" s="420" t="str">
        <f>IFERROR(_xlfn.XLOOKUP(CONCATENATE($L59,V$5,$M$2),BASE_DATOS[Reporte NSK],BASE_DATOS[NSK],,0),"")</f>
        <v/>
      </c>
      <c r="W59" s="435" t="str">
        <f>IFERROR(_xlfn.XLOOKUP(CONCATENATE($L59,W$5,$M$2),BASE_DATOS[Reporte NSK],BASE_DATOS[NSK],,0),"")</f>
        <v/>
      </c>
      <c r="X59" s="418" t="str">
        <f t="shared" si="2"/>
        <v/>
      </c>
    </row>
    <row r="60" spans="12:24" ht="10.199999999999999" customHeight="1" x14ac:dyDescent="0.2">
      <c r="L60" s="412"/>
      <c r="M60" s="415"/>
      <c r="N60" s="419" t="str">
        <f>IFERROR(_xlfn.XLOOKUP(CONCATENATE($L60,N$5,$M$2),BASE_DATOS[Reporte NSK],BASE_DATOS[NSK],,0),"")</f>
        <v/>
      </c>
      <c r="O60" s="420" t="str">
        <f>IFERROR(_xlfn.XLOOKUP(CONCATENATE($L60,O$5,$M$2),BASE_DATOS[Reporte NSK],BASE_DATOS[NSK],,0),"")</f>
        <v/>
      </c>
      <c r="P60" s="444" t="str">
        <f>IFERROR(_xlfn.XLOOKUP(CONCATENATE($L60,P$5,$M$2),BASE_DATOS[Reporte NSK],BASE_DATOS[NSK],,0),"")</f>
        <v/>
      </c>
      <c r="Q60" s="420" t="str">
        <f>IFERROR(_xlfn.XLOOKUP(CONCATENATE($L60,Q$5,$M$2),BASE_DATOS[Reporte NSK],BASE_DATOS[NSK],,0),"")</f>
        <v/>
      </c>
      <c r="R60" s="420" t="str">
        <f>IFERROR(_xlfn.XLOOKUP(CONCATENATE($L60,R$5,$M$2),BASE_DATOS[Reporte NSK],BASE_DATOS[NSK],,0),"")</f>
        <v/>
      </c>
      <c r="S60" s="420" t="str">
        <f>IFERROR(_xlfn.XLOOKUP(CONCATENATE($L60,S$5,$M$2),BASE_DATOS[Reporte NSK],BASE_DATOS[NSK],,0),"")</f>
        <v/>
      </c>
      <c r="T60" s="420" t="str">
        <f>IFERROR(_xlfn.XLOOKUP(CONCATENATE($L60,T$5,$M$2),BASE_DATOS[Reporte NSK],BASE_DATOS[NSK],,0),"")</f>
        <v/>
      </c>
      <c r="U60" s="420" t="str">
        <f>IFERROR(_xlfn.XLOOKUP(CONCATENATE($L60,U$5,$M$2),BASE_DATOS[Reporte NSK],BASE_DATOS[NSK],,0),"")</f>
        <v/>
      </c>
      <c r="V60" s="420" t="str">
        <f>IFERROR(_xlfn.XLOOKUP(CONCATENATE($L60,V$5,$M$2),BASE_DATOS[Reporte NSK],BASE_DATOS[NSK],,0),"")</f>
        <v/>
      </c>
      <c r="W60" s="435" t="str">
        <f>IFERROR(_xlfn.XLOOKUP(CONCATENATE($L60,W$5,$M$2),BASE_DATOS[Reporte NSK],BASE_DATOS[NSK],,0),"")</f>
        <v/>
      </c>
      <c r="X60" s="418" t="str">
        <f t="shared" si="2"/>
        <v/>
      </c>
    </row>
    <row r="61" spans="12:24" ht="10.199999999999999" customHeight="1" x14ac:dyDescent="0.2">
      <c r="L61" s="412"/>
      <c r="M61" s="415"/>
      <c r="N61" s="419" t="str">
        <f>IFERROR(_xlfn.XLOOKUP(CONCATENATE($L61,N$5,$M$2),BASE_DATOS[Reporte NSK],BASE_DATOS[NSK],,0),"")</f>
        <v/>
      </c>
      <c r="O61" s="420" t="str">
        <f>IFERROR(_xlfn.XLOOKUP(CONCATENATE($L61,O$5,$M$2),BASE_DATOS[Reporte NSK],BASE_DATOS[NSK],,0),"")</f>
        <v/>
      </c>
      <c r="P61" s="444" t="str">
        <f>IFERROR(_xlfn.XLOOKUP(CONCATENATE($L61,P$5,$M$2),BASE_DATOS[Reporte NSK],BASE_DATOS[NSK],,0),"")</f>
        <v/>
      </c>
      <c r="Q61" s="420" t="str">
        <f>IFERROR(_xlfn.XLOOKUP(CONCATENATE($L61,Q$5,$M$2),BASE_DATOS[Reporte NSK],BASE_DATOS[NSK],,0),"")</f>
        <v/>
      </c>
      <c r="R61" s="420" t="str">
        <f>IFERROR(_xlfn.XLOOKUP(CONCATENATE($L61,R$5,$M$2),BASE_DATOS[Reporte NSK],BASE_DATOS[NSK],,0),"")</f>
        <v/>
      </c>
      <c r="S61" s="420" t="str">
        <f>IFERROR(_xlfn.XLOOKUP(CONCATENATE($L61,S$5,$M$2),BASE_DATOS[Reporte NSK],BASE_DATOS[NSK],,0),"")</f>
        <v/>
      </c>
      <c r="T61" s="420" t="str">
        <f>IFERROR(_xlfn.XLOOKUP(CONCATENATE($L61,T$5,$M$2),BASE_DATOS[Reporte NSK],BASE_DATOS[NSK],,0),"")</f>
        <v/>
      </c>
      <c r="U61" s="420" t="str">
        <f>IFERROR(_xlfn.XLOOKUP(CONCATENATE($L61,U$5,$M$2),BASE_DATOS[Reporte NSK],BASE_DATOS[NSK],,0),"")</f>
        <v/>
      </c>
      <c r="V61" s="420" t="str">
        <f>IFERROR(_xlfn.XLOOKUP(CONCATENATE($L61,V$5,$M$2),BASE_DATOS[Reporte NSK],BASE_DATOS[NSK],,0),"")</f>
        <v/>
      </c>
      <c r="W61" s="435" t="str">
        <f>IFERROR(_xlfn.XLOOKUP(CONCATENATE($L61,W$5,$M$2),BASE_DATOS[Reporte NSK],BASE_DATOS[NSK],,0),"")</f>
        <v/>
      </c>
      <c r="X61" s="418" t="str">
        <f t="shared" si="2"/>
        <v/>
      </c>
    </row>
    <row r="62" spans="12:24" ht="10.199999999999999" customHeight="1" x14ac:dyDescent="0.2">
      <c r="L62" s="412"/>
      <c r="M62" s="415"/>
      <c r="N62" s="419" t="str">
        <f>IFERROR(_xlfn.XLOOKUP(CONCATENATE($L62,N$5,$M$2),BASE_DATOS[Reporte NSK],BASE_DATOS[NSK],,0),"")</f>
        <v/>
      </c>
      <c r="O62" s="420" t="str">
        <f>IFERROR(_xlfn.XLOOKUP(CONCATENATE($L62,O$5,$M$2),BASE_DATOS[Reporte NSK],BASE_DATOS[NSK],,0),"")</f>
        <v/>
      </c>
      <c r="P62" s="444" t="str">
        <f>IFERROR(_xlfn.XLOOKUP(CONCATENATE($L62,P$5,$M$2),BASE_DATOS[Reporte NSK],BASE_DATOS[NSK],,0),"")</f>
        <v/>
      </c>
      <c r="Q62" s="420" t="str">
        <f>IFERROR(_xlfn.XLOOKUP(CONCATENATE($L62,Q$5,$M$2),BASE_DATOS[Reporte NSK],BASE_DATOS[NSK],,0),"")</f>
        <v/>
      </c>
      <c r="R62" s="420" t="str">
        <f>IFERROR(_xlfn.XLOOKUP(CONCATENATE($L62,R$5,$M$2),BASE_DATOS[Reporte NSK],BASE_DATOS[NSK],,0),"")</f>
        <v/>
      </c>
      <c r="S62" s="420" t="str">
        <f>IFERROR(_xlfn.XLOOKUP(CONCATENATE($L62,S$5,$M$2),BASE_DATOS[Reporte NSK],BASE_DATOS[NSK],,0),"")</f>
        <v/>
      </c>
      <c r="T62" s="420" t="str">
        <f>IFERROR(_xlfn.XLOOKUP(CONCATENATE($L62,T$5,$M$2),BASE_DATOS[Reporte NSK],BASE_DATOS[NSK],,0),"")</f>
        <v/>
      </c>
      <c r="U62" s="420" t="str">
        <f>IFERROR(_xlfn.XLOOKUP(CONCATENATE($L62,U$5,$M$2),BASE_DATOS[Reporte NSK],BASE_DATOS[NSK],,0),"")</f>
        <v/>
      </c>
      <c r="V62" s="420" t="str">
        <f>IFERROR(_xlfn.XLOOKUP(CONCATENATE($L62,V$5,$M$2),BASE_DATOS[Reporte NSK],BASE_DATOS[NSK],,0),"")</f>
        <v/>
      </c>
      <c r="W62" s="435" t="str">
        <f>IFERROR(_xlfn.XLOOKUP(CONCATENATE($L62,W$5,$M$2),BASE_DATOS[Reporte NSK],BASE_DATOS[NSK],,0),"")</f>
        <v/>
      </c>
      <c r="X62" s="418" t="str">
        <f t="shared" si="2"/>
        <v/>
      </c>
    </row>
    <row r="63" spans="12:24" ht="10.199999999999999" customHeight="1" x14ac:dyDescent="0.2">
      <c r="L63" s="412"/>
      <c r="M63" s="415"/>
      <c r="N63" s="419" t="str">
        <f>IFERROR(_xlfn.XLOOKUP(CONCATENATE($L63,N$5,$M$2),BASE_DATOS[Reporte NSK],BASE_DATOS[NSK],,0),"")</f>
        <v/>
      </c>
      <c r="O63" s="420" t="str">
        <f>IFERROR(_xlfn.XLOOKUP(CONCATENATE($L63,O$5,$M$2),BASE_DATOS[Reporte NSK],BASE_DATOS[NSK],,0),"")</f>
        <v/>
      </c>
      <c r="P63" s="444" t="str">
        <f>IFERROR(_xlfn.XLOOKUP(CONCATENATE($L63,P$5,$M$2),BASE_DATOS[Reporte NSK],BASE_DATOS[NSK],,0),"")</f>
        <v/>
      </c>
      <c r="Q63" s="420" t="str">
        <f>IFERROR(_xlfn.XLOOKUP(CONCATENATE($L63,Q$5,$M$2),BASE_DATOS[Reporte NSK],BASE_DATOS[NSK],,0),"")</f>
        <v/>
      </c>
      <c r="R63" s="420" t="str">
        <f>IFERROR(_xlfn.XLOOKUP(CONCATENATE($L63,R$5,$M$2),BASE_DATOS[Reporte NSK],BASE_DATOS[NSK],,0),"")</f>
        <v/>
      </c>
      <c r="S63" s="420" t="str">
        <f>IFERROR(_xlfn.XLOOKUP(CONCATENATE($L63,S$5,$M$2),BASE_DATOS[Reporte NSK],BASE_DATOS[NSK],,0),"")</f>
        <v/>
      </c>
      <c r="T63" s="420" t="str">
        <f>IFERROR(_xlfn.XLOOKUP(CONCATENATE($L63,T$5,$M$2),BASE_DATOS[Reporte NSK],BASE_DATOS[NSK],,0),"")</f>
        <v/>
      </c>
      <c r="U63" s="420" t="str">
        <f>IFERROR(_xlfn.XLOOKUP(CONCATENATE($L63,U$5,$M$2),BASE_DATOS[Reporte NSK],BASE_DATOS[NSK],,0),"")</f>
        <v/>
      </c>
      <c r="V63" s="420" t="str">
        <f>IFERROR(_xlfn.XLOOKUP(CONCATENATE($L63,V$5,$M$2),BASE_DATOS[Reporte NSK],BASE_DATOS[NSK],,0),"")</f>
        <v/>
      </c>
      <c r="W63" s="435" t="str">
        <f>IFERROR(_xlfn.XLOOKUP(CONCATENATE($L63,W$5,$M$2),BASE_DATOS[Reporte NSK],BASE_DATOS[NSK],,0),"")</f>
        <v/>
      </c>
      <c r="X63" s="418" t="str">
        <f t="shared" si="2"/>
        <v/>
      </c>
    </row>
    <row r="64" spans="12:24" ht="10.199999999999999" customHeight="1" x14ac:dyDescent="0.2">
      <c r="L64" s="412"/>
      <c r="M64" s="415"/>
      <c r="N64" s="419" t="str">
        <f>IFERROR(_xlfn.XLOOKUP(CONCATENATE($L64,N$5,$M$2),BASE_DATOS[Reporte NSK],BASE_DATOS[NSK],,0),"")</f>
        <v/>
      </c>
      <c r="O64" s="420" t="str">
        <f>IFERROR(_xlfn.XLOOKUP(CONCATENATE($L64,O$5,$M$2),BASE_DATOS[Reporte NSK],BASE_DATOS[NSK],,0),"")</f>
        <v/>
      </c>
      <c r="P64" s="444" t="str">
        <f>IFERROR(_xlfn.XLOOKUP(CONCATENATE($L64,P$5,$M$2),BASE_DATOS[Reporte NSK],BASE_DATOS[NSK],,0),"")</f>
        <v/>
      </c>
      <c r="Q64" s="420" t="str">
        <f>IFERROR(_xlfn.XLOOKUP(CONCATENATE($L64,Q$5,$M$2),BASE_DATOS[Reporte NSK],BASE_DATOS[NSK],,0),"")</f>
        <v/>
      </c>
      <c r="R64" s="420" t="str">
        <f>IFERROR(_xlfn.XLOOKUP(CONCATENATE($L64,R$5,$M$2),BASE_DATOS[Reporte NSK],BASE_DATOS[NSK],,0),"")</f>
        <v/>
      </c>
      <c r="S64" s="420" t="str">
        <f>IFERROR(_xlfn.XLOOKUP(CONCATENATE($L64,S$5,$M$2),BASE_DATOS[Reporte NSK],BASE_DATOS[NSK],,0),"")</f>
        <v/>
      </c>
      <c r="T64" s="420" t="str">
        <f>IFERROR(_xlfn.XLOOKUP(CONCATENATE($L64,T$5,$M$2),BASE_DATOS[Reporte NSK],BASE_DATOS[NSK],,0),"")</f>
        <v/>
      </c>
      <c r="U64" s="420" t="str">
        <f>IFERROR(_xlfn.XLOOKUP(CONCATENATE($L64,U$5,$M$2),BASE_DATOS[Reporte NSK],BASE_DATOS[NSK],,0),"")</f>
        <v/>
      </c>
      <c r="V64" s="420" t="str">
        <f>IFERROR(_xlfn.XLOOKUP(CONCATENATE($L64,V$5,$M$2),BASE_DATOS[Reporte NSK],BASE_DATOS[NSK],,0),"")</f>
        <v/>
      </c>
      <c r="W64" s="435" t="str">
        <f>IFERROR(_xlfn.XLOOKUP(CONCATENATE($L64,W$5,$M$2),BASE_DATOS[Reporte NSK],BASE_DATOS[NSK],,0),"")</f>
        <v/>
      </c>
      <c r="X64" s="418" t="str">
        <f t="shared" si="2"/>
        <v/>
      </c>
    </row>
    <row r="65" spans="12:74" ht="10.199999999999999" customHeight="1" x14ac:dyDescent="0.2">
      <c r="L65" s="412"/>
      <c r="M65" s="415"/>
      <c r="N65" s="419" t="str">
        <f>IFERROR(_xlfn.XLOOKUP(CONCATENATE($L65,N$5,$M$2),BASE_DATOS[Reporte NSK],BASE_DATOS[NSK],,0),"")</f>
        <v/>
      </c>
      <c r="O65" s="420" t="str">
        <f>IFERROR(_xlfn.XLOOKUP(CONCATENATE($L65,O$5,$M$2),BASE_DATOS[Reporte NSK],BASE_DATOS[NSK],,0),"")</f>
        <v/>
      </c>
      <c r="P65" s="444" t="str">
        <f>IFERROR(_xlfn.XLOOKUP(CONCATENATE($L65,P$5,$M$2),BASE_DATOS[Reporte NSK],BASE_DATOS[NSK],,0),"")</f>
        <v/>
      </c>
      <c r="Q65" s="420" t="str">
        <f>IFERROR(_xlfn.XLOOKUP(CONCATENATE($L65,Q$5,$M$2),BASE_DATOS[Reporte NSK],BASE_DATOS[NSK],,0),"")</f>
        <v/>
      </c>
      <c r="R65" s="420" t="str">
        <f>IFERROR(_xlfn.XLOOKUP(CONCATENATE($L65,R$5,$M$2),BASE_DATOS[Reporte NSK],BASE_DATOS[NSK],,0),"")</f>
        <v/>
      </c>
      <c r="S65" s="420" t="str">
        <f>IFERROR(_xlfn.XLOOKUP(CONCATENATE($L65,S$5,$M$2),BASE_DATOS[Reporte NSK],BASE_DATOS[NSK],,0),"")</f>
        <v/>
      </c>
      <c r="T65" s="420" t="str">
        <f>IFERROR(_xlfn.XLOOKUP(CONCATENATE($L65,T$5,$M$2),BASE_DATOS[Reporte NSK],BASE_DATOS[NSK],,0),"")</f>
        <v/>
      </c>
      <c r="U65" s="420" t="str">
        <f>IFERROR(_xlfn.XLOOKUP(CONCATENATE($L65,U$5,$M$2),BASE_DATOS[Reporte NSK],BASE_DATOS[NSK],,0),"")</f>
        <v/>
      </c>
      <c r="V65" s="420" t="str">
        <f>IFERROR(_xlfn.XLOOKUP(CONCATENATE($L65,V$5,$M$2),BASE_DATOS[Reporte NSK],BASE_DATOS[NSK],,0),"")</f>
        <v/>
      </c>
      <c r="W65" s="435" t="str">
        <f>IFERROR(_xlfn.XLOOKUP(CONCATENATE($L65,W$5,$M$2),BASE_DATOS[Reporte NSK],BASE_DATOS[NSK],,0),"")</f>
        <v/>
      </c>
      <c r="X65" s="418" t="str">
        <f t="shared" si="2"/>
        <v/>
      </c>
    </row>
    <row r="66" spans="12:74" ht="10.199999999999999" customHeight="1" x14ac:dyDescent="0.2">
      <c r="L66" s="412"/>
      <c r="M66" s="415"/>
      <c r="N66" s="419" t="str">
        <f>IFERROR(_xlfn.XLOOKUP(CONCATENATE($L66,N$5,$M$2),BASE_DATOS[Reporte NSK],BASE_DATOS[NSK],,0),"")</f>
        <v/>
      </c>
      <c r="O66" s="420" t="str">
        <f>IFERROR(_xlfn.XLOOKUP(CONCATENATE($L66,O$5,$M$2),BASE_DATOS[Reporte NSK],BASE_DATOS[NSK],,0),"")</f>
        <v/>
      </c>
      <c r="P66" s="444" t="str">
        <f>IFERROR(_xlfn.XLOOKUP(CONCATENATE($L66,P$5,$M$2),BASE_DATOS[Reporte NSK],BASE_DATOS[NSK],,0),"")</f>
        <v/>
      </c>
      <c r="Q66" s="420" t="str">
        <f>IFERROR(_xlfn.XLOOKUP(CONCATENATE($L66,Q$5,$M$2),BASE_DATOS[Reporte NSK],BASE_DATOS[NSK],,0),"")</f>
        <v/>
      </c>
      <c r="R66" s="420" t="str">
        <f>IFERROR(_xlfn.XLOOKUP(CONCATENATE($L66,R$5,$M$2),BASE_DATOS[Reporte NSK],BASE_DATOS[NSK],,0),"")</f>
        <v/>
      </c>
      <c r="S66" s="420" t="str">
        <f>IFERROR(_xlfn.XLOOKUP(CONCATENATE($L66,S$5,$M$2),BASE_DATOS[Reporte NSK],BASE_DATOS[NSK],,0),"")</f>
        <v/>
      </c>
      <c r="T66" s="420" t="str">
        <f>IFERROR(_xlfn.XLOOKUP(CONCATENATE($L66,T$5,$M$2),BASE_DATOS[Reporte NSK],BASE_DATOS[NSK],,0),"")</f>
        <v/>
      </c>
      <c r="U66" s="420" t="str">
        <f>IFERROR(_xlfn.XLOOKUP(CONCATENATE($L66,U$5,$M$2),BASE_DATOS[Reporte NSK],BASE_DATOS[NSK],,0),"")</f>
        <v/>
      </c>
      <c r="V66" s="420" t="str">
        <f>IFERROR(_xlfn.XLOOKUP(CONCATENATE($L66,V$5,$M$2),BASE_DATOS[Reporte NSK],BASE_DATOS[NSK],,0),"")</f>
        <v/>
      </c>
      <c r="W66" s="435" t="str">
        <f>IFERROR(_xlfn.XLOOKUP(CONCATENATE($L66,W$5,$M$2),BASE_DATOS[Reporte NSK],BASE_DATOS[NSK],,0),"")</f>
        <v/>
      </c>
      <c r="X66" s="418" t="str">
        <f t="shared" si="2"/>
        <v/>
      </c>
    </row>
    <row r="67" spans="12:74" ht="10.199999999999999" customHeight="1" x14ac:dyDescent="0.2">
      <c r="L67" s="412"/>
      <c r="M67" s="415"/>
      <c r="N67" s="419" t="str">
        <f>IFERROR(_xlfn.XLOOKUP(CONCATENATE($L67,N$5,$M$2),BASE_DATOS[Reporte NSK],BASE_DATOS[NSK],,0),"")</f>
        <v/>
      </c>
      <c r="O67" s="420" t="str">
        <f>IFERROR(_xlfn.XLOOKUP(CONCATENATE($L67,O$5,$M$2),BASE_DATOS[Reporte NSK],BASE_DATOS[NSK],,0),"")</f>
        <v/>
      </c>
      <c r="P67" s="444" t="str">
        <f>IFERROR(_xlfn.XLOOKUP(CONCATENATE($L67,P$5,$M$2),BASE_DATOS[Reporte NSK],BASE_DATOS[NSK],,0),"")</f>
        <v/>
      </c>
      <c r="Q67" s="420" t="str">
        <f>IFERROR(_xlfn.XLOOKUP(CONCATENATE($L67,Q$5,$M$2),BASE_DATOS[Reporte NSK],BASE_DATOS[NSK],,0),"")</f>
        <v/>
      </c>
      <c r="R67" s="420" t="str">
        <f>IFERROR(_xlfn.XLOOKUP(CONCATENATE($L67,R$5,$M$2),BASE_DATOS[Reporte NSK],BASE_DATOS[NSK],,0),"")</f>
        <v/>
      </c>
      <c r="S67" s="420" t="str">
        <f>IFERROR(_xlfn.XLOOKUP(CONCATENATE($L67,S$5,$M$2),BASE_DATOS[Reporte NSK],BASE_DATOS[NSK],,0),"")</f>
        <v/>
      </c>
      <c r="T67" s="420" t="str">
        <f>IFERROR(_xlfn.XLOOKUP(CONCATENATE($L67,T$5,$M$2),BASE_DATOS[Reporte NSK],BASE_DATOS[NSK],,0),"")</f>
        <v/>
      </c>
      <c r="U67" s="420" t="str">
        <f>IFERROR(_xlfn.XLOOKUP(CONCATENATE($L67,U$5,$M$2),BASE_DATOS[Reporte NSK],BASE_DATOS[NSK],,0),"")</f>
        <v/>
      </c>
      <c r="V67" s="420" t="str">
        <f>IFERROR(_xlfn.XLOOKUP(CONCATENATE($L67,V$5,$M$2),BASE_DATOS[Reporte NSK],BASE_DATOS[NSK],,0),"")</f>
        <v/>
      </c>
      <c r="W67" s="435" t="str">
        <f>IFERROR(_xlfn.XLOOKUP(CONCATENATE($L67,W$5,$M$2),BASE_DATOS[Reporte NSK],BASE_DATOS[NSK],,0),"")</f>
        <v/>
      </c>
      <c r="X67" s="418" t="str">
        <f t="shared" si="2"/>
        <v/>
      </c>
    </row>
    <row r="68" spans="12:74" ht="10.199999999999999" customHeight="1" x14ac:dyDescent="0.2">
      <c r="L68" s="412"/>
      <c r="M68" s="415"/>
      <c r="N68" s="419" t="str">
        <f>IFERROR(_xlfn.XLOOKUP(CONCATENATE($L68,N$5,$M$2),BASE_DATOS[Reporte NSK],BASE_DATOS[NSK],,0),"")</f>
        <v/>
      </c>
      <c r="O68" s="420" t="str">
        <f>IFERROR(_xlfn.XLOOKUP(CONCATENATE($L68,O$5,$M$2),BASE_DATOS[Reporte NSK],BASE_DATOS[NSK],,0),"")</f>
        <v/>
      </c>
      <c r="P68" s="444" t="str">
        <f>IFERROR(_xlfn.XLOOKUP(CONCATENATE($L68,P$5,$M$2),BASE_DATOS[Reporte NSK],BASE_DATOS[NSK],,0),"")</f>
        <v/>
      </c>
      <c r="Q68" s="420" t="str">
        <f>IFERROR(_xlfn.XLOOKUP(CONCATENATE($L68,Q$5,$M$2),BASE_DATOS[Reporte NSK],BASE_DATOS[NSK],,0),"")</f>
        <v/>
      </c>
      <c r="R68" s="420" t="str">
        <f>IFERROR(_xlfn.XLOOKUP(CONCATENATE($L68,R$5,$M$2),BASE_DATOS[Reporte NSK],BASE_DATOS[NSK],,0),"")</f>
        <v/>
      </c>
      <c r="S68" s="420" t="str">
        <f>IFERROR(_xlfn.XLOOKUP(CONCATENATE($L68,S$5,$M$2),BASE_DATOS[Reporte NSK],BASE_DATOS[NSK],,0),"")</f>
        <v/>
      </c>
      <c r="T68" s="420" t="str">
        <f>IFERROR(_xlfn.XLOOKUP(CONCATENATE($L68,T$5,$M$2),BASE_DATOS[Reporte NSK],BASE_DATOS[NSK],,0),"")</f>
        <v/>
      </c>
      <c r="U68" s="420" t="str">
        <f>IFERROR(_xlfn.XLOOKUP(CONCATENATE($L68,U$5,$M$2),BASE_DATOS[Reporte NSK],BASE_DATOS[NSK],,0),"")</f>
        <v/>
      </c>
      <c r="V68" s="420" t="str">
        <f>IFERROR(_xlfn.XLOOKUP(CONCATENATE($L68,V$5,$M$2),BASE_DATOS[Reporte NSK],BASE_DATOS[NSK],,0),"")</f>
        <v/>
      </c>
      <c r="W68" s="435" t="str">
        <f>IFERROR(_xlfn.XLOOKUP(CONCATENATE($L68,W$5,$M$2),BASE_DATOS[Reporte NSK],BASE_DATOS[NSK],,0),"")</f>
        <v/>
      </c>
      <c r="X68" s="418" t="str">
        <f t="shared" si="2"/>
        <v/>
      </c>
    </row>
    <row r="69" spans="12:74" ht="10.199999999999999" customHeight="1" x14ac:dyDescent="0.2">
      <c r="L69" s="412"/>
      <c r="M69" s="415"/>
      <c r="N69" s="421" t="str">
        <f>IFERROR(_xlfn.XLOOKUP(CONCATENATE($L69,N$5,$M$2),BASE_DATOS[Reporte NSK],BASE_DATOS[NSK],,0),"")</f>
        <v/>
      </c>
      <c r="O69" s="422" t="str">
        <f>IFERROR(_xlfn.XLOOKUP(CONCATENATE($L69,O$5,$M$2),BASE_DATOS[Reporte NSK],BASE_DATOS[NSK],,0),"")</f>
        <v/>
      </c>
      <c r="P69" s="445" t="str">
        <f>IFERROR(_xlfn.XLOOKUP(CONCATENATE($L69,P$5,$M$2),BASE_DATOS[Reporte NSK],BASE_DATOS[NSK],,0),"")</f>
        <v/>
      </c>
      <c r="Q69" s="422" t="str">
        <f>IFERROR(_xlfn.XLOOKUP(CONCATENATE($L69,Q$5,$M$2),BASE_DATOS[Reporte NSK],BASE_DATOS[NSK],,0),"")</f>
        <v/>
      </c>
      <c r="R69" s="422" t="str">
        <f>IFERROR(_xlfn.XLOOKUP(CONCATENATE($L69,R$5,$M$2),BASE_DATOS[Reporte NSK],BASE_DATOS[NSK],,0),"")</f>
        <v/>
      </c>
      <c r="S69" s="422" t="str">
        <f>IFERROR(_xlfn.XLOOKUP(CONCATENATE($L69,S$5,$M$2),BASE_DATOS[Reporte NSK],BASE_DATOS[NSK],,0),"")</f>
        <v/>
      </c>
      <c r="T69" s="422" t="str">
        <f>IFERROR(_xlfn.XLOOKUP(CONCATENATE($L69,T$5,$M$2),BASE_DATOS[Reporte NSK],BASE_DATOS[NSK],,0),"")</f>
        <v/>
      </c>
      <c r="U69" s="422" t="str">
        <f>IFERROR(_xlfn.XLOOKUP(CONCATENATE($L69,U$5,$M$2),BASE_DATOS[Reporte NSK],BASE_DATOS[NSK],,0),"")</f>
        <v/>
      </c>
      <c r="V69" s="422" t="str">
        <f>IFERROR(_xlfn.XLOOKUP(CONCATENATE($L69,V$5,$M$2),BASE_DATOS[Reporte NSK],BASE_DATOS[NSK],,0),"")</f>
        <v/>
      </c>
      <c r="W69" s="436" t="str">
        <f>IFERROR(_xlfn.XLOOKUP(CONCATENATE($L69,W$5,$M$2),BASE_DATOS[Reporte NSK],BASE_DATOS[NSK],,0),"")</f>
        <v/>
      </c>
      <c r="X69" s="418" t="str">
        <f t="shared" si="2"/>
        <v/>
      </c>
    </row>
    <row r="70" spans="12:74" ht="10.199999999999999" customHeight="1" x14ac:dyDescent="0.2">
      <c r="L70" s="412"/>
      <c r="M70" s="415"/>
      <c r="N70" s="421" t="str">
        <f>IFERROR(_xlfn.XLOOKUP(CONCATENATE($L70,N$5,$M$2),BASE_DATOS[Reporte NSK],BASE_DATOS[NSK],,0),"")</f>
        <v/>
      </c>
      <c r="O70" s="422" t="str">
        <f>IFERROR(_xlfn.XLOOKUP(CONCATENATE($L70,O$5,$M$2),BASE_DATOS[Reporte NSK],BASE_DATOS[NSK],,0),"")</f>
        <v/>
      </c>
      <c r="P70" s="445" t="str">
        <f>IFERROR(_xlfn.XLOOKUP(CONCATENATE($L70,P$5,$M$2),BASE_DATOS[Reporte NSK],BASE_DATOS[NSK],,0),"")</f>
        <v/>
      </c>
      <c r="Q70" s="422" t="str">
        <f>IFERROR(_xlfn.XLOOKUP(CONCATENATE($L70,Q$5,$M$2),BASE_DATOS[Reporte NSK],BASE_DATOS[NSK],,0),"")</f>
        <v/>
      </c>
      <c r="R70" s="422" t="str">
        <f>IFERROR(_xlfn.XLOOKUP(CONCATENATE($L70,R$5,$M$2),BASE_DATOS[Reporte NSK],BASE_DATOS[NSK],,0),"")</f>
        <v/>
      </c>
      <c r="S70" s="422" t="str">
        <f>IFERROR(_xlfn.XLOOKUP(CONCATENATE($L70,S$5,$M$2),BASE_DATOS[Reporte NSK],BASE_DATOS[NSK],,0),"")</f>
        <v/>
      </c>
      <c r="T70" s="422" t="str">
        <f>IFERROR(_xlfn.XLOOKUP(CONCATENATE($L70,T$5,$M$2),BASE_DATOS[Reporte NSK],BASE_DATOS[NSK],,0),"")</f>
        <v/>
      </c>
      <c r="U70" s="422" t="str">
        <f>IFERROR(_xlfn.XLOOKUP(CONCATENATE($L70,U$5,$M$2),BASE_DATOS[Reporte NSK],BASE_DATOS[NSK],,0),"")</f>
        <v/>
      </c>
      <c r="V70" s="422" t="str">
        <f>IFERROR(_xlfn.XLOOKUP(CONCATENATE($L70,V$5,$M$2),BASE_DATOS[Reporte NSK],BASE_DATOS[NSK],,0),"")</f>
        <v/>
      </c>
      <c r="W70" s="436" t="str">
        <f>IFERROR(_xlfn.XLOOKUP(CONCATENATE($L70,W$5,$M$2),BASE_DATOS[Reporte NSK],BASE_DATOS[NSK],,0),"")</f>
        <v/>
      </c>
      <c r="X70" s="418" t="str">
        <f t="shared" ref="X70:X101" si="3">IF(COUNT(N70:W70)&gt;0,COUNT(N70:W70),"")</f>
        <v/>
      </c>
    </row>
    <row r="71" spans="12:74" ht="10.199999999999999" customHeight="1" x14ac:dyDescent="0.2">
      <c r="L71" s="412"/>
      <c r="M71" s="415"/>
      <c r="N71" s="421" t="str">
        <f>IFERROR(_xlfn.XLOOKUP(CONCATENATE($L71,N$5,$M$2),BASE_DATOS[Reporte NSK],BASE_DATOS[NSK],,0),"")</f>
        <v/>
      </c>
      <c r="O71" s="422" t="str">
        <f>IFERROR(_xlfn.XLOOKUP(CONCATENATE($L71,O$5,$M$2),BASE_DATOS[Reporte NSK],BASE_DATOS[NSK],,0),"")</f>
        <v/>
      </c>
      <c r="P71" s="445" t="str">
        <f>IFERROR(_xlfn.XLOOKUP(CONCATENATE($L71,P$5,$M$2),BASE_DATOS[Reporte NSK],BASE_DATOS[NSK],,0),"")</f>
        <v/>
      </c>
      <c r="Q71" s="422" t="str">
        <f>IFERROR(_xlfn.XLOOKUP(CONCATENATE($L71,Q$5,$M$2),BASE_DATOS[Reporte NSK],BASE_DATOS[NSK],,0),"")</f>
        <v/>
      </c>
      <c r="R71" s="422" t="str">
        <f>IFERROR(_xlfn.XLOOKUP(CONCATENATE($L71,R$5,$M$2),BASE_DATOS[Reporte NSK],BASE_DATOS[NSK],,0),"")</f>
        <v/>
      </c>
      <c r="S71" s="422" t="str">
        <f>IFERROR(_xlfn.XLOOKUP(CONCATENATE($L71,S$5,$M$2),BASE_DATOS[Reporte NSK],BASE_DATOS[NSK],,0),"")</f>
        <v/>
      </c>
      <c r="T71" s="422" t="str">
        <f>IFERROR(_xlfn.XLOOKUP(CONCATENATE($L71,T$5,$M$2),BASE_DATOS[Reporte NSK],BASE_DATOS[NSK],,0),"")</f>
        <v/>
      </c>
      <c r="U71" s="422" t="str">
        <f>IFERROR(_xlfn.XLOOKUP(CONCATENATE($L71,U$5,$M$2),BASE_DATOS[Reporte NSK],BASE_DATOS[NSK],,0),"")</f>
        <v/>
      </c>
      <c r="V71" s="422" t="str">
        <f>IFERROR(_xlfn.XLOOKUP(CONCATENATE($L71,V$5,$M$2),BASE_DATOS[Reporte NSK],BASE_DATOS[NSK],,0),"")</f>
        <v/>
      </c>
      <c r="W71" s="436" t="str">
        <f>IFERROR(_xlfn.XLOOKUP(CONCATENATE($L71,W$5,$M$2),BASE_DATOS[Reporte NSK],BASE_DATOS[NSK],,0),"")</f>
        <v/>
      </c>
      <c r="X71" s="418" t="str">
        <f t="shared" si="3"/>
        <v/>
      </c>
    </row>
    <row r="72" spans="12:74" ht="10.199999999999999" customHeight="1" x14ac:dyDescent="0.2">
      <c r="L72" s="412"/>
      <c r="M72" s="415"/>
      <c r="N72" s="421" t="str">
        <f>IFERROR(_xlfn.XLOOKUP(CONCATENATE($L72,N$5,$M$2),BASE_DATOS[Reporte NSK],BASE_DATOS[NSK],,0),"")</f>
        <v/>
      </c>
      <c r="O72" s="422" t="str">
        <f>IFERROR(_xlfn.XLOOKUP(CONCATENATE($L72,O$5,$M$2),BASE_DATOS[Reporte NSK],BASE_DATOS[NSK],,0),"")</f>
        <v/>
      </c>
      <c r="P72" s="445" t="str">
        <f>IFERROR(_xlfn.XLOOKUP(CONCATENATE($L72,P$5,$M$2),BASE_DATOS[Reporte NSK],BASE_DATOS[NSK],,0),"")</f>
        <v/>
      </c>
      <c r="Q72" s="422" t="str">
        <f>IFERROR(_xlfn.XLOOKUP(CONCATENATE($L72,Q$5,$M$2),BASE_DATOS[Reporte NSK],BASE_DATOS[NSK],,0),"")</f>
        <v/>
      </c>
      <c r="R72" s="422" t="str">
        <f>IFERROR(_xlfn.XLOOKUP(CONCATENATE($L72,R$5,$M$2),BASE_DATOS[Reporte NSK],BASE_DATOS[NSK],,0),"")</f>
        <v/>
      </c>
      <c r="S72" s="422" t="str">
        <f>IFERROR(_xlfn.XLOOKUP(CONCATENATE($L72,S$5,$M$2),BASE_DATOS[Reporte NSK],BASE_DATOS[NSK],,0),"")</f>
        <v/>
      </c>
      <c r="T72" s="422" t="str">
        <f>IFERROR(_xlfn.XLOOKUP(CONCATENATE($L72,T$5,$M$2),BASE_DATOS[Reporte NSK],BASE_DATOS[NSK],,0),"")</f>
        <v/>
      </c>
      <c r="U72" s="422" t="str">
        <f>IFERROR(_xlfn.XLOOKUP(CONCATENATE($L72,U$5,$M$2),BASE_DATOS[Reporte NSK],BASE_DATOS[NSK],,0),"")</f>
        <v/>
      </c>
      <c r="V72" s="422" t="str">
        <f>IFERROR(_xlfn.XLOOKUP(CONCATENATE($L72,V$5,$M$2),BASE_DATOS[Reporte NSK],BASE_DATOS[NSK],,0),"")</f>
        <v/>
      </c>
      <c r="W72" s="436" t="str">
        <f>IFERROR(_xlfn.XLOOKUP(CONCATENATE($L72,W$5,$M$2),BASE_DATOS[Reporte NSK],BASE_DATOS[NSK],,0),"")</f>
        <v/>
      </c>
      <c r="X72" s="418" t="str">
        <f t="shared" si="3"/>
        <v/>
      </c>
    </row>
    <row r="73" spans="12:74" ht="10.199999999999999" customHeight="1" x14ac:dyDescent="0.2">
      <c r="L73" s="412"/>
      <c r="M73" s="415"/>
      <c r="N73" s="421" t="str">
        <f>IFERROR(_xlfn.XLOOKUP(CONCATENATE($L73,N$5,$M$2),BASE_DATOS[Reporte NSK],BASE_DATOS[NSK],,0),"")</f>
        <v/>
      </c>
      <c r="O73" s="422" t="str">
        <f>IFERROR(_xlfn.XLOOKUP(CONCATENATE($L73,O$5,$M$2),BASE_DATOS[Reporte NSK],BASE_DATOS[NSK],,0),"")</f>
        <v/>
      </c>
      <c r="P73" s="445" t="str">
        <f>IFERROR(_xlfn.XLOOKUP(CONCATENATE($L73,P$5,$M$2),BASE_DATOS[Reporte NSK],BASE_DATOS[NSK],,0),"")</f>
        <v/>
      </c>
      <c r="Q73" s="422" t="str">
        <f>IFERROR(_xlfn.XLOOKUP(CONCATENATE($L73,Q$5,$M$2),BASE_DATOS[Reporte NSK],BASE_DATOS[NSK],,0),"")</f>
        <v/>
      </c>
      <c r="R73" s="422" t="str">
        <f>IFERROR(_xlfn.XLOOKUP(CONCATENATE($L73,R$5,$M$2),BASE_DATOS[Reporte NSK],BASE_DATOS[NSK],,0),"")</f>
        <v/>
      </c>
      <c r="S73" s="422" t="str">
        <f>IFERROR(_xlfn.XLOOKUP(CONCATENATE($L73,S$5,$M$2),BASE_DATOS[Reporte NSK],BASE_DATOS[NSK],,0),"")</f>
        <v/>
      </c>
      <c r="T73" s="422" t="str">
        <f>IFERROR(_xlfn.XLOOKUP(CONCATENATE($L73,T$5,$M$2),BASE_DATOS[Reporte NSK],BASE_DATOS[NSK],,0),"")</f>
        <v/>
      </c>
      <c r="U73" s="422" t="str">
        <f>IFERROR(_xlfn.XLOOKUP(CONCATENATE($L73,U$5,$M$2),BASE_DATOS[Reporte NSK],BASE_DATOS[NSK],,0),"")</f>
        <v/>
      </c>
      <c r="V73" s="422" t="str">
        <f>IFERROR(_xlfn.XLOOKUP(CONCATENATE($L73,V$5,$M$2),BASE_DATOS[Reporte NSK],BASE_DATOS[NSK],,0),"")</f>
        <v/>
      </c>
      <c r="W73" s="436" t="str">
        <f>IFERROR(_xlfn.XLOOKUP(CONCATENATE($L73,W$5,$M$2),BASE_DATOS[Reporte NSK],BASE_DATOS[NSK],,0),"")</f>
        <v/>
      </c>
      <c r="X73" s="418" t="str">
        <f t="shared" si="3"/>
        <v/>
      </c>
    </row>
    <row r="74" spans="12:74" ht="10.199999999999999" customHeight="1" x14ac:dyDescent="0.2">
      <c r="L74" s="412"/>
      <c r="M74" s="415"/>
      <c r="N74" s="421" t="str">
        <f>IFERROR(_xlfn.XLOOKUP(CONCATENATE($L74,N$5,$M$2),BASE_DATOS[Reporte NSK],BASE_DATOS[NSK],,0),"")</f>
        <v/>
      </c>
      <c r="O74" s="422" t="str">
        <f>IFERROR(_xlfn.XLOOKUP(CONCATENATE($L74,O$5,$M$2),BASE_DATOS[Reporte NSK],BASE_DATOS[NSK],,0),"")</f>
        <v/>
      </c>
      <c r="P74" s="445" t="str">
        <f>IFERROR(_xlfn.XLOOKUP(CONCATENATE($L74,P$5,$M$2),BASE_DATOS[Reporte NSK],BASE_DATOS[NSK],,0),"")</f>
        <v/>
      </c>
      <c r="Q74" s="422" t="str">
        <f>IFERROR(_xlfn.XLOOKUP(CONCATENATE($L74,Q$5,$M$2),BASE_DATOS[Reporte NSK],BASE_DATOS[NSK],,0),"")</f>
        <v/>
      </c>
      <c r="R74" s="422" t="str">
        <f>IFERROR(_xlfn.XLOOKUP(CONCATENATE($L74,R$5,$M$2),BASE_DATOS[Reporte NSK],BASE_DATOS[NSK],,0),"")</f>
        <v/>
      </c>
      <c r="S74" s="422" t="str">
        <f>IFERROR(_xlfn.XLOOKUP(CONCATENATE($L74,S$5,$M$2),BASE_DATOS[Reporte NSK],BASE_DATOS[NSK],,0),"")</f>
        <v/>
      </c>
      <c r="T74" s="422" t="str">
        <f>IFERROR(_xlfn.XLOOKUP(CONCATENATE($L74,T$5,$M$2),BASE_DATOS[Reporte NSK],BASE_DATOS[NSK],,0),"")</f>
        <v/>
      </c>
      <c r="U74" s="422" t="str">
        <f>IFERROR(_xlfn.XLOOKUP(CONCATENATE($L74,U$5,$M$2),BASE_DATOS[Reporte NSK],BASE_DATOS[NSK],,0),"")</f>
        <v/>
      </c>
      <c r="V74" s="422" t="str">
        <f>IFERROR(_xlfn.XLOOKUP(CONCATENATE($L74,V$5,$M$2),BASE_DATOS[Reporte NSK],BASE_DATOS[NSK],,0),"")</f>
        <v/>
      </c>
      <c r="W74" s="436" t="str">
        <f>IFERROR(_xlfn.XLOOKUP(CONCATENATE($L74,W$5,$M$2),BASE_DATOS[Reporte NSK],BASE_DATOS[NSK],,0),"")</f>
        <v/>
      </c>
      <c r="X74" s="418" t="str">
        <f t="shared" si="3"/>
        <v/>
      </c>
    </row>
    <row r="75" spans="12:74" ht="10.199999999999999" customHeight="1" x14ac:dyDescent="0.2">
      <c r="L75" s="412"/>
      <c r="M75" s="415"/>
      <c r="N75" s="421" t="str">
        <f>IFERROR(_xlfn.XLOOKUP(CONCATENATE($L75,N$5,$M$2),BASE_DATOS[Reporte NSK],BASE_DATOS[NSK],,0),"")</f>
        <v/>
      </c>
      <c r="O75" s="422" t="str">
        <f>IFERROR(_xlfn.XLOOKUP(CONCATENATE($L75,O$5,$M$2),BASE_DATOS[Reporte NSK],BASE_DATOS[NSK],,0),"")</f>
        <v/>
      </c>
      <c r="P75" s="445" t="str">
        <f>IFERROR(_xlfn.XLOOKUP(CONCATENATE($L75,P$5,$M$2),BASE_DATOS[Reporte NSK],BASE_DATOS[NSK],,0),"")</f>
        <v/>
      </c>
      <c r="Q75" s="422" t="str">
        <f>IFERROR(_xlfn.XLOOKUP(CONCATENATE($L75,Q$5,$M$2),BASE_DATOS[Reporte NSK],BASE_DATOS[NSK],,0),"")</f>
        <v/>
      </c>
      <c r="R75" s="422" t="str">
        <f>IFERROR(_xlfn.XLOOKUP(CONCATENATE($L75,R$5,$M$2),BASE_DATOS[Reporte NSK],BASE_DATOS[NSK],,0),"")</f>
        <v/>
      </c>
      <c r="S75" s="422" t="str">
        <f>IFERROR(_xlfn.XLOOKUP(CONCATENATE($L75,S$5,$M$2),BASE_DATOS[Reporte NSK],BASE_DATOS[NSK],,0),"")</f>
        <v/>
      </c>
      <c r="T75" s="422" t="str">
        <f>IFERROR(_xlfn.XLOOKUP(CONCATENATE($L75,T$5,$M$2),BASE_DATOS[Reporte NSK],BASE_DATOS[NSK],,0),"")</f>
        <v/>
      </c>
      <c r="U75" s="422" t="str">
        <f>IFERROR(_xlfn.XLOOKUP(CONCATENATE($L75,U$5,$M$2),BASE_DATOS[Reporte NSK],BASE_DATOS[NSK],,0),"")</f>
        <v/>
      </c>
      <c r="V75" s="422" t="str">
        <f>IFERROR(_xlfn.XLOOKUP(CONCATENATE($L75,V$5,$M$2),BASE_DATOS[Reporte NSK],BASE_DATOS[NSK],,0),"")</f>
        <v/>
      </c>
      <c r="W75" s="436" t="str">
        <f>IFERROR(_xlfn.XLOOKUP(CONCATENATE($L75,W$5,$M$2),BASE_DATOS[Reporte NSK],BASE_DATOS[NSK],,0),"")</f>
        <v/>
      </c>
      <c r="X75" s="418" t="str">
        <f t="shared" si="3"/>
        <v/>
      </c>
    </row>
    <row r="76" spans="12:74" ht="10.199999999999999" customHeight="1" x14ac:dyDescent="0.2">
      <c r="L76" s="412"/>
      <c r="M76" s="415"/>
      <c r="N76" s="421" t="str">
        <f>IFERROR(_xlfn.XLOOKUP(CONCATENATE($L76,N$5,$M$2),BASE_DATOS[Reporte NSK],BASE_DATOS[NSK],,0),"")</f>
        <v/>
      </c>
      <c r="O76" s="422" t="str">
        <f>IFERROR(_xlfn.XLOOKUP(CONCATENATE($L76,O$5,$M$2),BASE_DATOS[Reporte NSK],BASE_DATOS[NSK],,0),"")</f>
        <v/>
      </c>
      <c r="P76" s="445" t="str">
        <f>IFERROR(_xlfn.XLOOKUP(CONCATENATE($L76,P$5,$M$2),BASE_DATOS[Reporte NSK],BASE_DATOS[NSK],,0),"")</f>
        <v/>
      </c>
      <c r="Q76" s="422" t="str">
        <f>IFERROR(_xlfn.XLOOKUP(CONCATENATE($L76,Q$5,$M$2),BASE_DATOS[Reporte NSK],BASE_DATOS[NSK],,0),"")</f>
        <v/>
      </c>
      <c r="R76" s="422" t="str">
        <f>IFERROR(_xlfn.XLOOKUP(CONCATENATE($L76,R$5,$M$2),BASE_DATOS[Reporte NSK],BASE_DATOS[NSK],,0),"")</f>
        <v/>
      </c>
      <c r="S76" s="422" t="str">
        <f>IFERROR(_xlfn.XLOOKUP(CONCATENATE($L76,S$5,$M$2),BASE_DATOS[Reporte NSK],BASE_DATOS[NSK],,0),"")</f>
        <v/>
      </c>
      <c r="T76" s="422" t="str">
        <f>IFERROR(_xlfn.XLOOKUP(CONCATENATE($L76,T$5,$M$2),BASE_DATOS[Reporte NSK],BASE_DATOS[NSK],,0),"")</f>
        <v/>
      </c>
      <c r="U76" s="422" t="str">
        <f>IFERROR(_xlfn.XLOOKUP(CONCATENATE($L76,U$5,$M$2),BASE_DATOS[Reporte NSK],BASE_DATOS[NSK],,0),"")</f>
        <v/>
      </c>
      <c r="V76" s="422" t="str">
        <f>IFERROR(_xlfn.XLOOKUP(CONCATENATE($L76,V$5,$M$2),BASE_DATOS[Reporte NSK],BASE_DATOS[NSK],,0),"")</f>
        <v/>
      </c>
      <c r="W76" s="436" t="str">
        <f>IFERROR(_xlfn.XLOOKUP(CONCATENATE($L76,W$5,$M$2),BASE_DATOS[Reporte NSK],BASE_DATOS[NSK],,0),"")</f>
        <v/>
      </c>
      <c r="X76" s="418" t="str">
        <f t="shared" si="3"/>
        <v/>
      </c>
    </row>
    <row r="77" spans="12:74" s="152" customFormat="1" ht="10.199999999999999" customHeight="1" x14ac:dyDescent="0.2">
      <c r="L77" s="412"/>
      <c r="M77" s="415"/>
      <c r="N77" s="421" t="str">
        <f>IFERROR(_xlfn.XLOOKUP(CONCATENATE($L77,N$5,$M$2),BASE_DATOS[Reporte NSK],BASE_DATOS[NSK],,0),"")</f>
        <v/>
      </c>
      <c r="O77" s="422" t="str">
        <f>IFERROR(_xlfn.XLOOKUP(CONCATENATE($L77,O$5,$M$2),BASE_DATOS[Reporte NSK],BASE_DATOS[NSK],,0),"")</f>
        <v/>
      </c>
      <c r="P77" s="445" t="str">
        <f>IFERROR(_xlfn.XLOOKUP(CONCATENATE($L77,P$5,$M$2),BASE_DATOS[Reporte NSK],BASE_DATOS[NSK],,0),"")</f>
        <v/>
      </c>
      <c r="Q77" s="422" t="str">
        <f>IFERROR(_xlfn.XLOOKUP(CONCATENATE($L77,Q$5,$M$2),BASE_DATOS[Reporte NSK],BASE_DATOS[NSK],,0),"")</f>
        <v/>
      </c>
      <c r="R77" s="422" t="str">
        <f>IFERROR(_xlfn.XLOOKUP(CONCATENATE($L77,R$5,$M$2),BASE_DATOS[Reporte NSK],BASE_DATOS[NSK],,0),"")</f>
        <v/>
      </c>
      <c r="S77" s="422" t="str">
        <f>IFERROR(_xlfn.XLOOKUP(CONCATENATE($L77,S$5,$M$2),BASE_DATOS[Reporte NSK],BASE_DATOS[NSK],,0),"")</f>
        <v/>
      </c>
      <c r="T77" s="422" t="str">
        <f>IFERROR(_xlfn.XLOOKUP(CONCATENATE($L77,T$5,$M$2),BASE_DATOS[Reporte NSK],BASE_DATOS[NSK],,0),"")</f>
        <v/>
      </c>
      <c r="U77" s="422" t="str">
        <f>IFERROR(_xlfn.XLOOKUP(CONCATENATE($L77,U$5,$M$2),BASE_DATOS[Reporte NSK],BASE_DATOS[NSK],,0),"")</f>
        <v/>
      </c>
      <c r="V77" s="422" t="str">
        <f>IFERROR(_xlfn.XLOOKUP(CONCATENATE($L77,V$5,$M$2),BASE_DATOS[Reporte NSK],BASE_DATOS[NSK],,0),"")</f>
        <v/>
      </c>
      <c r="W77" s="436" t="str">
        <f>IFERROR(_xlfn.XLOOKUP(CONCATENATE($L77,W$5,$M$2),BASE_DATOS[Reporte NSK],BASE_DATOS[NSK],,0),"")</f>
        <v/>
      </c>
      <c r="X77" s="418" t="str">
        <f t="shared" si="3"/>
        <v/>
      </c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8"/>
      <c r="BJ77" s="108"/>
      <c r="BK77" s="108"/>
      <c r="BL77" s="108"/>
      <c r="BM77" s="108"/>
      <c r="BN77" s="108"/>
      <c r="BO77" s="108"/>
      <c r="BP77" s="108"/>
      <c r="BQ77" s="108"/>
      <c r="BR77" s="108"/>
      <c r="BS77" s="108"/>
      <c r="BT77" s="108"/>
      <c r="BU77" s="108"/>
      <c r="BV77" s="108"/>
    </row>
    <row r="78" spans="12:74" s="152" customFormat="1" ht="10.199999999999999" customHeight="1" x14ac:dyDescent="0.2">
      <c r="L78" s="412"/>
      <c r="M78" s="415"/>
      <c r="N78" s="421" t="str">
        <f>IFERROR(_xlfn.XLOOKUP(CONCATENATE($L78,N$5,$M$2),BASE_DATOS[Reporte NSK],BASE_DATOS[NSK],,0),"")</f>
        <v/>
      </c>
      <c r="O78" s="422" t="str">
        <f>IFERROR(_xlfn.XLOOKUP(CONCATENATE($L78,O$5,$M$2),BASE_DATOS[Reporte NSK],BASE_DATOS[NSK],,0),"")</f>
        <v/>
      </c>
      <c r="P78" s="445" t="str">
        <f>IFERROR(_xlfn.XLOOKUP(CONCATENATE($L78,P$5,$M$2),BASE_DATOS[Reporte NSK],BASE_DATOS[NSK],,0),"")</f>
        <v/>
      </c>
      <c r="Q78" s="422" t="str">
        <f>IFERROR(_xlfn.XLOOKUP(CONCATENATE($L78,Q$5,$M$2),BASE_DATOS[Reporte NSK],BASE_DATOS[NSK],,0),"")</f>
        <v/>
      </c>
      <c r="R78" s="422" t="str">
        <f>IFERROR(_xlfn.XLOOKUP(CONCATENATE($L78,R$5,$M$2),BASE_DATOS[Reporte NSK],BASE_DATOS[NSK],,0),"")</f>
        <v/>
      </c>
      <c r="S78" s="422" t="str">
        <f>IFERROR(_xlfn.XLOOKUP(CONCATENATE($L78,S$5,$M$2),BASE_DATOS[Reporte NSK],BASE_DATOS[NSK],,0),"")</f>
        <v/>
      </c>
      <c r="T78" s="422" t="str">
        <f>IFERROR(_xlfn.XLOOKUP(CONCATENATE($L78,T$5,$M$2),BASE_DATOS[Reporte NSK],BASE_DATOS[NSK],,0),"")</f>
        <v/>
      </c>
      <c r="U78" s="422" t="str">
        <f>IFERROR(_xlfn.XLOOKUP(CONCATENATE($L78,U$5,$M$2),BASE_DATOS[Reporte NSK],BASE_DATOS[NSK],,0),"")</f>
        <v/>
      </c>
      <c r="V78" s="422" t="str">
        <f>IFERROR(_xlfn.XLOOKUP(CONCATENATE($L78,V$5,$M$2),BASE_DATOS[Reporte NSK],BASE_DATOS[NSK],,0),"")</f>
        <v/>
      </c>
      <c r="W78" s="436" t="str">
        <f>IFERROR(_xlfn.XLOOKUP(CONCATENATE($L78,W$5,$M$2),BASE_DATOS[Reporte NSK],BASE_DATOS[NSK],,0),"")</f>
        <v/>
      </c>
      <c r="X78" s="418" t="str">
        <f t="shared" si="3"/>
        <v/>
      </c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8"/>
      <c r="BJ78" s="108"/>
      <c r="BK78" s="108"/>
      <c r="BL78" s="108"/>
      <c r="BM78" s="108"/>
      <c r="BN78" s="108"/>
      <c r="BO78" s="108"/>
      <c r="BP78" s="108"/>
      <c r="BQ78" s="108"/>
      <c r="BR78" s="108"/>
      <c r="BS78" s="108"/>
      <c r="BT78" s="108"/>
      <c r="BU78" s="108"/>
      <c r="BV78" s="108"/>
    </row>
    <row r="79" spans="12:74" s="152" customFormat="1" ht="10.199999999999999" customHeight="1" x14ac:dyDescent="0.2">
      <c r="L79" s="412"/>
      <c r="M79" s="415"/>
      <c r="N79" s="421" t="str">
        <f>IFERROR(_xlfn.XLOOKUP(CONCATENATE($L79,N$5,$M$2),BASE_DATOS[Reporte NSK],BASE_DATOS[NSK],,0),"")</f>
        <v/>
      </c>
      <c r="O79" s="422" t="str">
        <f>IFERROR(_xlfn.XLOOKUP(CONCATENATE($L79,O$5,$M$2),BASE_DATOS[Reporte NSK],BASE_DATOS[NSK],,0),"")</f>
        <v/>
      </c>
      <c r="P79" s="445" t="str">
        <f>IFERROR(_xlfn.XLOOKUP(CONCATENATE($L79,P$5,$M$2),BASE_DATOS[Reporte NSK],BASE_DATOS[NSK],,0),"")</f>
        <v/>
      </c>
      <c r="Q79" s="422" t="str">
        <f>IFERROR(_xlfn.XLOOKUP(CONCATENATE($L79,Q$5,$M$2),BASE_DATOS[Reporte NSK],BASE_DATOS[NSK],,0),"")</f>
        <v/>
      </c>
      <c r="R79" s="422" t="str">
        <f>IFERROR(_xlfn.XLOOKUP(CONCATENATE($L79,R$5,$M$2),BASE_DATOS[Reporte NSK],BASE_DATOS[NSK],,0),"")</f>
        <v/>
      </c>
      <c r="S79" s="422" t="str">
        <f>IFERROR(_xlfn.XLOOKUP(CONCATENATE($L79,S$5,$M$2),BASE_DATOS[Reporte NSK],BASE_DATOS[NSK],,0),"")</f>
        <v/>
      </c>
      <c r="T79" s="422" t="str">
        <f>IFERROR(_xlfn.XLOOKUP(CONCATENATE($L79,T$5,$M$2),BASE_DATOS[Reporte NSK],BASE_DATOS[NSK],,0),"")</f>
        <v/>
      </c>
      <c r="U79" s="422" t="str">
        <f>IFERROR(_xlfn.XLOOKUP(CONCATENATE($L79,U$5,$M$2),BASE_DATOS[Reporte NSK],BASE_DATOS[NSK],,0),"")</f>
        <v/>
      </c>
      <c r="V79" s="422" t="str">
        <f>IFERROR(_xlfn.XLOOKUP(CONCATENATE($L79,V$5,$M$2),BASE_DATOS[Reporte NSK],BASE_DATOS[NSK],,0),"")</f>
        <v/>
      </c>
      <c r="W79" s="436" t="str">
        <f>IFERROR(_xlfn.XLOOKUP(CONCATENATE($L79,W$5,$M$2),BASE_DATOS[Reporte NSK],BASE_DATOS[NSK],,0),"")</f>
        <v/>
      </c>
      <c r="X79" s="418" t="str">
        <f t="shared" si="3"/>
        <v/>
      </c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8"/>
      <c r="BJ79" s="108"/>
      <c r="BK79" s="108"/>
      <c r="BL79" s="108"/>
      <c r="BM79" s="108"/>
      <c r="BN79" s="108"/>
      <c r="BO79" s="108"/>
      <c r="BP79" s="108"/>
      <c r="BQ79" s="108"/>
      <c r="BR79" s="108"/>
      <c r="BS79" s="108"/>
      <c r="BT79" s="108"/>
      <c r="BU79" s="108"/>
      <c r="BV79" s="108"/>
    </row>
    <row r="80" spans="12:74" s="152" customFormat="1" ht="10.199999999999999" customHeight="1" x14ac:dyDescent="0.2">
      <c r="L80" s="412"/>
      <c r="M80" s="415"/>
      <c r="N80" s="421" t="str">
        <f>IFERROR(_xlfn.XLOOKUP(CONCATENATE($L80,N$5,$M$2),BASE_DATOS[Reporte NSK],BASE_DATOS[NSK],,0),"")</f>
        <v/>
      </c>
      <c r="O80" s="422" t="str">
        <f>IFERROR(_xlfn.XLOOKUP(CONCATENATE($L80,O$5,$M$2),BASE_DATOS[Reporte NSK],BASE_DATOS[NSK],,0),"")</f>
        <v/>
      </c>
      <c r="P80" s="445" t="str">
        <f>IFERROR(_xlfn.XLOOKUP(CONCATENATE($L80,P$5,$M$2),BASE_DATOS[Reporte NSK],BASE_DATOS[NSK],,0),"")</f>
        <v/>
      </c>
      <c r="Q80" s="422" t="str">
        <f>IFERROR(_xlfn.XLOOKUP(CONCATENATE($L80,Q$5,$M$2),BASE_DATOS[Reporte NSK],BASE_DATOS[NSK],,0),"")</f>
        <v/>
      </c>
      <c r="R80" s="422" t="str">
        <f>IFERROR(_xlfn.XLOOKUP(CONCATENATE($L80,R$5,$M$2),BASE_DATOS[Reporte NSK],BASE_DATOS[NSK],,0),"")</f>
        <v/>
      </c>
      <c r="S80" s="422" t="str">
        <f>IFERROR(_xlfn.XLOOKUP(CONCATENATE($L80,S$5,$M$2),BASE_DATOS[Reporte NSK],BASE_DATOS[NSK],,0),"")</f>
        <v/>
      </c>
      <c r="T80" s="422" t="str">
        <f>IFERROR(_xlfn.XLOOKUP(CONCATENATE($L80,T$5,$M$2),BASE_DATOS[Reporte NSK],BASE_DATOS[NSK],,0),"")</f>
        <v/>
      </c>
      <c r="U80" s="422" t="str">
        <f>IFERROR(_xlfn.XLOOKUP(CONCATENATE($L80,U$5,$M$2),BASE_DATOS[Reporte NSK],BASE_DATOS[NSK],,0),"")</f>
        <v/>
      </c>
      <c r="V80" s="422" t="str">
        <f>IFERROR(_xlfn.XLOOKUP(CONCATENATE($L80,V$5,$M$2),BASE_DATOS[Reporte NSK],BASE_DATOS[NSK],,0),"")</f>
        <v/>
      </c>
      <c r="W80" s="436" t="str">
        <f>IFERROR(_xlfn.XLOOKUP(CONCATENATE($L80,W$5,$M$2),BASE_DATOS[Reporte NSK],BASE_DATOS[NSK],,0),"")</f>
        <v/>
      </c>
      <c r="X80" s="418" t="str">
        <f t="shared" si="3"/>
        <v/>
      </c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08"/>
      <c r="BH80" s="108"/>
      <c r="BI80" s="108"/>
      <c r="BJ80" s="108"/>
      <c r="BK80" s="108"/>
      <c r="BL80" s="108"/>
      <c r="BM80" s="108"/>
      <c r="BN80" s="108"/>
      <c r="BO80" s="108"/>
      <c r="BP80" s="108"/>
      <c r="BQ80" s="108"/>
      <c r="BR80" s="108"/>
      <c r="BS80" s="108"/>
      <c r="BT80" s="108"/>
      <c r="BU80" s="108"/>
      <c r="BV80" s="108"/>
    </row>
    <row r="81" spans="12:74" s="152" customFormat="1" ht="10.199999999999999" customHeight="1" x14ac:dyDescent="0.2">
      <c r="L81" s="412"/>
      <c r="M81" s="415"/>
      <c r="N81" s="421" t="str">
        <f>IFERROR(_xlfn.XLOOKUP(CONCATENATE($L81,N$5,$M$2),BASE_DATOS[Reporte NSK],BASE_DATOS[NSK],,0),"")</f>
        <v/>
      </c>
      <c r="O81" s="422" t="str">
        <f>IFERROR(_xlfn.XLOOKUP(CONCATENATE($L81,O$5,$M$2),BASE_DATOS[Reporte NSK],BASE_DATOS[NSK],,0),"")</f>
        <v/>
      </c>
      <c r="P81" s="445" t="str">
        <f>IFERROR(_xlfn.XLOOKUP(CONCATENATE($L81,P$5,$M$2),BASE_DATOS[Reporte NSK],BASE_DATOS[NSK],,0),"")</f>
        <v/>
      </c>
      <c r="Q81" s="422" t="str">
        <f>IFERROR(_xlfn.XLOOKUP(CONCATENATE($L81,Q$5,$M$2),BASE_DATOS[Reporte NSK],BASE_DATOS[NSK],,0),"")</f>
        <v/>
      </c>
      <c r="R81" s="422" t="str">
        <f>IFERROR(_xlfn.XLOOKUP(CONCATENATE($L81,R$5,$M$2),BASE_DATOS[Reporte NSK],BASE_DATOS[NSK],,0),"")</f>
        <v/>
      </c>
      <c r="S81" s="422" t="str">
        <f>IFERROR(_xlfn.XLOOKUP(CONCATENATE($L81,S$5,$M$2),BASE_DATOS[Reporte NSK],BASE_DATOS[NSK],,0),"")</f>
        <v/>
      </c>
      <c r="T81" s="422" t="str">
        <f>IFERROR(_xlfn.XLOOKUP(CONCATENATE($L81,T$5,$M$2),BASE_DATOS[Reporte NSK],BASE_DATOS[NSK],,0),"")</f>
        <v/>
      </c>
      <c r="U81" s="422" t="str">
        <f>IFERROR(_xlfn.XLOOKUP(CONCATENATE($L81,U$5,$M$2),BASE_DATOS[Reporte NSK],BASE_DATOS[NSK],,0),"")</f>
        <v/>
      </c>
      <c r="V81" s="422" t="str">
        <f>IFERROR(_xlfn.XLOOKUP(CONCATENATE($L81,V$5,$M$2),BASE_DATOS[Reporte NSK],BASE_DATOS[NSK],,0),"")</f>
        <v/>
      </c>
      <c r="W81" s="436" t="str">
        <f>IFERROR(_xlfn.XLOOKUP(CONCATENATE($L81,W$5,$M$2),BASE_DATOS[Reporte NSK],BASE_DATOS[NSK],,0),"")</f>
        <v/>
      </c>
      <c r="X81" s="418" t="str">
        <f t="shared" si="3"/>
        <v/>
      </c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108"/>
      <c r="BF81" s="108"/>
      <c r="BG81" s="108"/>
      <c r="BH81" s="108"/>
      <c r="BI81" s="108"/>
      <c r="BJ81" s="108"/>
      <c r="BK81" s="108"/>
      <c r="BL81" s="108"/>
      <c r="BM81" s="108"/>
      <c r="BN81" s="108"/>
      <c r="BO81" s="108"/>
      <c r="BP81" s="108"/>
      <c r="BQ81" s="108"/>
      <c r="BR81" s="108"/>
      <c r="BS81" s="108"/>
      <c r="BT81" s="108"/>
      <c r="BU81" s="108"/>
      <c r="BV81" s="108"/>
    </row>
    <row r="82" spans="12:74" s="152" customFormat="1" ht="10.199999999999999" customHeight="1" x14ac:dyDescent="0.2">
      <c r="L82" s="412"/>
      <c r="M82" s="415"/>
      <c r="N82" s="421" t="str">
        <f>IFERROR(_xlfn.XLOOKUP(CONCATENATE($L82,N$5,$M$2),BASE_DATOS[Reporte NSK],BASE_DATOS[NSK],,0),"")</f>
        <v/>
      </c>
      <c r="O82" s="422" t="str">
        <f>IFERROR(_xlfn.XLOOKUP(CONCATENATE($L82,O$5,$M$2),BASE_DATOS[Reporte NSK],BASE_DATOS[NSK],,0),"")</f>
        <v/>
      </c>
      <c r="P82" s="445" t="str">
        <f>IFERROR(_xlfn.XLOOKUP(CONCATENATE($L82,P$5,$M$2),BASE_DATOS[Reporte NSK],BASE_DATOS[NSK],,0),"")</f>
        <v/>
      </c>
      <c r="Q82" s="422" t="str">
        <f>IFERROR(_xlfn.XLOOKUP(CONCATENATE($L82,Q$5,$M$2),BASE_DATOS[Reporte NSK],BASE_DATOS[NSK],,0),"")</f>
        <v/>
      </c>
      <c r="R82" s="422" t="str">
        <f>IFERROR(_xlfn.XLOOKUP(CONCATENATE($L82,R$5,$M$2),BASE_DATOS[Reporte NSK],BASE_DATOS[NSK],,0),"")</f>
        <v/>
      </c>
      <c r="S82" s="422" t="str">
        <f>IFERROR(_xlfn.XLOOKUP(CONCATENATE($L82,S$5,$M$2),BASE_DATOS[Reporte NSK],BASE_DATOS[NSK],,0),"")</f>
        <v/>
      </c>
      <c r="T82" s="422" t="str">
        <f>IFERROR(_xlfn.XLOOKUP(CONCATENATE($L82,T$5,$M$2),BASE_DATOS[Reporte NSK],BASE_DATOS[NSK],,0),"")</f>
        <v/>
      </c>
      <c r="U82" s="422" t="str">
        <f>IFERROR(_xlfn.XLOOKUP(CONCATENATE($L82,U$5,$M$2),BASE_DATOS[Reporte NSK],BASE_DATOS[NSK],,0),"")</f>
        <v/>
      </c>
      <c r="V82" s="422" t="str">
        <f>IFERROR(_xlfn.XLOOKUP(CONCATENATE($L82,V$5,$M$2),BASE_DATOS[Reporte NSK],BASE_DATOS[NSK],,0),"")</f>
        <v/>
      </c>
      <c r="W82" s="436" t="str">
        <f>IFERROR(_xlfn.XLOOKUP(CONCATENATE($L82,W$5,$M$2),BASE_DATOS[Reporte NSK],BASE_DATOS[NSK],,0),"")</f>
        <v/>
      </c>
      <c r="X82" s="418" t="str">
        <f t="shared" si="3"/>
        <v/>
      </c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  <c r="AK82" s="108"/>
      <c r="AL82" s="108"/>
      <c r="AM82" s="108"/>
      <c r="AN82" s="108"/>
      <c r="AO82" s="108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08"/>
      <c r="BC82" s="108"/>
      <c r="BD82" s="108"/>
      <c r="BE82" s="108"/>
      <c r="BF82" s="108"/>
      <c r="BG82" s="108"/>
      <c r="BH82" s="108"/>
      <c r="BI82" s="108"/>
      <c r="BJ82" s="108"/>
      <c r="BK82" s="108"/>
      <c r="BL82" s="108"/>
      <c r="BM82" s="108"/>
      <c r="BN82" s="108"/>
      <c r="BO82" s="108"/>
      <c r="BP82" s="108"/>
      <c r="BQ82" s="108"/>
      <c r="BR82" s="108"/>
      <c r="BS82" s="108"/>
      <c r="BT82" s="108"/>
      <c r="BU82" s="108"/>
      <c r="BV82" s="108"/>
    </row>
    <row r="83" spans="12:74" s="152" customFormat="1" ht="10.199999999999999" customHeight="1" x14ac:dyDescent="0.2">
      <c r="L83" s="412"/>
      <c r="M83" s="415"/>
      <c r="N83" s="421" t="str">
        <f>IFERROR(_xlfn.XLOOKUP(CONCATENATE($L83,N$5,$M$2),BASE_DATOS[Reporte NSK],BASE_DATOS[NSK],,0),"")</f>
        <v/>
      </c>
      <c r="O83" s="422" t="str">
        <f>IFERROR(_xlfn.XLOOKUP(CONCATENATE($L83,O$5,$M$2),BASE_DATOS[Reporte NSK],BASE_DATOS[NSK],,0),"")</f>
        <v/>
      </c>
      <c r="P83" s="445" t="str">
        <f>IFERROR(_xlfn.XLOOKUP(CONCATENATE($L83,P$5,$M$2),BASE_DATOS[Reporte NSK],BASE_DATOS[NSK],,0),"")</f>
        <v/>
      </c>
      <c r="Q83" s="422" t="str">
        <f>IFERROR(_xlfn.XLOOKUP(CONCATENATE($L83,Q$5,$M$2),BASE_DATOS[Reporte NSK],BASE_DATOS[NSK],,0),"")</f>
        <v/>
      </c>
      <c r="R83" s="422" t="str">
        <f>IFERROR(_xlfn.XLOOKUP(CONCATENATE($L83,R$5,$M$2),BASE_DATOS[Reporte NSK],BASE_DATOS[NSK],,0),"")</f>
        <v/>
      </c>
      <c r="S83" s="422" t="str">
        <f>IFERROR(_xlfn.XLOOKUP(CONCATENATE($L83,S$5,$M$2),BASE_DATOS[Reporte NSK],BASE_DATOS[NSK],,0),"")</f>
        <v/>
      </c>
      <c r="T83" s="422" t="str">
        <f>IFERROR(_xlfn.XLOOKUP(CONCATENATE($L83,T$5,$M$2),BASE_DATOS[Reporte NSK],BASE_DATOS[NSK],,0),"")</f>
        <v/>
      </c>
      <c r="U83" s="422" t="str">
        <f>IFERROR(_xlfn.XLOOKUP(CONCATENATE($L83,U$5,$M$2),BASE_DATOS[Reporte NSK],BASE_DATOS[NSK],,0),"")</f>
        <v/>
      </c>
      <c r="V83" s="422" t="str">
        <f>IFERROR(_xlfn.XLOOKUP(CONCATENATE($L83,V$5,$M$2),BASE_DATOS[Reporte NSK],BASE_DATOS[NSK],,0),"")</f>
        <v/>
      </c>
      <c r="W83" s="436" t="str">
        <f>IFERROR(_xlfn.XLOOKUP(CONCATENATE($L83,W$5,$M$2),BASE_DATOS[Reporte NSK],BASE_DATOS[NSK],,0),"")</f>
        <v/>
      </c>
      <c r="X83" s="418" t="str">
        <f t="shared" si="3"/>
        <v/>
      </c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G83" s="108"/>
      <c r="BH83" s="108"/>
      <c r="BI83" s="108"/>
      <c r="BJ83" s="108"/>
      <c r="BK83" s="108"/>
      <c r="BL83" s="108"/>
      <c r="BM83" s="108"/>
      <c r="BN83" s="108"/>
      <c r="BO83" s="108"/>
      <c r="BP83" s="108"/>
      <c r="BQ83" s="108"/>
      <c r="BR83" s="108"/>
      <c r="BS83" s="108"/>
      <c r="BT83" s="108"/>
      <c r="BU83" s="108"/>
      <c r="BV83" s="108"/>
    </row>
    <row r="84" spans="12:74" s="152" customFormat="1" ht="10.199999999999999" customHeight="1" x14ac:dyDescent="0.2">
      <c r="L84" s="412"/>
      <c r="M84" s="415"/>
      <c r="N84" s="421" t="str">
        <f>IFERROR(_xlfn.XLOOKUP(CONCATENATE($L84,N$5,$M$2),BASE_DATOS[Reporte NSK],BASE_DATOS[NSK],,0),"")</f>
        <v/>
      </c>
      <c r="O84" s="422" t="str">
        <f>IFERROR(_xlfn.XLOOKUP(CONCATENATE($L84,O$5,$M$2),BASE_DATOS[Reporte NSK],BASE_DATOS[NSK],,0),"")</f>
        <v/>
      </c>
      <c r="P84" s="445" t="str">
        <f>IFERROR(_xlfn.XLOOKUP(CONCATENATE($L84,P$5,$M$2),BASE_DATOS[Reporte NSK],BASE_DATOS[NSK],,0),"")</f>
        <v/>
      </c>
      <c r="Q84" s="422" t="str">
        <f>IFERROR(_xlfn.XLOOKUP(CONCATENATE($L84,Q$5,$M$2),BASE_DATOS[Reporte NSK],BASE_DATOS[NSK],,0),"")</f>
        <v/>
      </c>
      <c r="R84" s="422" t="str">
        <f>IFERROR(_xlfn.XLOOKUP(CONCATENATE($L84,R$5,$M$2),BASE_DATOS[Reporte NSK],BASE_DATOS[NSK],,0),"")</f>
        <v/>
      </c>
      <c r="S84" s="422" t="str">
        <f>IFERROR(_xlfn.XLOOKUP(CONCATENATE($L84,S$5,$M$2),BASE_DATOS[Reporte NSK],BASE_DATOS[NSK],,0),"")</f>
        <v/>
      </c>
      <c r="T84" s="422" t="str">
        <f>IFERROR(_xlfn.XLOOKUP(CONCATENATE($L84,T$5,$M$2),BASE_DATOS[Reporte NSK],BASE_DATOS[NSK],,0),"")</f>
        <v/>
      </c>
      <c r="U84" s="422" t="str">
        <f>IFERROR(_xlfn.XLOOKUP(CONCATENATE($L84,U$5,$M$2),BASE_DATOS[Reporte NSK],BASE_DATOS[NSK],,0),"")</f>
        <v/>
      </c>
      <c r="V84" s="422" t="str">
        <f>IFERROR(_xlfn.XLOOKUP(CONCATENATE($L84,V$5,$M$2),BASE_DATOS[Reporte NSK],BASE_DATOS[NSK],,0),"")</f>
        <v/>
      </c>
      <c r="W84" s="436" t="str">
        <f>IFERROR(_xlfn.XLOOKUP(CONCATENATE($L84,W$5,$M$2),BASE_DATOS[Reporte NSK],BASE_DATOS[NSK],,0),"")</f>
        <v/>
      </c>
      <c r="X84" s="418" t="str">
        <f t="shared" si="3"/>
        <v/>
      </c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08"/>
      <c r="BC84" s="108"/>
      <c r="BD84" s="108"/>
      <c r="BE84" s="108"/>
      <c r="BF84" s="108"/>
      <c r="BG84" s="108"/>
      <c r="BH84" s="108"/>
      <c r="BI84" s="108"/>
      <c r="BJ84" s="108"/>
      <c r="BK84" s="108"/>
      <c r="BL84" s="108"/>
      <c r="BM84" s="108"/>
      <c r="BN84" s="108"/>
      <c r="BO84" s="108"/>
      <c r="BP84" s="108"/>
      <c r="BQ84" s="108"/>
      <c r="BR84" s="108"/>
      <c r="BS84" s="108"/>
      <c r="BT84" s="108"/>
      <c r="BU84" s="108"/>
      <c r="BV84" s="108"/>
    </row>
    <row r="85" spans="12:74" s="152" customFormat="1" ht="10.199999999999999" customHeight="1" x14ac:dyDescent="0.2">
      <c r="L85" s="412"/>
      <c r="M85" s="415"/>
      <c r="N85" s="421" t="str">
        <f>IFERROR(_xlfn.XLOOKUP(CONCATENATE($L85,N$5,$M$2),BASE_DATOS[Reporte NSK],BASE_DATOS[NSK],,0),"")</f>
        <v/>
      </c>
      <c r="O85" s="422" t="str">
        <f>IFERROR(_xlfn.XLOOKUP(CONCATENATE($L85,O$5,$M$2),BASE_DATOS[Reporte NSK],BASE_DATOS[NSK],,0),"")</f>
        <v/>
      </c>
      <c r="P85" s="445" t="str">
        <f>IFERROR(_xlfn.XLOOKUP(CONCATENATE($L85,P$5,$M$2),BASE_DATOS[Reporte NSK],BASE_DATOS[NSK],,0),"")</f>
        <v/>
      </c>
      <c r="Q85" s="422" t="str">
        <f>IFERROR(_xlfn.XLOOKUP(CONCATENATE($L85,Q$5,$M$2),BASE_DATOS[Reporte NSK],BASE_DATOS[NSK],,0),"")</f>
        <v/>
      </c>
      <c r="R85" s="422" t="str">
        <f>IFERROR(_xlfn.XLOOKUP(CONCATENATE($L85,R$5,$M$2),BASE_DATOS[Reporte NSK],BASE_DATOS[NSK],,0),"")</f>
        <v/>
      </c>
      <c r="S85" s="422" t="str">
        <f>IFERROR(_xlfn.XLOOKUP(CONCATENATE($L85,S$5,$M$2),BASE_DATOS[Reporte NSK],BASE_DATOS[NSK],,0),"")</f>
        <v/>
      </c>
      <c r="T85" s="422" t="str">
        <f>IFERROR(_xlfn.XLOOKUP(CONCATENATE($L85,T$5,$M$2),BASE_DATOS[Reporte NSK],BASE_DATOS[NSK],,0),"")</f>
        <v/>
      </c>
      <c r="U85" s="422" t="str">
        <f>IFERROR(_xlfn.XLOOKUP(CONCATENATE($L85,U$5,$M$2),BASE_DATOS[Reporte NSK],BASE_DATOS[NSK],,0),"")</f>
        <v/>
      </c>
      <c r="V85" s="422" t="str">
        <f>IFERROR(_xlfn.XLOOKUP(CONCATENATE($L85,V$5,$M$2),BASE_DATOS[Reporte NSK],BASE_DATOS[NSK],,0),"")</f>
        <v/>
      </c>
      <c r="W85" s="436" t="str">
        <f>IFERROR(_xlfn.XLOOKUP(CONCATENATE($L85,W$5,$M$2),BASE_DATOS[Reporte NSK],BASE_DATOS[NSK],,0),"")</f>
        <v/>
      </c>
      <c r="X85" s="418" t="str">
        <f t="shared" si="3"/>
        <v/>
      </c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8"/>
      <c r="BJ85" s="108"/>
      <c r="BK85" s="108"/>
      <c r="BL85" s="108"/>
      <c r="BM85" s="108"/>
      <c r="BN85" s="108"/>
      <c r="BO85" s="108"/>
      <c r="BP85" s="108"/>
      <c r="BQ85" s="108"/>
      <c r="BR85" s="108"/>
      <c r="BS85" s="108"/>
      <c r="BT85" s="108"/>
      <c r="BU85" s="108"/>
      <c r="BV85" s="108"/>
    </row>
    <row r="86" spans="12:74" s="152" customFormat="1" ht="10.199999999999999" customHeight="1" x14ac:dyDescent="0.2">
      <c r="L86" s="412"/>
      <c r="M86" s="415"/>
      <c r="N86" s="421" t="str">
        <f>IFERROR(_xlfn.XLOOKUP(CONCATENATE($L86,N$5,$M$2),BASE_DATOS[Reporte NSK],BASE_DATOS[NSK],,0),"")</f>
        <v/>
      </c>
      <c r="O86" s="422" t="str">
        <f>IFERROR(_xlfn.XLOOKUP(CONCATENATE($L86,O$5,$M$2),BASE_DATOS[Reporte NSK],BASE_DATOS[NSK],,0),"")</f>
        <v/>
      </c>
      <c r="P86" s="445" t="str">
        <f>IFERROR(_xlfn.XLOOKUP(CONCATENATE($L86,P$5,$M$2),BASE_DATOS[Reporte NSK],BASE_DATOS[NSK],,0),"")</f>
        <v/>
      </c>
      <c r="Q86" s="422" t="str">
        <f>IFERROR(_xlfn.XLOOKUP(CONCATENATE($L86,Q$5,$M$2),BASE_DATOS[Reporte NSK],BASE_DATOS[NSK],,0),"")</f>
        <v/>
      </c>
      <c r="R86" s="422" t="str">
        <f>IFERROR(_xlfn.XLOOKUP(CONCATENATE($L86,R$5,$M$2),BASE_DATOS[Reporte NSK],BASE_DATOS[NSK],,0),"")</f>
        <v/>
      </c>
      <c r="S86" s="422" t="str">
        <f>IFERROR(_xlfn.XLOOKUP(CONCATENATE($L86,S$5,$M$2),BASE_DATOS[Reporte NSK],BASE_DATOS[NSK],,0),"")</f>
        <v/>
      </c>
      <c r="T86" s="422" t="str">
        <f>IFERROR(_xlfn.XLOOKUP(CONCATENATE($L86,T$5,$M$2),BASE_DATOS[Reporte NSK],BASE_DATOS[NSK],,0),"")</f>
        <v/>
      </c>
      <c r="U86" s="422" t="str">
        <f>IFERROR(_xlfn.XLOOKUP(CONCATENATE($L86,U$5,$M$2),BASE_DATOS[Reporte NSK],BASE_DATOS[NSK],,0),"")</f>
        <v/>
      </c>
      <c r="V86" s="422" t="str">
        <f>IFERROR(_xlfn.XLOOKUP(CONCATENATE($L86,V$5,$M$2),BASE_DATOS[Reporte NSK],BASE_DATOS[NSK],,0),"")</f>
        <v/>
      </c>
      <c r="W86" s="436" t="str">
        <f>IFERROR(_xlfn.XLOOKUP(CONCATENATE($L86,W$5,$M$2),BASE_DATOS[Reporte NSK],BASE_DATOS[NSK],,0),"")</f>
        <v/>
      </c>
      <c r="X86" s="418" t="str">
        <f t="shared" si="3"/>
        <v/>
      </c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8"/>
      <c r="BI86" s="108"/>
      <c r="BJ86" s="108"/>
      <c r="BK86" s="108"/>
      <c r="BL86" s="108"/>
      <c r="BM86" s="108"/>
      <c r="BN86" s="108"/>
      <c r="BO86" s="108"/>
      <c r="BP86" s="108"/>
      <c r="BQ86" s="108"/>
      <c r="BR86" s="108"/>
      <c r="BS86" s="108"/>
      <c r="BT86" s="108"/>
      <c r="BU86" s="108"/>
      <c r="BV86" s="108"/>
    </row>
    <row r="87" spans="12:74" s="152" customFormat="1" ht="10.199999999999999" customHeight="1" x14ac:dyDescent="0.2">
      <c r="L87" s="412"/>
      <c r="M87" s="415"/>
      <c r="N87" s="421" t="str">
        <f>IFERROR(_xlfn.XLOOKUP(CONCATENATE($L87,N$5,$M$2),BASE_DATOS[Reporte NSK],BASE_DATOS[NSK],,0),"")</f>
        <v/>
      </c>
      <c r="O87" s="422" t="str">
        <f>IFERROR(_xlfn.XLOOKUP(CONCATENATE($L87,O$5,$M$2),BASE_DATOS[Reporte NSK],BASE_DATOS[NSK],,0),"")</f>
        <v/>
      </c>
      <c r="P87" s="445" t="str">
        <f>IFERROR(_xlfn.XLOOKUP(CONCATENATE($L87,P$5,$M$2),BASE_DATOS[Reporte NSK],BASE_DATOS[NSK],,0),"")</f>
        <v/>
      </c>
      <c r="Q87" s="422" t="str">
        <f>IFERROR(_xlfn.XLOOKUP(CONCATENATE($L87,Q$5,$M$2),BASE_DATOS[Reporte NSK],BASE_DATOS[NSK],,0),"")</f>
        <v/>
      </c>
      <c r="R87" s="422" t="str">
        <f>IFERROR(_xlfn.XLOOKUP(CONCATENATE($L87,R$5,$M$2),BASE_DATOS[Reporte NSK],BASE_DATOS[NSK],,0),"")</f>
        <v/>
      </c>
      <c r="S87" s="422" t="str">
        <f>IFERROR(_xlfn.XLOOKUP(CONCATENATE($L87,S$5,$M$2),BASE_DATOS[Reporte NSK],BASE_DATOS[NSK],,0),"")</f>
        <v/>
      </c>
      <c r="T87" s="422" t="str">
        <f>IFERROR(_xlfn.XLOOKUP(CONCATENATE($L87,T$5,$M$2),BASE_DATOS[Reporte NSK],BASE_DATOS[NSK],,0),"")</f>
        <v/>
      </c>
      <c r="U87" s="422" t="str">
        <f>IFERROR(_xlfn.XLOOKUP(CONCATENATE($L87,U$5,$M$2),BASE_DATOS[Reporte NSK],BASE_DATOS[NSK],,0),"")</f>
        <v/>
      </c>
      <c r="V87" s="422" t="str">
        <f>IFERROR(_xlfn.XLOOKUP(CONCATENATE($L87,V$5,$M$2),BASE_DATOS[Reporte NSK],BASE_DATOS[NSK],,0),"")</f>
        <v/>
      </c>
      <c r="W87" s="436" t="str">
        <f>IFERROR(_xlfn.XLOOKUP(CONCATENATE($L87,W$5,$M$2),BASE_DATOS[Reporte NSK],BASE_DATOS[NSK],,0),"")</f>
        <v/>
      </c>
      <c r="X87" s="418" t="str">
        <f t="shared" si="3"/>
        <v/>
      </c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08"/>
      <c r="BI87" s="108"/>
      <c r="BJ87" s="108"/>
      <c r="BK87" s="108"/>
      <c r="BL87" s="108"/>
      <c r="BM87" s="108"/>
      <c r="BN87" s="108"/>
      <c r="BO87" s="108"/>
      <c r="BP87" s="108"/>
      <c r="BQ87" s="108"/>
      <c r="BR87" s="108"/>
      <c r="BS87" s="108"/>
      <c r="BT87" s="108"/>
      <c r="BU87" s="108"/>
      <c r="BV87" s="108"/>
    </row>
    <row r="88" spans="12:74" s="152" customFormat="1" ht="10.199999999999999" customHeight="1" x14ac:dyDescent="0.2">
      <c r="L88" s="412"/>
      <c r="M88" s="415"/>
      <c r="N88" s="421" t="str">
        <f>IFERROR(_xlfn.XLOOKUP(CONCATENATE($L88,N$5,$M$2),BASE_DATOS[Reporte NSK],BASE_DATOS[NSK],,0),"")</f>
        <v/>
      </c>
      <c r="O88" s="422" t="str">
        <f>IFERROR(_xlfn.XLOOKUP(CONCATENATE($L88,O$5,$M$2),BASE_DATOS[Reporte NSK],BASE_DATOS[NSK],,0),"")</f>
        <v/>
      </c>
      <c r="P88" s="445" t="str">
        <f>IFERROR(_xlfn.XLOOKUP(CONCATENATE($L88,P$5,$M$2),BASE_DATOS[Reporte NSK],BASE_DATOS[NSK],,0),"")</f>
        <v/>
      </c>
      <c r="Q88" s="422" t="str">
        <f>IFERROR(_xlfn.XLOOKUP(CONCATENATE($L88,Q$5,$M$2),BASE_DATOS[Reporte NSK],BASE_DATOS[NSK],,0),"")</f>
        <v/>
      </c>
      <c r="R88" s="422" t="str">
        <f>IFERROR(_xlfn.XLOOKUP(CONCATENATE($L88,R$5,$M$2),BASE_DATOS[Reporte NSK],BASE_DATOS[NSK],,0),"")</f>
        <v/>
      </c>
      <c r="S88" s="422" t="str">
        <f>IFERROR(_xlfn.XLOOKUP(CONCATENATE($L88,S$5,$M$2),BASE_DATOS[Reporte NSK],BASE_DATOS[NSK],,0),"")</f>
        <v/>
      </c>
      <c r="T88" s="422" t="str">
        <f>IFERROR(_xlfn.XLOOKUP(CONCATENATE($L88,T$5,$M$2),BASE_DATOS[Reporte NSK],BASE_DATOS[NSK],,0),"")</f>
        <v/>
      </c>
      <c r="U88" s="422" t="str">
        <f>IFERROR(_xlfn.XLOOKUP(CONCATENATE($L88,U$5,$M$2),BASE_DATOS[Reporte NSK],BASE_DATOS[NSK],,0),"")</f>
        <v/>
      </c>
      <c r="V88" s="422" t="str">
        <f>IFERROR(_xlfn.XLOOKUP(CONCATENATE($L88,V$5,$M$2),BASE_DATOS[Reporte NSK],BASE_DATOS[NSK],,0),"")</f>
        <v/>
      </c>
      <c r="W88" s="436" t="str">
        <f>IFERROR(_xlfn.XLOOKUP(CONCATENATE($L88,W$5,$M$2),BASE_DATOS[Reporte NSK],BASE_DATOS[NSK],,0),"")</f>
        <v/>
      </c>
      <c r="X88" s="418" t="str">
        <f t="shared" si="3"/>
        <v/>
      </c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8"/>
      <c r="BI88" s="108"/>
      <c r="BJ88" s="108"/>
      <c r="BK88" s="108"/>
      <c r="BL88" s="108"/>
      <c r="BM88" s="108"/>
      <c r="BN88" s="108"/>
      <c r="BO88" s="108"/>
      <c r="BP88" s="108"/>
      <c r="BQ88" s="108"/>
      <c r="BR88" s="108"/>
      <c r="BS88" s="108"/>
      <c r="BT88" s="108"/>
      <c r="BU88" s="108"/>
      <c r="BV88" s="108"/>
    </row>
    <row r="89" spans="12:74" s="152" customFormat="1" ht="10.199999999999999" customHeight="1" x14ac:dyDescent="0.2">
      <c r="L89" s="412"/>
      <c r="M89" s="415"/>
      <c r="N89" s="421" t="str">
        <f>IFERROR(_xlfn.XLOOKUP(CONCATENATE($L89,N$5,$M$2),BASE_DATOS[Reporte NSK],BASE_DATOS[NSK],,0),"")</f>
        <v/>
      </c>
      <c r="O89" s="422" t="str">
        <f>IFERROR(_xlfn.XLOOKUP(CONCATENATE($L89,O$5,$M$2),BASE_DATOS[Reporte NSK],BASE_DATOS[NSK],,0),"")</f>
        <v/>
      </c>
      <c r="P89" s="445" t="str">
        <f>IFERROR(_xlfn.XLOOKUP(CONCATENATE($L89,P$5,$M$2),BASE_DATOS[Reporte NSK],BASE_DATOS[NSK],,0),"")</f>
        <v/>
      </c>
      <c r="Q89" s="422" t="str">
        <f>IFERROR(_xlfn.XLOOKUP(CONCATENATE($L89,Q$5,$M$2),BASE_DATOS[Reporte NSK],BASE_DATOS[NSK],,0),"")</f>
        <v/>
      </c>
      <c r="R89" s="422" t="str">
        <f>IFERROR(_xlfn.XLOOKUP(CONCATENATE($L89,R$5,$M$2),BASE_DATOS[Reporte NSK],BASE_DATOS[NSK],,0),"")</f>
        <v/>
      </c>
      <c r="S89" s="422" t="str">
        <f>IFERROR(_xlfn.XLOOKUP(CONCATENATE($L89,S$5,$M$2),BASE_DATOS[Reporte NSK],BASE_DATOS[NSK],,0),"")</f>
        <v/>
      </c>
      <c r="T89" s="422" t="str">
        <f>IFERROR(_xlfn.XLOOKUP(CONCATENATE($L89,T$5,$M$2),BASE_DATOS[Reporte NSK],BASE_DATOS[NSK],,0),"")</f>
        <v/>
      </c>
      <c r="U89" s="422" t="str">
        <f>IFERROR(_xlfn.XLOOKUP(CONCATENATE($L89,U$5,$M$2),BASE_DATOS[Reporte NSK],BASE_DATOS[NSK],,0),"")</f>
        <v/>
      </c>
      <c r="V89" s="422" t="str">
        <f>IFERROR(_xlfn.XLOOKUP(CONCATENATE($L89,V$5,$M$2),BASE_DATOS[Reporte NSK],BASE_DATOS[NSK],,0),"")</f>
        <v/>
      </c>
      <c r="W89" s="436" t="str">
        <f>IFERROR(_xlfn.XLOOKUP(CONCATENATE($L89,W$5,$M$2),BASE_DATOS[Reporte NSK],BASE_DATOS[NSK],,0),"")</f>
        <v/>
      </c>
      <c r="X89" s="418" t="str">
        <f t="shared" si="3"/>
        <v/>
      </c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8"/>
      <c r="BJ89" s="108"/>
      <c r="BK89" s="108"/>
      <c r="BL89" s="108"/>
      <c r="BM89" s="108"/>
      <c r="BN89" s="108"/>
      <c r="BO89" s="108"/>
      <c r="BP89" s="108"/>
      <c r="BQ89" s="108"/>
      <c r="BR89" s="108"/>
      <c r="BS89" s="108"/>
      <c r="BT89" s="108"/>
      <c r="BU89" s="108"/>
      <c r="BV89" s="108"/>
    </row>
    <row r="90" spans="12:74" s="152" customFormat="1" ht="10.199999999999999" customHeight="1" x14ac:dyDescent="0.2">
      <c r="L90" s="412"/>
      <c r="M90" s="415"/>
      <c r="N90" s="421" t="str">
        <f>IFERROR(_xlfn.XLOOKUP(CONCATENATE($L90,N$5,$M$2),BASE_DATOS[Reporte NSK],BASE_DATOS[NSK],,0),"")</f>
        <v/>
      </c>
      <c r="O90" s="422" t="str">
        <f>IFERROR(_xlfn.XLOOKUP(CONCATENATE($L90,O$5,$M$2),BASE_DATOS[Reporte NSK],BASE_DATOS[NSK],,0),"")</f>
        <v/>
      </c>
      <c r="P90" s="445" t="str">
        <f>IFERROR(_xlfn.XLOOKUP(CONCATENATE($L90,P$5,$M$2),BASE_DATOS[Reporte NSK],BASE_DATOS[NSK],,0),"")</f>
        <v/>
      </c>
      <c r="Q90" s="422" t="str">
        <f>IFERROR(_xlfn.XLOOKUP(CONCATENATE($L90,Q$5,$M$2),BASE_DATOS[Reporte NSK],BASE_DATOS[NSK],,0),"")</f>
        <v/>
      </c>
      <c r="R90" s="422" t="str">
        <f>IFERROR(_xlfn.XLOOKUP(CONCATENATE($L90,R$5,$M$2),BASE_DATOS[Reporte NSK],BASE_DATOS[NSK],,0),"")</f>
        <v/>
      </c>
      <c r="S90" s="422" t="str">
        <f>IFERROR(_xlfn.XLOOKUP(CONCATENATE($L90,S$5,$M$2),BASE_DATOS[Reporte NSK],BASE_DATOS[NSK],,0),"")</f>
        <v/>
      </c>
      <c r="T90" s="422" t="str">
        <f>IFERROR(_xlfn.XLOOKUP(CONCATENATE($L90,T$5,$M$2),BASE_DATOS[Reporte NSK],BASE_DATOS[NSK],,0),"")</f>
        <v/>
      </c>
      <c r="U90" s="422" t="str">
        <f>IFERROR(_xlfn.XLOOKUP(CONCATENATE($L90,U$5,$M$2),BASE_DATOS[Reporte NSK],BASE_DATOS[NSK],,0),"")</f>
        <v/>
      </c>
      <c r="V90" s="422" t="str">
        <f>IFERROR(_xlfn.XLOOKUP(CONCATENATE($L90,V$5,$M$2),BASE_DATOS[Reporte NSK],BASE_DATOS[NSK],,0),"")</f>
        <v/>
      </c>
      <c r="W90" s="436" t="str">
        <f>IFERROR(_xlfn.XLOOKUP(CONCATENATE($L90,W$5,$M$2),BASE_DATOS[Reporte NSK],BASE_DATOS[NSK],,0),"")</f>
        <v/>
      </c>
      <c r="X90" s="418" t="str">
        <f t="shared" si="3"/>
        <v/>
      </c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08"/>
      <c r="BH90" s="108"/>
      <c r="BI90" s="108"/>
      <c r="BJ90" s="108"/>
      <c r="BK90" s="108"/>
      <c r="BL90" s="108"/>
      <c r="BM90" s="108"/>
      <c r="BN90" s="108"/>
      <c r="BO90" s="108"/>
      <c r="BP90" s="108"/>
      <c r="BQ90" s="108"/>
      <c r="BR90" s="108"/>
      <c r="BS90" s="108"/>
      <c r="BT90" s="108"/>
      <c r="BU90" s="108"/>
      <c r="BV90" s="108"/>
    </row>
    <row r="91" spans="12:74" s="152" customFormat="1" ht="10.199999999999999" customHeight="1" x14ac:dyDescent="0.2">
      <c r="L91" s="412"/>
      <c r="M91" s="415"/>
      <c r="N91" s="421" t="str">
        <f>IFERROR(_xlfn.XLOOKUP(CONCATENATE($L91,N$5,$M$2),BASE_DATOS[Reporte NSK],BASE_DATOS[NSK],,0),"")</f>
        <v/>
      </c>
      <c r="O91" s="422" t="str">
        <f>IFERROR(_xlfn.XLOOKUP(CONCATENATE($L91,O$5,$M$2),BASE_DATOS[Reporte NSK],BASE_DATOS[NSK],,0),"")</f>
        <v/>
      </c>
      <c r="P91" s="445" t="str">
        <f>IFERROR(_xlfn.XLOOKUP(CONCATENATE($L91,P$5,$M$2),BASE_DATOS[Reporte NSK],BASE_DATOS[NSK],,0),"")</f>
        <v/>
      </c>
      <c r="Q91" s="422" t="str">
        <f>IFERROR(_xlfn.XLOOKUP(CONCATENATE($L91,Q$5,$M$2),BASE_DATOS[Reporte NSK],BASE_DATOS[NSK],,0),"")</f>
        <v/>
      </c>
      <c r="R91" s="422" t="str">
        <f>IFERROR(_xlfn.XLOOKUP(CONCATENATE($L91,R$5,$M$2),BASE_DATOS[Reporte NSK],BASE_DATOS[NSK],,0),"")</f>
        <v/>
      </c>
      <c r="S91" s="422" t="str">
        <f>IFERROR(_xlfn.XLOOKUP(CONCATENATE($L91,S$5,$M$2),BASE_DATOS[Reporte NSK],BASE_DATOS[NSK],,0),"")</f>
        <v/>
      </c>
      <c r="T91" s="422" t="str">
        <f>IFERROR(_xlfn.XLOOKUP(CONCATENATE($L91,T$5,$M$2),BASE_DATOS[Reporte NSK],BASE_DATOS[NSK],,0),"")</f>
        <v/>
      </c>
      <c r="U91" s="422" t="str">
        <f>IFERROR(_xlfn.XLOOKUP(CONCATENATE($L91,U$5,$M$2),BASE_DATOS[Reporte NSK],BASE_DATOS[NSK],,0),"")</f>
        <v/>
      </c>
      <c r="V91" s="422" t="str">
        <f>IFERROR(_xlfn.XLOOKUP(CONCATENATE($L91,V$5,$M$2),BASE_DATOS[Reporte NSK],BASE_DATOS[NSK],,0),"")</f>
        <v/>
      </c>
      <c r="W91" s="436" t="str">
        <f>IFERROR(_xlfn.XLOOKUP(CONCATENATE($L91,W$5,$M$2),BASE_DATOS[Reporte NSK],BASE_DATOS[NSK],,0),"")</f>
        <v/>
      </c>
      <c r="X91" s="418" t="str">
        <f t="shared" si="3"/>
        <v/>
      </c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8"/>
      <c r="BJ91" s="108"/>
      <c r="BK91" s="108"/>
      <c r="BL91" s="108"/>
      <c r="BM91" s="108"/>
      <c r="BN91" s="108"/>
      <c r="BO91" s="108"/>
      <c r="BP91" s="108"/>
      <c r="BQ91" s="108"/>
      <c r="BR91" s="108"/>
      <c r="BS91" s="108"/>
      <c r="BT91" s="108"/>
      <c r="BU91" s="108"/>
      <c r="BV91" s="108"/>
    </row>
    <row r="92" spans="12:74" s="152" customFormat="1" ht="10.199999999999999" customHeight="1" x14ac:dyDescent="0.2">
      <c r="L92" s="412"/>
      <c r="M92" s="415"/>
      <c r="N92" s="421" t="str">
        <f>IFERROR(_xlfn.XLOOKUP(CONCATENATE($L92,N$5,$M$2),BASE_DATOS[Reporte NSK],BASE_DATOS[NSK],,0),"")</f>
        <v/>
      </c>
      <c r="O92" s="422" t="str">
        <f>IFERROR(_xlfn.XLOOKUP(CONCATENATE($L92,O$5,$M$2),BASE_DATOS[Reporte NSK],BASE_DATOS[NSK],,0),"")</f>
        <v/>
      </c>
      <c r="P92" s="445" t="str">
        <f>IFERROR(_xlfn.XLOOKUP(CONCATENATE($L92,P$5,$M$2),BASE_DATOS[Reporte NSK],BASE_DATOS[NSK],,0),"")</f>
        <v/>
      </c>
      <c r="Q92" s="422" t="str">
        <f>IFERROR(_xlfn.XLOOKUP(CONCATENATE($L92,Q$5,$M$2),BASE_DATOS[Reporte NSK],BASE_DATOS[NSK],,0),"")</f>
        <v/>
      </c>
      <c r="R92" s="422" t="str">
        <f>IFERROR(_xlfn.XLOOKUP(CONCATENATE($L92,R$5,$M$2),BASE_DATOS[Reporte NSK],BASE_DATOS[NSK],,0),"")</f>
        <v/>
      </c>
      <c r="S92" s="422" t="str">
        <f>IFERROR(_xlfn.XLOOKUP(CONCATENATE($L92,S$5,$M$2),BASE_DATOS[Reporte NSK],BASE_DATOS[NSK],,0),"")</f>
        <v/>
      </c>
      <c r="T92" s="422" t="str">
        <f>IFERROR(_xlfn.XLOOKUP(CONCATENATE($L92,T$5,$M$2),BASE_DATOS[Reporte NSK],BASE_DATOS[NSK],,0),"")</f>
        <v/>
      </c>
      <c r="U92" s="422" t="str">
        <f>IFERROR(_xlfn.XLOOKUP(CONCATENATE($L92,U$5,$M$2),BASE_DATOS[Reporte NSK],BASE_DATOS[NSK],,0),"")</f>
        <v/>
      </c>
      <c r="V92" s="422" t="str">
        <f>IFERROR(_xlfn.XLOOKUP(CONCATENATE($L92,V$5,$M$2),BASE_DATOS[Reporte NSK],BASE_DATOS[NSK],,0),"")</f>
        <v/>
      </c>
      <c r="W92" s="436" t="str">
        <f>IFERROR(_xlfn.XLOOKUP(CONCATENATE($L92,W$5,$M$2),BASE_DATOS[Reporte NSK],BASE_DATOS[NSK],,0),"")</f>
        <v/>
      </c>
      <c r="X92" s="418" t="str">
        <f t="shared" si="3"/>
        <v/>
      </c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  <c r="BD92" s="108"/>
      <c r="BE92" s="108"/>
      <c r="BF92" s="108"/>
      <c r="BG92" s="108"/>
      <c r="BH92" s="108"/>
      <c r="BI92" s="108"/>
      <c r="BJ92" s="108"/>
      <c r="BK92" s="108"/>
      <c r="BL92" s="108"/>
      <c r="BM92" s="108"/>
      <c r="BN92" s="108"/>
      <c r="BO92" s="108"/>
      <c r="BP92" s="108"/>
      <c r="BQ92" s="108"/>
      <c r="BR92" s="108"/>
      <c r="BS92" s="108"/>
      <c r="BT92" s="108"/>
      <c r="BU92" s="108"/>
      <c r="BV92" s="108"/>
    </row>
    <row r="93" spans="12:74" s="152" customFormat="1" ht="10.199999999999999" customHeight="1" x14ac:dyDescent="0.2">
      <c r="L93" s="412"/>
      <c r="M93" s="415"/>
      <c r="N93" s="421" t="str">
        <f>IFERROR(_xlfn.XLOOKUP(CONCATENATE($L93,N$5,$M$2),BASE_DATOS[Reporte NSK],BASE_DATOS[NSK],,0),"")</f>
        <v/>
      </c>
      <c r="O93" s="422" t="str">
        <f>IFERROR(_xlfn.XLOOKUP(CONCATENATE($L93,O$5,$M$2),BASE_DATOS[Reporte NSK],BASE_DATOS[NSK],,0),"")</f>
        <v/>
      </c>
      <c r="P93" s="445" t="str">
        <f>IFERROR(_xlfn.XLOOKUP(CONCATENATE($L93,P$5,$M$2),BASE_DATOS[Reporte NSK],BASE_DATOS[NSK],,0),"")</f>
        <v/>
      </c>
      <c r="Q93" s="422" t="str">
        <f>IFERROR(_xlfn.XLOOKUP(CONCATENATE($L93,Q$5,$M$2),BASE_DATOS[Reporte NSK],BASE_DATOS[NSK],,0),"")</f>
        <v/>
      </c>
      <c r="R93" s="422" t="str">
        <f>IFERROR(_xlfn.XLOOKUP(CONCATENATE($L93,R$5,$M$2),BASE_DATOS[Reporte NSK],BASE_DATOS[NSK],,0),"")</f>
        <v/>
      </c>
      <c r="S93" s="422" t="str">
        <f>IFERROR(_xlfn.XLOOKUP(CONCATENATE($L93,S$5,$M$2),BASE_DATOS[Reporte NSK],BASE_DATOS[NSK],,0),"")</f>
        <v/>
      </c>
      <c r="T93" s="422" t="str">
        <f>IFERROR(_xlfn.XLOOKUP(CONCATENATE($L93,T$5,$M$2),BASE_DATOS[Reporte NSK],BASE_DATOS[NSK],,0),"")</f>
        <v/>
      </c>
      <c r="U93" s="422" t="str">
        <f>IFERROR(_xlfn.XLOOKUP(CONCATENATE($L93,U$5,$M$2),BASE_DATOS[Reporte NSK],BASE_DATOS[NSK],,0),"")</f>
        <v/>
      </c>
      <c r="V93" s="422" t="str">
        <f>IFERROR(_xlfn.XLOOKUP(CONCATENATE($L93,V$5,$M$2),BASE_DATOS[Reporte NSK],BASE_DATOS[NSK],,0),"")</f>
        <v/>
      </c>
      <c r="W93" s="436" t="str">
        <f>IFERROR(_xlfn.XLOOKUP(CONCATENATE($L93,W$5,$M$2),BASE_DATOS[Reporte NSK],BASE_DATOS[NSK],,0),"")</f>
        <v/>
      </c>
      <c r="X93" s="418" t="str">
        <f t="shared" si="3"/>
        <v/>
      </c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  <c r="BH93" s="108"/>
      <c r="BI93" s="108"/>
      <c r="BJ93" s="108"/>
      <c r="BK93" s="108"/>
      <c r="BL93" s="108"/>
      <c r="BM93" s="108"/>
      <c r="BN93" s="108"/>
      <c r="BO93" s="108"/>
      <c r="BP93" s="108"/>
      <c r="BQ93" s="108"/>
      <c r="BR93" s="108"/>
      <c r="BS93" s="108"/>
      <c r="BT93" s="108"/>
      <c r="BU93" s="108"/>
      <c r="BV93" s="108"/>
    </row>
    <row r="94" spans="12:74" s="152" customFormat="1" ht="10.199999999999999" customHeight="1" x14ac:dyDescent="0.2">
      <c r="L94" s="412"/>
      <c r="M94" s="415"/>
      <c r="N94" s="421" t="str">
        <f>IFERROR(_xlfn.XLOOKUP(CONCATENATE($L94,N$5,$M$2),BASE_DATOS[Reporte NSK],BASE_DATOS[NSK],,0),"")</f>
        <v/>
      </c>
      <c r="O94" s="422" t="str">
        <f>IFERROR(_xlfn.XLOOKUP(CONCATENATE($L94,O$5,$M$2),BASE_DATOS[Reporte NSK],BASE_DATOS[NSK],,0),"")</f>
        <v/>
      </c>
      <c r="P94" s="445" t="str">
        <f>IFERROR(_xlfn.XLOOKUP(CONCATENATE($L94,P$5,$M$2),BASE_DATOS[Reporte NSK],BASE_DATOS[NSK],,0),"")</f>
        <v/>
      </c>
      <c r="Q94" s="422" t="str">
        <f>IFERROR(_xlfn.XLOOKUP(CONCATENATE($L94,Q$5,$M$2),BASE_DATOS[Reporte NSK],BASE_DATOS[NSK],,0),"")</f>
        <v/>
      </c>
      <c r="R94" s="422" t="str">
        <f>IFERROR(_xlfn.XLOOKUP(CONCATENATE($L94,R$5,$M$2),BASE_DATOS[Reporte NSK],BASE_DATOS[NSK],,0),"")</f>
        <v/>
      </c>
      <c r="S94" s="422" t="str">
        <f>IFERROR(_xlfn.XLOOKUP(CONCATENATE($L94,S$5,$M$2),BASE_DATOS[Reporte NSK],BASE_DATOS[NSK],,0),"")</f>
        <v/>
      </c>
      <c r="T94" s="422" t="str">
        <f>IFERROR(_xlfn.XLOOKUP(CONCATENATE($L94,T$5,$M$2),BASE_DATOS[Reporte NSK],BASE_DATOS[NSK],,0),"")</f>
        <v/>
      </c>
      <c r="U94" s="422" t="str">
        <f>IFERROR(_xlfn.XLOOKUP(CONCATENATE($L94,U$5,$M$2),BASE_DATOS[Reporte NSK],BASE_DATOS[NSK],,0),"")</f>
        <v/>
      </c>
      <c r="V94" s="422" t="str">
        <f>IFERROR(_xlfn.XLOOKUP(CONCATENATE($L94,V$5,$M$2),BASE_DATOS[Reporte NSK],BASE_DATOS[NSK],,0),"")</f>
        <v/>
      </c>
      <c r="W94" s="436" t="str">
        <f>IFERROR(_xlfn.XLOOKUP(CONCATENATE($L94,W$5,$M$2),BASE_DATOS[Reporte NSK],BASE_DATOS[NSK],,0),"")</f>
        <v/>
      </c>
      <c r="X94" s="418" t="str">
        <f t="shared" si="3"/>
        <v/>
      </c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  <c r="BH94" s="108"/>
      <c r="BI94" s="108"/>
      <c r="BJ94" s="108"/>
      <c r="BK94" s="108"/>
      <c r="BL94" s="108"/>
      <c r="BM94" s="108"/>
      <c r="BN94" s="108"/>
      <c r="BO94" s="108"/>
      <c r="BP94" s="108"/>
      <c r="BQ94" s="108"/>
      <c r="BR94" s="108"/>
      <c r="BS94" s="108"/>
      <c r="BT94" s="108"/>
      <c r="BU94" s="108"/>
      <c r="BV94" s="108"/>
    </row>
    <row r="95" spans="12:74" s="152" customFormat="1" ht="10.199999999999999" customHeight="1" x14ac:dyDescent="0.2">
      <c r="L95" s="412"/>
      <c r="M95" s="415"/>
      <c r="N95" s="421" t="str">
        <f>IFERROR(_xlfn.XLOOKUP(CONCATENATE($L95,N$5,$M$2),BASE_DATOS[Reporte NSK],BASE_DATOS[NSK],,0),"")</f>
        <v/>
      </c>
      <c r="O95" s="422" t="str">
        <f>IFERROR(_xlfn.XLOOKUP(CONCATENATE($L95,O$5,$M$2),BASE_DATOS[Reporte NSK],BASE_DATOS[NSK],,0),"")</f>
        <v/>
      </c>
      <c r="P95" s="445" t="str">
        <f>IFERROR(_xlfn.XLOOKUP(CONCATENATE($L95,P$5,$M$2),BASE_DATOS[Reporte NSK],BASE_DATOS[NSK],,0),"")</f>
        <v/>
      </c>
      <c r="Q95" s="422" t="str">
        <f>IFERROR(_xlfn.XLOOKUP(CONCATENATE($L95,Q$5,$M$2),BASE_DATOS[Reporte NSK],BASE_DATOS[NSK],,0),"")</f>
        <v/>
      </c>
      <c r="R95" s="422" t="str">
        <f>IFERROR(_xlfn.XLOOKUP(CONCATENATE($L95,R$5,$M$2),BASE_DATOS[Reporte NSK],BASE_DATOS[NSK],,0),"")</f>
        <v/>
      </c>
      <c r="S95" s="422" t="str">
        <f>IFERROR(_xlfn.XLOOKUP(CONCATENATE($L95,S$5,$M$2),BASE_DATOS[Reporte NSK],BASE_DATOS[NSK],,0),"")</f>
        <v/>
      </c>
      <c r="T95" s="422" t="str">
        <f>IFERROR(_xlfn.XLOOKUP(CONCATENATE($L95,T$5,$M$2),BASE_DATOS[Reporte NSK],BASE_DATOS[NSK],,0),"")</f>
        <v/>
      </c>
      <c r="U95" s="422" t="str">
        <f>IFERROR(_xlfn.XLOOKUP(CONCATENATE($L95,U$5,$M$2),BASE_DATOS[Reporte NSK],BASE_DATOS[NSK],,0),"")</f>
        <v/>
      </c>
      <c r="V95" s="422" t="str">
        <f>IFERROR(_xlfn.XLOOKUP(CONCATENATE($L95,V$5,$M$2),BASE_DATOS[Reporte NSK],BASE_DATOS[NSK],,0),"")</f>
        <v/>
      </c>
      <c r="W95" s="436" t="str">
        <f>IFERROR(_xlfn.XLOOKUP(CONCATENATE($L95,W$5,$M$2),BASE_DATOS[Reporte NSK],BASE_DATOS[NSK],,0),"")</f>
        <v/>
      </c>
      <c r="X95" s="418" t="str">
        <f t="shared" si="3"/>
        <v/>
      </c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8"/>
      <c r="BJ95" s="108"/>
      <c r="BK95" s="108"/>
      <c r="BL95" s="108"/>
      <c r="BM95" s="108"/>
      <c r="BN95" s="108"/>
      <c r="BO95" s="108"/>
      <c r="BP95" s="108"/>
      <c r="BQ95" s="108"/>
      <c r="BR95" s="108"/>
      <c r="BS95" s="108"/>
      <c r="BT95" s="108"/>
      <c r="BU95" s="108"/>
      <c r="BV95" s="108"/>
    </row>
    <row r="96" spans="12:74" s="152" customFormat="1" ht="10.199999999999999" customHeight="1" x14ac:dyDescent="0.2">
      <c r="L96" s="412"/>
      <c r="M96" s="415"/>
      <c r="N96" s="421" t="str">
        <f>IFERROR(_xlfn.XLOOKUP(CONCATENATE($L96,N$5,$M$2),BASE_DATOS[Reporte NSK],BASE_DATOS[NSK],,0),"")</f>
        <v/>
      </c>
      <c r="O96" s="422" t="str">
        <f>IFERROR(_xlfn.XLOOKUP(CONCATENATE($L96,O$5,$M$2),BASE_DATOS[Reporte NSK],BASE_DATOS[NSK],,0),"")</f>
        <v/>
      </c>
      <c r="P96" s="445" t="str">
        <f>IFERROR(_xlfn.XLOOKUP(CONCATENATE($L96,P$5,$M$2),BASE_DATOS[Reporte NSK],BASE_DATOS[NSK],,0),"")</f>
        <v/>
      </c>
      <c r="Q96" s="422" t="str">
        <f>IFERROR(_xlfn.XLOOKUP(CONCATENATE($L96,Q$5,$M$2),BASE_DATOS[Reporte NSK],BASE_DATOS[NSK],,0),"")</f>
        <v/>
      </c>
      <c r="R96" s="422" t="str">
        <f>IFERROR(_xlfn.XLOOKUP(CONCATENATE($L96,R$5,$M$2),BASE_DATOS[Reporte NSK],BASE_DATOS[NSK],,0),"")</f>
        <v/>
      </c>
      <c r="S96" s="422" t="str">
        <f>IFERROR(_xlfn.XLOOKUP(CONCATENATE($L96,S$5,$M$2),BASE_DATOS[Reporte NSK],BASE_DATOS[NSK],,0),"")</f>
        <v/>
      </c>
      <c r="T96" s="422" t="str">
        <f>IFERROR(_xlfn.XLOOKUP(CONCATENATE($L96,T$5,$M$2),BASE_DATOS[Reporte NSK],BASE_DATOS[NSK],,0),"")</f>
        <v/>
      </c>
      <c r="U96" s="422" t="str">
        <f>IFERROR(_xlfn.XLOOKUP(CONCATENATE($L96,U$5,$M$2),BASE_DATOS[Reporte NSK],BASE_DATOS[NSK],,0),"")</f>
        <v/>
      </c>
      <c r="V96" s="422" t="str">
        <f>IFERROR(_xlfn.XLOOKUP(CONCATENATE($L96,V$5,$M$2),BASE_DATOS[Reporte NSK],BASE_DATOS[NSK],,0),"")</f>
        <v/>
      </c>
      <c r="W96" s="436" t="str">
        <f>IFERROR(_xlfn.XLOOKUP(CONCATENATE($L96,W$5,$M$2),BASE_DATOS[Reporte NSK],BASE_DATOS[NSK],,0),"")</f>
        <v/>
      </c>
      <c r="X96" s="418" t="str">
        <f t="shared" si="3"/>
        <v/>
      </c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8"/>
      <c r="BJ96" s="108"/>
      <c r="BK96" s="108"/>
      <c r="BL96" s="108"/>
      <c r="BM96" s="108"/>
      <c r="BN96" s="108"/>
      <c r="BO96" s="108"/>
      <c r="BP96" s="108"/>
      <c r="BQ96" s="108"/>
      <c r="BR96" s="108"/>
      <c r="BS96" s="108"/>
      <c r="BT96" s="108"/>
      <c r="BU96" s="108"/>
      <c r="BV96" s="108"/>
    </row>
    <row r="97" spans="12:74" s="152" customFormat="1" ht="10.199999999999999" customHeight="1" x14ac:dyDescent="0.2">
      <c r="L97" s="412"/>
      <c r="M97" s="415"/>
      <c r="N97" s="421" t="str">
        <f>IFERROR(_xlfn.XLOOKUP(CONCATENATE($L97,N$5,$M$2),BASE_DATOS[Reporte NSK],BASE_DATOS[NSK],,0),"")</f>
        <v/>
      </c>
      <c r="O97" s="422" t="str">
        <f>IFERROR(_xlfn.XLOOKUP(CONCATENATE($L97,O$5,$M$2),BASE_DATOS[Reporte NSK],BASE_DATOS[NSK],,0),"")</f>
        <v/>
      </c>
      <c r="P97" s="445" t="str">
        <f>IFERROR(_xlfn.XLOOKUP(CONCATENATE($L97,P$5,$M$2),BASE_DATOS[Reporte NSK],BASE_DATOS[NSK],,0),"")</f>
        <v/>
      </c>
      <c r="Q97" s="422" t="str">
        <f>IFERROR(_xlfn.XLOOKUP(CONCATENATE($L97,Q$5,$M$2),BASE_DATOS[Reporte NSK],BASE_DATOS[NSK],,0),"")</f>
        <v/>
      </c>
      <c r="R97" s="422" t="str">
        <f>IFERROR(_xlfn.XLOOKUP(CONCATENATE($L97,R$5,$M$2),BASE_DATOS[Reporte NSK],BASE_DATOS[NSK],,0),"")</f>
        <v/>
      </c>
      <c r="S97" s="422" t="str">
        <f>IFERROR(_xlfn.XLOOKUP(CONCATENATE($L97,S$5,$M$2),BASE_DATOS[Reporte NSK],BASE_DATOS[NSK],,0),"")</f>
        <v/>
      </c>
      <c r="T97" s="422" t="str">
        <f>IFERROR(_xlfn.XLOOKUP(CONCATENATE($L97,T$5,$M$2),BASE_DATOS[Reporte NSK],BASE_DATOS[NSK],,0),"")</f>
        <v/>
      </c>
      <c r="U97" s="422" t="str">
        <f>IFERROR(_xlfn.XLOOKUP(CONCATENATE($L97,U$5,$M$2),BASE_DATOS[Reporte NSK],BASE_DATOS[NSK],,0),"")</f>
        <v/>
      </c>
      <c r="V97" s="422" t="str">
        <f>IFERROR(_xlfn.XLOOKUP(CONCATENATE($L97,V$5,$M$2),BASE_DATOS[Reporte NSK],BASE_DATOS[NSK],,0),"")</f>
        <v/>
      </c>
      <c r="W97" s="436" t="str">
        <f>IFERROR(_xlfn.XLOOKUP(CONCATENATE($L97,W$5,$M$2),BASE_DATOS[Reporte NSK],BASE_DATOS[NSK],,0),"")</f>
        <v/>
      </c>
      <c r="X97" s="418" t="str">
        <f t="shared" si="3"/>
        <v/>
      </c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08"/>
      <c r="BI97" s="108"/>
      <c r="BJ97" s="108"/>
      <c r="BK97" s="108"/>
      <c r="BL97" s="108"/>
      <c r="BM97" s="108"/>
      <c r="BN97" s="108"/>
      <c r="BO97" s="108"/>
      <c r="BP97" s="108"/>
      <c r="BQ97" s="108"/>
      <c r="BR97" s="108"/>
      <c r="BS97" s="108"/>
      <c r="BT97" s="108"/>
      <c r="BU97" s="108"/>
      <c r="BV97" s="108"/>
    </row>
    <row r="98" spans="12:74" s="152" customFormat="1" ht="10.199999999999999" customHeight="1" x14ac:dyDescent="0.2">
      <c r="L98" s="412"/>
      <c r="M98" s="415"/>
      <c r="N98" s="421" t="str">
        <f>IFERROR(_xlfn.XLOOKUP(CONCATENATE($L98,N$5,$M$2),BASE_DATOS[Reporte NSK],BASE_DATOS[NSK],,0),"")</f>
        <v/>
      </c>
      <c r="O98" s="422" t="str">
        <f>IFERROR(_xlfn.XLOOKUP(CONCATENATE($L98,O$5,$M$2),BASE_DATOS[Reporte NSK],BASE_DATOS[NSK],,0),"")</f>
        <v/>
      </c>
      <c r="P98" s="445" t="str">
        <f>IFERROR(_xlfn.XLOOKUP(CONCATENATE($L98,P$5,$M$2),BASE_DATOS[Reporte NSK],BASE_DATOS[NSK],,0),"")</f>
        <v/>
      </c>
      <c r="Q98" s="422" t="str">
        <f>IFERROR(_xlfn.XLOOKUP(CONCATENATE($L98,Q$5,$M$2),BASE_DATOS[Reporte NSK],BASE_DATOS[NSK],,0),"")</f>
        <v/>
      </c>
      <c r="R98" s="422" t="str">
        <f>IFERROR(_xlfn.XLOOKUP(CONCATENATE($L98,R$5,$M$2),BASE_DATOS[Reporte NSK],BASE_DATOS[NSK],,0),"")</f>
        <v/>
      </c>
      <c r="S98" s="422" t="str">
        <f>IFERROR(_xlfn.XLOOKUP(CONCATENATE($L98,S$5,$M$2),BASE_DATOS[Reporte NSK],BASE_DATOS[NSK],,0),"")</f>
        <v/>
      </c>
      <c r="T98" s="422" t="str">
        <f>IFERROR(_xlfn.XLOOKUP(CONCATENATE($L98,T$5,$M$2),BASE_DATOS[Reporte NSK],BASE_DATOS[NSK],,0),"")</f>
        <v/>
      </c>
      <c r="U98" s="422" t="str">
        <f>IFERROR(_xlfn.XLOOKUP(CONCATENATE($L98,U$5,$M$2),BASE_DATOS[Reporte NSK],BASE_DATOS[NSK],,0),"")</f>
        <v/>
      </c>
      <c r="V98" s="422" t="str">
        <f>IFERROR(_xlfn.XLOOKUP(CONCATENATE($L98,V$5,$M$2),BASE_DATOS[Reporte NSK],BASE_DATOS[NSK],,0),"")</f>
        <v/>
      </c>
      <c r="W98" s="436" t="str">
        <f>IFERROR(_xlfn.XLOOKUP(CONCATENATE($L98,W$5,$M$2),BASE_DATOS[Reporte NSK],BASE_DATOS[NSK],,0),"")</f>
        <v/>
      </c>
      <c r="X98" s="418" t="str">
        <f t="shared" si="3"/>
        <v/>
      </c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08"/>
      <c r="BH98" s="108"/>
      <c r="BI98" s="108"/>
      <c r="BJ98" s="108"/>
      <c r="BK98" s="108"/>
      <c r="BL98" s="108"/>
      <c r="BM98" s="108"/>
      <c r="BN98" s="108"/>
      <c r="BO98" s="108"/>
      <c r="BP98" s="108"/>
      <c r="BQ98" s="108"/>
      <c r="BR98" s="108"/>
      <c r="BS98" s="108"/>
      <c r="BT98" s="108"/>
      <c r="BU98" s="108"/>
      <c r="BV98" s="108"/>
    </row>
    <row r="99" spans="12:74" s="152" customFormat="1" ht="10.199999999999999" customHeight="1" x14ac:dyDescent="0.2">
      <c r="L99" s="412"/>
      <c r="M99" s="415"/>
      <c r="N99" s="421" t="str">
        <f>IFERROR(_xlfn.XLOOKUP(CONCATENATE($L99,N$5,$M$2),BASE_DATOS[Reporte NSK],BASE_DATOS[NSK],,0),"")</f>
        <v/>
      </c>
      <c r="O99" s="422" t="str">
        <f>IFERROR(_xlfn.XLOOKUP(CONCATENATE($L99,O$5,$M$2),BASE_DATOS[Reporte NSK],BASE_DATOS[NSK],,0),"")</f>
        <v/>
      </c>
      <c r="P99" s="445" t="str">
        <f>IFERROR(_xlfn.XLOOKUP(CONCATENATE($L99,P$5,$M$2),BASE_DATOS[Reporte NSK],BASE_DATOS[NSK],,0),"")</f>
        <v/>
      </c>
      <c r="Q99" s="422" t="str">
        <f>IFERROR(_xlfn.XLOOKUP(CONCATENATE($L99,Q$5,$M$2),BASE_DATOS[Reporte NSK],BASE_DATOS[NSK],,0),"")</f>
        <v/>
      </c>
      <c r="R99" s="422" t="str">
        <f>IFERROR(_xlfn.XLOOKUP(CONCATENATE($L99,R$5,$M$2),BASE_DATOS[Reporte NSK],BASE_DATOS[NSK],,0),"")</f>
        <v/>
      </c>
      <c r="S99" s="422" t="str">
        <f>IFERROR(_xlfn.XLOOKUP(CONCATENATE($L99,S$5,$M$2),BASE_DATOS[Reporte NSK],BASE_DATOS[NSK],,0),"")</f>
        <v/>
      </c>
      <c r="T99" s="422" t="str">
        <f>IFERROR(_xlfn.XLOOKUP(CONCATENATE($L99,T$5,$M$2),BASE_DATOS[Reporte NSK],BASE_DATOS[NSK],,0),"")</f>
        <v/>
      </c>
      <c r="U99" s="422" t="str">
        <f>IFERROR(_xlfn.XLOOKUP(CONCATENATE($L99,U$5,$M$2),BASE_DATOS[Reporte NSK],BASE_DATOS[NSK],,0),"")</f>
        <v/>
      </c>
      <c r="V99" s="422" t="str">
        <f>IFERROR(_xlfn.XLOOKUP(CONCATENATE($L99,V$5,$M$2),BASE_DATOS[Reporte NSK],BASE_DATOS[NSK],,0),"")</f>
        <v/>
      </c>
      <c r="W99" s="436" t="str">
        <f>IFERROR(_xlfn.XLOOKUP(CONCATENATE($L99,W$5,$M$2),BASE_DATOS[Reporte NSK],BASE_DATOS[NSK],,0),"")</f>
        <v/>
      </c>
      <c r="X99" s="418" t="str">
        <f t="shared" si="3"/>
        <v/>
      </c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/>
      <c r="BP99" s="108"/>
      <c r="BQ99" s="108"/>
      <c r="BR99" s="108"/>
      <c r="BS99" s="108"/>
      <c r="BT99" s="108"/>
      <c r="BU99" s="108"/>
      <c r="BV99" s="108"/>
    </row>
    <row r="100" spans="12:74" s="152" customFormat="1" ht="10.199999999999999" customHeight="1" x14ac:dyDescent="0.2">
      <c r="L100" s="412"/>
      <c r="M100" s="415"/>
      <c r="N100" s="421" t="str">
        <f>IFERROR(_xlfn.XLOOKUP(CONCATENATE($L100,N$5,$M$2),BASE_DATOS[Reporte NSK],BASE_DATOS[NSK],,0),"")</f>
        <v/>
      </c>
      <c r="O100" s="422" t="str">
        <f>IFERROR(_xlfn.XLOOKUP(CONCATENATE($L100,O$5,$M$2),BASE_DATOS[Reporte NSK],BASE_DATOS[NSK],,0),"")</f>
        <v/>
      </c>
      <c r="P100" s="445" t="str">
        <f>IFERROR(_xlfn.XLOOKUP(CONCATENATE($L100,P$5,$M$2),BASE_DATOS[Reporte NSK],BASE_DATOS[NSK],,0),"")</f>
        <v/>
      </c>
      <c r="Q100" s="422" t="str">
        <f>IFERROR(_xlfn.XLOOKUP(CONCATENATE($L100,Q$5,$M$2),BASE_DATOS[Reporte NSK],BASE_DATOS[NSK],,0),"")</f>
        <v/>
      </c>
      <c r="R100" s="422" t="str">
        <f>IFERROR(_xlfn.XLOOKUP(CONCATENATE($L100,R$5,$M$2),BASE_DATOS[Reporte NSK],BASE_DATOS[NSK],,0),"")</f>
        <v/>
      </c>
      <c r="S100" s="422" t="str">
        <f>IFERROR(_xlfn.XLOOKUP(CONCATENATE($L100,S$5,$M$2),BASE_DATOS[Reporte NSK],BASE_DATOS[NSK],,0),"")</f>
        <v/>
      </c>
      <c r="T100" s="422" t="str">
        <f>IFERROR(_xlfn.XLOOKUP(CONCATENATE($L100,T$5,$M$2),BASE_DATOS[Reporte NSK],BASE_DATOS[NSK],,0),"")</f>
        <v/>
      </c>
      <c r="U100" s="422" t="str">
        <f>IFERROR(_xlfn.XLOOKUP(CONCATENATE($L100,U$5,$M$2),BASE_DATOS[Reporte NSK],BASE_DATOS[NSK],,0),"")</f>
        <v/>
      </c>
      <c r="V100" s="422" t="str">
        <f>IFERROR(_xlfn.XLOOKUP(CONCATENATE($L100,V$5,$M$2),BASE_DATOS[Reporte NSK],BASE_DATOS[NSK],,0),"")</f>
        <v/>
      </c>
      <c r="W100" s="436" t="str">
        <f>IFERROR(_xlfn.XLOOKUP(CONCATENATE($L100,W$5,$M$2),BASE_DATOS[Reporte NSK],BASE_DATOS[NSK],,0),"")</f>
        <v/>
      </c>
      <c r="X100" s="418" t="str">
        <f t="shared" si="3"/>
        <v/>
      </c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8"/>
      <c r="BJ100" s="108"/>
      <c r="BK100" s="108"/>
      <c r="BL100" s="108"/>
      <c r="BM100" s="108"/>
      <c r="BN100" s="108"/>
      <c r="BO100" s="108"/>
      <c r="BP100" s="108"/>
      <c r="BQ100" s="108"/>
      <c r="BR100" s="108"/>
      <c r="BS100" s="108"/>
      <c r="BT100" s="108"/>
      <c r="BU100" s="108"/>
      <c r="BV100" s="108"/>
    </row>
    <row r="101" spans="12:74" s="152" customFormat="1" ht="10.199999999999999" customHeight="1" x14ac:dyDescent="0.2">
      <c r="L101" s="412"/>
      <c r="M101" s="415"/>
      <c r="N101" s="421" t="str">
        <f>IFERROR(_xlfn.XLOOKUP(CONCATENATE($L101,N$5,$M$2),BASE_DATOS[Reporte NSK],BASE_DATOS[NSK],,0),"")</f>
        <v/>
      </c>
      <c r="O101" s="422" t="str">
        <f>IFERROR(_xlfn.XLOOKUP(CONCATENATE($L101,O$5,$M$2),BASE_DATOS[Reporte NSK],BASE_DATOS[NSK],,0),"")</f>
        <v/>
      </c>
      <c r="P101" s="445" t="str">
        <f>IFERROR(_xlfn.XLOOKUP(CONCATENATE($L101,P$5,$M$2),BASE_DATOS[Reporte NSK],BASE_DATOS[NSK],,0),"")</f>
        <v/>
      </c>
      <c r="Q101" s="422" t="str">
        <f>IFERROR(_xlfn.XLOOKUP(CONCATENATE($L101,Q$5,$M$2),BASE_DATOS[Reporte NSK],BASE_DATOS[NSK],,0),"")</f>
        <v/>
      </c>
      <c r="R101" s="422" t="str">
        <f>IFERROR(_xlfn.XLOOKUP(CONCATENATE($L101,R$5,$M$2),BASE_DATOS[Reporte NSK],BASE_DATOS[NSK],,0),"")</f>
        <v/>
      </c>
      <c r="S101" s="422" t="str">
        <f>IFERROR(_xlfn.XLOOKUP(CONCATENATE($L101,S$5,$M$2),BASE_DATOS[Reporte NSK],BASE_DATOS[NSK],,0),"")</f>
        <v/>
      </c>
      <c r="T101" s="422" t="str">
        <f>IFERROR(_xlfn.XLOOKUP(CONCATENATE($L101,T$5,$M$2),BASE_DATOS[Reporte NSK],BASE_DATOS[NSK],,0),"")</f>
        <v/>
      </c>
      <c r="U101" s="422" t="str">
        <f>IFERROR(_xlfn.XLOOKUP(CONCATENATE($L101,U$5,$M$2),BASE_DATOS[Reporte NSK],BASE_DATOS[NSK],,0),"")</f>
        <v/>
      </c>
      <c r="V101" s="422" t="str">
        <f>IFERROR(_xlfn.XLOOKUP(CONCATENATE($L101,V$5,$M$2),BASE_DATOS[Reporte NSK],BASE_DATOS[NSK],,0),"")</f>
        <v/>
      </c>
      <c r="W101" s="436" t="str">
        <f>IFERROR(_xlfn.XLOOKUP(CONCATENATE($L101,W$5,$M$2),BASE_DATOS[Reporte NSK],BASE_DATOS[NSK],,0),"")</f>
        <v/>
      </c>
      <c r="X101" s="418" t="str">
        <f t="shared" si="3"/>
        <v/>
      </c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8"/>
      <c r="BJ101" s="108"/>
      <c r="BK101" s="108"/>
      <c r="BL101" s="108"/>
      <c r="BM101" s="108"/>
      <c r="BN101" s="108"/>
      <c r="BO101" s="108"/>
      <c r="BP101" s="108"/>
      <c r="BQ101" s="108"/>
      <c r="BR101" s="108"/>
      <c r="BS101" s="108"/>
      <c r="BT101" s="108"/>
      <c r="BU101" s="108"/>
      <c r="BV101" s="108"/>
    </row>
    <row r="102" spans="12:74" s="152" customFormat="1" ht="10.199999999999999" customHeight="1" x14ac:dyDescent="0.2">
      <c r="L102" s="412"/>
      <c r="M102" s="415"/>
      <c r="N102" s="421" t="str">
        <f>IFERROR(_xlfn.XLOOKUP(CONCATENATE($L102,N$5,$M$2),BASE_DATOS[Reporte NSK],BASE_DATOS[NSK],,0),"")</f>
        <v/>
      </c>
      <c r="O102" s="422" t="str">
        <f>IFERROR(_xlfn.XLOOKUP(CONCATENATE($L102,O$5,$M$2),BASE_DATOS[Reporte NSK],BASE_DATOS[NSK],,0),"")</f>
        <v/>
      </c>
      <c r="P102" s="445" t="str">
        <f>IFERROR(_xlfn.XLOOKUP(CONCATENATE($L102,P$5,$M$2),BASE_DATOS[Reporte NSK],BASE_DATOS[NSK],,0),"")</f>
        <v/>
      </c>
      <c r="Q102" s="422" t="str">
        <f>IFERROR(_xlfn.XLOOKUP(CONCATENATE($L102,Q$5,$M$2),BASE_DATOS[Reporte NSK],BASE_DATOS[NSK],,0),"")</f>
        <v/>
      </c>
      <c r="R102" s="422" t="str">
        <f>IFERROR(_xlfn.XLOOKUP(CONCATENATE($L102,R$5,$M$2),BASE_DATOS[Reporte NSK],BASE_DATOS[NSK],,0),"")</f>
        <v/>
      </c>
      <c r="S102" s="422" t="str">
        <f>IFERROR(_xlfn.XLOOKUP(CONCATENATE($L102,S$5,$M$2),BASE_DATOS[Reporte NSK],BASE_DATOS[NSK],,0),"")</f>
        <v/>
      </c>
      <c r="T102" s="422" t="str">
        <f>IFERROR(_xlfn.XLOOKUP(CONCATENATE($L102,T$5,$M$2),BASE_DATOS[Reporte NSK],BASE_DATOS[NSK],,0),"")</f>
        <v/>
      </c>
      <c r="U102" s="422" t="str">
        <f>IFERROR(_xlfn.XLOOKUP(CONCATENATE($L102,U$5,$M$2),BASE_DATOS[Reporte NSK],BASE_DATOS[NSK],,0),"")</f>
        <v/>
      </c>
      <c r="V102" s="422" t="str">
        <f>IFERROR(_xlfn.XLOOKUP(CONCATENATE($L102,V$5,$M$2),BASE_DATOS[Reporte NSK],BASE_DATOS[NSK],,0),"")</f>
        <v/>
      </c>
      <c r="W102" s="436" t="str">
        <f>IFERROR(_xlfn.XLOOKUP(CONCATENATE($L102,W$5,$M$2),BASE_DATOS[Reporte NSK],BASE_DATOS[NSK],,0),"")</f>
        <v/>
      </c>
      <c r="X102" s="418" t="str">
        <f t="shared" ref="X102:X133" si="4">IF(COUNT(N102:W102)&gt;0,COUNT(N102:W102),"")</f>
        <v/>
      </c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/>
      <c r="BP102" s="108"/>
      <c r="BQ102" s="108"/>
      <c r="BR102" s="108"/>
      <c r="BS102" s="108"/>
      <c r="BT102" s="108"/>
      <c r="BU102" s="108"/>
      <c r="BV102" s="108"/>
    </row>
    <row r="103" spans="12:74" s="152" customFormat="1" ht="10.199999999999999" customHeight="1" x14ac:dyDescent="0.2">
      <c r="L103" s="412"/>
      <c r="M103" s="415"/>
      <c r="N103" s="421" t="str">
        <f>IFERROR(_xlfn.XLOOKUP(CONCATENATE($L103,N$5,$M$2),BASE_DATOS[Reporte NSK],BASE_DATOS[NSK],,0),"")</f>
        <v/>
      </c>
      <c r="O103" s="422" t="str">
        <f>IFERROR(_xlfn.XLOOKUP(CONCATENATE($L103,O$5,$M$2),BASE_DATOS[Reporte NSK],BASE_DATOS[NSK],,0),"")</f>
        <v/>
      </c>
      <c r="P103" s="445" t="str">
        <f>IFERROR(_xlfn.XLOOKUP(CONCATENATE($L103,P$5,$M$2),BASE_DATOS[Reporte NSK],BASE_DATOS[NSK],,0),"")</f>
        <v/>
      </c>
      <c r="Q103" s="422" t="str">
        <f>IFERROR(_xlfn.XLOOKUP(CONCATENATE($L103,Q$5,$M$2),BASE_DATOS[Reporte NSK],BASE_DATOS[NSK],,0),"")</f>
        <v/>
      </c>
      <c r="R103" s="422" t="str">
        <f>IFERROR(_xlfn.XLOOKUP(CONCATENATE($L103,R$5,$M$2),BASE_DATOS[Reporte NSK],BASE_DATOS[NSK],,0),"")</f>
        <v/>
      </c>
      <c r="S103" s="422" t="str">
        <f>IFERROR(_xlfn.XLOOKUP(CONCATENATE($L103,S$5,$M$2),BASE_DATOS[Reporte NSK],BASE_DATOS[NSK],,0),"")</f>
        <v/>
      </c>
      <c r="T103" s="422" t="str">
        <f>IFERROR(_xlfn.XLOOKUP(CONCATENATE($L103,T$5,$M$2),BASE_DATOS[Reporte NSK],BASE_DATOS[NSK],,0),"")</f>
        <v/>
      </c>
      <c r="U103" s="422" t="str">
        <f>IFERROR(_xlfn.XLOOKUP(CONCATENATE($L103,U$5,$M$2),BASE_DATOS[Reporte NSK],BASE_DATOS[NSK],,0),"")</f>
        <v/>
      </c>
      <c r="V103" s="422" t="str">
        <f>IFERROR(_xlfn.XLOOKUP(CONCATENATE($L103,V$5,$M$2),BASE_DATOS[Reporte NSK],BASE_DATOS[NSK],,0),"")</f>
        <v/>
      </c>
      <c r="W103" s="436" t="str">
        <f>IFERROR(_xlfn.XLOOKUP(CONCATENATE($L103,W$5,$M$2),BASE_DATOS[Reporte NSK],BASE_DATOS[NSK],,0),"")</f>
        <v/>
      </c>
      <c r="X103" s="418" t="str">
        <f t="shared" si="4"/>
        <v/>
      </c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8"/>
      <c r="BJ103" s="108"/>
      <c r="BK103" s="108"/>
      <c r="BL103" s="108"/>
      <c r="BM103" s="108"/>
      <c r="BN103" s="108"/>
      <c r="BO103" s="108"/>
      <c r="BP103" s="108"/>
      <c r="BQ103" s="108"/>
      <c r="BR103" s="108"/>
      <c r="BS103" s="108"/>
      <c r="BT103" s="108"/>
      <c r="BU103" s="108"/>
      <c r="BV103" s="108"/>
    </row>
    <row r="104" spans="12:74" s="152" customFormat="1" ht="10.199999999999999" customHeight="1" x14ac:dyDescent="0.2">
      <c r="L104" s="412"/>
      <c r="M104" s="415"/>
      <c r="N104" s="421" t="str">
        <f>IFERROR(_xlfn.XLOOKUP(CONCATENATE($L104,N$5,$M$2),BASE_DATOS[Reporte NSK],BASE_DATOS[NSK],,0),"")</f>
        <v/>
      </c>
      <c r="O104" s="422" t="str">
        <f>IFERROR(_xlfn.XLOOKUP(CONCATENATE($L104,O$5,$M$2),BASE_DATOS[Reporte NSK],BASE_DATOS[NSK],,0),"")</f>
        <v/>
      </c>
      <c r="P104" s="445" t="str">
        <f>IFERROR(_xlfn.XLOOKUP(CONCATENATE($L104,P$5,$M$2),BASE_DATOS[Reporte NSK],BASE_DATOS[NSK],,0),"")</f>
        <v/>
      </c>
      <c r="Q104" s="422" t="str">
        <f>IFERROR(_xlfn.XLOOKUP(CONCATENATE($L104,Q$5,$M$2),BASE_DATOS[Reporte NSK],BASE_DATOS[NSK],,0),"")</f>
        <v/>
      </c>
      <c r="R104" s="422" t="str">
        <f>IFERROR(_xlfn.XLOOKUP(CONCATENATE($L104,R$5,$M$2),BASE_DATOS[Reporte NSK],BASE_DATOS[NSK],,0),"")</f>
        <v/>
      </c>
      <c r="S104" s="422" t="str">
        <f>IFERROR(_xlfn.XLOOKUP(CONCATENATE($L104,S$5,$M$2),BASE_DATOS[Reporte NSK],BASE_DATOS[NSK],,0),"")</f>
        <v/>
      </c>
      <c r="T104" s="422" t="str">
        <f>IFERROR(_xlfn.XLOOKUP(CONCATENATE($L104,T$5,$M$2),BASE_DATOS[Reporte NSK],BASE_DATOS[NSK],,0),"")</f>
        <v/>
      </c>
      <c r="U104" s="422" t="str">
        <f>IFERROR(_xlfn.XLOOKUP(CONCATENATE($L104,U$5,$M$2),BASE_DATOS[Reporte NSK],BASE_DATOS[NSK],,0),"")</f>
        <v/>
      </c>
      <c r="V104" s="422" t="str">
        <f>IFERROR(_xlfn.XLOOKUP(CONCATENATE($L104,V$5,$M$2),BASE_DATOS[Reporte NSK],BASE_DATOS[NSK],,0),"")</f>
        <v/>
      </c>
      <c r="W104" s="436" t="str">
        <f>IFERROR(_xlfn.XLOOKUP(CONCATENATE($L104,W$5,$M$2),BASE_DATOS[Reporte NSK],BASE_DATOS[NSK],,0),"")</f>
        <v/>
      </c>
      <c r="X104" s="418" t="str">
        <f t="shared" si="4"/>
        <v/>
      </c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8"/>
      <c r="BJ104" s="108"/>
      <c r="BK104" s="108"/>
      <c r="BL104" s="108"/>
      <c r="BM104" s="108"/>
      <c r="BN104" s="108"/>
      <c r="BO104" s="108"/>
      <c r="BP104" s="108"/>
      <c r="BQ104" s="108"/>
      <c r="BR104" s="108"/>
      <c r="BS104" s="108"/>
      <c r="BT104" s="108"/>
      <c r="BU104" s="108"/>
      <c r="BV104" s="108"/>
    </row>
    <row r="105" spans="12:74" s="152" customFormat="1" ht="10.199999999999999" customHeight="1" x14ac:dyDescent="0.2">
      <c r="L105" s="412"/>
      <c r="M105" s="415"/>
      <c r="N105" s="421" t="str">
        <f>IFERROR(_xlfn.XLOOKUP(CONCATENATE($L105,N$5,$M$2),BASE_DATOS[Reporte NSK],BASE_DATOS[NSK],,0),"")</f>
        <v/>
      </c>
      <c r="O105" s="422" t="str">
        <f>IFERROR(_xlfn.XLOOKUP(CONCATENATE($L105,O$5,$M$2),BASE_DATOS[Reporte NSK],BASE_DATOS[NSK],,0),"")</f>
        <v/>
      </c>
      <c r="P105" s="445" t="str">
        <f>IFERROR(_xlfn.XLOOKUP(CONCATENATE($L105,P$5,$M$2),BASE_DATOS[Reporte NSK],BASE_DATOS[NSK],,0),"")</f>
        <v/>
      </c>
      <c r="Q105" s="422" t="str">
        <f>IFERROR(_xlfn.XLOOKUP(CONCATENATE($L105,Q$5,$M$2),BASE_DATOS[Reporte NSK],BASE_DATOS[NSK],,0),"")</f>
        <v/>
      </c>
      <c r="R105" s="422" t="str">
        <f>IFERROR(_xlfn.XLOOKUP(CONCATENATE($L105,R$5,$M$2),BASE_DATOS[Reporte NSK],BASE_DATOS[NSK],,0),"")</f>
        <v/>
      </c>
      <c r="S105" s="422" t="str">
        <f>IFERROR(_xlfn.XLOOKUP(CONCATENATE($L105,S$5,$M$2),BASE_DATOS[Reporte NSK],BASE_DATOS[NSK],,0),"")</f>
        <v/>
      </c>
      <c r="T105" s="422" t="str">
        <f>IFERROR(_xlfn.XLOOKUP(CONCATENATE($L105,T$5,$M$2),BASE_DATOS[Reporte NSK],BASE_DATOS[NSK],,0),"")</f>
        <v/>
      </c>
      <c r="U105" s="422" t="str">
        <f>IFERROR(_xlfn.XLOOKUP(CONCATENATE($L105,U$5,$M$2),BASE_DATOS[Reporte NSK],BASE_DATOS[NSK],,0),"")</f>
        <v/>
      </c>
      <c r="V105" s="422" t="str">
        <f>IFERROR(_xlfn.XLOOKUP(CONCATENATE($L105,V$5,$M$2),BASE_DATOS[Reporte NSK],BASE_DATOS[NSK],,0),"")</f>
        <v/>
      </c>
      <c r="W105" s="436" t="str">
        <f>IFERROR(_xlfn.XLOOKUP(CONCATENATE($L105,W$5,$M$2),BASE_DATOS[Reporte NSK],BASE_DATOS[NSK],,0),"")</f>
        <v/>
      </c>
      <c r="X105" s="418" t="str">
        <f t="shared" si="4"/>
        <v/>
      </c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08"/>
      <c r="BC105" s="108"/>
      <c r="BD105" s="108"/>
      <c r="BE105" s="108"/>
      <c r="BF105" s="108"/>
      <c r="BG105" s="108"/>
      <c r="BH105" s="108"/>
      <c r="BI105" s="108"/>
      <c r="BJ105" s="108"/>
      <c r="BK105" s="108"/>
      <c r="BL105" s="108"/>
      <c r="BM105" s="108"/>
      <c r="BN105" s="108"/>
      <c r="BO105" s="108"/>
      <c r="BP105" s="108"/>
      <c r="BQ105" s="108"/>
      <c r="BR105" s="108"/>
      <c r="BS105" s="108"/>
      <c r="BT105" s="108"/>
      <c r="BU105" s="108"/>
      <c r="BV105" s="108"/>
    </row>
    <row r="106" spans="12:74" s="152" customFormat="1" ht="10.199999999999999" customHeight="1" x14ac:dyDescent="0.2">
      <c r="L106" s="412"/>
      <c r="M106" s="415"/>
      <c r="N106" s="421" t="str">
        <f>IFERROR(_xlfn.XLOOKUP(CONCATENATE($L106,N$5,$M$2),BASE_DATOS[Reporte NSK],BASE_DATOS[NSK],,0),"")</f>
        <v/>
      </c>
      <c r="O106" s="422" t="str">
        <f>IFERROR(_xlfn.XLOOKUP(CONCATENATE($L106,O$5,$M$2),BASE_DATOS[Reporte NSK],BASE_DATOS[NSK],,0),"")</f>
        <v/>
      </c>
      <c r="P106" s="445" t="str">
        <f>IFERROR(_xlfn.XLOOKUP(CONCATENATE($L106,P$5,$M$2),BASE_DATOS[Reporte NSK],BASE_DATOS[NSK],,0),"")</f>
        <v/>
      </c>
      <c r="Q106" s="422" t="str">
        <f>IFERROR(_xlfn.XLOOKUP(CONCATENATE($L106,Q$5,$M$2),BASE_DATOS[Reporte NSK],BASE_DATOS[NSK],,0),"")</f>
        <v/>
      </c>
      <c r="R106" s="422" t="str">
        <f>IFERROR(_xlfn.XLOOKUP(CONCATENATE($L106,R$5,$M$2),BASE_DATOS[Reporte NSK],BASE_DATOS[NSK],,0),"")</f>
        <v/>
      </c>
      <c r="S106" s="422" t="str">
        <f>IFERROR(_xlfn.XLOOKUP(CONCATENATE($L106,S$5,$M$2),BASE_DATOS[Reporte NSK],BASE_DATOS[NSK],,0),"")</f>
        <v/>
      </c>
      <c r="T106" s="422" t="str">
        <f>IFERROR(_xlfn.XLOOKUP(CONCATENATE($L106,T$5,$M$2),BASE_DATOS[Reporte NSK],BASE_DATOS[NSK],,0),"")</f>
        <v/>
      </c>
      <c r="U106" s="422" t="str">
        <f>IFERROR(_xlfn.XLOOKUP(CONCATENATE($L106,U$5,$M$2),BASE_DATOS[Reporte NSK],BASE_DATOS[NSK],,0),"")</f>
        <v/>
      </c>
      <c r="V106" s="422" t="str">
        <f>IFERROR(_xlfn.XLOOKUP(CONCATENATE($L106,V$5,$M$2),BASE_DATOS[Reporte NSK],BASE_DATOS[NSK],,0),"")</f>
        <v/>
      </c>
      <c r="W106" s="436" t="str">
        <f>IFERROR(_xlfn.XLOOKUP(CONCATENATE($L106,W$5,$M$2),BASE_DATOS[Reporte NSK],BASE_DATOS[NSK],,0),"")</f>
        <v/>
      </c>
      <c r="X106" s="418" t="str">
        <f t="shared" si="4"/>
        <v/>
      </c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8"/>
      <c r="BJ106" s="108"/>
      <c r="BK106" s="108"/>
      <c r="BL106" s="108"/>
      <c r="BM106" s="108"/>
      <c r="BN106" s="108"/>
      <c r="BO106" s="108"/>
      <c r="BP106" s="108"/>
      <c r="BQ106" s="108"/>
      <c r="BR106" s="108"/>
      <c r="BS106" s="108"/>
      <c r="BT106" s="108"/>
      <c r="BU106" s="108"/>
      <c r="BV106" s="108"/>
    </row>
    <row r="107" spans="12:74" s="152" customFormat="1" ht="10.199999999999999" customHeight="1" x14ac:dyDescent="0.2">
      <c r="L107" s="412"/>
      <c r="M107" s="415"/>
      <c r="N107" s="421" t="str">
        <f>IFERROR(_xlfn.XLOOKUP(CONCATENATE($L107,N$5,$M$2),BASE_DATOS[Reporte NSK],BASE_DATOS[NSK],,0),"")</f>
        <v/>
      </c>
      <c r="O107" s="422" t="str">
        <f>IFERROR(_xlfn.XLOOKUP(CONCATENATE($L107,O$5,$M$2),BASE_DATOS[Reporte NSK],BASE_DATOS[NSK],,0),"")</f>
        <v/>
      </c>
      <c r="P107" s="445" t="str">
        <f>IFERROR(_xlfn.XLOOKUP(CONCATENATE($L107,P$5,$M$2),BASE_DATOS[Reporte NSK],BASE_DATOS[NSK],,0),"")</f>
        <v/>
      </c>
      <c r="Q107" s="422" t="str">
        <f>IFERROR(_xlfn.XLOOKUP(CONCATENATE($L107,Q$5,$M$2),BASE_DATOS[Reporte NSK],BASE_DATOS[NSK],,0),"")</f>
        <v/>
      </c>
      <c r="R107" s="422" t="str">
        <f>IFERROR(_xlfn.XLOOKUP(CONCATENATE($L107,R$5,$M$2),BASE_DATOS[Reporte NSK],BASE_DATOS[NSK],,0),"")</f>
        <v/>
      </c>
      <c r="S107" s="422" t="str">
        <f>IFERROR(_xlfn.XLOOKUP(CONCATENATE($L107,S$5,$M$2),BASE_DATOS[Reporte NSK],BASE_DATOS[NSK],,0),"")</f>
        <v/>
      </c>
      <c r="T107" s="422" t="str">
        <f>IFERROR(_xlfn.XLOOKUP(CONCATENATE($L107,T$5,$M$2),BASE_DATOS[Reporte NSK],BASE_DATOS[NSK],,0),"")</f>
        <v/>
      </c>
      <c r="U107" s="422" t="str">
        <f>IFERROR(_xlfn.XLOOKUP(CONCATENATE($L107,U$5,$M$2),BASE_DATOS[Reporte NSK],BASE_DATOS[NSK],,0),"")</f>
        <v/>
      </c>
      <c r="V107" s="422" t="str">
        <f>IFERROR(_xlfn.XLOOKUP(CONCATENATE($L107,V$5,$M$2),BASE_DATOS[Reporte NSK],BASE_DATOS[NSK],,0),"")</f>
        <v/>
      </c>
      <c r="W107" s="436" t="str">
        <f>IFERROR(_xlfn.XLOOKUP(CONCATENATE($L107,W$5,$M$2),BASE_DATOS[Reporte NSK],BASE_DATOS[NSK],,0),"")</f>
        <v/>
      </c>
      <c r="X107" s="418" t="str">
        <f t="shared" si="4"/>
        <v/>
      </c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108"/>
      <c r="AU107" s="108"/>
      <c r="AV107" s="108"/>
      <c r="AW107" s="108"/>
      <c r="AX107" s="108"/>
      <c r="AY107" s="108"/>
      <c r="AZ107" s="108"/>
      <c r="BA107" s="108"/>
      <c r="BB107" s="108"/>
      <c r="BC107" s="108"/>
      <c r="BD107" s="108"/>
      <c r="BE107" s="108"/>
      <c r="BF107" s="108"/>
      <c r="BG107" s="108"/>
      <c r="BH107" s="108"/>
      <c r="BI107" s="108"/>
      <c r="BJ107" s="108"/>
      <c r="BK107" s="108"/>
      <c r="BL107" s="108"/>
      <c r="BM107" s="108"/>
      <c r="BN107" s="108"/>
      <c r="BO107" s="108"/>
      <c r="BP107" s="108"/>
      <c r="BQ107" s="108"/>
      <c r="BR107" s="108"/>
      <c r="BS107" s="108"/>
      <c r="BT107" s="108"/>
      <c r="BU107" s="108"/>
      <c r="BV107" s="108"/>
    </row>
    <row r="108" spans="12:74" s="152" customFormat="1" ht="10.199999999999999" customHeight="1" x14ac:dyDescent="0.2">
      <c r="L108" s="412"/>
      <c r="M108" s="415"/>
      <c r="N108" s="421" t="str">
        <f>IFERROR(_xlfn.XLOOKUP(CONCATENATE($L108,N$5,$M$2),BASE_DATOS[Reporte NSK],BASE_DATOS[NSK],,0),"")</f>
        <v/>
      </c>
      <c r="O108" s="422" t="str">
        <f>IFERROR(_xlfn.XLOOKUP(CONCATENATE($L108,O$5,$M$2),BASE_DATOS[Reporte NSK],BASE_DATOS[NSK],,0),"")</f>
        <v/>
      </c>
      <c r="P108" s="445" t="str">
        <f>IFERROR(_xlfn.XLOOKUP(CONCATENATE($L108,P$5,$M$2),BASE_DATOS[Reporte NSK],BASE_DATOS[NSK],,0),"")</f>
        <v/>
      </c>
      <c r="Q108" s="422" t="str">
        <f>IFERROR(_xlfn.XLOOKUP(CONCATENATE($L108,Q$5,$M$2),BASE_DATOS[Reporte NSK],BASE_DATOS[NSK],,0),"")</f>
        <v/>
      </c>
      <c r="R108" s="422" t="str">
        <f>IFERROR(_xlfn.XLOOKUP(CONCATENATE($L108,R$5,$M$2),BASE_DATOS[Reporte NSK],BASE_DATOS[NSK],,0),"")</f>
        <v/>
      </c>
      <c r="S108" s="422" t="str">
        <f>IFERROR(_xlfn.XLOOKUP(CONCATENATE($L108,S$5,$M$2),BASE_DATOS[Reporte NSK],BASE_DATOS[NSK],,0),"")</f>
        <v/>
      </c>
      <c r="T108" s="422" t="str">
        <f>IFERROR(_xlfn.XLOOKUP(CONCATENATE($L108,T$5,$M$2),BASE_DATOS[Reporte NSK],BASE_DATOS[NSK],,0),"")</f>
        <v/>
      </c>
      <c r="U108" s="422" t="str">
        <f>IFERROR(_xlfn.XLOOKUP(CONCATENATE($L108,U$5,$M$2),BASE_DATOS[Reporte NSK],BASE_DATOS[NSK],,0),"")</f>
        <v/>
      </c>
      <c r="V108" s="422" t="str">
        <f>IFERROR(_xlfn.XLOOKUP(CONCATENATE($L108,V$5,$M$2),BASE_DATOS[Reporte NSK],BASE_DATOS[NSK],,0),"")</f>
        <v/>
      </c>
      <c r="W108" s="436" t="str">
        <f>IFERROR(_xlfn.XLOOKUP(CONCATENATE($L108,W$5,$M$2),BASE_DATOS[Reporte NSK],BASE_DATOS[NSK],,0),"")</f>
        <v/>
      </c>
      <c r="X108" s="418" t="str">
        <f t="shared" si="4"/>
        <v/>
      </c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08"/>
      <c r="BC108" s="108"/>
      <c r="BD108" s="108"/>
      <c r="BE108" s="108"/>
      <c r="BF108" s="108"/>
      <c r="BG108" s="108"/>
      <c r="BH108" s="108"/>
      <c r="BI108" s="108"/>
      <c r="BJ108" s="108"/>
      <c r="BK108" s="108"/>
      <c r="BL108" s="108"/>
      <c r="BM108" s="108"/>
      <c r="BN108" s="108"/>
      <c r="BO108" s="108"/>
      <c r="BP108" s="108"/>
      <c r="BQ108" s="108"/>
      <c r="BR108" s="108"/>
      <c r="BS108" s="108"/>
      <c r="BT108" s="108"/>
      <c r="BU108" s="108"/>
      <c r="BV108" s="108"/>
    </row>
    <row r="109" spans="12:74" s="152" customFormat="1" ht="10.199999999999999" customHeight="1" x14ac:dyDescent="0.2">
      <c r="L109" s="412"/>
      <c r="M109" s="415"/>
      <c r="N109" s="421" t="str">
        <f>IFERROR(_xlfn.XLOOKUP(CONCATENATE($L109,N$5,$M$2),BASE_DATOS[Reporte NSK],BASE_DATOS[NSK],,0),"")</f>
        <v/>
      </c>
      <c r="O109" s="422" t="str">
        <f>IFERROR(_xlfn.XLOOKUP(CONCATENATE($L109,O$5,$M$2),BASE_DATOS[Reporte NSK],BASE_DATOS[NSK],,0),"")</f>
        <v/>
      </c>
      <c r="P109" s="445" t="str">
        <f>IFERROR(_xlfn.XLOOKUP(CONCATENATE($L109,P$5,$M$2),BASE_DATOS[Reporte NSK],BASE_DATOS[NSK],,0),"")</f>
        <v/>
      </c>
      <c r="Q109" s="422" t="str">
        <f>IFERROR(_xlfn.XLOOKUP(CONCATENATE($L109,Q$5,$M$2),BASE_DATOS[Reporte NSK],BASE_DATOS[NSK],,0),"")</f>
        <v/>
      </c>
      <c r="R109" s="422" t="str">
        <f>IFERROR(_xlfn.XLOOKUP(CONCATENATE($L109,R$5,$M$2),BASE_DATOS[Reporte NSK],BASE_DATOS[NSK],,0),"")</f>
        <v/>
      </c>
      <c r="S109" s="422" t="str">
        <f>IFERROR(_xlfn.XLOOKUP(CONCATENATE($L109,S$5,$M$2),BASE_DATOS[Reporte NSK],BASE_DATOS[NSK],,0),"")</f>
        <v/>
      </c>
      <c r="T109" s="422" t="str">
        <f>IFERROR(_xlfn.XLOOKUP(CONCATENATE($L109,T$5,$M$2),BASE_DATOS[Reporte NSK],BASE_DATOS[NSK],,0),"")</f>
        <v/>
      </c>
      <c r="U109" s="422" t="str">
        <f>IFERROR(_xlfn.XLOOKUP(CONCATENATE($L109,U$5,$M$2),BASE_DATOS[Reporte NSK],BASE_DATOS[NSK],,0),"")</f>
        <v/>
      </c>
      <c r="V109" s="422" t="str">
        <f>IFERROR(_xlfn.XLOOKUP(CONCATENATE($L109,V$5,$M$2),BASE_DATOS[Reporte NSK],BASE_DATOS[NSK],,0),"")</f>
        <v/>
      </c>
      <c r="W109" s="436" t="str">
        <f>IFERROR(_xlfn.XLOOKUP(CONCATENATE($L109,W$5,$M$2),BASE_DATOS[Reporte NSK],BASE_DATOS[NSK],,0),"")</f>
        <v/>
      </c>
      <c r="X109" s="418" t="str">
        <f t="shared" si="4"/>
        <v/>
      </c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8"/>
      <c r="BL109" s="108"/>
      <c r="BM109" s="108"/>
      <c r="BN109" s="108"/>
      <c r="BO109" s="108"/>
      <c r="BP109" s="108"/>
      <c r="BQ109" s="108"/>
      <c r="BR109" s="108"/>
      <c r="BS109" s="108"/>
      <c r="BT109" s="108"/>
      <c r="BU109" s="108"/>
      <c r="BV109" s="108"/>
    </row>
    <row r="110" spans="12:74" s="152" customFormat="1" ht="10.199999999999999" customHeight="1" x14ac:dyDescent="0.2">
      <c r="L110" s="412"/>
      <c r="M110" s="415"/>
      <c r="N110" s="421" t="str">
        <f>IFERROR(_xlfn.XLOOKUP(CONCATENATE($L110,N$5,$M$2),BASE_DATOS[Reporte NSK],BASE_DATOS[NSK],,0),"")</f>
        <v/>
      </c>
      <c r="O110" s="422" t="str">
        <f>IFERROR(_xlfn.XLOOKUP(CONCATENATE($L110,O$5,$M$2),BASE_DATOS[Reporte NSK],BASE_DATOS[NSK],,0),"")</f>
        <v/>
      </c>
      <c r="P110" s="445" t="str">
        <f>IFERROR(_xlfn.XLOOKUP(CONCATENATE($L110,P$5,$M$2),BASE_DATOS[Reporte NSK],BASE_DATOS[NSK],,0),"")</f>
        <v/>
      </c>
      <c r="Q110" s="422" t="str">
        <f>IFERROR(_xlfn.XLOOKUP(CONCATENATE($L110,Q$5,$M$2),BASE_DATOS[Reporte NSK],BASE_DATOS[NSK],,0),"")</f>
        <v/>
      </c>
      <c r="R110" s="422" t="str">
        <f>IFERROR(_xlfn.XLOOKUP(CONCATENATE($L110,R$5,$M$2),BASE_DATOS[Reporte NSK],BASE_DATOS[NSK],,0),"")</f>
        <v/>
      </c>
      <c r="S110" s="422" t="str">
        <f>IFERROR(_xlfn.XLOOKUP(CONCATENATE($L110,S$5,$M$2),BASE_DATOS[Reporte NSK],BASE_DATOS[NSK],,0),"")</f>
        <v/>
      </c>
      <c r="T110" s="422" t="str">
        <f>IFERROR(_xlfn.XLOOKUP(CONCATENATE($L110,T$5,$M$2),BASE_DATOS[Reporte NSK],BASE_DATOS[NSK],,0),"")</f>
        <v/>
      </c>
      <c r="U110" s="422" t="str">
        <f>IFERROR(_xlfn.XLOOKUP(CONCATENATE($L110,U$5,$M$2),BASE_DATOS[Reporte NSK],BASE_DATOS[NSK],,0),"")</f>
        <v/>
      </c>
      <c r="V110" s="422" t="str">
        <f>IFERROR(_xlfn.XLOOKUP(CONCATENATE($L110,V$5,$M$2),BASE_DATOS[Reporte NSK],BASE_DATOS[NSK],,0),"")</f>
        <v/>
      </c>
      <c r="W110" s="436" t="str">
        <f>IFERROR(_xlfn.XLOOKUP(CONCATENATE($L110,W$5,$M$2),BASE_DATOS[Reporte NSK],BASE_DATOS[NSK],,0),"")</f>
        <v/>
      </c>
      <c r="X110" s="418" t="str">
        <f t="shared" si="4"/>
        <v/>
      </c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08"/>
      <c r="BH110" s="108"/>
      <c r="BI110" s="108"/>
      <c r="BJ110" s="108"/>
      <c r="BK110" s="108"/>
      <c r="BL110" s="108"/>
      <c r="BM110" s="108"/>
      <c r="BN110" s="108"/>
      <c r="BO110" s="108"/>
      <c r="BP110" s="108"/>
      <c r="BQ110" s="108"/>
      <c r="BR110" s="108"/>
      <c r="BS110" s="108"/>
      <c r="BT110" s="108"/>
      <c r="BU110" s="108"/>
      <c r="BV110" s="108"/>
    </row>
    <row r="111" spans="12:74" s="152" customFormat="1" ht="10.199999999999999" customHeight="1" x14ac:dyDescent="0.2">
      <c r="L111" s="412"/>
      <c r="M111" s="415"/>
      <c r="N111" s="421" t="str">
        <f>IFERROR(_xlfn.XLOOKUP(CONCATENATE($L111,N$5,$M$2),BASE_DATOS[Reporte NSK],BASE_DATOS[NSK],,0),"")</f>
        <v/>
      </c>
      <c r="O111" s="422" t="str">
        <f>IFERROR(_xlfn.XLOOKUP(CONCATENATE($L111,O$5,$M$2),BASE_DATOS[Reporte NSK],BASE_DATOS[NSK],,0),"")</f>
        <v/>
      </c>
      <c r="P111" s="445" t="str">
        <f>IFERROR(_xlfn.XLOOKUP(CONCATENATE($L111,P$5,$M$2),BASE_DATOS[Reporte NSK],BASE_DATOS[NSK],,0),"")</f>
        <v/>
      </c>
      <c r="Q111" s="422" t="str">
        <f>IFERROR(_xlfn.XLOOKUP(CONCATENATE($L111,Q$5,$M$2),BASE_DATOS[Reporte NSK],BASE_DATOS[NSK],,0),"")</f>
        <v/>
      </c>
      <c r="R111" s="422" t="str">
        <f>IFERROR(_xlfn.XLOOKUP(CONCATENATE($L111,R$5,$M$2),BASE_DATOS[Reporte NSK],BASE_DATOS[NSK],,0),"")</f>
        <v/>
      </c>
      <c r="S111" s="422" t="str">
        <f>IFERROR(_xlfn.XLOOKUP(CONCATENATE($L111,S$5,$M$2),BASE_DATOS[Reporte NSK],BASE_DATOS[NSK],,0),"")</f>
        <v/>
      </c>
      <c r="T111" s="422" t="str">
        <f>IFERROR(_xlfn.XLOOKUP(CONCATENATE($L111,T$5,$M$2),BASE_DATOS[Reporte NSK],BASE_DATOS[NSK],,0),"")</f>
        <v/>
      </c>
      <c r="U111" s="422" t="str">
        <f>IFERROR(_xlfn.XLOOKUP(CONCATENATE($L111,U$5,$M$2),BASE_DATOS[Reporte NSK],BASE_DATOS[NSK],,0),"")</f>
        <v/>
      </c>
      <c r="V111" s="422" t="str">
        <f>IFERROR(_xlfn.XLOOKUP(CONCATENATE($L111,V$5,$M$2),BASE_DATOS[Reporte NSK],BASE_DATOS[NSK],,0),"")</f>
        <v/>
      </c>
      <c r="W111" s="436" t="str">
        <f>IFERROR(_xlfn.XLOOKUP(CONCATENATE($L111,W$5,$M$2),BASE_DATOS[Reporte NSK],BASE_DATOS[NSK],,0),"")</f>
        <v/>
      </c>
      <c r="X111" s="418" t="str">
        <f t="shared" si="4"/>
        <v/>
      </c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08"/>
      <c r="BH111" s="108"/>
      <c r="BI111" s="108"/>
      <c r="BJ111" s="108"/>
      <c r="BK111" s="108"/>
      <c r="BL111" s="108"/>
      <c r="BM111" s="108"/>
      <c r="BN111" s="108"/>
      <c r="BO111" s="108"/>
      <c r="BP111" s="108"/>
      <c r="BQ111" s="108"/>
      <c r="BR111" s="108"/>
      <c r="BS111" s="108"/>
      <c r="BT111" s="108"/>
      <c r="BU111" s="108"/>
      <c r="BV111" s="108"/>
    </row>
    <row r="112" spans="12:74" s="152" customFormat="1" ht="10.199999999999999" customHeight="1" x14ac:dyDescent="0.2">
      <c r="L112" s="412"/>
      <c r="M112" s="415"/>
      <c r="N112" s="421" t="str">
        <f>IFERROR(_xlfn.XLOOKUP(CONCATENATE($L112,N$5,$M$2),BASE_DATOS[Reporte NSK],BASE_DATOS[NSK],,0),"")</f>
        <v/>
      </c>
      <c r="O112" s="422" t="str">
        <f>IFERROR(_xlfn.XLOOKUP(CONCATENATE($L112,O$5,$M$2),BASE_DATOS[Reporte NSK],BASE_DATOS[NSK],,0),"")</f>
        <v/>
      </c>
      <c r="P112" s="445" t="str">
        <f>IFERROR(_xlfn.XLOOKUP(CONCATENATE($L112,P$5,$M$2),BASE_DATOS[Reporte NSK],BASE_DATOS[NSK],,0),"")</f>
        <v/>
      </c>
      <c r="Q112" s="422" t="str">
        <f>IFERROR(_xlfn.XLOOKUP(CONCATENATE($L112,Q$5,$M$2),BASE_DATOS[Reporte NSK],BASE_DATOS[NSK],,0),"")</f>
        <v/>
      </c>
      <c r="R112" s="422" t="str">
        <f>IFERROR(_xlfn.XLOOKUP(CONCATENATE($L112,R$5,$M$2),BASE_DATOS[Reporte NSK],BASE_DATOS[NSK],,0),"")</f>
        <v/>
      </c>
      <c r="S112" s="422" t="str">
        <f>IFERROR(_xlfn.XLOOKUP(CONCATENATE($L112,S$5,$M$2),BASE_DATOS[Reporte NSK],BASE_DATOS[NSK],,0),"")</f>
        <v/>
      </c>
      <c r="T112" s="422" t="str">
        <f>IFERROR(_xlfn.XLOOKUP(CONCATENATE($L112,T$5,$M$2),BASE_DATOS[Reporte NSK],BASE_DATOS[NSK],,0),"")</f>
        <v/>
      </c>
      <c r="U112" s="422" t="str">
        <f>IFERROR(_xlfn.XLOOKUP(CONCATENATE($L112,U$5,$M$2),BASE_DATOS[Reporte NSK],BASE_DATOS[NSK],,0),"")</f>
        <v/>
      </c>
      <c r="V112" s="422" t="str">
        <f>IFERROR(_xlfn.XLOOKUP(CONCATENATE($L112,V$5,$M$2),BASE_DATOS[Reporte NSK],BASE_DATOS[NSK],,0),"")</f>
        <v/>
      </c>
      <c r="W112" s="436" t="str">
        <f>IFERROR(_xlfn.XLOOKUP(CONCATENATE($L112,W$5,$M$2),BASE_DATOS[Reporte NSK],BASE_DATOS[NSK],,0),"")</f>
        <v/>
      </c>
      <c r="X112" s="418" t="str">
        <f t="shared" si="4"/>
        <v/>
      </c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  <c r="BD112" s="108"/>
      <c r="BE112" s="108"/>
      <c r="BF112" s="108"/>
      <c r="BG112" s="108"/>
      <c r="BH112" s="108"/>
      <c r="BI112" s="108"/>
      <c r="BJ112" s="108"/>
      <c r="BK112" s="108"/>
      <c r="BL112" s="108"/>
      <c r="BM112" s="108"/>
      <c r="BN112" s="108"/>
      <c r="BO112" s="108"/>
      <c r="BP112" s="108"/>
      <c r="BQ112" s="108"/>
      <c r="BR112" s="108"/>
      <c r="BS112" s="108"/>
      <c r="BT112" s="108"/>
      <c r="BU112" s="108"/>
      <c r="BV112" s="108"/>
    </row>
    <row r="113" spans="12:74" s="152" customFormat="1" ht="10.199999999999999" customHeight="1" x14ac:dyDescent="0.2">
      <c r="L113" s="412"/>
      <c r="M113" s="415"/>
      <c r="N113" s="421" t="str">
        <f>IFERROR(_xlfn.XLOOKUP(CONCATENATE($L113,N$5,$M$2),BASE_DATOS[Reporte NSK],BASE_DATOS[NSK],,0),"")</f>
        <v/>
      </c>
      <c r="O113" s="422" t="str">
        <f>IFERROR(_xlfn.XLOOKUP(CONCATENATE($L113,O$5,$M$2),BASE_DATOS[Reporte NSK],BASE_DATOS[NSK],,0),"")</f>
        <v/>
      </c>
      <c r="P113" s="445" t="str">
        <f>IFERROR(_xlfn.XLOOKUP(CONCATENATE($L113,P$5,$M$2),BASE_DATOS[Reporte NSK],BASE_DATOS[NSK],,0),"")</f>
        <v/>
      </c>
      <c r="Q113" s="422" t="str">
        <f>IFERROR(_xlfn.XLOOKUP(CONCATENATE($L113,Q$5,$M$2),BASE_DATOS[Reporte NSK],BASE_DATOS[NSK],,0),"")</f>
        <v/>
      </c>
      <c r="R113" s="422" t="str">
        <f>IFERROR(_xlfn.XLOOKUP(CONCATENATE($L113,R$5,$M$2),BASE_DATOS[Reporte NSK],BASE_DATOS[NSK],,0),"")</f>
        <v/>
      </c>
      <c r="S113" s="422" t="str">
        <f>IFERROR(_xlfn.XLOOKUP(CONCATENATE($L113,S$5,$M$2),BASE_DATOS[Reporte NSK],BASE_DATOS[NSK],,0),"")</f>
        <v/>
      </c>
      <c r="T113" s="422" t="str">
        <f>IFERROR(_xlfn.XLOOKUP(CONCATENATE($L113,T$5,$M$2),BASE_DATOS[Reporte NSK],BASE_DATOS[NSK],,0),"")</f>
        <v/>
      </c>
      <c r="U113" s="422" t="str">
        <f>IFERROR(_xlfn.XLOOKUP(CONCATENATE($L113,U$5,$M$2),BASE_DATOS[Reporte NSK],BASE_DATOS[NSK],,0),"")</f>
        <v/>
      </c>
      <c r="V113" s="422" t="str">
        <f>IFERROR(_xlfn.XLOOKUP(CONCATENATE($L113,V$5,$M$2),BASE_DATOS[Reporte NSK],BASE_DATOS[NSK],,0),"")</f>
        <v/>
      </c>
      <c r="W113" s="436" t="str">
        <f>IFERROR(_xlfn.XLOOKUP(CONCATENATE($L113,W$5,$M$2),BASE_DATOS[Reporte NSK],BASE_DATOS[NSK],,0),"")</f>
        <v/>
      </c>
      <c r="X113" s="418" t="str">
        <f t="shared" si="4"/>
        <v/>
      </c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08"/>
      <c r="BH113" s="108"/>
      <c r="BI113" s="108"/>
      <c r="BJ113" s="108"/>
      <c r="BK113" s="108"/>
      <c r="BL113" s="108"/>
      <c r="BM113" s="108"/>
      <c r="BN113" s="108"/>
      <c r="BO113" s="108"/>
      <c r="BP113" s="108"/>
      <c r="BQ113" s="108"/>
      <c r="BR113" s="108"/>
      <c r="BS113" s="108"/>
      <c r="BT113" s="108"/>
      <c r="BU113" s="108"/>
      <c r="BV113" s="108"/>
    </row>
    <row r="114" spans="12:74" s="152" customFormat="1" ht="10.199999999999999" customHeight="1" x14ac:dyDescent="0.2">
      <c r="L114" s="412"/>
      <c r="M114" s="415"/>
      <c r="N114" s="421" t="str">
        <f>IFERROR(_xlfn.XLOOKUP(CONCATENATE($L114,N$5,$M$2),BASE_DATOS[Reporte NSK],BASE_DATOS[NSK],,0),"")</f>
        <v/>
      </c>
      <c r="O114" s="422" t="str">
        <f>IFERROR(_xlfn.XLOOKUP(CONCATENATE($L114,O$5,$M$2),BASE_DATOS[Reporte NSK],BASE_DATOS[NSK],,0),"")</f>
        <v/>
      </c>
      <c r="P114" s="445" t="str">
        <f>IFERROR(_xlfn.XLOOKUP(CONCATENATE($L114,P$5,$M$2),BASE_DATOS[Reporte NSK],BASE_DATOS[NSK],,0),"")</f>
        <v/>
      </c>
      <c r="Q114" s="422" t="str">
        <f>IFERROR(_xlfn.XLOOKUP(CONCATENATE($L114,Q$5,$M$2),BASE_DATOS[Reporte NSK],BASE_DATOS[NSK],,0),"")</f>
        <v/>
      </c>
      <c r="R114" s="422" t="str">
        <f>IFERROR(_xlfn.XLOOKUP(CONCATENATE($L114,R$5,$M$2),BASE_DATOS[Reporte NSK],BASE_DATOS[NSK],,0),"")</f>
        <v/>
      </c>
      <c r="S114" s="422" t="str">
        <f>IFERROR(_xlfn.XLOOKUP(CONCATENATE($L114,S$5,$M$2),BASE_DATOS[Reporte NSK],BASE_DATOS[NSK],,0),"")</f>
        <v/>
      </c>
      <c r="T114" s="422" t="str">
        <f>IFERROR(_xlfn.XLOOKUP(CONCATENATE($L114,T$5,$M$2),BASE_DATOS[Reporte NSK],BASE_DATOS[NSK],,0),"")</f>
        <v/>
      </c>
      <c r="U114" s="422" t="str">
        <f>IFERROR(_xlfn.XLOOKUP(CONCATENATE($L114,U$5,$M$2),BASE_DATOS[Reporte NSK],BASE_DATOS[NSK],,0),"")</f>
        <v/>
      </c>
      <c r="V114" s="422" t="str">
        <f>IFERROR(_xlfn.XLOOKUP(CONCATENATE($L114,V$5,$M$2),BASE_DATOS[Reporte NSK],BASE_DATOS[NSK],,0),"")</f>
        <v/>
      </c>
      <c r="W114" s="436" t="str">
        <f>IFERROR(_xlfn.XLOOKUP(CONCATENATE($L114,W$5,$M$2),BASE_DATOS[Reporte NSK],BASE_DATOS[NSK],,0),"")</f>
        <v/>
      </c>
      <c r="X114" s="418" t="str">
        <f t="shared" si="4"/>
        <v/>
      </c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08"/>
      <c r="BH114" s="108"/>
      <c r="BI114" s="108"/>
      <c r="BJ114" s="108"/>
      <c r="BK114" s="108"/>
      <c r="BL114" s="108"/>
      <c r="BM114" s="108"/>
      <c r="BN114" s="108"/>
      <c r="BO114" s="108"/>
      <c r="BP114" s="108"/>
      <c r="BQ114" s="108"/>
      <c r="BR114" s="108"/>
      <c r="BS114" s="108"/>
      <c r="BT114" s="108"/>
      <c r="BU114" s="108"/>
      <c r="BV114" s="108"/>
    </row>
    <row r="115" spans="12:74" s="152" customFormat="1" ht="10.199999999999999" customHeight="1" x14ac:dyDescent="0.2">
      <c r="L115" s="412"/>
      <c r="M115" s="415"/>
      <c r="N115" s="421" t="str">
        <f>IFERROR(_xlfn.XLOOKUP(CONCATENATE($L115,N$5,$M$2),BASE_DATOS[Reporte NSK],BASE_DATOS[NSK],,0),"")</f>
        <v/>
      </c>
      <c r="O115" s="422" t="str">
        <f>IFERROR(_xlfn.XLOOKUP(CONCATENATE($L115,O$5,$M$2),BASE_DATOS[Reporte NSK],BASE_DATOS[NSK],,0),"")</f>
        <v/>
      </c>
      <c r="P115" s="445" t="str">
        <f>IFERROR(_xlfn.XLOOKUP(CONCATENATE($L115,P$5,$M$2),BASE_DATOS[Reporte NSK],BASE_DATOS[NSK],,0),"")</f>
        <v/>
      </c>
      <c r="Q115" s="422" t="str">
        <f>IFERROR(_xlfn.XLOOKUP(CONCATENATE($L115,Q$5,$M$2),BASE_DATOS[Reporte NSK],BASE_DATOS[NSK],,0),"")</f>
        <v/>
      </c>
      <c r="R115" s="422" t="str">
        <f>IFERROR(_xlfn.XLOOKUP(CONCATENATE($L115,R$5,$M$2),BASE_DATOS[Reporte NSK],BASE_DATOS[NSK],,0),"")</f>
        <v/>
      </c>
      <c r="S115" s="422" t="str">
        <f>IFERROR(_xlfn.XLOOKUP(CONCATENATE($L115,S$5,$M$2),BASE_DATOS[Reporte NSK],BASE_DATOS[NSK],,0),"")</f>
        <v/>
      </c>
      <c r="T115" s="422" t="str">
        <f>IFERROR(_xlfn.XLOOKUP(CONCATENATE($L115,T$5,$M$2),BASE_DATOS[Reporte NSK],BASE_DATOS[NSK],,0),"")</f>
        <v/>
      </c>
      <c r="U115" s="422" t="str">
        <f>IFERROR(_xlfn.XLOOKUP(CONCATENATE($L115,U$5,$M$2),BASE_DATOS[Reporte NSK],BASE_DATOS[NSK],,0),"")</f>
        <v/>
      </c>
      <c r="V115" s="422" t="str">
        <f>IFERROR(_xlfn.XLOOKUP(CONCATENATE($L115,V$5,$M$2),BASE_DATOS[Reporte NSK],BASE_DATOS[NSK],,0),"")</f>
        <v/>
      </c>
      <c r="W115" s="436" t="str">
        <f>IFERROR(_xlfn.XLOOKUP(CONCATENATE($L115,W$5,$M$2),BASE_DATOS[Reporte NSK],BASE_DATOS[NSK],,0),"")</f>
        <v/>
      </c>
      <c r="X115" s="418" t="str">
        <f t="shared" si="4"/>
        <v/>
      </c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08"/>
      <c r="BC115" s="108"/>
      <c r="BD115" s="108"/>
      <c r="BE115" s="108"/>
      <c r="BF115" s="108"/>
      <c r="BG115" s="108"/>
      <c r="BH115" s="108"/>
      <c r="BI115" s="108"/>
      <c r="BJ115" s="108"/>
      <c r="BK115" s="108"/>
      <c r="BL115" s="108"/>
      <c r="BM115" s="108"/>
      <c r="BN115" s="108"/>
      <c r="BO115" s="108"/>
      <c r="BP115" s="108"/>
      <c r="BQ115" s="108"/>
      <c r="BR115" s="108"/>
      <c r="BS115" s="108"/>
      <c r="BT115" s="108"/>
      <c r="BU115" s="108"/>
      <c r="BV115" s="108"/>
    </row>
    <row r="116" spans="12:74" s="152" customFormat="1" ht="10.199999999999999" customHeight="1" x14ac:dyDescent="0.2">
      <c r="L116" s="412"/>
      <c r="M116" s="415"/>
      <c r="N116" s="421" t="str">
        <f>IFERROR(_xlfn.XLOOKUP(CONCATENATE($L116,N$5,$M$2),BASE_DATOS[Reporte NSK],BASE_DATOS[NSK],,0),"")</f>
        <v/>
      </c>
      <c r="O116" s="422" t="str">
        <f>IFERROR(_xlfn.XLOOKUP(CONCATENATE($L116,O$5,$M$2),BASE_DATOS[Reporte NSK],BASE_DATOS[NSK],,0),"")</f>
        <v/>
      </c>
      <c r="P116" s="445" t="str">
        <f>IFERROR(_xlfn.XLOOKUP(CONCATENATE($L116,P$5,$M$2),BASE_DATOS[Reporte NSK],BASE_DATOS[NSK],,0),"")</f>
        <v/>
      </c>
      <c r="Q116" s="422" t="str">
        <f>IFERROR(_xlfn.XLOOKUP(CONCATENATE($L116,Q$5,$M$2),BASE_DATOS[Reporte NSK],BASE_DATOS[NSK],,0),"")</f>
        <v/>
      </c>
      <c r="R116" s="422" t="str">
        <f>IFERROR(_xlfn.XLOOKUP(CONCATENATE($L116,R$5,$M$2),BASE_DATOS[Reporte NSK],BASE_DATOS[NSK],,0),"")</f>
        <v/>
      </c>
      <c r="S116" s="422" t="str">
        <f>IFERROR(_xlfn.XLOOKUP(CONCATENATE($L116,S$5,$M$2),BASE_DATOS[Reporte NSK],BASE_DATOS[NSK],,0),"")</f>
        <v/>
      </c>
      <c r="T116" s="422" t="str">
        <f>IFERROR(_xlfn.XLOOKUP(CONCATENATE($L116,T$5,$M$2),BASE_DATOS[Reporte NSK],BASE_DATOS[NSK],,0),"")</f>
        <v/>
      </c>
      <c r="U116" s="422" t="str">
        <f>IFERROR(_xlfn.XLOOKUP(CONCATENATE($L116,U$5,$M$2),BASE_DATOS[Reporte NSK],BASE_DATOS[NSK],,0),"")</f>
        <v/>
      </c>
      <c r="V116" s="422" t="str">
        <f>IFERROR(_xlfn.XLOOKUP(CONCATENATE($L116,V$5,$M$2),BASE_DATOS[Reporte NSK],BASE_DATOS[NSK],,0),"")</f>
        <v/>
      </c>
      <c r="W116" s="436" t="str">
        <f>IFERROR(_xlfn.XLOOKUP(CONCATENATE($L116,W$5,$M$2),BASE_DATOS[Reporte NSK],BASE_DATOS[NSK],,0),"")</f>
        <v/>
      </c>
      <c r="X116" s="418" t="str">
        <f t="shared" si="4"/>
        <v/>
      </c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  <c r="BA116" s="108"/>
      <c r="BB116" s="108"/>
      <c r="BC116" s="108"/>
      <c r="BD116" s="108"/>
      <c r="BE116" s="108"/>
      <c r="BF116" s="108"/>
      <c r="BG116" s="108"/>
      <c r="BH116" s="108"/>
      <c r="BI116" s="108"/>
      <c r="BJ116" s="108"/>
      <c r="BK116" s="108"/>
      <c r="BL116" s="108"/>
      <c r="BM116" s="108"/>
      <c r="BN116" s="108"/>
      <c r="BO116" s="108"/>
      <c r="BP116" s="108"/>
      <c r="BQ116" s="108"/>
      <c r="BR116" s="108"/>
      <c r="BS116" s="108"/>
      <c r="BT116" s="108"/>
      <c r="BU116" s="108"/>
      <c r="BV116" s="108"/>
    </row>
    <row r="117" spans="12:74" s="152" customFormat="1" ht="10.199999999999999" customHeight="1" x14ac:dyDescent="0.2">
      <c r="L117" s="412"/>
      <c r="M117" s="415"/>
      <c r="N117" s="421" t="str">
        <f>IFERROR(_xlfn.XLOOKUP(CONCATENATE($L117,N$5,$M$2),BASE_DATOS[Reporte NSK],BASE_DATOS[NSK],,0),"")</f>
        <v/>
      </c>
      <c r="O117" s="422" t="str">
        <f>IFERROR(_xlfn.XLOOKUP(CONCATENATE($L117,O$5,$M$2),BASE_DATOS[Reporte NSK],BASE_DATOS[NSK],,0),"")</f>
        <v/>
      </c>
      <c r="P117" s="445" t="str">
        <f>IFERROR(_xlfn.XLOOKUP(CONCATENATE($L117,P$5,$M$2),BASE_DATOS[Reporte NSK],BASE_DATOS[NSK],,0),"")</f>
        <v/>
      </c>
      <c r="Q117" s="422" t="str">
        <f>IFERROR(_xlfn.XLOOKUP(CONCATENATE($L117,Q$5,$M$2),BASE_DATOS[Reporte NSK],BASE_DATOS[NSK],,0),"")</f>
        <v/>
      </c>
      <c r="R117" s="422" t="str">
        <f>IFERROR(_xlfn.XLOOKUP(CONCATENATE($L117,R$5,$M$2),BASE_DATOS[Reporte NSK],BASE_DATOS[NSK],,0),"")</f>
        <v/>
      </c>
      <c r="S117" s="422" t="str">
        <f>IFERROR(_xlfn.XLOOKUP(CONCATENATE($L117,S$5,$M$2),BASE_DATOS[Reporte NSK],BASE_DATOS[NSK],,0),"")</f>
        <v/>
      </c>
      <c r="T117" s="422" t="str">
        <f>IFERROR(_xlfn.XLOOKUP(CONCATENATE($L117,T$5,$M$2),BASE_DATOS[Reporte NSK],BASE_DATOS[NSK],,0),"")</f>
        <v/>
      </c>
      <c r="U117" s="422" t="str">
        <f>IFERROR(_xlfn.XLOOKUP(CONCATENATE($L117,U$5,$M$2),BASE_DATOS[Reporte NSK],BASE_DATOS[NSK],,0),"")</f>
        <v/>
      </c>
      <c r="V117" s="422" t="str">
        <f>IFERROR(_xlfn.XLOOKUP(CONCATENATE($L117,V$5,$M$2),BASE_DATOS[Reporte NSK],BASE_DATOS[NSK],,0),"")</f>
        <v/>
      </c>
      <c r="W117" s="436" t="str">
        <f>IFERROR(_xlfn.XLOOKUP(CONCATENATE($L117,W$5,$M$2),BASE_DATOS[Reporte NSK],BASE_DATOS[NSK],,0),"")</f>
        <v/>
      </c>
      <c r="X117" s="418" t="str">
        <f t="shared" si="4"/>
        <v/>
      </c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8"/>
      <c r="BJ117" s="108"/>
      <c r="BK117" s="108"/>
      <c r="BL117" s="108"/>
      <c r="BM117" s="108"/>
      <c r="BN117" s="108"/>
      <c r="BO117" s="108"/>
      <c r="BP117" s="108"/>
      <c r="BQ117" s="108"/>
      <c r="BR117" s="108"/>
      <c r="BS117" s="108"/>
      <c r="BT117" s="108"/>
      <c r="BU117" s="108"/>
      <c r="BV117" s="108"/>
    </row>
    <row r="118" spans="12:74" s="152" customFormat="1" ht="10.199999999999999" customHeight="1" x14ac:dyDescent="0.2">
      <c r="L118" s="412"/>
      <c r="M118" s="415"/>
      <c r="N118" s="421" t="str">
        <f>IFERROR(_xlfn.XLOOKUP(CONCATENATE($L118,N$5,$M$2),BASE_DATOS[Reporte NSK],BASE_DATOS[NSK],,0),"")</f>
        <v/>
      </c>
      <c r="O118" s="422" t="str">
        <f>IFERROR(_xlfn.XLOOKUP(CONCATENATE($L118,O$5,$M$2),BASE_DATOS[Reporte NSK],BASE_DATOS[NSK],,0),"")</f>
        <v/>
      </c>
      <c r="P118" s="445" t="str">
        <f>IFERROR(_xlfn.XLOOKUP(CONCATENATE($L118,P$5,$M$2),BASE_DATOS[Reporte NSK],BASE_DATOS[NSK],,0),"")</f>
        <v/>
      </c>
      <c r="Q118" s="422" t="str">
        <f>IFERROR(_xlfn.XLOOKUP(CONCATENATE($L118,Q$5,$M$2),BASE_DATOS[Reporte NSK],BASE_DATOS[NSK],,0),"")</f>
        <v/>
      </c>
      <c r="R118" s="422" t="str">
        <f>IFERROR(_xlfn.XLOOKUP(CONCATENATE($L118,R$5,$M$2),BASE_DATOS[Reporte NSK],BASE_DATOS[NSK],,0),"")</f>
        <v/>
      </c>
      <c r="S118" s="422" t="str">
        <f>IFERROR(_xlfn.XLOOKUP(CONCATENATE($L118,S$5,$M$2),BASE_DATOS[Reporte NSK],BASE_DATOS[NSK],,0),"")</f>
        <v/>
      </c>
      <c r="T118" s="422" t="str">
        <f>IFERROR(_xlfn.XLOOKUP(CONCATENATE($L118,T$5,$M$2),BASE_DATOS[Reporte NSK],BASE_DATOS[NSK],,0),"")</f>
        <v/>
      </c>
      <c r="U118" s="422" t="str">
        <f>IFERROR(_xlfn.XLOOKUP(CONCATENATE($L118,U$5,$M$2),BASE_DATOS[Reporte NSK],BASE_DATOS[NSK],,0),"")</f>
        <v/>
      </c>
      <c r="V118" s="422" t="str">
        <f>IFERROR(_xlfn.XLOOKUP(CONCATENATE($L118,V$5,$M$2),BASE_DATOS[Reporte NSK],BASE_DATOS[NSK],,0),"")</f>
        <v/>
      </c>
      <c r="W118" s="436" t="str">
        <f>IFERROR(_xlfn.XLOOKUP(CONCATENATE($L118,W$5,$M$2),BASE_DATOS[Reporte NSK],BASE_DATOS[NSK],,0),"")</f>
        <v/>
      </c>
      <c r="X118" s="418" t="str">
        <f t="shared" si="4"/>
        <v/>
      </c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  <c r="BA118" s="108"/>
      <c r="BB118" s="108"/>
      <c r="BC118" s="108"/>
      <c r="BD118" s="108"/>
      <c r="BE118" s="108"/>
      <c r="BF118" s="108"/>
      <c r="BG118" s="108"/>
      <c r="BH118" s="108"/>
      <c r="BI118" s="108"/>
      <c r="BJ118" s="108"/>
      <c r="BK118" s="108"/>
      <c r="BL118" s="108"/>
      <c r="BM118" s="108"/>
      <c r="BN118" s="108"/>
      <c r="BO118" s="108"/>
      <c r="BP118" s="108"/>
      <c r="BQ118" s="108"/>
      <c r="BR118" s="108"/>
      <c r="BS118" s="108"/>
      <c r="BT118" s="108"/>
      <c r="BU118" s="108"/>
      <c r="BV118" s="108"/>
    </row>
    <row r="119" spans="12:74" s="152" customFormat="1" ht="10.199999999999999" customHeight="1" x14ac:dyDescent="0.2">
      <c r="L119" s="412"/>
      <c r="M119" s="415"/>
      <c r="N119" s="421" t="str">
        <f>IFERROR(_xlfn.XLOOKUP(CONCATENATE($L119,N$5,$M$2),BASE_DATOS[Reporte NSK],BASE_DATOS[NSK],,0),"")</f>
        <v/>
      </c>
      <c r="O119" s="422" t="str">
        <f>IFERROR(_xlfn.XLOOKUP(CONCATENATE($L119,O$5,$M$2),BASE_DATOS[Reporte NSK],BASE_DATOS[NSK],,0),"")</f>
        <v/>
      </c>
      <c r="P119" s="445" t="str">
        <f>IFERROR(_xlfn.XLOOKUP(CONCATENATE($L119,P$5,$M$2),BASE_DATOS[Reporte NSK],BASE_DATOS[NSK],,0),"")</f>
        <v/>
      </c>
      <c r="Q119" s="422" t="str">
        <f>IFERROR(_xlfn.XLOOKUP(CONCATENATE($L119,Q$5,$M$2),BASE_DATOS[Reporte NSK],BASE_DATOS[NSK],,0),"")</f>
        <v/>
      </c>
      <c r="R119" s="422" t="str">
        <f>IFERROR(_xlfn.XLOOKUP(CONCATENATE($L119,R$5,$M$2),BASE_DATOS[Reporte NSK],BASE_DATOS[NSK],,0),"")</f>
        <v/>
      </c>
      <c r="S119" s="422" t="str">
        <f>IFERROR(_xlfn.XLOOKUP(CONCATENATE($L119,S$5,$M$2),BASE_DATOS[Reporte NSK],BASE_DATOS[NSK],,0),"")</f>
        <v/>
      </c>
      <c r="T119" s="422" t="str">
        <f>IFERROR(_xlfn.XLOOKUP(CONCATENATE($L119,T$5,$M$2),BASE_DATOS[Reporte NSK],BASE_DATOS[NSK],,0),"")</f>
        <v/>
      </c>
      <c r="U119" s="422" t="str">
        <f>IFERROR(_xlfn.XLOOKUP(CONCATENATE($L119,U$5,$M$2),BASE_DATOS[Reporte NSK],BASE_DATOS[NSK],,0),"")</f>
        <v/>
      </c>
      <c r="V119" s="422" t="str">
        <f>IFERROR(_xlfn.XLOOKUP(CONCATENATE($L119,V$5,$M$2),BASE_DATOS[Reporte NSK],BASE_DATOS[NSK],,0),"")</f>
        <v/>
      </c>
      <c r="W119" s="436" t="str">
        <f>IFERROR(_xlfn.XLOOKUP(CONCATENATE($L119,W$5,$M$2),BASE_DATOS[Reporte NSK],BASE_DATOS[NSK],,0),"")</f>
        <v/>
      </c>
      <c r="X119" s="418" t="str">
        <f t="shared" si="4"/>
        <v/>
      </c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  <c r="BD119" s="108"/>
      <c r="BE119" s="108"/>
      <c r="BF119" s="108"/>
      <c r="BG119" s="108"/>
      <c r="BH119" s="108"/>
      <c r="BI119" s="108"/>
      <c r="BJ119" s="108"/>
      <c r="BK119" s="108"/>
      <c r="BL119" s="108"/>
      <c r="BM119" s="108"/>
      <c r="BN119" s="108"/>
      <c r="BO119" s="108"/>
      <c r="BP119" s="108"/>
      <c r="BQ119" s="108"/>
      <c r="BR119" s="108"/>
      <c r="BS119" s="108"/>
      <c r="BT119" s="108"/>
      <c r="BU119" s="108"/>
      <c r="BV119" s="108"/>
    </row>
    <row r="120" spans="12:74" s="152" customFormat="1" ht="10.199999999999999" customHeight="1" x14ac:dyDescent="0.2">
      <c r="L120" s="412"/>
      <c r="M120" s="415"/>
      <c r="N120" s="421" t="str">
        <f>IFERROR(_xlfn.XLOOKUP(CONCATENATE($L120,N$5,$M$2),BASE_DATOS[Reporte NSK],BASE_DATOS[NSK],,0),"")</f>
        <v/>
      </c>
      <c r="O120" s="422" t="str">
        <f>IFERROR(_xlfn.XLOOKUP(CONCATENATE($L120,O$5,$M$2),BASE_DATOS[Reporte NSK],BASE_DATOS[NSK],,0),"")</f>
        <v/>
      </c>
      <c r="P120" s="445" t="str">
        <f>IFERROR(_xlfn.XLOOKUP(CONCATENATE($L120,P$5,$M$2),BASE_DATOS[Reporte NSK],BASE_DATOS[NSK],,0),"")</f>
        <v/>
      </c>
      <c r="Q120" s="422" t="str">
        <f>IFERROR(_xlfn.XLOOKUP(CONCATENATE($L120,Q$5,$M$2),BASE_DATOS[Reporte NSK],BASE_DATOS[NSK],,0),"")</f>
        <v/>
      </c>
      <c r="R120" s="422" t="str">
        <f>IFERROR(_xlfn.XLOOKUP(CONCATENATE($L120,R$5,$M$2),BASE_DATOS[Reporte NSK],BASE_DATOS[NSK],,0),"")</f>
        <v/>
      </c>
      <c r="S120" s="422" t="str">
        <f>IFERROR(_xlfn.XLOOKUP(CONCATENATE($L120,S$5,$M$2),BASE_DATOS[Reporte NSK],BASE_DATOS[NSK],,0),"")</f>
        <v/>
      </c>
      <c r="T120" s="422" t="str">
        <f>IFERROR(_xlfn.XLOOKUP(CONCATENATE($L120,T$5,$M$2),BASE_DATOS[Reporte NSK],BASE_DATOS[NSK],,0),"")</f>
        <v/>
      </c>
      <c r="U120" s="422" t="str">
        <f>IFERROR(_xlfn.XLOOKUP(CONCATENATE($L120,U$5,$M$2),BASE_DATOS[Reporte NSK],BASE_DATOS[NSK],,0),"")</f>
        <v/>
      </c>
      <c r="V120" s="422" t="str">
        <f>IFERROR(_xlfn.XLOOKUP(CONCATENATE($L120,V$5,$M$2),BASE_DATOS[Reporte NSK],BASE_DATOS[NSK],,0),"")</f>
        <v/>
      </c>
      <c r="W120" s="436" t="str">
        <f>IFERROR(_xlfn.XLOOKUP(CONCATENATE($L120,W$5,$M$2),BASE_DATOS[Reporte NSK],BASE_DATOS[NSK],,0),"")</f>
        <v/>
      </c>
      <c r="X120" s="418" t="str">
        <f t="shared" si="4"/>
        <v/>
      </c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  <c r="BA120" s="108"/>
      <c r="BB120" s="108"/>
      <c r="BC120" s="108"/>
      <c r="BD120" s="108"/>
      <c r="BE120" s="108"/>
      <c r="BF120" s="108"/>
      <c r="BG120" s="108"/>
      <c r="BH120" s="108"/>
      <c r="BI120" s="108"/>
      <c r="BJ120" s="108"/>
      <c r="BK120" s="108"/>
      <c r="BL120" s="108"/>
      <c r="BM120" s="108"/>
      <c r="BN120" s="108"/>
      <c r="BO120" s="108"/>
      <c r="BP120" s="108"/>
      <c r="BQ120" s="108"/>
      <c r="BR120" s="108"/>
      <c r="BS120" s="108"/>
      <c r="BT120" s="108"/>
      <c r="BU120" s="108"/>
      <c r="BV120" s="108"/>
    </row>
    <row r="121" spans="12:74" s="152" customFormat="1" ht="10.199999999999999" customHeight="1" x14ac:dyDescent="0.2">
      <c r="L121" s="412"/>
      <c r="M121" s="415"/>
      <c r="N121" s="421" t="str">
        <f>IFERROR(_xlfn.XLOOKUP(CONCATENATE($L121,N$5,$M$2),BASE_DATOS[Reporte NSK],BASE_DATOS[NSK],,0),"")</f>
        <v/>
      </c>
      <c r="O121" s="422" t="str">
        <f>IFERROR(_xlfn.XLOOKUP(CONCATENATE($L121,O$5,$M$2),BASE_DATOS[Reporte NSK],BASE_DATOS[NSK],,0),"")</f>
        <v/>
      </c>
      <c r="P121" s="445" t="str">
        <f>IFERROR(_xlfn.XLOOKUP(CONCATENATE($L121,P$5,$M$2),BASE_DATOS[Reporte NSK],BASE_DATOS[NSK],,0),"")</f>
        <v/>
      </c>
      <c r="Q121" s="422" t="str">
        <f>IFERROR(_xlfn.XLOOKUP(CONCATENATE($L121,Q$5,$M$2),BASE_DATOS[Reporte NSK],BASE_DATOS[NSK],,0),"")</f>
        <v/>
      </c>
      <c r="R121" s="422" t="str">
        <f>IFERROR(_xlfn.XLOOKUP(CONCATENATE($L121,R$5,$M$2),BASE_DATOS[Reporte NSK],BASE_DATOS[NSK],,0),"")</f>
        <v/>
      </c>
      <c r="S121" s="422" t="str">
        <f>IFERROR(_xlfn.XLOOKUP(CONCATENATE($L121,S$5,$M$2),BASE_DATOS[Reporte NSK],BASE_DATOS[NSK],,0),"")</f>
        <v/>
      </c>
      <c r="T121" s="422" t="str">
        <f>IFERROR(_xlfn.XLOOKUP(CONCATENATE($L121,T$5,$M$2),BASE_DATOS[Reporte NSK],BASE_DATOS[NSK],,0),"")</f>
        <v/>
      </c>
      <c r="U121" s="422" t="str">
        <f>IFERROR(_xlfn.XLOOKUP(CONCATENATE($L121,U$5,$M$2),BASE_DATOS[Reporte NSK],BASE_DATOS[NSK],,0),"")</f>
        <v/>
      </c>
      <c r="V121" s="422" t="str">
        <f>IFERROR(_xlfn.XLOOKUP(CONCATENATE($L121,V$5,$M$2),BASE_DATOS[Reporte NSK],BASE_DATOS[NSK],,0),"")</f>
        <v/>
      </c>
      <c r="W121" s="436" t="str">
        <f>IFERROR(_xlfn.XLOOKUP(CONCATENATE($L121,W$5,$M$2),BASE_DATOS[Reporte NSK],BASE_DATOS[NSK],,0),"")</f>
        <v/>
      </c>
      <c r="X121" s="418" t="str">
        <f t="shared" si="4"/>
        <v/>
      </c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08"/>
      <c r="BC121" s="108"/>
      <c r="BD121" s="108"/>
      <c r="BE121" s="108"/>
      <c r="BF121" s="108"/>
      <c r="BG121" s="108"/>
      <c r="BH121" s="108"/>
      <c r="BI121" s="108"/>
      <c r="BJ121" s="108"/>
      <c r="BK121" s="108"/>
      <c r="BL121" s="108"/>
      <c r="BM121" s="108"/>
      <c r="BN121" s="108"/>
      <c r="BO121" s="108"/>
      <c r="BP121" s="108"/>
      <c r="BQ121" s="108"/>
      <c r="BR121" s="108"/>
      <c r="BS121" s="108"/>
      <c r="BT121" s="108"/>
      <c r="BU121" s="108"/>
      <c r="BV121" s="108"/>
    </row>
    <row r="122" spans="12:74" s="152" customFormat="1" ht="10.199999999999999" customHeight="1" x14ac:dyDescent="0.2">
      <c r="L122" s="412"/>
      <c r="M122" s="415"/>
      <c r="N122" s="421" t="str">
        <f>IFERROR(_xlfn.XLOOKUP(CONCATENATE($L122,N$5,$M$2),BASE_DATOS[Reporte NSK],BASE_DATOS[NSK],,0),"")</f>
        <v/>
      </c>
      <c r="O122" s="422" t="str">
        <f>IFERROR(_xlfn.XLOOKUP(CONCATENATE($L122,O$5,$M$2),BASE_DATOS[Reporte NSK],BASE_DATOS[NSK],,0),"")</f>
        <v/>
      </c>
      <c r="P122" s="445" t="str">
        <f>IFERROR(_xlfn.XLOOKUP(CONCATENATE($L122,P$5,$M$2),BASE_DATOS[Reporte NSK],BASE_DATOS[NSK],,0),"")</f>
        <v/>
      </c>
      <c r="Q122" s="422" t="str">
        <f>IFERROR(_xlfn.XLOOKUP(CONCATENATE($L122,Q$5,$M$2),BASE_DATOS[Reporte NSK],BASE_DATOS[NSK],,0),"")</f>
        <v/>
      </c>
      <c r="R122" s="422" t="str">
        <f>IFERROR(_xlfn.XLOOKUP(CONCATENATE($L122,R$5,$M$2),BASE_DATOS[Reporte NSK],BASE_DATOS[NSK],,0),"")</f>
        <v/>
      </c>
      <c r="S122" s="422" t="str">
        <f>IFERROR(_xlfn.XLOOKUP(CONCATENATE($L122,S$5,$M$2),BASE_DATOS[Reporte NSK],BASE_DATOS[NSK],,0),"")</f>
        <v/>
      </c>
      <c r="T122" s="422" t="str">
        <f>IFERROR(_xlfn.XLOOKUP(CONCATENATE($L122,T$5,$M$2),BASE_DATOS[Reporte NSK],BASE_DATOS[NSK],,0),"")</f>
        <v/>
      </c>
      <c r="U122" s="422" t="str">
        <f>IFERROR(_xlfn.XLOOKUP(CONCATENATE($L122,U$5,$M$2),BASE_DATOS[Reporte NSK],BASE_DATOS[NSK],,0),"")</f>
        <v/>
      </c>
      <c r="V122" s="422" t="str">
        <f>IFERROR(_xlfn.XLOOKUP(CONCATENATE($L122,V$5,$M$2),BASE_DATOS[Reporte NSK],BASE_DATOS[NSK],,0),"")</f>
        <v/>
      </c>
      <c r="W122" s="436" t="str">
        <f>IFERROR(_xlfn.XLOOKUP(CONCATENATE($L122,W$5,$M$2),BASE_DATOS[Reporte NSK],BASE_DATOS[NSK],,0),"")</f>
        <v/>
      </c>
      <c r="X122" s="418" t="str">
        <f t="shared" si="4"/>
        <v/>
      </c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08"/>
      <c r="BH122" s="108"/>
      <c r="BI122" s="108"/>
      <c r="BJ122" s="108"/>
      <c r="BK122" s="108"/>
      <c r="BL122" s="108"/>
      <c r="BM122" s="108"/>
      <c r="BN122" s="108"/>
      <c r="BO122" s="108"/>
      <c r="BP122" s="108"/>
      <c r="BQ122" s="108"/>
      <c r="BR122" s="108"/>
      <c r="BS122" s="108"/>
      <c r="BT122" s="108"/>
      <c r="BU122" s="108"/>
      <c r="BV122" s="108"/>
    </row>
    <row r="123" spans="12:74" s="152" customFormat="1" ht="10.199999999999999" customHeight="1" x14ac:dyDescent="0.2">
      <c r="L123" s="412"/>
      <c r="M123" s="415"/>
      <c r="N123" s="421" t="str">
        <f>IFERROR(_xlfn.XLOOKUP(CONCATENATE($L123,N$5,$M$2),BASE_DATOS[Reporte NSK],BASE_DATOS[NSK],,0),"")</f>
        <v/>
      </c>
      <c r="O123" s="422" t="str">
        <f>IFERROR(_xlfn.XLOOKUP(CONCATENATE($L123,O$5,$M$2),BASE_DATOS[Reporte NSK],BASE_DATOS[NSK],,0),"")</f>
        <v/>
      </c>
      <c r="P123" s="445" t="str">
        <f>IFERROR(_xlfn.XLOOKUP(CONCATENATE($L123,P$5,$M$2),BASE_DATOS[Reporte NSK],BASE_DATOS[NSK],,0),"")</f>
        <v/>
      </c>
      <c r="Q123" s="422" t="str">
        <f>IFERROR(_xlfn.XLOOKUP(CONCATENATE($L123,Q$5,$M$2),BASE_DATOS[Reporte NSK],BASE_DATOS[NSK],,0),"")</f>
        <v/>
      </c>
      <c r="R123" s="422" t="str">
        <f>IFERROR(_xlfn.XLOOKUP(CONCATENATE($L123,R$5,$M$2),BASE_DATOS[Reporte NSK],BASE_DATOS[NSK],,0),"")</f>
        <v/>
      </c>
      <c r="S123" s="422" t="str">
        <f>IFERROR(_xlfn.XLOOKUP(CONCATENATE($L123,S$5,$M$2),BASE_DATOS[Reporte NSK],BASE_DATOS[NSK],,0),"")</f>
        <v/>
      </c>
      <c r="T123" s="422" t="str">
        <f>IFERROR(_xlfn.XLOOKUP(CONCATENATE($L123,T$5,$M$2),BASE_DATOS[Reporte NSK],BASE_DATOS[NSK],,0),"")</f>
        <v/>
      </c>
      <c r="U123" s="422" t="str">
        <f>IFERROR(_xlfn.XLOOKUP(CONCATENATE($L123,U$5,$M$2),BASE_DATOS[Reporte NSK],BASE_DATOS[NSK],,0),"")</f>
        <v/>
      </c>
      <c r="V123" s="422" t="str">
        <f>IFERROR(_xlfn.XLOOKUP(CONCATENATE($L123,V$5,$M$2),BASE_DATOS[Reporte NSK],BASE_DATOS[NSK],,0),"")</f>
        <v/>
      </c>
      <c r="W123" s="436" t="str">
        <f>IFERROR(_xlfn.XLOOKUP(CONCATENATE($L123,W$5,$M$2),BASE_DATOS[Reporte NSK],BASE_DATOS[NSK],,0),"")</f>
        <v/>
      </c>
      <c r="X123" s="418" t="str">
        <f t="shared" si="4"/>
        <v/>
      </c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8"/>
      <c r="BI123" s="108"/>
      <c r="BJ123" s="108"/>
      <c r="BK123" s="108"/>
      <c r="BL123" s="108"/>
      <c r="BM123" s="108"/>
      <c r="BN123" s="108"/>
      <c r="BO123" s="108"/>
      <c r="BP123" s="108"/>
      <c r="BQ123" s="108"/>
      <c r="BR123" s="108"/>
      <c r="BS123" s="108"/>
      <c r="BT123" s="108"/>
      <c r="BU123" s="108"/>
      <c r="BV123" s="108"/>
    </row>
    <row r="124" spans="12:74" s="152" customFormat="1" ht="10.199999999999999" customHeight="1" x14ac:dyDescent="0.2">
      <c r="L124" s="412"/>
      <c r="M124" s="415"/>
      <c r="N124" s="421" t="str">
        <f>IFERROR(_xlfn.XLOOKUP(CONCATENATE($L124,N$5,$M$2),BASE_DATOS[Reporte NSK],BASE_DATOS[NSK],,0),"")</f>
        <v/>
      </c>
      <c r="O124" s="422" t="str">
        <f>IFERROR(_xlfn.XLOOKUP(CONCATENATE($L124,O$5,$M$2),BASE_DATOS[Reporte NSK],BASE_DATOS[NSK],,0),"")</f>
        <v/>
      </c>
      <c r="P124" s="445" t="str">
        <f>IFERROR(_xlfn.XLOOKUP(CONCATENATE($L124,P$5,$M$2),BASE_DATOS[Reporte NSK],BASE_DATOS[NSK],,0),"")</f>
        <v/>
      </c>
      <c r="Q124" s="422" t="str">
        <f>IFERROR(_xlfn.XLOOKUP(CONCATENATE($L124,Q$5,$M$2),BASE_DATOS[Reporte NSK],BASE_DATOS[NSK],,0),"")</f>
        <v/>
      </c>
      <c r="R124" s="422" t="str">
        <f>IFERROR(_xlfn.XLOOKUP(CONCATENATE($L124,R$5,$M$2),BASE_DATOS[Reporte NSK],BASE_DATOS[NSK],,0),"")</f>
        <v/>
      </c>
      <c r="S124" s="422" t="str">
        <f>IFERROR(_xlfn.XLOOKUP(CONCATENATE($L124,S$5,$M$2),BASE_DATOS[Reporte NSK],BASE_DATOS[NSK],,0),"")</f>
        <v/>
      </c>
      <c r="T124" s="422" t="str">
        <f>IFERROR(_xlfn.XLOOKUP(CONCATENATE($L124,T$5,$M$2),BASE_DATOS[Reporte NSK],BASE_DATOS[NSK],,0),"")</f>
        <v/>
      </c>
      <c r="U124" s="422" t="str">
        <f>IFERROR(_xlfn.XLOOKUP(CONCATENATE($L124,U$5,$M$2),BASE_DATOS[Reporte NSK],BASE_DATOS[NSK],,0),"")</f>
        <v/>
      </c>
      <c r="V124" s="422" t="str">
        <f>IFERROR(_xlfn.XLOOKUP(CONCATENATE($L124,V$5,$M$2),BASE_DATOS[Reporte NSK],BASE_DATOS[NSK],,0),"")</f>
        <v/>
      </c>
      <c r="W124" s="436" t="str">
        <f>IFERROR(_xlfn.XLOOKUP(CONCATENATE($L124,W$5,$M$2),BASE_DATOS[Reporte NSK],BASE_DATOS[NSK],,0),"")</f>
        <v/>
      </c>
      <c r="X124" s="418" t="str">
        <f t="shared" si="4"/>
        <v/>
      </c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/>
      <c r="BB124" s="108"/>
      <c r="BC124" s="108"/>
      <c r="BD124" s="108"/>
      <c r="BE124" s="108"/>
      <c r="BF124" s="108"/>
      <c r="BG124" s="108"/>
      <c r="BH124" s="108"/>
      <c r="BI124" s="108"/>
      <c r="BJ124" s="108"/>
      <c r="BK124" s="108"/>
      <c r="BL124" s="108"/>
      <c r="BM124" s="108"/>
      <c r="BN124" s="108"/>
      <c r="BO124" s="108"/>
      <c r="BP124" s="108"/>
      <c r="BQ124" s="108"/>
      <c r="BR124" s="108"/>
      <c r="BS124" s="108"/>
      <c r="BT124" s="108"/>
      <c r="BU124" s="108"/>
      <c r="BV124" s="108"/>
    </row>
    <row r="125" spans="12:74" ht="10.199999999999999" customHeight="1" x14ac:dyDescent="0.2">
      <c r="L125" s="412"/>
      <c r="M125" s="415"/>
      <c r="N125" s="421" t="str">
        <f>IFERROR(_xlfn.XLOOKUP(CONCATENATE($L125,N$5,$M$2),BASE_DATOS[Reporte NSK],BASE_DATOS[NSK],,0),"")</f>
        <v/>
      </c>
      <c r="O125" s="422" t="str">
        <f>IFERROR(_xlfn.XLOOKUP(CONCATENATE($L125,O$5,$M$2),BASE_DATOS[Reporte NSK],BASE_DATOS[NSK],,0),"")</f>
        <v/>
      </c>
      <c r="P125" s="445" t="str">
        <f>IFERROR(_xlfn.XLOOKUP(CONCATENATE($L125,P$5,$M$2),BASE_DATOS[Reporte NSK],BASE_DATOS[NSK],,0),"")</f>
        <v/>
      </c>
      <c r="Q125" s="422" t="str">
        <f>IFERROR(_xlfn.XLOOKUP(CONCATENATE($L125,Q$5,$M$2),BASE_DATOS[Reporte NSK],BASE_DATOS[NSK],,0),"")</f>
        <v/>
      </c>
      <c r="R125" s="422" t="str">
        <f>IFERROR(_xlfn.XLOOKUP(CONCATENATE($L125,R$5,$M$2),BASE_DATOS[Reporte NSK],BASE_DATOS[NSK],,0),"")</f>
        <v/>
      </c>
      <c r="S125" s="422" t="str">
        <f>IFERROR(_xlfn.XLOOKUP(CONCATENATE($L125,S$5,$M$2),BASE_DATOS[Reporte NSK],BASE_DATOS[NSK],,0),"")</f>
        <v/>
      </c>
      <c r="T125" s="422" t="str">
        <f>IFERROR(_xlfn.XLOOKUP(CONCATENATE($L125,T$5,$M$2),BASE_DATOS[Reporte NSK],BASE_DATOS[NSK],,0),"")</f>
        <v/>
      </c>
      <c r="U125" s="422" t="str">
        <f>IFERROR(_xlfn.XLOOKUP(CONCATENATE($L125,U$5,$M$2),BASE_DATOS[Reporte NSK],BASE_DATOS[NSK],,0),"")</f>
        <v/>
      </c>
      <c r="V125" s="422" t="str">
        <f>IFERROR(_xlfn.XLOOKUP(CONCATENATE($L125,V$5,$M$2),BASE_DATOS[Reporte NSK],BASE_DATOS[NSK],,0),"")</f>
        <v/>
      </c>
      <c r="W125" s="436" t="str">
        <f>IFERROR(_xlfn.XLOOKUP(CONCATENATE($L125,W$5,$M$2),BASE_DATOS[Reporte NSK],BASE_DATOS[NSK],,0),"")</f>
        <v/>
      </c>
      <c r="X125" s="418" t="str">
        <f t="shared" si="4"/>
        <v/>
      </c>
    </row>
    <row r="126" spans="12:74" ht="10.199999999999999" customHeight="1" x14ac:dyDescent="0.2">
      <c r="L126" s="412"/>
      <c r="M126" s="415"/>
      <c r="N126" s="421" t="str">
        <f>IFERROR(_xlfn.XLOOKUP(CONCATENATE($L126,N$5,$M$2),BASE_DATOS[Reporte NSK],BASE_DATOS[NSK],,0),"")</f>
        <v/>
      </c>
      <c r="O126" s="422" t="str">
        <f>IFERROR(_xlfn.XLOOKUP(CONCATENATE($L126,O$5,$M$2),BASE_DATOS[Reporte NSK],BASE_DATOS[NSK],,0),"")</f>
        <v/>
      </c>
      <c r="P126" s="445" t="str">
        <f>IFERROR(_xlfn.XLOOKUP(CONCATENATE($L126,P$5,$M$2),BASE_DATOS[Reporte NSK],BASE_DATOS[NSK],,0),"")</f>
        <v/>
      </c>
      <c r="Q126" s="422" t="str">
        <f>IFERROR(_xlfn.XLOOKUP(CONCATENATE($L126,Q$5,$M$2),BASE_DATOS[Reporte NSK],BASE_DATOS[NSK],,0),"")</f>
        <v/>
      </c>
      <c r="R126" s="422" t="str">
        <f>IFERROR(_xlfn.XLOOKUP(CONCATENATE($L126,R$5,$M$2),BASE_DATOS[Reporte NSK],BASE_DATOS[NSK],,0),"")</f>
        <v/>
      </c>
      <c r="S126" s="422" t="str">
        <f>IFERROR(_xlfn.XLOOKUP(CONCATENATE($L126,S$5,$M$2),BASE_DATOS[Reporte NSK],BASE_DATOS[NSK],,0),"")</f>
        <v/>
      </c>
      <c r="T126" s="422" t="str">
        <f>IFERROR(_xlfn.XLOOKUP(CONCATENATE($L126,T$5,$M$2),BASE_DATOS[Reporte NSK],BASE_DATOS[NSK],,0),"")</f>
        <v/>
      </c>
      <c r="U126" s="422" t="str">
        <f>IFERROR(_xlfn.XLOOKUP(CONCATENATE($L126,U$5,$M$2),BASE_DATOS[Reporte NSK],BASE_DATOS[NSK],,0),"")</f>
        <v/>
      </c>
      <c r="V126" s="422" t="str">
        <f>IFERROR(_xlfn.XLOOKUP(CONCATENATE($L126,V$5,$M$2),BASE_DATOS[Reporte NSK],BASE_DATOS[NSK],,0),"")</f>
        <v/>
      </c>
      <c r="W126" s="436" t="str">
        <f>IFERROR(_xlfn.XLOOKUP(CONCATENATE($L126,W$5,$M$2),BASE_DATOS[Reporte NSK],BASE_DATOS[NSK],,0),"")</f>
        <v/>
      </c>
      <c r="X126" s="418" t="str">
        <f t="shared" si="4"/>
        <v/>
      </c>
    </row>
    <row r="127" spans="12:74" ht="10.199999999999999" customHeight="1" x14ac:dyDescent="0.2">
      <c r="L127" s="412"/>
      <c r="M127" s="415"/>
      <c r="N127" s="421" t="str">
        <f>IFERROR(_xlfn.XLOOKUP(CONCATENATE($L127,N$5,$M$2),BASE_DATOS[Reporte NSK],BASE_DATOS[NSK],,0),"")</f>
        <v/>
      </c>
      <c r="O127" s="422" t="str">
        <f>IFERROR(_xlfn.XLOOKUP(CONCATENATE($L127,O$5,$M$2),BASE_DATOS[Reporte NSK],BASE_DATOS[NSK],,0),"")</f>
        <v/>
      </c>
      <c r="P127" s="445" t="str">
        <f>IFERROR(_xlfn.XLOOKUP(CONCATENATE($L127,P$5,$M$2),BASE_DATOS[Reporte NSK],BASE_DATOS[NSK],,0),"")</f>
        <v/>
      </c>
      <c r="Q127" s="422" t="str">
        <f>IFERROR(_xlfn.XLOOKUP(CONCATENATE($L127,Q$5,$M$2),BASE_DATOS[Reporte NSK],BASE_DATOS[NSK],,0),"")</f>
        <v/>
      </c>
      <c r="R127" s="422" t="str">
        <f>IFERROR(_xlfn.XLOOKUP(CONCATENATE($L127,R$5,$M$2),BASE_DATOS[Reporte NSK],BASE_DATOS[NSK],,0),"")</f>
        <v/>
      </c>
      <c r="S127" s="422" t="str">
        <f>IFERROR(_xlfn.XLOOKUP(CONCATENATE($L127,S$5,$M$2),BASE_DATOS[Reporte NSK],BASE_DATOS[NSK],,0),"")</f>
        <v/>
      </c>
      <c r="T127" s="422" t="str">
        <f>IFERROR(_xlfn.XLOOKUP(CONCATENATE($L127,T$5,$M$2),BASE_DATOS[Reporte NSK],BASE_DATOS[NSK],,0),"")</f>
        <v/>
      </c>
      <c r="U127" s="422" t="str">
        <f>IFERROR(_xlfn.XLOOKUP(CONCATENATE($L127,U$5,$M$2),BASE_DATOS[Reporte NSK],BASE_DATOS[NSK],,0),"")</f>
        <v/>
      </c>
      <c r="V127" s="422" t="str">
        <f>IFERROR(_xlfn.XLOOKUP(CONCATENATE($L127,V$5,$M$2),BASE_DATOS[Reporte NSK],BASE_DATOS[NSK],,0),"")</f>
        <v/>
      </c>
      <c r="W127" s="436" t="str">
        <f>IFERROR(_xlfn.XLOOKUP(CONCATENATE($L127,W$5,$M$2),BASE_DATOS[Reporte NSK],BASE_DATOS[NSK],,0),"")</f>
        <v/>
      </c>
      <c r="X127" s="418" t="str">
        <f t="shared" si="4"/>
        <v/>
      </c>
    </row>
    <row r="128" spans="12:74" ht="10.199999999999999" customHeight="1" x14ac:dyDescent="0.2">
      <c r="L128" s="412"/>
      <c r="M128" s="415"/>
      <c r="N128" s="421" t="str">
        <f>IFERROR(_xlfn.XLOOKUP(CONCATENATE($L128,N$5,$M$2),BASE_DATOS[Reporte NSK],BASE_DATOS[NSK],,0),"")</f>
        <v/>
      </c>
      <c r="O128" s="422" t="str">
        <f>IFERROR(_xlfn.XLOOKUP(CONCATENATE($L128,O$5,$M$2),BASE_DATOS[Reporte NSK],BASE_DATOS[NSK],,0),"")</f>
        <v/>
      </c>
      <c r="P128" s="445" t="str">
        <f>IFERROR(_xlfn.XLOOKUP(CONCATENATE($L128,P$5,$M$2),BASE_DATOS[Reporte NSK],BASE_DATOS[NSK],,0),"")</f>
        <v/>
      </c>
      <c r="Q128" s="422" t="str">
        <f>IFERROR(_xlfn.XLOOKUP(CONCATENATE($L128,Q$5,$M$2),BASE_DATOS[Reporte NSK],BASE_DATOS[NSK],,0),"")</f>
        <v/>
      </c>
      <c r="R128" s="422" t="str">
        <f>IFERROR(_xlfn.XLOOKUP(CONCATENATE($L128,R$5,$M$2),BASE_DATOS[Reporte NSK],BASE_DATOS[NSK],,0),"")</f>
        <v/>
      </c>
      <c r="S128" s="422" t="str">
        <f>IFERROR(_xlfn.XLOOKUP(CONCATENATE($L128,S$5,$M$2),BASE_DATOS[Reporte NSK],BASE_DATOS[NSK],,0),"")</f>
        <v/>
      </c>
      <c r="T128" s="422" t="str">
        <f>IFERROR(_xlfn.XLOOKUP(CONCATENATE($L128,T$5,$M$2),BASE_DATOS[Reporte NSK],BASE_DATOS[NSK],,0),"")</f>
        <v/>
      </c>
      <c r="U128" s="422" t="str">
        <f>IFERROR(_xlfn.XLOOKUP(CONCATENATE($L128,U$5,$M$2),BASE_DATOS[Reporte NSK],BASE_DATOS[NSK],,0),"")</f>
        <v/>
      </c>
      <c r="V128" s="422" t="str">
        <f>IFERROR(_xlfn.XLOOKUP(CONCATENATE($L128,V$5,$M$2),BASE_DATOS[Reporte NSK],BASE_DATOS[NSK],,0),"")</f>
        <v/>
      </c>
      <c r="W128" s="436" t="str">
        <f>IFERROR(_xlfn.XLOOKUP(CONCATENATE($L128,W$5,$M$2),BASE_DATOS[Reporte NSK],BASE_DATOS[NSK],,0),"")</f>
        <v/>
      </c>
      <c r="X128" s="418" t="str">
        <f t="shared" si="4"/>
        <v/>
      </c>
    </row>
    <row r="129" spans="12:24" ht="10.199999999999999" customHeight="1" x14ac:dyDescent="0.2">
      <c r="L129" s="412"/>
      <c r="M129" s="415"/>
      <c r="N129" s="421" t="str">
        <f>IFERROR(_xlfn.XLOOKUP(CONCATENATE($L129,N$5,$M$2),BASE_DATOS[Reporte NSK],BASE_DATOS[NSK],,0),"")</f>
        <v/>
      </c>
      <c r="O129" s="422" t="str">
        <f>IFERROR(_xlfn.XLOOKUP(CONCATENATE($L129,O$5,$M$2),BASE_DATOS[Reporte NSK],BASE_DATOS[NSK],,0),"")</f>
        <v/>
      </c>
      <c r="P129" s="445" t="str">
        <f>IFERROR(_xlfn.XLOOKUP(CONCATENATE($L129,P$5,$M$2),BASE_DATOS[Reporte NSK],BASE_DATOS[NSK],,0),"")</f>
        <v/>
      </c>
      <c r="Q129" s="422" t="str">
        <f>IFERROR(_xlfn.XLOOKUP(CONCATENATE($L129,Q$5,$M$2),BASE_DATOS[Reporte NSK],BASE_DATOS[NSK],,0),"")</f>
        <v/>
      </c>
      <c r="R129" s="422" t="str">
        <f>IFERROR(_xlfn.XLOOKUP(CONCATENATE($L129,R$5,$M$2),BASE_DATOS[Reporte NSK],BASE_DATOS[NSK],,0),"")</f>
        <v/>
      </c>
      <c r="S129" s="422" t="str">
        <f>IFERROR(_xlfn.XLOOKUP(CONCATENATE($L129,S$5,$M$2),BASE_DATOS[Reporte NSK],BASE_DATOS[NSK],,0),"")</f>
        <v/>
      </c>
      <c r="T129" s="422" t="str">
        <f>IFERROR(_xlfn.XLOOKUP(CONCATENATE($L129,T$5,$M$2),BASE_DATOS[Reporte NSK],BASE_DATOS[NSK],,0),"")</f>
        <v/>
      </c>
      <c r="U129" s="422" t="str">
        <f>IFERROR(_xlfn.XLOOKUP(CONCATENATE($L129,U$5,$M$2),BASE_DATOS[Reporte NSK],BASE_DATOS[NSK],,0),"")</f>
        <v/>
      </c>
      <c r="V129" s="422" t="str">
        <f>IFERROR(_xlfn.XLOOKUP(CONCATENATE($L129,V$5,$M$2),BASE_DATOS[Reporte NSK],BASE_DATOS[NSK],,0),"")</f>
        <v/>
      </c>
      <c r="W129" s="436" t="str">
        <f>IFERROR(_xlfn.XLOOKUP(CONCATENATE($L129,W$5,$M$2),BASE_DATOS[Reporte NSK],BASE_DATOS[NSK],,0),"")</f>
        <v/>
      </c>
      <c r="X129" s="418" t="str">
        <f t="shared" si="4"/>
        <v/>
      </c>
    </row>
    <row r="130" spans="12:24" ht="10.199999999999999" customHeight="1" x14ac:dyDescent="0.2">
      <c r="L130" s="412"/>
      <c r="M130" s="415"/>
      <c r="N130" s="421" t="str">
        <f>IFERROR(_xlfn.XLOOKUP(CONCATENATE($L130,N$5,$M$2),BASE_DATOS[Reporte NSK],BASE_DATOS[NSK],,0),"")</f>
        <v/>
      </c>
      <c r="O130" s="422" t="str">
        <f>IFERROR(_xlfn.XLOOKUP(CONCATENATE($L130,O$5,$M$2),BASE_DATOS[Reporte NSK],BASE_DATOS[NSK],,0),"")</f>
        <v/>
      </c>
      <c r="P130" s="445" t="str">
        <f>IFERROR(_xlfn.XLOOKUP(CONCATENATE($L130,P$5,$M$2),BASE_DATOS[Reporte NSK],BASE_DATOS[NSK],,0),"")</f>
        <v/>
      </c>
      <c r="Q130" s="422" t="str">
        <f>IFERROR(_xlfn.XLOOKUP(CONCATENATE($L130,Q$5,$M$2),BASE_DATOS[Reporte NSK],BASE_DATOS[NSK],,0),"")</f>
        <v/>
      </c>
      <c r="R130" s="422" t="str">
        <f>IFERROR(_xlfn.XLOOKUP(CONCATENATE($L130,R$5,$M$2),BASE_DATOS[Reporte NSK],BASE_DATOS[NSK],,0),"")</f>
        <v/>
      </c>
      <c r="S130" s="422" t="str">
        <f>IFERROR(_xlfn.XLOOKUP(CONCATENATE($L130,S$5,$M$2),BASE_DATOS[Reporte NSK],BASE_DATOS[NSK],,0),"")</f>
        <v/>
      </c>
      <c r="T130" s="422" t="str">
        <f>IFERROR(_xlfn.XLOOKUP(CONCATENATE($L130,T$5,$M$2),BASE_DATOS[Reporte NSK],BASE_DATOS[NSK],,0),"")</f>
        <v/>
      </c>
      <c r="U130" s="422" t="str">
        <f>IFERROR(_xlfn.XLOOKUP(CONCATENATE($L130,U$5,$M$2),BASE_DATOS[Reporte NSK],BASE_DATOS[NSK],,0),"")</f>
        <v/>
      </c>
      <c r="V130" s="422" t="str">
        <f>IFERROR(_xlfn.XLOOKUP(CONCATENATE($L130,V$5,$M$2),BASE_DATOS[Reporte NSK],BASE_DATOS[NSK],,0),"")</f>
        <v/>
      </c>
      <c r="W130" s="436" t="str">
        <f>IFERROR(_xlfn.XLOOKUP(CONCATENATE($L130,W$5,$M$2),BASE_DATOS[Reporte NSK],BASE_DATOS[NSK],,0),"")</f>
        <v/>
      </c>
      <c r="X130" s="418" t="str">
        <f t="shared" si="4"/>
        <v/>
      </c>
    </row>
    <row r="131" spans="12:24" ht="10.199999999999999" customHeight="1" x14ac:dyDescent="0.2">
      <c r="L131" s="412"/>
      <c r="M131" s="415"/>
      <c r="N131" s="421" t="str">
        <f>IFERROR(_xlfn.XLOOKUP(CONCATENATE($L131,N$5,$M$2),BASE_DATOS[Reporte NSK],BASE_DATOS[NSK],,0),"")</f>
        <v/>
      </c>
      <c r="O131" s="422" t="str">
        <f>IFERROR(_xlfn.XLOOKUP(CONCATENATE($L131,O$5,$M$2),BASE_DATOS[Reporte NSK],BASE_DATOS[NSK],,0),"")</f>
        <v/>
      </c>
      <c r="P131" s="445" t="str">
        <f>IFERROR(_xlfn.XLOOKUP(CONCATENATE($L131,P$5,$M$2),BASE_DATOS[Reporte NSK],BASE_DATOS[NSK],,0),"")</f>
        <v/>
      </c>
      <c r="Q131" s="422" t="str">
        <f>IFERROR(_xlfn.XLOOKUP(CONCATENATE($L131,Q$5,$M$2),BASE_DATOS[Reporte NSK],BASE_DATOS[NSK],,0),"")</f>
        <v/>
      </c>
      <c r="R131" s="422" t="str">
        <f>IFERROR(_xlfn.XLOOKUP(CONCATENATE($L131,R$5,$M$2),BASE_DATOS[Reporte NSK],BASE_DATOS[NSK],,0),"")</f>
        <v/>
      </c>
      <c r="S131" s="422" t="str">
        <f>IFERROR(_xlfn.XLOOKUP(CONCATENATE($L131,S$5,$M$2),BASE_DATOS[Reporte NSK],BASE_DATOS[NSK],,0),"")</f>
        <v/>
      </c>
      <c r="T131" s="422" t="str">
        <f>IFERROR(_xlfn.XLOOKUP(CONCATENATE($L131,T$5,$M$2),BASE_DATOS[Reporte NSK],BASE_DATOS[NSK],,0),"")</f>
        <v/>
      </c>
      <c r="U131" s="422" t="str">
        <f>IFERROR(_xlfn.XLOOKUP(CONCATENATE($L131,U$5,$M$2),BASE_DATOS[Reporte NSK],BASE_DATOS[NSK],,0),"")</f>
        <v/>
      </c>
      <c r="V131" s="422" t="str">
        <f>IFERROR(_xlfn.XLOOKUP(CONCATENATE($L131,V$5,$M$2),BASE_DATOS[Reporte NSK],BASE_DATOS[NSK],,0),"")</f>
        <v/>
      </c>
      <c r="W131" s="436" t="str">
        <f>IFERROR(_xlfn.XLOOKUP(CONCATENATE($L131,W$5,$M$2),BASE_DATOS[Reporte NSK],BASE_DATOS[NSK],,0),"")</f>
        <v/>
      </c>
      <c r="X131" s="418" t="str">
        <f t="shared" si="4"/>
        <v/>
      </c>
    </row>
    <row r="132" spans="12:24" ht="10.199999999999999" customHeight="1" x14ac:dyDescent="0.2">
      <c r="L132" s="412"/>
      <c r="M132" s="415"/>
      <c r="N132" s="421" t="str">
        <f>IFERROR(_xlfn.XLOOKUP(CONCATENATE($L132,N$5,$M$2),BASE_DATOS[Reporte NSK],BASE_DATOS[NSK],,0),"")</f>
        <v/>
      </c>
      <c r="O132" s="422" t="str">
        <f>IFERROR(_xlfn.XLOOKUP(CONCATENATE($L132,O$5,$M$2),BASE_DATOS[Reporte NSK],BASE_DATOS[NSK],,0),"")</f>
        <v/>
      </c>
      <c r="P132" s="445" t="str">
        <f>IFERROR(_xlfn.XLOOKUP(CONCATENATE($L132,P$5,$M$2),BASE_DATOS[Reporte NSK],BASE_DATOS[NSK],,0),"")</f>
        <v/>
      </c>
      <c r="Q132" s="422" t="str">
        <f>IFERROR(_xlfn.XLOOKUP(CONCATENATE($L132,Q$5,$M$2),BASE_DATOS[Reporte NSK],BASE_DATOS[NSK],,0),"")</f>
        <v/>
      </c>
      <c r="R132" s="422" t="str">
        <f>IFERROR(_xlfn.XLOOKUP(CONCATENATE($L132,R$5,$M$2),BASE_DATOS[Reporte NSK],BASE_DATOS[NSK],,0),"")</f>
        <v/>
      </c>
      <c r="S132" s="422" t="str">
        <f>IFERROR(_xlfn.XLOOKUP(CONCATENATE($L132,S$5,$M$2),BASE_DATOS[Reporte NSK],BASE_DATOS[NSK],,0),"")</f>
        <v/>
      </c>
      <c r="T132" s="422" t="str">
        <f>IFERROR(_xlfn.XLOOKUP(CONCATENATE($L132,T$5,$M$2),BASE_DATOS[Reporte NSK],BASE_DATOS[NSK],,0),"")</f>
        <v/>
      </c>
      <c r="U132" s="422" t="str">
        <f>IFERROR(_xlfn.XLOOKUP(CONCATENATE($L132,U$5,$M$2),BASE_DATOS[Reporte NSK],BASE_DATOS[NSK],,0),"")</f>
        <v/>
      </c>
      <c r="V132" s="422" t="str">
        <f>IFERROR(_xlfn.XLOOKUP(CONCATENATE($L132,V$5,$M$2),BASE_DATOS[Reporte NSK],BASE_DATOS[NSK],,0),"")</f>
        <v/>
      </c>
      <c r="W132" s="436" t="str">
        <f>IFERROR(_xlfn.XLOOKUP(CONCATENATE($L132,W$5,$M$2),BASE_DATOS[Reporte NSK],BASE_DATOS[NSK],,0),"")</f>
        <v/>
      </c>
      <c r="X132" s="418" t="str">
        <f t="shared" si="4"/>
        <v/>
      </c>
    </row>
    <row r="133" spans="12:24" ht="10.199999999999999" customHeight="1" x14ac:dyDescent="0.2">
      <c r="L133" s="412"/>
      <c r="M133" s="415"/>
      <c r="N133" s="421" t="str">
        <f>IFERROR(_xlfn.XLOOKUP(CONCATENATE($L133,N$5,$M$2),BASE_DATOS[Reporte NSK],BASE_DATOS[NSK],,0),"")</f>
        <v/>
      </c>
      <c r="O133" s="422" t="str">
        <f>IFERROR(_xlfn.XLOOKUP(CONCATENATE($L133,O$5,$M$2),BASE_DATOS[Reporte NSK],BASE_DATOS[NSK],,0),"")</f>
        <v/>
      </c>
      <c r="P133" s="445" t="str">
        <f>IFERROR(_xlfn.XLOOKUP(CONCATENATE($L133,P$5,$M$2),BASE_DATOS[Reporte NSK],BASE_DATOS[NSK],,0),"")</f>
        <v/>
      </c>
      <c r="Q133" s="422" t="str">
        <f>IFERROR(_xlfn.XLOOKUP(CONCATENATE($L133,Q$5,$M$2),BASE_DATOS[Reporte NSK],BASE_DATOS[NSK],,0),"")</f>
        <v/>
      </c>
      <c r="R133" s="422" t="str">
        <f>IFERROR(_xlfn.XLOOKUP(CONCATENATE($L133,R$5,$M$2),BASE_DATOS[Reporte NSK],BASE_DATOS[NSK],,0),"")</f>
        <v/>
      </c>
      <c r="S133" s="422" t="str">
        <f>IFERROR(_xlfn.XLOOKUP(CONCATENATE($L133,S$5,$M$2),BASE_DATOS[Reporte NSK],BASE_DATOS[NSK],,0),"")</f>
        <v/>
      </c>
      <c r="T133" s="422" t="str">
        <f>IFERROR(_xlfn.XLOOKUP(CONCATENATE($L133,T$5,$M$2),BASE_DATOS[Reporte NSK],BASE_DATOS[NSK],,0),"")</f>
        <v/>
      </c>
      <c r="U133" s="422" t="str">
        <f>IFERROR(_xlfn.XLOOKUP(CONCATENATE($L133,U$5,$M$2),BASE_DATOS[Reporte NSK],BASE_DATOS[NSK],,0),"")</f>
        <v/>
      </c>
      <c r="V133" s="422" t="str">
        <f>IFERROR(_xlfn.XLOOKUP(CONCATENATE($L133,V$5,$M$2),BASE_DATOS[Reporte NSK],BASE_DATOS[NSK],,0),"")</f>
        <v/>
      </c>
      <c r="W133" s="436" t="str">
        <f>IFERROR(_xlfn.XLOOKUP(CONCATENATE($L133,W$5,$M$2),BASE_DATOS[Reporte NSK],BASE_DATOS[NSK],,0),"")</f>
        <v/>
      </c>
      <c r="X133" s="418" t="str">
        <f t="shared" si="4"/>
        <v/>
      </c>
    </row>
    <row r="134" spans="12:24" ht="10.199999999999999" customHeight="1" x14ac:dyDescent="0.2">
      <c r="L134" s="412"/>
      <c r="M134" s="415"/>
      <c r="N134" s="421" t="str">
        <f>IFERROR(_xlfn.XLOOKUP(CONCATENATE($L134,N$5,$M$2),BASE_DATOS[Reporte NSK],BASE_DATOS[NSK],,0),"")</f>
        <v/>
      </c>
      <c r="O134" s="422" t="str">
        <f>IFERROR(_xlfn.XLOOKUP(CONCATENATE($L134,O$5,$M$2),BASE_DATOS[Reporte NSK],BASE_DATOS[NSK],,0),"")</f>
        <v/>
      </c>
      <c r="P134" s="445" t="str">
        <f>IFERROR(_xlfn.XLOOKUP(CONCATENATE($L134,P$5,$M$2),BASE_DATOS[Reporte NSK],BASE_DATOS[NSK],,0),"")</f>
        <v/>
      </c>
      <c r="Q134" s="422" t="str">
        <f>IFERROR(_xlfn.XLOOKUP(CONCATENATE($L134,Q$5,$M$2),BASE_DATOS[Reporte NSK],BASE_DATOS[NSK],,0),"")</f>
        <v/>
      </c>
      <c r="R134" s="422" t="str">
        <f>IFERROR(_xlfn.XLOOKUP(CONCATENATE($L134,R$5,$M$2),BASE_DATOS[Reporte NSK],BASE_DATOS[NSK],,0),"")</f>
        <v/>
      </c>
      <c r="S134" s="422" t="str">
        <f>IFERROR(_xlfn.XLOOKUP(CONCATENATE($L134,S$5,$M$2),BASE_DATOS[Reporte NSK],BASE_DATOS[NSK],,0),"")</f>
        <v/>
      </c>
      <c r="T134" s="422" t="str">
        <f>IFERROR(_xlfn.XLOOKUP(CONCATENATE($L134,T$5,$M$2),BASE_DATOS[Reporte NSK],BASE_DATOS[NSK],,0),"")</f>
        <v/>
      </c>
      <c r="U134" s="422" t="str">
        <f>IFERROR(_xlfn.XLOOKUP(CONCATENATE($L134,U$5,$M$2),BASE_DATOS[Reporte NSK],BASE_DATOS[NSK],,0),"")</f>
        <v/>
      </c>
      <c r="V134" s="422" t="str">
        <f>IFERROR(_xlfn.XLOOKUP(CONCATENATE($L134,V$5,$M$2),BASE_DATOS[Reporte NSK],BASE_DATOS[NSK],,0),"")</f>
        <v/>
      </c>
      <c r="W134" s="436" t="str">
        <f>IFERROR(_xlfn.XLOOKUP(CONCATENATE($L134,W$5,$M$2),BASE_DATOS[Reporte NSK],BASE_DATOS[NSK],,0),"")</f>
        <v/>
      </c>
      <c r="X134" s="418" t="str">
        <f t="shared" ref="X134:X165" si="5">IF(COUNT(N134:W134)&gt;0,COUNT(N134:W134),"")</f>
        <v/>
      </c>
    </row>
    <row r="135" spans="12:24" ht="10.199999999999999" customHeight="1" x14ac:dyDescent="0.2">
      <c r="L135" s="412"/>
      <c r="M135" s="415"/>
      <c r="N135" s="421" t="str">
        <f>IFERROR(_xlfn.XLOOKUP(CONCATENATE($L135,N$5,$M$2),BASE_DATOS[Reporte NSK],BASE_DATOS[NSK],,0),"")</f>
        <v/>
      </c>
      <c r="O135" s="422" t="str">
        <f>IFERROR(_xlfn.XLOOKUP(CONCATENATE($L135,O$5,$M$2),BASE_DATOS[Reporte NSK],BASE_DATOS[NSK],,0),"")</f>
        <v/>
      </c>
      <c r="P135" s="445" t="str">
        <f>IFERROR(_xlfn.XLOOKUP(CONCATENATE($L135,P$5,$M$2),BASE_DATOS[Reporte NSK],BASE_DATOS[NSK],,0),"")</f>
        <v/>
      </c>
      <c r="Q135" s="422" t="str">
        <f>IFERROR(_xlfn.XLOOKUP(CONCATENATE($L135,Q$5,$M$2),BASE_DATOS[Reporte NSK],BASE_DATOS[NSK],,0),"")</f>
        <v/>
      </c>
      <c r="R135" s="422" t="str">
        <f>IFERROR(_xlfn.XLOOKUP(CONCATENATE($L135,R$5,$M$2),BASE_DATOS[Reporte NSK],BASE_DATOS[NSK],,0),"")</f>
        <v/>
      </c>
      <c r="S135" s="422" t="str">
        <f>IFERROR(_xlfn.XLOOKUP(CONCATENATE($L135,S$5,$M$2),BASE_DATOS[Reporte NSK],BASE_DATOS[NSK],,0),"")</f>
        <v/>
      </c>
      <c r="T135" s="422" t="str">
        <f>IFERROR(_xlfn.XLOOKUP(CONCATENATE($L135,T$5,$M$2),BASE_DATOS[Reporte NSK],BASE_DATOS[NSK],,0),"")</f>
        <v/>
      </c>
      <c r="U135" s="422" t="str">
        <f>IFERROR(_xlfn.XLOOKUP(CONCATENATE($L135,U$5,$M$2),BASE_DATOS[Reporte NSK],BASE_DATOS[NSK],,0),"")</f>
        <v/>
      </c>
      <c r="V135" s="422" t="str">
        <f>IFERROR(_xlfn.XLOOKUP(CONCATENATE($L135,V$5,$M$2),BASE_DATOS[Reporte NSK],BASE_DATOS[NSK],,0),"")</f>
        <v/>
      </c>
      <c r="W135" s="436" t="str">
        <f>IFERROR(_xlfn.XLOOKUP(CONCATENATE($L135,W$5,$M$2),BASE_DATOS[Reporte NSK],BASE_DATOS[NSK],,0),"")</f>
        <v/>
      </c>
      <c r="X135" s="418" t="str">
        <f t="shared" si="5"/>
        <v/>
      </c>
    </row>
    <row r="136" spans="12:24" ht="10.199999999999999" customHeight="1" x14ac:dyDescent="0.2">
      <c r="L136" s="412"/>
      <c r="M136" s="415"/>
      <c r="N136" s="421" t="str">
        <f>IFERROR(_xlfn.XLOOKUP(CONCATENATE($L136,N$5,$M$2),BASE_DATOS[Reporte NSK],BASE_DATOS[NSK],,0),"")</f>
        <v/>
      </c>
      <c r="O136" s="422" t="str">
        <f>IFERROR(_xlfn.XLOOKUP(CONCATENATE($L136,O$5,$M$2),BASE_DATOS[Reporte NSK],BASE_DATOS[NSK],,0),"")</f>
        <v/>
      </c>
      <c r="P136" s="445" t="str">
        <f>IFERROR(_xlfn.XLOOKUP(CONCATENATE($L136,P$5,$M$2),BASE_DATOS[Reporte NSK],BASE_DATOS[NSK],,0),"")</f>
        <v/>
      </c>
      <c r="Q136" s="422" t="str">
        <f>IFERROR(_xlfn.XLOOKUP(CONCATENATE($L136,Q$5,$M$2),BASE_DATOS[Reporte NSK],BASE_DATOS[NSK],,0),"")</f>
        <v/>
      </c>
      <c r="R136" s="422" t="str">
        <f>IFERROR(_xlfn.XLOOKUP(CONCATENATE($L136,R$5,$M$2),BASE_DATOS[Reporte NSK],BASE_DATOS[NSK],,0),"")</f>
        <v/>
      </c>
      <c r="S136" s="422" t="str">
        <f>IFERROR(_xlfn.XLOOKUP(CONCATENATE($L136,S$5,$M$2),BASE_DATOS[Reporte NSK],BASE_DATOS[NSK],,0),"")</f>
        <v/>
      </c>
      <c r="T136" s="422" t="str">
        <f>IFERROR(_xlfn.XLOOKUP(CONCATENATE($L136,T$5,$M$2),BASE_DATOS[Reporte NSK],BASE_DATOS[NSK],,0),"")</f>
        <v/>
      </c>
      <c r="U136" s="422" t="str">
        <f>IFERROR(_xlfn.XLOOKUP(CONCATENATE($L136,U$5,$M$2),BASE_DATOS[Reporte NSK],BASE_DATOS[NSK],,0),"")</f>
        <v/>
      </c>
      <c r="V136" s="422" t="str">
        <f>IFERROR(_xlfn.XLOOKUP(CONCATENATE($L136,V$5,$M$2),BASE_DATOS[Reporte NSK],BASE_DATOS[NSK],,0),"")</f>
        <v/>
      </c>
      <c r="W136" s="436" t="str">
        <f>IFERROR(_xlfn.XLOOKUP(CONCATENATE($L136,W$5,$M$2),BASE_DATOS[Reporte NSK],BASE_DATOS[NSK],,0),"")</f>
        <v/>
      </c>
      <c r="X136" s="418" t="str">
        <f t="shared" si="5"/>
        <v/>
      </c>
    </row>
    <row r="137" spans="12:24" ht="10.199999999999999" customHeight="1" x14ac:dyDescent="0.2">
      <c r="L137" s="412"/>
      <c r="M137" s="415"/>
      <c r="N137" s="421" t="str">
        <f>IFERROR(_xlfn.XLOOKUP(CONCATENATE($L137,N$5,$M$2),BASE_DATOS[Reporte NSK],BASE_DATOS[NSK],,0),"")</f>
        <v/>
      </c>
      <c r="O137" s="422" t="str">
        <f>IFERROR(_xlfn.XLOOKUP(CONCATENATE($L137,O$5,$M$2),BASE_DATOS[Reporte NSK],BASE_DATOS[NSK],,0),"")</f>
        <v/>
      </c>
      <c r="P137" s="445" t="str">
        <f>IFERROR(_xlfn.XLOOKUP(CONCATENATE($L137,P$5,$M$2),BASE_DATOS[Reporte NSK],BASE_DATOS[NSK],,0),"")</f>
        <v/>
      </c>
      <c r="Q137" s="422" t="str">
        <f>IFERROR(_xlfn.XLOOKUP(CONCATENATE($L137,Q$5,$M$2),BASE_DATOS[Reporte NSK],BASE_DATOS[NSK],,0),"")</f>
        <v/>
      </c>
      <c r="R137" s="422" t="str">
        <f>IFERROR(_xlfn.XLOOKUP(CONCATENATE($L137,R$5,$M$2),BASE_DATOS[Reporte NSK],BASE_DATOS[NSK],,0),"")</f>
        <v/>
      </c>
      <c r="S137" s="422" t="str">
        <f>IFERROR(_xlfn.XLOOKUP(CONCATENATE($L137,S$5,$M$2),BASE_DATOS[Reporte NSK],BASE_DATOS[NSK],,0),"")</f>
        <v/>
      </c>
      <c r="T137" s="422" t="str">
        <f>IFERROR(_xlfn.XLOOKUP(CONCATENATE($L137,T$5,$M$2),BASE_DATOS[Reporte NSK],BASE_DATOS[NSK],,0),"")</f>
        <v/>
      </c>
      <c r="U137" s="422" t="str">
        <f>IFERROR(_xlfn.XLOOKUP(CONCATENATE($L137,U$5,$M$2),BASE_DATOS[Reporte NSK],BASE_DATOS[NSK],,0),"")</f>
        <v/>
      </c>
      <c r="V137" s="422" t="str">
        <f>IFERROR(_xlfn.XLOOKUP(CONCATENATE($L137,V$5,$M$2),BASE_DATOS[Reporte NSK],BASE_DATOS[NSK],,0),"")</f>
        <v/>
      </c>
      <c r="W137" s="436" t="str">
        <f>IFERROR(_xlfn.XLOOKUP(CONCATENATE($L137,W$5,$M$2),BASE_DATOS[Reporte NSK],BASE_DATOS[NSK],,0),"")</f>
        <v/>
      </c>
      <c r="X137" s="418" t="str">
        <f t="shared" si="5"/>
        <v/>
      </c>
    </row>
    <row r="138" spans="12:24" ht="10.199999999999999" customHeight="1" x14ac:dyDescent="0.2">
      <c r="L138" s="412"/>
      <c r="M138" s="415"/>
      <c r="N138" s="421" t="str">
        <f>IFERROR(_xlfn.XLOOKUP(CONCATENATE($L138,N$5,$M$2),BASE_DATOS[Reporte NSK],BASE_DATOS[NSK],,0),"")</f>
        <v/>
      </c>
      <c r="O138" s="422" t="str">
        <f>IFERROR(_xlfn.XLOOKUP(CONCATENATE($L138,O$5,$M$2),BASE_DATOS[Reporte NSK],BASE_DATOS[NSK],,0),"")</f>
        <v/>
      </c>
      <c r="P138" s="445" t="str">
        <f>IFERROR(_xlfn.XLOOKUP(CONCATENATE($L138,P$5,$M$2),BASE_DATOS[Reporte NSK],BASE_DATOS[NSK],,0),"")</f>
        <v/>
      </c>
      <c r="Q138" s="422" t="str">
        <f>IFERROR(_xlfn.XLOOKUP(CONCATENATE($L138,Q$5,$M$2),BASE_DATOS[Reporte NSK],BASE_DATOS[NSK],,0),"")</f>
        <v/>
      </c>
      <c r="R138" s="422" t="str">
        <f>IFERROR(_xlfn.XLOOKUP(CONCATENATE($L138,R$5,$M$2),BASE_DATOS[Reporte NSK],BASE_DATOS[NSK],,0),"")</f>
        <v/>
      </c>
      <c r="S138" s="422" t="str">
        <f>IFERROR(_xlfn.XLOOKUP(CONCATENATE($L138,S$5,$M$2),BASE_DATOS[Reporte NSK],BASE_DATOS[NSK],,0),"")</f>
        <v/>
      </c>
      <c r="T138" s="422" t="str">
        <f>IFERROR(_xlfn.XLOOKUP(CONCATENATE($L138,T$5,$M$2),BASE_DATOS[Reporte NSK],BASE_DATOS[NSK],,0),"")</f>
        <v/>
      </c>
      <c r="U138" s="422" t="str">
        <f>IFERROR(_xlfn.XLOOKUP(CONCATENATE($L138,U$5,$M$2),BASE_DATOS[Reporte NSK],BASE_DATOS[NSK],,0),"")</f>
        <v/>
      </c>
      <c r="V138" s="422" t="str">
        <f>IFERROR(_xlfn.XLOOKUP(CONCATENATE($L138,V$5,$M$2),BASE_DATOS[Reporte NSK],BASE_DATOS[NSK],,0),"")</f>
        <v/>
      </c>
      <c r="W138" s="436" t="str">
        <f>IFERROR(_xlfn.XLOOKUP(CONCATENATE($L138,W$5,$M$2),BASE_DATOS[Reporte NSK],BASE_DATOS[NSK],,0),"")</f>
        <v/>
      </c>
      <c r="X138" s="418" t="str">
        <f t="shared" si="5"/>
        <v/>
      </c>
    </row>
    <row r="139" spans="12:24" ht="10.199999999999999" customHeight="1" x14ac:dyDescent="0.2">
      <c r="L139" s="412"/>
      <c r="M139" s="415"/>
      <c r="N139" s="421" t="str">
        <f>IFERROR(_xlfn.XLOOKUP(CONCATENATE($L139,N$5,$M$2),BASE_DATOS[Reporte NSK],BASE_DATOS[NSK],,0),"")</f>
        <v/>
      </c>
      <c r="O139" s="422" t="str">
        <f>IFERROR(_xlfn.XLOOKUP(CONCATENATE($L139,O$5,$M$2),BASE_DATOS[Reporte NSK],BASE_DATOS[NSK],,0),"")</f>
        <v/>
      </c>
      <c r="P139" s="445" t="str">
        <f>IFERROR(_xlfn.XLOOKUP(CONCATENATE($L139,P$5,$M$2),BASE_DATOS[Reporte NSK],BASE_DATOS[NSK],,0),"")</f>
        <v/>
      </c>
      <c r="Q139" s="422" t="str">
        <f>IFERROR(_xlfn.XLOOKUP(CONCATENATE($L139,Q$5,$M$2),BASE_DATOS[Reporte NSK],BASE_DATOS[NSK],,0),"")</f>
        <v/>
      </c>
      <c r="R139" s="422" t="str">
        <f>IFERROR(_xlfn.XLOOKUP(CONCATENATE($L139,R$5,$M$2),BASE_DATOS[Reporte NSK],BASE_DATOS[NSK],,0),"")</f>
        <v/>
      </c>
      <c r="S139" s="422" t="str">
        <f>IFERROR(_xlfn.XLOOKUP(CONCATENATE($L139,S$5,$M$2),BASE_DATOS[Reporte NSK],BASE_DATOS[NSK],,0),"")</f>
        <v/>
      </c>
      <c r="T139" s="422" t="str">
        <f>IFERROR(_xlfn.XLOOKUP(CONCATENATE($L139,T$5,$M$2),BASE_DATOS[Reporte NSK],BASE_DATOS[NSK],,0),"")</f>
        <v/>
      </c>
      <c r="U139" s="422" t="str">
        <f>IFERROR(_xlfn.XLOOKUP(CONCATENATE($L139,U$5,$M$2),BASE_DATOS[Reporte NSK],BASE_DATOS[NSK],,0),"")</f>
        <v/>
      </c>
      <c r="V139" s="422" t="str">
        <f>IFERROR(_xlfn.XLOOKUP(CONCATENATE($L139,V$5,$M$2),BASE_DATOS[Reporte NSK],BASE_DATOS[NSK],,0),"")</f>
        <v/>
      </c>
      <c r="W139" s="436" t="str">
        <f>IFERROR(_xlfn.XLOOKUP(CONCATENATE($L139,W$5,$M$2),BASE_DATOS[Reporte NSK],BASE_DATOS[NSK],,0),"")</f>
        <v/>
      </c>
      <c r="X139" s="418" t="str">
        <f t="shared" si="5"/>
        <v/>
      </c>
    </row>
    <row r="140" spans="12:24" ht="10.199999999999999" customHeight="1" x14ac:dyDescent="0.2">
      <c r="L140" s="412"/>
      <c r="M140" s="415"/>
      <c r="N140" s="421" t="str">
        <f>IFERROR(_xlfn.XLOOKUP(CONCATENATE($L140,N$5,$M$2),BASE_DATOS[Reporte NSK],BASE_DATOS[NSK],,0),"")</f>
        <v/>
      </c>
      <c r="O140" s="422" t="str">
        <f>IFERROR(_xlfn.XLOOKUP(CONCATENATE($L140,O$5,$M$2),BASE_DATOS[Reporte NSK],BASE_DATOS[NSK],,0),"")</f>
        <v/>
      </c>
      <c r="P140" s="445" t="str">
        <f>IFERROR(_xlfn.XLOOKUP(CONCATENATE($L140,P$5,$M$2),BASE_DATOS[Reporte NSK],BASE_DATOS[NSK],,0),"")</f>
        <v/>
      </c>
      <c r="Q140" s="422" t="str">
        <f>IFERROR(_xlfn.XLOOKUP(CONCATENATE($L140,Q$5,$M$2),BASE_DATOS[Reporte NSK],BASE_DATOS[NSK],,0),"")</f>
        <v/>
      </c>
      <c r="R140" s="422" t="str">
        <f>IFERROR(_xlfn.XLOOKUP(CONCATENATE($L140,R$5,$M$2),BASE_DATOS[Reporte NSK],BASE_DATOS[NSK],,0),"")</f>
        <v/>
      </c>
      <c r="S140" s="422" t="str">
        <f>IFERROR(_xlfn.XLOOKUP(CONCATENATE($L140,S$5,$M$2),BASE_DATOS[Reporte NSK],BASE_DATOS[NSK],,0),"")</f>
        <v/>
      </c>
      <c r="T140" s="422" t="str">
        <f>IFERROR(_xlfn.XLOOKUP(CONCATENATE($L140,T$5,$M$2),BASE_DATOS[Reporte NSK],BASE_DATOS[NSK],,0),"")</f>
        <v/>
      </c>
      <c r="U140" s="422" t="str">
        <f>IFERROR(_xlfn.XLOOKUP(CONCATENATE($L140,U$5,$M$2),BASE_DATOS[Reporte NSK],BASE_DATOS[NSK],,0),"")</f>
        <v/>
      </c>
      <c r="V140" s="422" t="str">
        <f>IFERROR(_xlfn.XLOOKUP(CONCATENATE($L140,V$5,$M$2),BASE_DATOS[Reporte NSK],BASE_DATOS[NSK],,0),"")</f>
        <v/>
      </c>
      <c r="W140" s="436" t="str">
        <f>IFERROR(_xlfn.XLOOKUP(CONCATENATE($L140,W$5,$M$2),BASE_DATOS[Reporte NSK],BASE_DATOS[NSK],,0),"")</f>
        <v/>
      </c>
      <c r="X140" s="418" t="str">
        <f t="shared" si="5"/>
        <v/>
      </c>
    </row>
    <row r="141" spans="12:24" ht="10.199999999999999" customHeight="1" x14ac:dyDescent="0.2">
      <c r="L141" s="412"/>
      <c r="M141" s="415"/>
      <c r="N141" s="421" t="str">
        <f>IFERROR(_xlfn.XLOOKUP(CONCATENATE($L141,N$5,$M$2),BASE_DATOS[Reporte NSK],BASE_DATOS[NSK],,0),"")</f>
        <v/>
      </c>
      <c r="O141" s="422" t="str">
        <f>IFERROR(_xlfn.XLOOKUP(CONCATENATE($L141,O$5,$M$2),BASE_DATOS[Reporte NSK],BASE_DATOS[NSK],,0),"")</f>
        <v/>
      </c>
      <c r="P141" s="445" t="str">
        <f>IFERROR(_xlfn.XLOOKUP(CONCATENATE($L141,P$5,$M$2),BASE_DATOS[Reporte NSK],BASE_DATOS[NSK],,0),"")</f>
        <v/>
      </c>
      <c r="Q141" s="422" t="str">
        <f>IFERROR(_xlfn.XLOOKUP(CONCATENATE($L141,Q$5,$M$2),BASE_DATOS[Reporte NSK],BASE_DATOS[NSK],,0),"")</f>
        <v/>
      </c>
      <c r="R141" s="422" t="str">
        <f>IFERROR(_xlfn.XLOOKUP(CONCATENATE($L141,R$5,$M$2),BASE_DATOS[Reporte NSK],BASE_DATOS[NSK],,0),"")</f>
        <v/>
      </c>
      <c r="S141" s="422" t="str">
        <f>IFERROR(_xlfn.XLOOKUP(CONCATENATE($L141,S$5,$M$2),BASE_DATOS[Reporte NSK],BASE_DATOS[NSK],,0),"")</f>
        <v/>
      </c>
      <c r="T141" s="422" t="str">
        <f>IFERROR(_xlfn.XLOOKUP(CONCATENATE($L141,T$5,$M$2),BASE_DATOS[Reporte NSK],BASE_DATOS[NSK],,0),"")</f>
        <v/>
      </c>
      <c r="U141" s="422" t="str">
        <f>IFERROR(_xlfn.XLOOKUP(CONCATENATE($L141,U$5,$M$2),BASE_DATOS[Reporte NSK],BASE_DATOS[NSK],,0),"")</f>
        <v/>
      </c>
      <c r="V141" s="422" t="str">
        <f>IFERROR(_xlfn.XLOOKUP(CONCATENATE($L141,V$5,$M$2),BASE_DATOS[Reporte NSK],BASE_DATOS[NSK],,0),"")</f>
        <v/>
      </c>
      <c r="W141" s="436" t="str">
        <f>IFERROR(_xlfn.XLOOKUP(CONCATENATE($L141,W$5,$M$2),BASE_DATOS[Reporte NSK],BASE_DATOS[NSK],,0),"")</f>
        <v/>
      </c>
      <c r="X141" s="418" t="str">
        <f t="shared" si="5"/>
        <v/>
      </c>
    </row>
    <row r="142" spans="12:24" ht="10.199999999999999" customHeight="1" x14ac:dyDescent="0.2">
      <c r="L142" s="412"/>
      <c r="M142" s="415"/>
      <c r="N142" s="421" t="str">
        <f>IFERROR(_xlfn.XLOOKUP(CONCATENATE($L142,N$5,$M$2),BASE_DATOS[Reporte NSK],BASE_DATOS[NSK],,0),"")</f>
        <v/>
      </c>
      <c r="O142" s="422" t="str">
        <f>IFERROR(_xlfn.XLOOKUP(CONCATENATE($L142,O$5,$M$2),BASE_DATOS[Reporte NSK],BASE_DATOS[NSK],,0),"")</f>
        <v/>
      </c>
      <c r="P142" s="445" t="str">
        <f>IFERROR(_xlfn.XLOOKUP(CONCATENATE($L142,P$5,$M$2),BASE_DATOS[Reporte NSK],BASE_DATOS[NSK],,0),"")</f>
        <v/>
      </c>
      <c r="Q142" s="422" t="str">
        <f>IFERROR(_xlfn.XLOOKUP(CONCATENATE($L142,Q$5,$M$2),BASE_DATOS[Reporte NSK],BASE_DATOS[NSK],,0),"")</f>
        <v/>
      </c>
      <c r="R142" s="422" t="str">
        <f>IFERROR(_xlfn.XLOOKUP(CONCATENATE($L142,R$5,$M$2),BASE_DATOS[Reporte NSK],BASE_DATOS[NSK],,0),"")</f>
        <v/>
      </c>
      <c r="S142" s="422" t="str">
        <f>IFERROR(_xlfn.XLOOKUP(CONCATENATE($L142,S$5,$M$2),BASE_DATOS[Reporte NSK],BASE_DATOS[NSK],,0),"")</f>
        <v/>
      </c>
      <c r="T142" s="422" t="str">
        <f>IFERROR(_xlfn.XLOOKUP(CONCATENATE($L142,T$5,$M$2),BASE_DATOS[Reporte NSK],BASE_DATOS[NSK],,0),"")</f>
        <v/>
      </c>
      <c r="U142" s="422" t="str">
        <f>IFERROR(_xlfn.XLOOKUP(CONCATENATE($L142,U$5,$M$2),BASE_DATOS[Reporte NSK],BASE_DATOS[NSK],,0),"")</f>
        <v/>
      </c>
      <c r="V142" s="422" t="str">
        <f>IFERROR(_xlfn.XLOOKUP(CONCATENATE($L142,V$5,$M$2),BASE_DATOS[Reporte NSK],BASE_DATOS[NSK],,0),"")</f>
        <v/>
      </c>
      <c r="W142" s="436" t="str">
        <f>IFERROR(_xlfn.XLOOKUP(CONCATENATE($L142,W$5,$M$2),BASE_DATOS[Reporte NSK],BASE_DATOS[NSK],,0),"")</f>
        <v/>
      </c>
      <c r="X142" s="418" t="str">
        <f t="shared" si="5"/>
        <v/>
      </c>
    </row>
    <row r="143" spans="12:24" ht="10.199999999999999" customHeight="1" x14ac:dyDescent="0.2">
      <c r="L143" s="412"/>
      <c r="M143" s="415"/>
      <c r="N143" s="421" t="str">
        <f>IFERROR(_xlfn.XLOOKUP(CONCATENATE($L143,N$5,$M$2),BASE_DATOS[Reporte NSK],BASE_DATOS[NSK],,0),"")</f>
        <v/>
      </c>
      <c r="O143" s="422" t="str">
        <f>IFERROR(_xlfn.XLOOKUP(CONCATENATE($L143,O$5,$M$2),BASE_DATOS[Reporte NSK],BASE_DATOS[NSK],,0),"")</f>
        <v/>
      </c>
      <c r="P143" s="445" t="str">
        <f>IFERROR(_xlfn.XLOOKUP(CONCATENATE($L143,P$5,$M$2),BASE_DATOS[Reporte NSK],BASE_DATOS[NSK],,0),"")</f>
        <v/>
      </c>
      <c r="Q143" s="422" t="str">
        <f>IFERROR(_xlfn.XLOOKUP(CONCATENATE($L143,Q$5,$M$2),BASE_DATOS[Reporte NSK],BASE_DATOS[NSK],,0),"")</f>
        <v/>
      </c>
      <c r="R143" s="422" t="str">
        <f>IFERROR(_xlfn.XLOOKUP(CONCATENATE($L143,R$5,$M$2),BASE_DATOS[Reporte NSK],BASE_DATOS[NSK],,0),"")</f>
        <v/>
      </c>
      <c r="S143" s="422" t="str">
        <f>IFERROR(_xlfn.XLOOKUP(CONCATENATE($L143,S$5,$M$2),BASE_DATOS[Reporte NSK],BASE_DATOS[NSK],,0),"")</f>
        <v/>
      </c>
      <c r="T143" s="422" t="str">
        <f>IFERROR(_xlfn.XLOOKUP(CONCATENATE($L143,T$5,$M$2),BASE_DATOS[Reporte NSK],BASE_DATOS[NSK],,0),"")</f>
        <v/>
      </c>
      <c r="U143" s="422" t="str">
        <f>IFERROR(_xlfn.XLOOKUP(CONCATENATE($L143,U$5,$M$2),BASE_DATOS[Reporte NSK],BASE_DATOS[NSK],,0),"")</f>
        <v/>
      </c>
      <c r="V143" s="422" t="str">
        <f>IFERROR(_xlfn.XLOOKUP(CONCATENATE($L143,V$5,$M$2),BASE_DATOS[Reporte NSK],BASE_DATOS[NSK],,0),"")</f>
        <v/>
      </c>
      <c r="W143" s="436" t="str">
        <f>IFERROR(_xlfn.XLOOKUP(CONCATENATE($L143,W$5,$M$2),BASE_DATOS[Reporte NSK],BASE_DATOS[NSK],,0),"")</f>
        <v/>
      </c>
      <c r="X143" s="418" t="str">
        <f t="shared" si="5"/>
        <v/>
      </c>
    </row>
    <row r="144" spans="12:24" ht="10.199999999999999" customHeight="1" x14ac:dyDescent="0.2">
      <c r="L144" s="412"/>
      <c r="M144" s="415"/>
      <c r="N144" s="421" t="str">
        <f>IFERROR(_xlfn.XLOOKUP(CONCATENATE($L144,N$5,$M$2),BASE_DATOS[Reporte NSK],BASE_DATOS[NSK],,0),"")</f>
        <v/>
      </c>
      <c r="O144" s="422" t="str">
        <f>IFERROR(_xlfn.XLOOKUP(CONCATENATE($L144,O$5,$M$2),BASE_DATOS[Reporte NSK],BASE_DATOS[NSK],,0),"")</f>
        <v/>
      </c>
      <c r="P144" s="445" t="str">
        <f>IFERROR(_xlfn.XLOOKUP(CONCATENATE($L144,P$5,$M$2),BASE_DATOS[Reporte NSK],BASE_DATOS[NSK],,0),"")</f>
        <v/>
      </c>
      <c r="Q144" s="422" t="str">
        <f>IFERROR(_xlfn.XLOOKUP(CONCATENATE($L144,Q$5,$M$2),BASE_DATOS[Reporte NSK],BASE_DATOS[NSK],,0),"")</f>
        <v/>
      </c>
      <c r="R144" s="422" t="str">
        <f>IFERROR(_xlfn.XLOOKUP(CONCATENATE($L144,R$5,$M$2),BASE_DATOS[Reporte NSK],BASE_DATOS[NSK],,0),"")</f>
        <v/>
      </c>
      <c r="S144" s="422" t="str">
        <f>IFERROR(_xlfn.XLOOKUP(CONCATENATE($L144,S$5,$M$2),BASE_DATOS[Reporte NSK],BASE_DATOS[NSK],,0),"")</f>
        <v/>
      </c>
      <c r="T144" s="422" t="str">
        <f>IFERROR(_xlfn.XLOOKUP(CONCATENATE($L144,T$5,$M$2),BASE_DATOS[Reporte NSK],BASE_DATOS[NSK],,0),"")</f>
        <v/>
      </c>
      <c r="U144" s="422" t="str">
        <f>IFERROR(_xlfn.XLOOKUP(CONCATENATE($L144,U$5,$M$2),BASE_DATOS[Reporte NSK],BASE_DATOS[NSK],,0),"")</f>
        <v/>
      </c>
      <c r="V144" s="422" t="str">
        <f>IFERROR(_xlfn.XLOOKUP(CONCATENATE($L144,V$5,$M$2),BASE_DATOS[Reporte NSK],BASE_DATOS[NSK],,0),"")</f>
        <v/>
      </c>
      <c r="W144" s="436" t="str">
        <f>IFERROR(_xlfn.XLOOKUP(CONCATENATE($L144,W$5,$M$2),BASE_DATOS[Reporte NSK],BASE_DATOS[NSK],,0),"")</f>
        <v/>
      </c>
      <c r="X144" s="418" t="str">
        <f t="shared" si="5"/>
        <v/>
      </c>
    </row>
    <row r="145" spans="12:24" ht="10.199999999999999" customHeight="1" x14ac:dyDescent="0.2">
      <c r="L145" s="412"/>
      <c r="M145" s="415"/>
      <c r="N145" s="421" t="str">
        <f>IFERROR(_xlfn.XLOOKUP(CONCATENATE($L145,N$5,$M$2),BASE_DATOS[Reporte NSK],BASE_DATOS[NSK],,0),"")</f>
        <v/>
      </c>
      <c r="O145" s="422" t="str">
        <f>IFERROR(_xlfn.XLOOKUP(CONCATENATE($L145,O$5,$M$2),BASE_DATOS[Reporte NSK],BASE_DATOS[NSK],,0),"")</f>
        <v/>
      </c>
      <c r="P145" s="445" t="str">
        <f>IFERROR(_xlfn.XLOOKUP(CONCATENATE($L145,P$5,$M$2),BASE_DATOS[Reporte NSK],BASE_DATOS[NSK],,0),"")</f>
        <v/>
      </c>
      <c r="Q145" s="422" t="str">
        <f>IFERROR(_xlfn.XLOOKUP(CONCATENATE($L145,Q$5,$M$2),BASE_DATOS[Reporte NSK],BASE_DATOS[NSK],,0),"")</f>
        <v/>
      </c>
      <c r="R145" s="422" t="str">
        <f>IFERROR(_xlfn.XLOOKUP(CONCATENATE($L145,R$5,$M$2),BASE_DATOS[Reporte NSK],BASE_DATOS[NSK],,0),"")</f>
        <v/>
      </c>
      <c r="S145" s="422" t="str">
        <f>IFERROR(_xlfn.XLOOKUP(CONCATENATE($L145,S$5,$M$2),BASE_DATOS[Reporte NSK],BASE_DATOS[NSK],,0),"")</f>
        <v/>
      </c>
      <c r="T145" s="422" t="str">
        <f>IFERROR(_xlfn.XLOOKUP(CONCATENATE($L145,T$5,$M$2),BASE_DATOS[Reporte NSK],BASE_DATOS[NSK],,0),"")</f>
        <v/>
      </c>
      <c r="U145" s="422" t="str">
        <f>IFERROR(_xlfn.XLOOKUP(CONCATENATE($L145,U$5,$M$2),BASE_DATOS[Reporte NSK],BASE_DATOS[NSK],,0),"")</f>
        <v/>
      </c>
      <c r="V145" s="422" t="str">
        <f>IFERROR(_xlfn.XLOOKUP(CONCATENATE($L145,V$5,$M$2),BASE_DATOS[Reporte NSK],BASE_DATOS[NSK],,0),"")</f>
        <v/>
      </c>
      <c r="W145" s="436" t="str">
        <f>IFERROR(_xlfn.XLOOKUP(CONCATENATE($L145,W$5,$M$2),BASE_DATOS[Reporte NSK],BASE_DATOS[NSK],,0),"")</f>
        <v/>
      </c>
      <c r="X145" s="418" t="str">
        <f t="shared" si="5"/>
        <v/>
      </c>
    </row>
    <row r="146" spans="12:24" ht="10.199999999999999" customHeight="1" x14ac:dyDescent="0.2">
      <c r="L146" s="412"/>
      <c r="M146" s="415"/>
      <c r="N146" s="421" t="str">
        <f>IFERROR(_xlfn.XLOOKUP(CONCATENATE($L146,N$5,$M$2),BASE_DATOS[Reporte NSK],BASE_DATOS[NSK],,0),"")</f>
        <v/>
      </c>
      <c r="O146" s="422" t="str">
        <f>IFERROR(_xlfn.XLOOKUP(CONCATENATE($L146,O$5,$M$2),BASE_DATOS[Reporte NSK],BASE_DATOS[NSK],,0),"")</f>
        <v/>
      </c>
      <c r="P146" s="445" t="str">
        <f>IFERROR(_xlfn.XLOOKUP(CONCATENATE($L146,P$5,$M$2),BASE_DATOS[Reporte NSK],BASE_DATOS[NSK],,0),"")</f>
        <v/>
      </c>
      <c r="Q146" s="422" t="str">
        <f>IFERROR(_xlfn.XLOOKUP(CONCATENATE($L146,Q$5,$M$2),BASE_DATOS[Reporte NSK],BASE_DATOS[NSK],,0),"")</f>
        <v/>
      </c>
      <c r="R146" s="422" t="str">
        <f>IFERROR(_xlfn.XLOOKUP(CONCATENATE($L146,R$5,$M$2),BASE_DATOS[Reporte NSK],BASE_DATOS[NSK],,0),"")</f>
        <v/>
      </c>
      <c r="S146" s="422" t="str">
        <f>IFERROR(_xlfn.XLOOKUP(CONCATENATE($L146,S$5,$M$2),BASE_DATOS[Reporte NSK],BASE_DATOS[NSK],,0),"")</f>
        <v/>
      </c>
      <c r="T146" s="422" t="str">
        <f>IFERROR(_xlfn.XLOOKUP(CONCATENATE($L146,T$5,$M$2),BASE_DATOS[Reporte NSK],BASE_DATOS[NSK],,0),"")</f>
        <v/>
      </c>
      <c r="U146" s="422" t="str">
        <f>IFERROR(_xlfn.XLOOKUP(CONCATENATE($L146,U$5,$M$2),BASE_DATOS[Reporte NSK],BASE_DATOS[NSK],,0),"")</f>
        <v/>
      </c>
      <c r="V146" s="422" t="str">
        <f>IFERROR(_xlfn.XLOOKUP(CONCATENATE($L146,V$5,$M$2),BASE_DATOS[Reporte NSK],BASE_DATOS[NSK],,0),"")</f>
        <v/>
      </c>
      <c r="W146" s="436" t="str">
        <f>IFERROR(_xlfn.XLOOKUP(CONCATENATE($L146,W$5,$M$2),BASE_DATOS[Reporte NSK],BASE_DATOS[NSK],,0),"")</f>
        <v/>
      </c>
      <c r="X146" s="418" t="str">
        <f t="shared" si="5"/>
        <v/>
      </c>
    </row>
    <row r="147" spans="12:24" ht="10.199999999999999" customHeight="1" x14ac:dyDescent="0.2">
      <c r="L147" s="412"/>
      <c r="M147" s="415"/>
      <c r="N147" s="421" t="str">
        <f>IFERROR(_xlfn.XLOOKUP(CONCATENATE($L147,N$5,$M$2),BASE_DATOS[Reporte NSK],BASE_DATOS[NSK],,0),"")</f>
        <v/>
      </c>
      <c r="O147" s="422" t="str">
        <f>IFERROR(_xlfn.XLOOKUP(CONCATENATE($L147,O$5,$M$2),BASE_DATOS[Reporte NSK],BASE_DATOS[NSK],,0),"")</f>
        <v/>
      </c>
      <c r="P147" s="445" t="str">
        <f>IFERROR(_xlfn.XLOOKUP(CONCATENATE($L147,P$5,$M$2),BASE_DATOS[Reporte NSK],BASE_DATOS[NSK],,0),"")</f>
        <v/>
      </c>
      <c r="Q147" s="422" t="str">
        <f>IFERROR(_xlfn.XLOOKUP(CONCATENATE($L147,Q$5,$M$2),BASE_DATOS[Reporte NSK],BASE_DATOS[NSK],,0),"")</f>
        <v/>
      </c>
      <c r="R147" s="422" t="str">
        <f>IFERROR(_xlfn.XLOOKUP(CONCATENATE($L147,R$5,$M$2),BASE_DATOS[Reporte NSK],BASE_DATOS[NSK],,0),"")</f>
        <v/>
      </c>
      <c r="S147" s="422" t="str">
        <f>IFERROR(_xlfn.XLOOKUP(CONCATENATE($L147,S$5,$M$2),BASE_DATOS[Reporte NSK],BASE_DATOS[NSK],,0),"")</f>
        <v/>
      </c>
      <c r="T147" s="422" t="str">
        <f>IFERROR(_xlfn.XLOOKUP(CONCATENATE($L147,T$5,$M$2),BASE_DATOS[Reporte NSK],BASE_DATOS[NSK],,0),"")</f>
        <v/>
      </c>
      <c r="U147" s="422" t="str">
        <f>IFERROR(_xlfn.XLOOKUP(CONCATENATE($L147,U$5,$M$2),BASE_DATOS[Reporte NSK],BASE_DATOS[NSK],,0),"")</f>
        <v/>
      </c>
      <c r="V147" s="422" t="str">
        <f>IFERROR(_xlfn.XLOOKUP(CONCATENATE($L147,V$5,$M$2),BASE_DATOS[Reporte NSK],BASE_DATOS[NSK],,0),"")</f>
        <v/>
      </c>
      <c r="W147" s="436" t="str">
        <f>IFERROR(_xlfn.XLOOKUP(CONCATENATE($L147,W$5,$M$2),BASE_DATOS[Reporte NSK],BASE_DATOS[NSK],,0),"")</f>
        <v/>
      </c>
      <c r="X147" s="418" t="str">
        <f t="shared" si="5"/>
        <v/>
      </c>
    </row>
    <row r="148" spans="12:24" ht="10.199999999999999" customHeight="1" x14ac:dyDescent="0.2">
      <c r="L148" s="412"/>
      <c r="M148" s="415"/>
      <c r="N148" s="421" t="str">
        <f>IFERROR(_xlfn.XLOOKUP(CONCATENATE($L148,N$5,$M$2),BASE_DATOS[Reporte NSK],BASE_DATOS[NSK],,0),"")</f>
        <v/>
      </c>
      <c r="O148" s="422" t="str">
        <f>IFERROR(_xlfn.XLOOKUP(CONCATENATE($L148,O$5,$M$2),BASE_DATOS[Reporte NSK],BASE_DATOS[NSK],,0),"")</f>
        <v/>
      </c>
      <c r="P148" s="445" t="str">
        <f>IFERROR(_xlfn.XLOOKUP(CONCATENATE($L148,P$5,$M$2),BASE_DATOS[Reporte NSK],BASE_DATOS[NSK],,0),"")</f>
        <v/>
      </c>
      <c r="Q148" s="422" t="str">
        <f>IFERROR(_xlfn.XLOOKUP(CONCATENATE($L148,Q$5,$M$2),BASE_DATOS[Reporte NSK],BASE_DATOS[NSK],,0),"")</f>
        <v/>
      </c>
      <c r="R148" s="422" t="str">
        <f>IFERROR(_xlfn.XLOOKUP(CONCATENATE($L148,R$5,$M$2),BASE_DATOS[Reporte NSK],BASE_DATOS[NSK],,0),"")</f>
        <v/>
      </c>
      <c r="S148" s="422" t="str">
        <f>IFERROR(_xlfn.XLOOKUP(CONCATENATE($L148,S$5,$M$2),BASE_DATOS[Reporte NSK],BASE_DATOS[NSK],,0),"")</f>
        <v/>
      </c>
      <c r="T148" s="422" t="str">
        <f>IFERROR(_xlfn.XLOOKUP(CONCATENATE($L148,T$5,$M$2),BASE_DATOS[Reporte NSK],BASE_DATOS[NSK],,0),"")</f>
        <v/>
      </c>
      <c r="U148" s="422" t="str">
        <f>IFERROR(_xlfn.XLOOKUP(CONCATENATE($L148,U$5,$M$2),BASE_DATOS[Reporte NSK],BASE_DATOS[NSK],,0),"")</f>
        <v/>
      </c>
      <c r="V148" s="422" t="str">
        <f>IFERROR(_xlfn.XLOOKUP(CONCATENATE($L148,V$5,$M$2),BASE_DATOS[Reporte NSK],BASE_DATOS[NSK],,0),"")</f>
        <v/>
      </c>
      <c r="W148" s="436" t="str">
        <f>IFERROR(_xlfn.XLOOKUP(CONCATENATE($L148,W$5,$M$2),BASE_DATOS[Reporte NSK],BASE_DATOS[NSK],,0),"")</f>
        <v/>
      </c>
      <c r="X148" s="418" t="str">
        <f t="shared" si="5"/>
        <v/>
      </c>
    </row>
    <row r="149" spans="12:24" ht="10.199999999999999" customHeight="1" x14ac:dyDescent="0.2">
      <c r="L149" s="412"/>
      <c r="M149" s="415"/>
      <c r="N149" s="421" t="str">
        <f>IFERROR(_xlfn.XLOOKUP(CONCATENATE($L149,N$5,$M$2),BASE_DATOS[Reporte NSK],BASE_DATOS[NSK],,0),"")</f>
        <v/>
      </c>
      <c r="O149" s="422" t="str">
        <f>IFERROR(_xlfn.XLOOKUP(CONCATENATE($L149,O$5,$M$2),BASE_DATOS[Reporte NSK],BASE_DATOS[NSK],,0),"")</f>
        <v/>
      </c>
      <c r="P149" s="445" t="str">
        <f>IFERROR(_xlfn.XLOOKUP(CONCATENATE($L149,P$5,$M$2),BASE_DATOS[Reporte NSK],BASE_DATOS[NSK],,0),"")</f>
        <v/>
      </c>
      <c r="Q149" s="422" t="str">
        <f>IFERROR(_xlfn.XLOOKUP(CONCATENATE($L149,Q$5,$M$2),BASE_DATOS[Reporte NSK],BASE_DATOS[NSK],,0),"")</f>
        <v/>
      </c>
      <c r="R149" s="422" t="str">
        <f>IFERROR(_xlfn.XLOOKUP(CONCATENATE($L149,R$5,$M$2),BASE_DATOS[Reporte NSK],BASE_DATOS[NSK],,0),"")</f>
        <v/>
      </c>
      <c r="S149" s="422" t="str">
        <f>IFERROR(_xlfn.XLOOKUP(CONCATENATE($L149,S$5,$M$2),BASE_DATOS[Reporte NSK],BASE_DATOS[NSK],,0),"")</f>
        <v/>
      </c>
      <c r="T149" s="422" t="str">
        <f>IFERROR(_xlfn.XLOOKUP(CONCATENATE($L149,T$5,$M$2),BASE_DATOS[Reporte NSK],BASE_DATOS[NSK],,0),"")</f>
        <v/>
      </c>
      <c r="U149" s="422" t="str">
        <f>IFERROR(_xlfn.XLOOKUP(CONCATENATE($L149,U$5,$M$2),BASE_DATOS[Reporte NSK],BASE_DATOS[NSK],,0),"")</f>
        <v/>
      </c>
      <c r="V149" s="422" t="str">
        <f>IFERROR(_xlfn.XLOOKUP(CONCATENATE($L149,V$5,$M$2),BASE_DATOS[Reporte NSK],BASE_DATOS[NSK],,0),"")</f>
        <v/>
      </c>
      <c r="W149" s="436" t="str">
        <f>IFERROR(_xlfn.XLOOKUP(CONCATENATE($L149,W$5,$M$2),BASE_DATOS[Reporte NSK],BASE_DATOS[NSK],,0),"")</f>
        <v/>
      </c>
      <c r="X149" s="418" t="str">
        <f t="shared" si="5"/>
        <v/>
      </c>
    </row>
    <row r="150" spans="12:24" ht="10.199999999999999" customHeight="1" x14ac:dyDescent="0.2">
      <c r="L150" s="412"/>
      <c r="M150" s="415"/>
      <c r="N150" s="421" t="str">
        <f>IFERROR(_xlfn.XLOOKUP(CONCATENATE($L150,N$5,$M$2),BASE_DATOS[Reporte NSK],BASE_DATOS[NSK],,0),"")</f>
        <v/>
      </c>
      <c r="O150" s="422" t="str">
        <f>IFERROR(_xlfn.XLOOKUP(CONCATENATE($L150,O$5,$M$2),BASE_DATOS[Reporte NSK],BASE_DATOS[NSK],,0),"")</f>
        <v/>
      </c>
      <c r="P150" s="445" t="str">
        <f>IFERROR(_xlfn.XLOOKUP(CONCATENATE($L150,P$5,$M$2),BASE_DATOS[Reporte NSK],BASE_DATOS[NSK],,0),"")</f>
        <v/>
      </c>
      <c r="Q150" s="422" t="str">
        <f>IFERROR(_xlfn.XLOOKUP(CONCATENATE($L150,Q$5,$M$2),BASE_DATOS[Reporte NSK],BASE_DATOS[NSK],,0),"")</f>
        <v/>
      </c>
      <c r="R150" s="422" t="str">
        <f>IFERROR(_xlfn.XLOOKUP(CONCATENATE($L150,R$5,$M$2),BASE_DATOS[Reporte NSK],BASE_DATOS[NSK],,0),"")</f>
        <v/>
      </c>
      <c r="S150" s="422" t="str">
        <f>IFERROR(_xlfn.XLOOKUP(CONCATENATE($L150,S$5,$M$2),BASE_DATOS[Reporte NSK],BASE_DATOS[NSK],,0),"")</f>
        <v/>
      </c>
      <c r="T150" s="422" t="str">
        <f>IFERROR(_xlfn.XLOOKUP(CONCATENATE($L150,T$5,$M$2),BASE_DATOS[Reporte NSK],BASE_DATOS[NSK],,0),"")</f>
        <v/>
      </c>
      <c r="U150" s="422" t="str">
        <f>IFERROR(_xlfn.XLOOKUP(CONCATENATE($L150,U$5,$M$2),BASE_DATOS[Reporte NSK],BASE_DATOS[NSK],,0),"")</f>
        <v/>
      </c>
      <c r="V150" s="422" t="str">
        <f>IFERROR(_xlfn.XLOOKUP(CONCATENATE($L150,V$5,$M$2),BASE_DATOS[Reporte NSK],BASE_DATOS[NSK],,0),"")</f>
        <v/>
      </c>
      <c r="W150" s="436" t="str">
        <f>IFERROR(_xlfn.XLOOKUP(CONCATENATE($L150,W$5,$M$2),BASE_DATOS[Reporte NSK],BASE_DATOS[NSK],,0),"")</f>
        <v/>
      </c>
      <c r="X150" s="418" t="str">
        <f t="shared" si="5"/>
        <v/>
      </c>
    </row>
    <row r="151" spans="12:24" ht="10.199999999999999" customHeight="1" x14ac:dyDescent="0.2">
      <c r="L151" s="412"/>
      <c r="M151" s="415"/>
      <c r="N151" s="421" t="str">
        <f>IFERROR(_xlfn.XLOOKUP(CONCATENATE($L151,N$5,$M$2),BASE_DATOS[Reporte NSK],BASE_DATOS[NSK],,0),"")</f>
        <v/>
      </c>
      <c r="O151" s="422" t="str">
        <f>IFERROR(_xlfn.XLOOKUP(CONCATENATE($L151,O$5,$M$2),BASE_DATOS[Reporte NSK],BASE_DATOS[NSK],,0),"")</f>
        <v/>
      </c>
      <c r="P151" s="445" t="str">
        <f>IFERROR(_xlfn.XLOOKUP(CONCATENATE($L151,P$5,$M$2),BASE_DATOS[Reporte NSK],BASE_DATOS[NSK],,0),"")</f>
        <v/>
      </c>
      <c r="Q151" s="422" t="str">
        <f>IFERROR(_xlfn.XLOOKUP(CONCATENATE($L151,Q$5,$M$2),BASE_DATOS[Reporte NSK],BASE_DATOS[NSK],,0),"")</f>
        <v/>
      </c>
      <c r="R151" s="422" t="str">
        <f>IFERROR(_xlfn.XLOOKUP(CONCATENATE($L151,R$5,$M$2),BASE_DATOS[Reporte NSK],BASE_DATOS[NSK],,0),"")</f>
        <v/>
      </c>
      <c r="S151" s="422" t="str">
        <f>IFERROR(_xlfn.XLOOKUP(CONCATENATE($L151,S$5,$M$2),BASE_DATOS[Reporte NSK],BASE_DATOS[NSK],,0),"")</f>
        <v/>
      </c>
      <c r="T151" s="422" t="str">
        <f>IFERROR(_xlfn.XLOOKUP(CONCATENATE($L151,T$5,$M$2),BASE_DATOS[Reporte NSK],BASE_DATOS[NSK],,0),"")</f>
        <v/>
      </c>
      <c r="U151" s="422" t="str">
        <f>IFERROR(_xlfn.XLOOKUP(CONCATENATE($L151,U$5,$M$2),BASE_DATOS[Reporte NSK],BASE_DATOS[NSK],,0),"")</f>
        <v/>
      </c>
      <c r="V151" s="422" t="str">
        <f>IFERROR(_xlfn.XLOOKUP(CONCATENATE($L151,V$5,$M$2),BASE_DATOS[Reporte NSK],BASE_DATOS[NSK],,0),"")</f>
        <v/>
      </c>
      <c r="W151" s="436" t="str">
        <f>IFERROR(_xlfn.XLOOKUP(CONCATENATE($L151,W$5,$M$2),BASE_DATOS[Reporte NSK],BASE_DATOS[NSK],,0),"")</f>
        <v/>
      </c>
      <c r="X151" s="418" t="str">
        <f t="shared" si="5"/>
        <v/>
      </c>
    </row>
    <row r="152" spans="12:24" ht="10.199999999999999" customHeight="1" x14ac:dyDescent="0.2">
      <c r="L152" s="412"/>
      <c r="M152" s="415"/>
      <c r="N152" s="421" t="str">
        <f>IFERROR(_xlfn.XLOOKUP(CONCATENATE($L152,N$5,$M$2),BASE_DATOS[Reporte NSK],BASE_DATOS[NSK],,0),"")</f>
        <v/>
      </c>
      <c r="O152" s="422" t="str">
        <f>IFERROR(_xlfn.XLOOKUP(CONCATENATE($L152,O$5,$M$2),BASE_DATOS[Reporte NSK],BASE_DATOS[NSK],,0),"")</f>
        <v/>
      </c>
      <c r="P152" s="445" t="str">
        <f>IFERROR(_xlfn.XLOOKUP(CONCATENATE($L152,P$5,$M$2),BASE_DATOS[Reporte NSK],BASE_DATOS[NSK],,0),"")</f>
        <v/>
      </c>
      <c r="Q152" s="422" t="str">
        <f>IFERROR(_xlfn.XLOOKUP(CONCATENATE($L152,Q$5,$M$2),BASE_DATOS[Reporte NSK],BASE_DATOS[NSK],,0),"")</f>
        <v/>
      </c>
      <c r="R152" s="422" t="str">
        <f>IFERROR(_xlfn.XLOOKUP(CONCATENATE($L152,R$5,$M$2),BASE_DATOS[Reporte NSK],BASE_DATOS[NSK],,0),"")</f>
        <v/>
      </c>
      <c r="S152" s="422" t="str">
        <f>IFERROR(_xlfn.XLOOKUP(CONCATENATE($L152,S$5,$M$2),BASE_DATOS[Reporte NSK],BASE_DATOS[NSK],,0),"")</f>
        <v/>
      </c>
      <c r="T152" s="422" t="str">
        <f>IFERROR(_xlfn.XLOOKUP(CONCATENATE($L152,T$5,$M$2),BASE_DATOS[Reporte NSK],BASE_DATOS[NSK],,0),"")</f>
        <v/>
      </c>
      <c r="U152" s="422" t="str">
        <f>IFERROR(_xlfn.XLOOKUP(CONCATENATE($L152,U$5,$M$2),BASE_DATOS[Reporte NSK],BASE_DATOS[NSK],,0),"")</f>
        <v/>
      </c>
      <c r="V152" s="422" t="str">
        <f>IFERROR(_xlfn.XLOOKUP(CONCATENATE($L152,V$5,$M$2),BASE_DATOS[Reporte NSK],BASE_DATOS[NSK],,0),"")</f>
        <v/>
      </c>
      <c r="W152" s="436" t="str">
        <f>IFERROR(_xlfn.XLOOKUP(CONCATENATE($L152,W$5,$M$2),BASE_DATOS[Reporte NSK],BASE_DATOS[NSK],,0),"")</f>
        <v/>
      </c>
      <c r="X152" s="418" t="str">
        <f t="shared" si="5"/>
        <v/>
      </c>
    </row>
    <row r="153" spans="12:24" ht="10.199999999999999" customHeight="1" x14ac:dyDescent="0.2">
      <c r="L153" s="412"/>
      <c r="M153" s="415"/>
      <c r="N153" s="421" t="str">
        <f>IFERROR(_xlfn.XLOOKUP(CONCATENATE($L153,N$5,$M$2),BASE_DATOS[Reporte NSK],BASE_DATOS[NSK],,0),"")</f>
        <v/>
      </c>
      <c r="O153" s="422" t="str">
        <f>IFERROR(_xlfn.XLOOKUP(CONCATENATE($L153,O$5,$M$2),BASE_DATOS[Reporte NSK],BASE_DATOS[NSK],,0),"")</f>
        <v/>
      </c>
      <c r="P153" s="445" t="str">
        <f>IFERROR(_xlfn.XLOOKUP(CONCATENATE($L153,P$5,$M$2),BASE_DATOS[Reporte NSK],BASE_DATOS[NSK],,0),"")</f>
        <v/>
      </c>
      <c r="Q153" s="422" t="str">
        <f>IFERROR(_xlfn.XLOOKUP(CONCATENATE($L153,Q$5,$M$2),BASE_DATOS[Reporte NSK],BASE_DATOS[NSK],,0),"")</f>
        <v/>
      </c>
      <c r="R153" s="422" t="str">
        <f>IFERROR(_xlfn.XLOOKUP(CONCATENATE($L153,R$5,$M$2),BASE_DATOS[Reporte NSK],BASE_DATOS[NSK],,0),"")</f>
        <v/>
      </c>
      <c r="S153" s="422" t="str">
        <f>IFERROR(_xlfn.XLOOKUP(CONCATENATE($L153,S$5,$M$2),BASE_DATOS[Reporte NSK],BASE_DATOS[NSK],,0),"")</f>
        <v/>
      </c>
      <c r="T153" s="422" t="str">
        <f>IFERROR(_xlfn.XLOOKUP(CONCATENATE($L153,T$5,$M$2),BASE_DATOS[Reporte NSK],BASE_DATOS[NSK],,0),"")</f>
        <v/>
      </c>
      <c r="U153" s="422" t="str">
        <f>IFERROR(_xlfn.XLOOKUP(CONCATENATE($L153,U$5,$M$2),BASE_DATOS[Reporte NSK],BASE_DATOS[NSK],,0),"")</f>
        <v/>
      </c>
      <c r="V153" s="422" t="str">
        <f>IFERROR(_xlfn.XLOOKUP(CONCATENATE($L153,V$5,$M$2),BASE_DATOS[Reporte NSK],BASE_DATOS[NSK],,0),"")</f>
        <v/>
      </c>
      <c r="W153" s="436" t="str">
        <f>IFERROR(_xlfn.XLOOKUP(CONCATENATE($L153,W$5,$M$2),BASE_DATOS[Reporte NSK],BASE_DATOS[NSK],,0),"")</f>
        <v/>
      </c>
      <c r="X153" s="418" t="str">
        <f t="shared" si="5"/>
        <v/>
      </c>
    </row>
    <row r="154" spans="12:24" ht="10.199999999999999" customHeight="1" x14ac:dyDescent="0.2">
      <c r="L154" s="412"/>
      <c r="M154" s="415"/>
      <c r="N154" s="421" t="str">
        <f>IFERROR(_xlfn.XLOOKUP(CONCATENATE($L154,N$5,$M$2),BASE_DATOS[Reporte NSK],BASE_DATOS[NSK],,0),"")</f>
        <v/>
      </c>
      <c r="O154" s="422" t="str">
        <f>IFERROR(_xlfn.XLOOKUP(CONCATENATE($L154,O$5,$M$2),BASE_DATOS[Reporte NSK],BASE_DATOS[NSK],,0),"")</f>
        <v/>
      </c>
      <c r="P154" s="445" t="str">
        <f>IFERROR(_xlfn.XLOOKUP(CONCATENATE($L154,P$5,$M$2),BASE_DATOS[Reporte NSK],BASE_DATOS[NSK],,0),"")</f>
        <v/>
      </c>
      <c r="Q154" s="422" t="str">
        <f>IFERROR(_xlfn.XLOOKUP(CONCATENATE($L154,Q$5,$M$2),BASE_DATOS[Reporte NSK],BASE_DATOS[NSK],,0),"")</f>
        <v/>
      </c>
      <c r="R154" s="422" t="str">
        <f>IFERROR(_xlfn.XLOOKUP(CONCATENATE($L154,R$5,$M$2),BASE_DATOS[Reporte NSK],BASE_DATOS[NSK],,0),"")</f>
        <v/>
      </c>
      <c r="S154" s="422" t="str">
        <f>IFERROR(_xlfn.XLOOKUP(CONCATENATE($L154,S$5,$M$2),BASE_DATOS[Reporte NSK],BASE_DATOS[NSK],,0),"")</f>
        <v/>
      </c>
      <c r="T154" s="422" t="str">
        <f>IFERROR(_xlfn.XLOOKUP(CONCATENATE($L154,T$5,$M$2),BASE_DATOS[Reporte NSK],BASE_DATOS[NSK],,0),"")</f>
        <v/>
      </c>
      <c r="U154" s="422" t="str">
        <f>IFERROR(_xlfn.XLOOKUP(CONCATENATE($L154,U$5,$M$2),BASE_DATOS[Reporte NSK],BASE_DATOS[NSK],,0),"")</f>
        <v/>
      </c>
      <c r="V154" s="422" t="str">
        <f>IFERROR(_xlfn.XLOOKUP(CONCATENATE($L154,V$5,$M$2),BASE_DATOS[Reporte NSK],BASE_DATOS[NSK],,0),"")</f>
        <v/>
      </c>
      <c r="W154" s="436" t="str">
        <f>IFERROR(_xlfn.XLOOKUP(CONCATENATE($L154,W$5,$M$2),BASE_DATOS[Reporte NSK],BASE_DATOS[NSK],,0),"")</f>
        <v/>
      </c>
      <c r="X154" s="418" t="str">
        <f t="shared" si="5"/>
        <v/>
      </c>
    </row>
    <row r="155" spans="12:24" ht="10.199999999999999" customHeight="1" x14ac:dyDescent="0.2">
      <c r="L155" s="412"/>
      <c r="M155" s="415"/>
      <c r="N155" s="421" t="str">
        <f>IFERROR(_xlfn.XLOOKUP(CONCATENATE($L155,N$5,$M$2),BASE_DATOS[Reporte NSK],BASE_DATOS[NSK],,0),"")</f>
        <v/>
      </c>
      <c r="O155" s="422" t="str">
        <f>IFERROR(_xlfn.XLOOKUP(CONCATENATE($L155,O$5,$M$2),BASE_DATOS[Reporte NSK],BASE_DATOS[NSK],,0),"")</f>
        <v/>
      </c>
      <c r="P155" s="445" t="str">
        <f>IFERROR(_xlfn.XLOOKUP(CONCATENATE($L155,P$5,$M$2),BASE_DATOS[Reporte NSK],BASE_DATOS[NSK],,0),"")</f>
        <v/>
      </c>
      <c r="Q155" s="422" t="str">
        <f>IFERROR(_xlfn.XLOOKUP(CONCATENATE($L155,Q$5,$M$2),BASE_DATOS[Reporte NSK],BASE_DATOS[NSK],,0),"")</f>
        <v/>
      </c>
      <c r="R155" s="422" t="str">
        <f>IFERROR(_xlfn.XLOOKUP(CONCATENATE($L155,R$5,$M$2),BASE_DATOS[Reporte NSK],BASE_DATOS[NSK],,0),"")</f>
        <v/>
      </c>
      <c r="S155" s="422" t="str">
        <f>IFERROR(_xlfn.XLOOKUP(CONCATENATE($L155,S$5,$M$2),BASE_DATOS[Reporte NSK],BASE_DATOS[NSK],,0),"")</f>
        <v/>
      </c>
      <c r="T155" s="422" t="str">
        <f>IFERROR(_xlfn.XLOOKUP(CONCATENATE($L155,T$5,$M$2),BASE_DATOS[Reporte NSK],BASE_DATOS[NSK],,0),"")</f>
        <v/>
      </c>
      <c r="U155" s="422" t="str">
        <f>IFERROR(_xlfn.XLOOKUP(CONCATENATE($L155,U$5,$M$2),BASE_DATOS[Reporte NSK],BASE_DATOS[NSK],,0),"")</f>
        <v/>
      </c>
      <c r="V155" s="422" t="str">
        <f>IFERROR(_xlfn.XLOOKUP(CONCATENATE($L155,V$5,$M$2),BASE_DATOS[Reporte NSK],BASE_DATOS[NSK],,0),"")</f>
        <v/>
      </c>
      <c r="W155" s="436" t="str">
        <f>IFERROR(_xlfn.XLOOKUP(CONCATENATE($L155,W$5,$M$2),BASE_DATOS[Reporte NSK],BASE_DATOS[NSK],,0),"")</f>
        <v/>
      </c>
      <c r="X155" s="418" t="str">
        <f t="shared" si="5"/>
        <v/>
      </c>
    </row>
    <row r="156" spans="12:24" ht="10.199999999999999" customHeight="1" x14ac:dyDescent="0.2">
      <c r="L156" s="412"/>
      <c r="M156" s="415"/>
      <c r="N156" s="421" t="str">
        <f>IFERROR(_xlfn.XLOOKUP(CONCATENATE($L156,N$5,$M$2),BASE_DATOS[Reporte NSK],BASE_DATOS[NSK],,0),"")</f>
        <v/>
      </c>
      <c r="O156" s="422" t="str">
        <f>IFERROR(_xlfn.XLOOKUP(CONCATENATE($L156,O$5,$M$2),BASE_DATOS[Reporte NSK],BASE_DATOS[NSK],,0),"")</f>
        <v/>
      </c>
      <c r="P156" s="445" t="str">
        <f>IFERROR(_xlfn.XLOOKUP(CONCATENATE($L156,P$5,$M$2),BASE_DATOS[Reporte NSK],BASE_DATOS[NSK],,0),"")</f>
        <v/>
      </c>
      <c r="Q156" s="422" t="str">
        <f>IFERROR(_xlfn.XLOOKUP(CONCATENATE($L156,Q$5,$M$2),BASE_DATOS[Reporte NSK],BASE_DATOS[NSK],,0),"")</f>
        <v/>
      </c>
      <c r="R156" s="422" t="str">
        <f>IFERROR(_xlfn.XLOOKUP(CONCATENATE($L156,R$5,$M$2),BASE_DATOS[Reporte NSK],BASE_DATOS[NSK],,0),"")</f>
        <v/>
      </c>
      <c r="S156" s="422" t="str">
        <f>IFERROR(_xlfn.XLOOKUP(CONCATENATE($L156,S$5,$M$2),BASE_DATOS[Reporte NSK],BASE_DATOS[NSK],,0),"")</f>
        <v/>
      </c>
      <c r="T156" s="422" t="str">
        <f>IFERROR(_xlfn.XLOOKUP(CONCATENATE($L156,T$5,$M$2),BASE_DATOS[Reporte NSK],BASE_DATOS[NSK],,0),"")</f>
        <v/>
      </c>
      <c r="U156" s="422" t="str">
        <f>IFERROR(_xlfn.XLOOKUP(CONCATENATE($L156,U$5,$M$2),BASE_DATOS[Reporte NSK],BASE_DATOS[NSK],,0),"")</f>
        <v/>
      </c>
      <c r="V156" s="422" t="str">
        <f>IFERROR(_xlfn.XLOOKUP(CONCATENATE($L156,V$5,$M$2),BASE_DATOS[Reporte NSK],BASE_DATOS[NSK],,0),"")</f>
        <v/>
      </c>
      <c r="W156" s="436" t="str">
        <f>IFERROR(_xlfn.XLOOKUP(CONCATENATE($L156,W$5,$M$2),BASE_DATOS[Reporte NSK],BASE_DATOS[NSK],,0),"")</f>
        <v/>
      </c>
      <c r="X156" s="418" t="str">
        <f t="shared" si="5"/>
        <v/>
      </c>
    </row>
    <row r="157" spans="12:24" ht="10.199999999999999" customHeight="1" x14ac:dyDescent="0.2">
      <c r="L157" s="412"/>
      <c r="M157" s="415"/>
      <c r="N157" s="421" t="str">
        <f>IFERROR(_xlfn.XLOOKUP(CONCATENATE($L157,N$5,$M$2),BASE_DATOS[Reporte NSK],BASE_DATOS[NSK],,0),"")</f>
        <v/>
      </c>
      <c r="O157" s="422" t="str">
        <f>IFERROR(_xlfn.XLOOKUP(CONCATENATE($L157,O$5,$M$2),BASE_DATOS[Reporte NSK],BASE_DATOS[NSK],,0),"")</f>
        <v/>
      </c>
      <c r="P157" s="445" t="str">
        <f>IFERROR(_xlfn.XLOOKUP(CONCATENATE($L157,P$5,$M$2),BASE_DATOS[Reporte NSK],BASE_DATOS[NSK],,0),"")</f>
        <v/>
      </c>
      <c r="Q157" s="422" t="str">
        <f>IFERROR(_xlfn.XLOOKUP(CONCATENATE($L157,Q$5,$M$2),BASE_DATOS[Reporte NSK],BASE_DATOS[NSK],,0),"")</f>
        <v/>
      </c>
      <c r="R157" s="422" t="str">
        <f>IFERROR(_xlfn.XLOOKUP(CONCATENATE($L157,R$5,$M$2),BASE_DATOS[Reporte NSK],BASE_DATOS[NSK],,0),"")</f>
        <v/>
      </c>
      <c r="S157" s="422" t="str">
        <f>IFERROR(_xlfn.XLOOKUP(CONCATENATE($L157,S$5,$M$2),BASE_DATOS[Reporte NSK],BASE_DATOS[NSK],,0),"")</f>
        <v/>
      </c>
      <c r="T157" s="422" t="str">
        <f>IFERROR(_xlfn.XLOOKUP(CONCATENATE($L157,T$5,$M$2),BASE_DATOS[Reporte NSK],BASE_DATOS[NSK],,0),"")</f>
        <v/>
      </c>
      <c r="U157" s="422" t="str">
        <f>IFERROR(_xlfn.XLOOKUP(CONCATENATE($L157,U$5,$M$2),BASE_DATOS[Reporte NSK],BASE_DATOS[NSK],,0),"")</f>
        <v/>
      </c>
      <c r="V157" s="422" t="str">
        <f>IFERROR(_xlfn.XLOOKUP(CONCATENATE($L157,V$5,$M$2),BASE_DATOS[Reporte NSK],BASE_DATOS[NSK],,0),"")</f>
        <v/>
      </c>
      <c r="W157" s="436" t="str">
        <f>IFERROR(_xlfn.XLOOKUP(CONCATENATE($L157,W$5,$M$2),BASE_DATOS[Reporte NSK],BASE_DATOS[NSK],,0),"")</f>
        <v/>
      </c>
      <c r="X157" s="418" t="str">
        <f t="shared" si="5"/>
        <v/>
      </c>
    </row>
    <row r="158" spans="12:24" ht="10.199999999999999" customHeight="1" x14ac:dyDescent="0.2">
      <c r="L158" s="412"/>
      <c r="M158" s="415"/>
      <c r="N158" s="421" t="str">
        <f>IFERROR(_xlfn.XLOOKUP(CONCATENATE($L158,N$5,$M$2),BASE_DATOS[Reporte NSK],BASE_DATOS[NSK],,0),"")</f>
        <v/>
      </c>
      <c r="O158" s="422" t="str">
        <f>IFERROR(_xlfn.XLOOKUP(CONCATENATE($L158,O$5,$M$2),BASE_DATOS[Reporte NSK],BASE_DATOS[NSK],,0),"")</f>
        <v/>
      </c>
      <c r="P158" s="445" t="str">
        <f>IFERROR(_xlfn.XLOOKUP(CONCATENATE($L158,P$5,$M$2),BASE_DATOS[Reporte NSK],BASE_DATOS[NSK],,0),"")</f>
        <v/>
      </c>
      <c r="Q158" s="422" t="str">
        <f>IFERROR(_xlfn.XLOOKUP(CONCATENATE($L158,Q$5,$M$2),BASE_DATOS[Reporte NSK],BASE_DATOS[NSK],,0),"")</f>
        <v/>
      </c>
      <c r="R158" s="422" t="str">
        <f>IFERROR(_xlfn.XLOOKUP(CONCATENATE($L158,R$5,$M$2),BASE_DATOS[Reporte NSK],BASE_DATOS[NSK],,0),"")</f>
        <v/>
      </c>
      <c r="S158" s="422" t="str">
        <f>IFERROR(_xlfn.XLOOKUP(CONCATENATE($L158,S$5,$M$2),BASE_DATOS[Reporte NSK],BASE_DATOS[NSK],,0),"")</f>
        <v/>
      </c>
      <c r="T158" s="422" t="str">
        <f>IFERROR(_xlfn.XLOOKUP(CONCATENATE($L158,T$5,$M$2),BASE_DATOS[Reporte NSK],BASE_DATOS[NSK],,0),"")</f>
        <v/>
      </c>
      <c r="U158" s="422" t="str">
        <f>IFERROR(_xlfn.XLOOKUP(CONCATENATE($L158,U$5,$M$2),BASE_DATOS[Reporte NSK],BASE_DATOS[NSK],,0),"")</f>
        <v/>
      </c>
      <c r="V158" s="422" t="str">
        <f>IFERROR(_xlfn.XLOOKUP(CONCATENATE($L158,V$5,$M$2),BASE_DATOS[Reporte NSK],BASE_DATOS[NSK],,0),"")</f>
        <v/>
      </c>
      <c r="W158" s="436" t="str">
        <f>IFERROR(_xlfn.XLOOKUP(CONCATENATE($L158,W$5,$M$2),BASE_DATOS[Reporte NSK],BASE_DATOS[NSK],,0),"")</f>
        <v/>
      </c>
      <c r="X158" s="418" t="str">
        <f t="shared" si="5"/>
        <v/>
      </c>
    </row>
    <row r="159" spans="12:24" ht="10.199999999999999" customHeight="1" x14ac:dyDescent="0.2">
      <c r="L159" s="412"/>
      <c r="M159" s="415"/>
      <c r="N159" s="421" t="str">
        <f>IFERROR(_xlfn.XLOOKUP(CONCATENATE($L159,N$5,$M$2),BASE_DATOS[Reporte NSK],BASE_DATOS[NSK],,0),"")</f>
        <v/>
      </c>
      <c r="O159" s="422" t="str">
        <f>IFERROR(_xlfn.XLOOKUP(CONCATENATE($L159,O$5,$M$2),BASE_DATOS[Reporte NSK],BASE_DATOS[NSK],,0),"")</f>
        <v/>
      </c>
      <c r="P159" s="445" t="str">
        <f>IFERROR(_xlfn.XLOOKUP(CONCATENATE($L159,P$5,$M$2),BASE_DATOS[Reporte NSK],BASE_DATOS[NSK],,0),"")</f>
        <v/>
      </c>
      <c r="Q159" s="422" t="str">
        <f>IFERROR(_xlfn.XLOOKUP(CONCATENATE($L159,Q$5,$M$2),BASE_DATOS[Reporte NSK],BASE_DATOS[NSK],,0),"")</f>
        <v/>
      </c>
      <c r="R159" s="422" t="str">
        <f>IFERROR(_xlfn.XLOOKUP(CONCATENATE($L159,R$5,$M$2),BASE_DATOS[Reporte NSK],BASE_DATOS[NSK],,0),"")</f>
        <v/>
      </c>
      <c r="S159" s="422" t="str">
        <f>IFERROR(_xlfn.XLOOKUP(CONCATENATE($L159,S$5,$M$2),BASE_DATOS[Reporte NSK],BASE_DATOS[NSK],,0),"")</f>
        <v/>
      </c>
      <c r="T159" s="422" t="str">
        <f>IFERROR(_xlfn.XLOOKUP(CONCATENATE($L159,T$5,$M$2),BASE_DATOS[Reporte NSK],BASE_DATOS[NSK],,0),"")</f>
        <v/>
      </c>
      <c r="U159" s="422" t="str">
        <f>IFERROR(_xlfn.XLOOKUP(CONCATENATE($L159,U$5,$M$2),BASE_DATOS[Reporte NSK],BASE_DATOS[NSK],,0),"")</f>
        <v/>
      </c>
      <c r="V159" s="422" t="str">
        <f>IFERROR(_xlfn.XLOOKUP(CONCATENATE($L159,V$5,$M$2),BASE_DATOS[Reporte NSK],BASE_DATOS[NSK],,0),"")</f>
        <v/>
      </c>
      <c r="W159" s="436" t="str">
        <f>IFERROR(_xlfn.XLOOKUP(CONCATENATE($L159,W$5,$M$2),BASE_DATOS[Reporte NSK],BASE_DATOS[NSK],,0),"")</f>
        <v/>
      </c>
      <c r="X159" s="418" t="str">
        <f t="shared" si="5"/>
        <v/>
      </c>
    </row>
    <row r="160" spans="12:24" ht="10.199999999999999" customHeight="1" x14ac:dyDescent="0.2">
      <c r="L160" s="412"/>
      <c r="M160" s="415"/>
      <c r="N160" s="421" t="str">
        <f>IFERROR(_xlfn.XLOOKUP(CONCATENATE($L160,N$5,$M$2),BASE_DATOS[Reporte NSK],BASE_DATOS[NSK],,0),"")</f>
        <v/>
      </c>
      <c r="O160" s="422" t="str">
        <f>IFERROR(_xlfn.XLOOKUP(CONCATENATE($L160,O$5,$M$2),BASE_DATOS[Reporte NSK],BASE_DATOS[NSK],,0),"")</f>
        <v/>
      </c>
      <c r="P160" s="445" t="str">
        <f>IFERROR(_xlfn.XLOOKUP(CONCATENATE($L160,P$5,$M$2),BASE_DATOS[Reporte NSK],BASE_DATOS[NSK],,0),"")</f>
        <v/>
      </c>
      <c r="Q160" s="422" t="str">
        <f>IFERROR(_xlfn.XLOOKUP(CONCATENATE($L160,Q$5,$M$2),BASE_DATOS[Reporte NSK],BASE_DATOS[NSK],,0),"")</f>
        <v/>
      </c>
      <c r="R160" s="422" t="str">
        <f>IFERROR(_xlfn.XLOOKUP(CONCATENATE($L160,R$5,$M$2),BASE_DATOS[Reporte NSK],BASE_DATOS[NSK],,0),"")</f>
        <v/>
      </c>
      <c r="S160" s="422" t="str">
        <f>IFERROR(_xlfn.XLOOKUP(CONCATENATE($L160,S$5,$M$2),BASE_DATOS[Reporte NSK],BASE_DATOS[NSK],,0),"")</f>
        <v/>
      </c>
      <c r="T160" s="422" t="str">
        <f>IFERROR(_xlfn.XLOOKUP(CONCATENATE($L160,T$5,$M$2),BASE_DATOS[Reporte NSK],BASE_DATOS[NSK],,0),"")</f>
        <v/>
      </c>
      <c r="U160" s="422" t="str">
        <f>IFERROR(_xlfn.XLOOKUP(CONCATENATE($L160,U$5,$M$2),BASE_DATOS[Reporte NSK],BASE_DATOS[NSK],,0),"")</f>
        <v/>
      </c>
      <c r="V160" s="422" t="str">
        <f>IFERROR(_xlfn.XLOOKUP(CONCATENATE($L160,V$5,$M$2),BASE_DATOS[Reporte NSK],BASE_DATOS[NSK],,0),"")</f>
        <v/>
      </c>
      <c r="W160" s="436" t="str">
        <f>IFERROR(_xlfn.XLOOKUP(CONCATENATE($L160,W$5,$M$2),BASE_DATOS[Reporte NSK],BASE_DATOS[NSK],,0),"")</f>
        <v/>
      </c>
      <c r="X160" s="418" t="str">
        <f t="shared" si="5"/>
        <v/>
      </c>
    </row>
    <row r="161" spans="12:24" ht="10.199999999999999" customHeight="1" x14ac:dyDescent="0.2">
      <c r="L161" s="412"/>
      <c r="M161" s="415"/>
      <c r="N161" s="421" t="str">
        <f>IFERROR(_xlfn.XLOOKUP(CONCATENATE($L161,N$5,$M$2),BASE_DATOS[Reporte NSK],BASE_DATOS[NSK],,0),"")</f>
        <v/>
      </c>
      <c r="O161" s="422" t="str">
        <f>IFERROR(_xlfn.XLOOKUP(CONCATENATE($L161,O$5,$M$2),BASE_DATOS[Reporte NSK],BASE_DATOS[NSK],,0),"")</f>
        <v/>
      </c>
      <c r="P161" s="445" t="str">
        <f>IFERROR(_xlfn.XLOOKUP(CONCATENATE($L161,P$5,$M$2),BASE_DATOS[Reporte NSK],BASE_DATOS[NSK],,0),"")</f>
        <v/>
      </c>
      <c r="Q161" s="422" t="str">
        <f>IFERROR(_xlfn.XLOOKUP(CONCATENATE($L161,Q$5,$M$2),BASE_DATOS[Reporte NSK],BASE_DATOS[NSK],,0),"")</f>
        <v/>
      </c>
      <c r="R161" s="422" t="str">
        <f>IFERROR(_xlfn.XLOOKUP(CONCATENATE($L161,R$5,$M$2),BASE_DATOS[Reporte NSK],BASE_DATOS[NSK],,0),"")</f>
        <v/>
      </c>
      <c r="S161" s="422" t="str">
        <f>IFERROR(_xlfn.XLOOKUP(CONCATENATE($L161,S$5,$M$2),BASE_DATOS[Reporte NSK],BASE_DATOS[NSK],,0),"")</f>
        <v/>
      </c>
      <c r="T161" s="422" t="str">
        <f>IFERROR(_xlfn.XLOOKUP(CONCATENATE($L161,T$5,$M$2),BASE_DATOS[Reporte NSK],BASE_DATOS[NSK],,0),"")</f>
        <v/>
      </c>
      <c r="U161" s="422" t="str">
        <f>IFERROR(_xlfn.XLOOKUP(CONCATENATE($L161,U$5,$M$2),BASE_DATOS[Reporte NSK],BASE_DATOS[NSK],,0),"")</f>
        <v/>
      </c>
      <c r="V161" s="422" t="str">
        <f>IFERROR(_xlfn.XLOOKUP(CONCATENATE($L161,V$5,$M$2),BASE_DATOS[Reporte NSK],BASE_DATOS[NSK],,0),"")</f>
        <v/>
      </c>
      <c r="W161" s="436" t="str">
        <f>IFERROR(_xlfn.XLOOKUP(CONCATENATE($L161,W$5,$M$2),BASE_DATOS[Reporte NSK],BASE_DATOS[NSK],,0),"")</f>
        <v/>
      </c>
      <c r="X161" s="418" t="str">
        <f t="shared" si="5"/>
        <v/>
      </c>
    </row>
    <row r="162" spans="12:24" ht="10.199999999999999" customHeight="1" x14ac:dyDescent="0.2">
      <c r="L162" s="412"/>
      <c r="M162" s="415"/>
      <c r="N162" s="421" t="str">
        <f>IFERROR(_xlfn.XLOOKUP(CONCATENATE($L162,N$5,$M$2),BASE_DATOS[Reporte NSK],BASE_DATOS[NSK],,0),"")</f>
        <v/>
      </c>
      <c r="O162" s="422" t="str">
        <f>IFERROR(_xlfn.XLOOKUP(CONCATENATE($L162,O$5,$M$2),BASE_DATOS[Reporte NSK],BASE_DATOS[NSK],,0),"")</f>
        <v/>
      </c>
      <c r="P162" s="445" t="str">
        <f>IFERROR(_xlfn.XLOOKUP(CONCATENATE($L162,P$5,$M$2),BASE_DATOS[Reporte NSK],BASE_DATOS[NSK],,0),"")</f>
        <v/>
      </c>
      <c r="Q162" s="422" t="str">
        <f>IFERROR(_xlfn.XLOOKUP(CONCATENATE($L162,Q$5,$M$2),BASE_DATOS[Reporte NSK],BASE_DATOS[NSK],,0),"")</f>
        <v/>
      </c>
      <c r="R162" s="422" t="str">
        <f>IFERROR(_xlfn.XLOOKUP(CONCATENATE($L162,R$5,$M$2),BASE_DATOS[Reporte NSK],BASE_DATOS[NSK],,0),"")</f>
        <v/>
      </c>
      <c r="S162" s="422" t="str">
        <f>IFERROR(_xlfn.XLOOKUP(CONCATENATE($L162,S$5,$M$2),BASE_DATOS[Reporte NSK],BASE_DATOS[NSK],,0),"")</f>
        <v/>
      </c>
      <c r="T162" s="422" t="str">
        <f>IFERROR(_xlfn.XLOOKUP(CONCATENATE($L162,T$5,$M$2),BASE_DATOS[Reporte NSK],BASE_DATOS[NSK],,0),"")</f>
        <v/>
      </c>
      <c r="U162" s="422" t="str">
        <f>IFERROR(_xlfn.XLOOKUP(CONCATENATE($L162,U$5,$M$2),BASE_DATOS[Reporte NSK],BASE_DATOS[NSK],,0),"")</f>
        <v/>
      </c>
      <c r="V162" s="422" t="str">
        <f>IFERROR(_xlfn.XLOOKUP(CONCATENATE($L162,V$5,$M$2),BASE_DATOS[Reporte NSK],BASE_DATOS[NSK],,0),"")</f>
        <v/>
      </c>
      <c r="W162" s="436" t="str">
        <f>IFERROR(_xlfn.XLOOKUP(CONCATENATE($L162,W$5,$M$2),BASE_DATOS[Reporte NSK],BASE_DATOS[NSK],,0),"")</f>
        <v/>
      </c>
      <c r="X162" s="418" t="str">
        <f t="shared" si="5"/>
        <v/>
      </c>
    </row>
    <row r="163" spans="12:24" ht="10.199999999999999" customHeight="1" x14ac:dyDescent="0.2">
      <c r="L163" s="412"/>
      <c r="M163" s="415"/>
      <c r="N163" s="421" t="str">
        <f>IFERROR(_xlfn.XLOOKUP(CONCATENATE($L163,N$5,$M$2),BASE_DATOS[Reporte NSK],BASE_DATOS[NSK],,0),"")</f>
        <v/>
      </c>
      <c r="O163" s="422" t="str">
        <f>IFERROR(_xlfn.XLOOKUP(CONCATENATE($L163,O$5,$M$2),BASE_DATOS[Reporte NSK],BASE_DATOS[NSK],,0),"")</f>
        <v/>
      </c>
      <c r="P163" s="445" t="str">
        <f>IFERROR(_xlfn.XLOOKUP(CONCATENATE($L163,P$5,$M$2),BASE_DATOS[Reporte NSK],BASE_DATOS[NSK],,0),"")</f>
        <v/>
      </c>
      <c r="Q163" s="422" t="str">
        <f>IFERROR(_xlfn.XLOOKUP(CONCATENATE($L163,Q$5,$M$2),BASE_DATOS[Reporte NSK],BASE_DATOS[NSK],,0),"")</f>
        <v/>
      </c>
      <c r="R163" s="422" t="str">
        <f>IFERROR(_xlfn.XLOOKUP(CONCATENATE($L163,R$5,$M$2),BASE_DATOS[Reporte NSK],BASE_DATOS[NSK],,0),"")</f>
        <v/>
      </c>
      <c r="S163" s="422" t="str">
        <f>IFERROR(_xlfn.XLOOKUP(CONCATENATE($L163,S$5,$M$2),BASE_DATOS[Reporte NSK],BASE_DATOS[NSK],,0),"")</f>
        <v/>
      </c>
      <c r="T163" s="422" t="str">
        <f>IFERROR(_xlfn.XLOOKUP(CONCATENATE($L163,T$5,$M$2),BASE_DATOS[Reporte NSK],BASE_DATOS[NSK],,0),"")</f>
        <v/>
      </c>
      <c r="U163" s="422" t="str">
        <f>IFERROR(_xlfn.XLOOKUP(CONCATENATE($L163,U$5,$M$2),BASE_DATOS[Reporte NSK],BASE_DATOS[NSK],,0),"")</f>
        <v/>
      </c>
      <c r="V163" s="422" t="str">
        <f>IFERROR(_xlfn.XLOOKUP(CONCATENATE($L163,V$5,$M$2),BASE_DATOS[Reporte NSK],BASE_DATOS[NSK],,0),"")</f>
        <v/>
      </c>
      <c r="W163" s="436" t="str">
        <f>IFERROR(_xlfn.XLOOKUP(CONCATENATE($L163,W$5,$M$2),BASE_DATOS[Reporte NSK],BASE_DATOS[NSK],,0),"")</f>
        <v/>
      </c>
      <c r="X163" s="418" t="str">
        <f t="shared" si="5"/>
        <v/>
      </c>
    </row>
    <row r="164" spans="12:24" ht="10.199999999999999" customHeight="1" x14ac:dyDescent="0.2">
      <c r="L164" s="412"/>
      <c r="M164" s="415"/>
      <c r="N164" s="421" t="str">
        <f>IFERROR(_xlfn.XLOOKUP(CONCATENATE($L164,N$5,$M$2),BASE_DATOS[Reporte NSK],BASE_DATOS[NSK],,0),"")</f>
        <v/>
      </c>
      <c r="O164" s="422" t="str">
        <f>IFERROR(_xlfn.XLOOKUP(CONCATENATE($L164,O$5,$M$2),BASE_DATOS[Reporte NSK],BASE_DATOS[NSK],,0),"")</f>
        <v/>
      </c>
      <c r="P164" s="445" t="str">
        <f>IFERROR(_xlfn.XLOOKUP(CONCATENATE($L164,P$5,$M$2),BASE_DATOS[Reporte NSK],BASE_DATOS[NSK],,0),"")</f>
        <v/>
      </c>
      <c r="Q164" s="422" t="str">
        <f>IFERROR(_xlfn.XLOOKUP(CONCATENATE($L164,Q$5,$M$2),BASE_DATOS[Reporte NSK],BASE_DATOS[NSK],,0),"")</f>
        <v/>
      </c>
      <c r="R164" s="422" t="str">
        <f>IFERROR(_xlfn.XLOOKUP(CONCATENATE($L164,R$5,$M$2),BASE_DATOS[Reporte NSK],BASE_DATOS[NSK],,0),"")</f>
        <v/>
      </c>
      <c r="S164" s="422" t="str">
        <f>IFERROR(_xlfn.XLOOKUP(CONCATENATE($L164,S$5,$M$2),BASE_DATOS[Reporte NSK],BASE_DATOS[NSK],,0),"")</f>
        <v/>
      </c>
      <c r="T164" s="422" t="str">
        <f>IFERROR(_xlfn.XLOOKUP(CONCATENATE($L164,T$5,$M$2),BASE_DATOS[Reporte NSK],BASE_DATOS[NSK],,0),"")</f>
        <v/>
      </c>
      <c r="U164" s="422" t="str">
        <f>IFERROR(_xlfn.XLOOKUP(CONCATENATE($L164,U$5,$M$2),BASE_DATOS[Reporte NSK],BASE_DATOS[NSK],,0),"")</f>
        <v/>
      </c>
      <c r="V164" s="422" t="str">
        <f>IFERROR(_xlfn.XLOOKUP(CONCATENATE($L164,V$5,$M$2),BASE_DATOS[Reporte NSK],BASE_DATOS[NSK],,0),"")</f>
        <v/>
      </c>
      <c r="W164" s="436" t="str">
        <f>IFERROR(_xlfn.XLOOKUP(CONCATENATE($L164,W$5,$M$2),BASE_DATOS[Reporte NSK],BASE_DATOS[NSK],,0),"")</f>
        <v/>
      </c>
      <c r="X164" s="418" t="str">
        <f t="shared" si="5"/>
        <v/>
      </c>
    </row>
    <row r="165" spans="12:24" ht="10.199999999999999" customHeight="1" x14ac:dyDescent="0.2">
      <c r="L165" s="412"/>
      <c r="M165" s="415"/>
      <c r="N165" s="421" t="str">
        <f>IFERROR(_xlfn.XLOOKUP(CONCATENATE($L165,N$5,$M$2),BASE_DATOS[Reporte NSK],BASE_DATOS[NSK],,0),"")</f>
        <v/>
      </c>
      <c r="O165" s="422" t="str">
        <f>IFERROR(_xlfn.XLOOKUP(CONCATENATE($L165,O$5,$M$2),BASE_DATOS[Reporte NSK],BASE_DATOS[NSK],,0),"")</f>
        <v/>
      </c>
      <c r="P165" s="445" t="str">
        <f>IFERROR(_xlfn.XLOOKUP(CONCATENATE($L165,P$5,$M$2),BASE_DATOS[Reporte NSK],BASE_DATOS[NSK],,0),"")</f>
        <v/>
      </c>
      <c r="Q165" s="422" t="str">
        <f>IFERROR(_xlfn.XLOOKUP(CONCATENATE($L165,Q$5,$M$2),BASE_DATOS[Reporte NSK],BASE_DATOS[NSK],,0),"")</f>
        <v/>
      </c>
      <c r="R165" s="422" t="str">
        <f>IFERROR(_xlfn.XLOOKUP(CONCATENATE($L165,R$5,$M$2),BASE_DATOS[Reporte NSK],BASE_DATOS[NSK],,0),"")</f>
        <v/>
      </c>
      <c r="S165" s="422" t="str">
        <f>IFERROR(_xlfn.XLOOKUP(CONCATENATE($L165,S$5,$M$2),BASE_DATOS[Reporte NSK],BASE_DATOS[NSK],,0),"")</f>
        <v/>
      </c>
      <c r="T165" s="422" t="str">
        <f>IFERROR(_xlfn.XLOOKUP(CONCATENATE($L165,T$5,$M$2),BASE_DATOS[Reporte NSK],BASE_DATOS[NSK],,0),"")</f>
        <v/>
      </c>
      <c r="U165" s="422" t="str">
        <f>IFERROR(_xlfn.XLOOKUP(CONCATENATE($L165,U$5,$M$2),BASE_DATOS[Reporte NSK],BASE_DATOS[NSK],,0),"")</f>
        <v/>
      </c>
      <c r="V165" s="422" t="str">
        <f>IFERROR(_xlfn.XLOOKUP(CONCATENATE($L165,V$5,$M$2),BASE_DATOS[Reporte NSK],BASE_DATOS[NSK],,0),"")</f>
        <v/>
      </c>
      <c r="W165" s="436" t="str">
        <f>IFERROR(_xlfn.XLOOKUP(CONCATENATE($L165,W$5,$M$2),BASE_DATOS[Reporte NSK],BASE_DATOS[NSK],,0),"")</f>
        <v/>
      </c>
      <c r="X165" s="418" t="str">
        <f t="shared" si="5"/>
        <v/>
      </c>
    </row>
    <row r="166" spans="12:24" ht="10.199999999999999" customHeight="1" x14ac:dyDescent="0.2">
      <c r="L166" s="412"/>
      <c r="M166" s="415"/>
      <c r="N166" s="421" t="str">
        <f>IFERROR(_xlfn.XLOOKUP(CONCATENATE($L166,N$5,$M$2),BASE_DATOS[Reporte NSK],BASE_DATOS[NSK],,0),"")</f>
        <v/>
      </c>
      <c r="O166" s="422" t="str">
        <f>IFERROR(_xlfn.XLOOKUP(CONCATENATE($L166,O$5,$M$2),BASE_DATOS[Reporte NSK],BASE_DATOS[NSK],,0),"")</f>
        <v/>
      </c>
      <c r="P166" s="445" t="str">
        <f>IFERROR(_xlfn.XLOOKUP(CONCATENATE($L166,P$5,$M$2),BASE_DATOS[Reporte NSK],BASE_DATOS[NSK],,0),"")</f>
        <v/>
      </c>
      <c r="Q166" s="422" t="str">
        <f>IFERROR(_xlfn.XLOOKUP(CONCATENATE($L166,Q$5,$M$2),BASE_DATOS[Reporte NSK],BASE_DATOS[NSK],,0),"")</f>
        <v/>
      </c>
      <c r="R166" s="422" t="str">
        <f>IFERROR(_xlfn.XLOOKUP(CONCATENATE($L166,R$5,$M$2),BASE_DATOS[Reporte NSK],BASE_DATOS[NSK],,0),"")</f>
        <v/>
      </c>
      <c r="S166" s="422" t="str">
        <f>IFERROR(_xlfn.XLOOKUP(CONCATENATE($L166,S$5,$M$2),BASE_DATOS[Reporte NSK],BASE_DATOS[NSK],,0),"")</f>
        <v/>
      </c>
      <c r="T166" s="422" t="str">
        <f>IFERROR(_xlfn.XLOOKUP(CONCATENATE($L166,T$5,$M$2),BASE_DATOS[Reporte NSK],BASE_DATOS[NSK],,0),"")</f>
        <v/>
      </c>
      <c r="U166" s="422" t="str">
        <f>IFERROR(_xlfn.XLOOKUP(CONCATENATE($L166,U$5,$M$2),BASE_DATOS[Reporte NSK],BASE_DATOS[NSK],,0),"")</f>
        <v/>
      </c>
      <c r="V166" s="422" t="str">
        <f>IFERROR(_xlfn.XLOOKUP(CONCATENATE($L166,V$5,$M$2),BASE_DATOS[Reporte NSK],BASE_DATOS[NSK],,0),"")</f>
        <v/>
      </c>
      <c r="W166" s="436" t="str">
        <f>IFERROR(_xlfn.XLOOKUP(CONCATENATE($L166,W$5,$M$2),BASE_DATOS[Reporte NSK],BASE_DATOS[NSK],,0),"")</f>
        <v/>
      </c>
      <c r="X166" s="418" t="str">
        <f t="shared" ref="X166:X197" si="6">IF(COUNT(N166:W166)&gt;0,COUNT(N166:W166),"")</f>
        <v/>
      </c>
    </row>
    <row r="167" spans="12:24" ht="10.199999999999999" customHeight="1" x14ac:dyDescent="0.2">
      <c r="L167" s="412"/>
      <c r="M167" s="415"/>
      <c r="N167" s="421" t="str">
        <f>IFERROR(_xlfn.XLOOKUP(CONCATENATE($L167,N$5,$M$2),BASE_DATOS[Reporte NSK],BASE_DATOS[NSK],,0),"")</f>
        <v/>
      </c>
      <c r="O167" s="422" t="str">
        <f>IFERROR(_xlfn.XLOOKUP(CONCATENATE($L167,O$5,$M$2),BASE_DATOS[Reporte NSK],BASE_DATOS[NSK],,0),"")</f>
        <v/>
      </c>
      <c r="P167" s="445" t="str">
        <f>IFERROR(_xlfn.XLOOKUP(CONCATENATE($L167,P$5,$M$2),BASE_DATOS[Reporte NSK],BASE_DATOS[NSK],,0),"")</f>
        <v/>
      </c>
      <c r="Q167" s="422" t="str">
        <f>IFERROR(_xlfn.XLOOKUP(CONCATENATE($L167,Q$5,$M$2),BASE_DATOS[Reporte NSK],BASE_DATOS[NSK],,0),"")</f>
        <v/>
      </c>
      <c r="R167" s="422" t="str">
        <f>IFERROR(_xlfn.XLOOKUP(CONCATENATE($L167,R$5,$M$2),BASE_DATOS[Reporte NSK],BASE_DATOS[NSK],,0),"")</f>
        <v/>
      </c>
      <c r="S167" s="422" t="str">
        <f>IFERROR(_xlfn.XLOOKUP(CONCATENATE($L167,S$5,$M$2),BASE_DATOS[Reporte NSK],BASE_DATOS[NSK],,0),"")</f>
        <v/>
      </c>
      <c r="T167" s="422" t="str">
        <f>IFERROR(_xlfn.XLOOKUP(CONCATENATE($L167,T$5,$M$2),BASE_DATOS[Reporte NSK],BASE_DATOS[NSK],,0),"")</f>
        <v/>
      </c>
      <c r="U167" s="422" t="str">
        <f>IFERROR(_xlfn.XLOOKUP(CONCATENATE($L167,U$5,$M$2),BASE_DATOS[Reporte NSK],BASE_DATOS[NSK],,0),"")</f>
        <v/>
      </c>
      <c r="V167" s="422" t="str">
        <f>IFERROR(_xlfn.XLOOKUP(CONCATENATE($L167,V$5,$M$2),BASE_DATOS[Reporte NSK],BASE_DATOS[NSK],,0),"")</f>
        <v/>
      </c>
      <c r="W167" s="436" t="str">
        <f>IFERROR(_xlfn.XLOOKUP(CONCATENATE($L167,W$5,$M$2),BASE_DATOS[Reporte NSK],BASE_DATOS[NSK],,0),"")</f>
        <v/>
      </c>
      <c r="X167" s="418" t="str">
        <f t="shared" si="6"/>
        <v/>
      </c>
    </row>
    <row r="168" spans="12:24" ht="10.199999999999999" customHeight="1" x14ac:dyDescent="0.2">
      <c r="L168" s="412"/>
      <c r="M168" s="415"/>
      <c r="N168" s="421" t="str">
        <f>IFERROR(_xlfn.XLOOKUP(CONCATENATE($L168,N$5,$M$2),BASE_DATOS[Reporte NSK],BASE_DATOS[NSK],,0),"")</f>
        <v/>
      </c>
      <c r="O168" s="422" t="str">
        <f>IFERROR(_xlfn.XLOOKUP(CONCATENATE($L168,O$5,$M$2),BASE_DATOS[Reporte NSK],BASE_DATOS[NSK],,0),"")</f>
        <v/>
      </c>
      <c r="P168" s="445" t="str">
        <f>IFERROR(_xlfn.XLOOKUP(CONCATENATE($L168,P$5,$M$2),BASE_DATOS[Reporte NSK],BASE_DATOS[NSK],,0),"")</f>
        <v/>
      </c>
      <c r="Q168" s="422" t="str">
        <f>IFERROR(_xlfn.XLOOKUP(CONCATENATE($L168,Q$5,$M$2),BASE_DATOS[Reporte NSK],BASE_DATOS[NSK],,0),"")</f>
        <v/>
      </c>
      <c r="R168" s="422" t="str">
        <f>IFERROR(_xlfn.XLOOKUP(CONCATENATE($L168,R$5,$M$2),BASE_DATOS[Reporte NSK],BASE_DATOS[NSK],,0),"")</f>
        <v/>
      </c>
      <c r="S168" s="422" t="str">
        <f>IFERROR(_xlfn.XLOOKUP(CONCATENATE($L168,S$5,$M$2),BASE_DATOS[Reporte NSK],BASE_DATOS[NSK],,0),"")</f>
        <v/>
      </c>
      <c r="T168" s="422" t="str">
        <f>IFERROR(_xlfn.XLOOKUP(CONCATENATE($L168,T$5,$M$2),BASE_DATOS[Reporte NSK],BASE_DATOS[NSK],,0),"")</f>
        <v/>
      </c>
      <c r="U168" s="422" t="str">
        <f>IFERROR(_xlfn.XLOOKUP(CONCATENATE($L168,U$5,$M$2),BASE_DATOS[Reporte NSK],BASE_DATOS[NSK],,0),"")</f>
        <v/>
      </c>
      <c r="V168" s="422" t="str">
        <f>IFERROR(_xlfn.XLOOKUP(CONCATENATE($L168,V$5,$M$2),BASE_DATOS[Reporte NSK],BASE_DATOS[NSK],,0),"")</f>
        <v/>
      </c>
      <c r="W168" s="436" t="str">
        <f>IFERROR(_xlfn.XLOOKUP(CONCATENATE($L168,W$5,$M$2),BASE_DATOS[Reporte NSK],BASE_DATOS[NSK],,0),"")</f>
        <v/>
      </c>
      <c r="X168" s="418" t="str">
        <f t="shared" si="6"/>
        <v/>
      </c>
    </row>
    <row r="169" spans="12:24" ht="10.199999999999999" customHeight="1" x14ac:dyDescent="0.2">
      <c r="L169" s="412"/>
      <c r="M169" s="415"/>
      <c r="N169" s="421" t="str">
        <f>IFERROR(_xlfn.XLOOKUP(CONCATENATE($L169,N$5,$M$2),BASE_DATOS[Reporte NSK],BASE_DATOS[NSK],,0),"")</f>
        <v/>
      </c>
      <c r="O169" s="422" t="str">
        <f>IFERROR(_xlfn.XLOOKUP(CONCATENATE($L169,O$5,$M$2),BASE_DATOS[Reporte NSK],BASE_DATOS[NSK],,0),"")</f>
        <v/>
      </c>
      <c r="P169" s="445" t="str">
        <f>IFERROR(_xlfn.XLOOKUP(CONCATENATE($L169,P$5,$M$2),BASE_DATOS[Reporte NSK],BASE_DATOS[NSK],,0),"")</f>
        <v/>
      </c>
      <c r="Q169" s="422" t="str">
        <f>IFERROR(_xlfn.XLOOKUP(CONCATENATE($L169,Q$5,$M$2),BASE_DATOS[Reporte NSK],BASE_DATOS[NSK],,0),"")</f>
        <v/>
      </c>
      <c r="R169" s="422" t="str">
        <f>IFERROR(_xlfn.XLOOKUP(CONCATENATE($L169,R$5,$M$2),BASE_DATOS[Reporte NSK],BASE_DATOS[NSK],,0),"")</f>
        <v/>
      </c>
      <c r="S169" s="422" t="str">
        <f>IFERROR(_xlfn.XLOOKUP(CONCATENATE($L169,S$5,$M$2),BASE_DATOS[Reporte NSK],BASE_DATOS[NSK],,0),"")</f>
        <v/>
      </c>
      <c r="T169" s="422" t="str">
        <f>IFERROR(_xlfn.XLOOKUP(CONCATENATE($L169,T$5,$M$2),BASE_DATOS[Reporte NSK],BASE_DATOS[NSK],,0),"")</f>
        <v/>
      </c>
      <c r="U169" s="422" t="str">
        <f>IFERROR(_xlfn.XLOOKUP(CONCATENATE($L169,U$5,$M$2),BASE_DATOS[Reporte NSK],BASE_DATOS[NSK],,0),"")</f>
        <v/>
      </c>
      <c r="V169" s="422" t="str">
        <f>IFERROR(_xlfn.XLOOKUP(CONCATENATE($L169,V$5,$M$2),BASE_DATOS[Reporte NSK],BASE_DATOS[NSK],,0),"")</f>
        <v/>
      </c>
      <c r="W169" s="436" t="str">
        <f>IFERROR(_xlfn.XLOOKUP(CONCATENATE($L169,W$5,$M$2),BASE_DATOS[Reporte NSK],BASE_DATOS[NSK],,0),"")</f>
        <v/>
      </c>
      <c r="X169" s="418" t="str">
        <f t="shared" si="6"/>
        <v/>
      </c>
    </row>
    <row r="170" spans="12:24" ht="10.199999999999999" customHeight="1" x14ac:dyDescent="0.2">
      <c r="L170" s="412"/>
      <c r="M170" s="415"/>
      <c r="N170" s="421" t="str">
        <f>IFERROR(_xlfn.XLOOKUP(CONCATENATE($L170,N$5,$M$2),BASE_DATOS[Reporte NSK],BASE_DATOS[NSK],,0),"")</f>
        <v/>
      </c>
      <c r="O170" s="422" t="str">
        <f>IFERROR(_xlfn.XLOOKUP(CONCATENATE($L170,O$5,$M$2),BASE_DATOS[Reporte NSK],BASE_DATOS[NSK],,0),"")</f>
        <v/>
      </c>
      <c r="P170" s="445" t="str">
        <f>IFERROR(_xlfn.XLOOKUP(CONCATENATE($L170,P$5,$M$2),BASE_DATOS[Reporte NSK],BASE_DATOS[NSK],,0),"")</f>
        <v/>
      </c>
      <c r="Q170" s="422" t="str">
        <f>IFERROR(_xlfn.XLOOKUP(CONCATENATE($L170,Q$5,$M$2),BASE_DATOS[Reporte NSK],BASE_DATOS[NSK],,0),"")</f>
        <v/>
      </c>
      <c r="R170" s="422" t="str">
        <f>IFERROR(_xlfn.XLOOKUP(CONCATENATE($L170,R$5,$M$2),BASE_DATOS[Reporte NSK],BASE_DATOS[NSK],,0),"")</f>
        <v/>
      </c>
      <c r="S170" s="422" t="str">
        <f>IFERROR(_xlfn.XLOOKUP(CONCATENATE($L170,S$5,$M$2),BASE_DATOS[Reporte NSK],BASE_DATOS[NSK],,0),"")</f>
        <v/>
      </c>
      <c r="T170" s="422" t="str">
        <f>IFERROR(_xlfn.XLOOKUP(CONCATENATE($L170,T$5,$M$2),BASE_DATOS[Reporte NSK],BASE_DATOS[NSK],,0),"")</f>
        <v/>
      </c>
      <c r="U170" s="422" t="str">
        <f>IFERROR(_xlfn.XLOOKUP(CONCATENATE($L170,U$5,$M$2),BASE_DATOS[Reporte NSK],BASE_DATOS[NSK],,0),"")</f>
        <v/>
      </c>
      <c r="V170" s="422" t="str">
        <f>IFERROR(_xlfn.XLOOKUP(CONCATENATE($L170,V$5,$M$2),BASE_DATOS[Reporte NSK],BASE_DATOS[NSK],,0),"")</f>
        <v/>
      </c>
      <c r="W170" s="436" t="str">
        <f>IFERROR(_xlfn.XLOOKUP(CONCATENATE($L170,W$5,$M$2),BASE_DATOS[Reporte NSK],BASE_DATOS[NSK],,0),"")</f>
        <v/>
      </c>
      <c r="X170" s="418" t="str">
        <f t="shared" si="6"/>
        <v/>
      </c>
    </row>
    <row r="171" spans="12:24" ht="10.199999999999999" customHeight="1" x14ac:dyDescent="0.2">
      <c r="L171" s="412"/>
      <c r="M171" s="415"/>
      <c r="N171" s="421" t="str">
        <f>IFERROR(_xlfn.XLOOKUP(CONCATENATE($L171,N$5,$M$2),BASE_DATOS[Reporte NSK],BASE_DATOS[NSK],,0),"")</f>
        <v/>
      </c>
      <c r="O171" s="422" t="str">
        <f>IFERROR(_xlfn.XLOOKUP(CONCATENATE($L171,O$5,$M$2),BASE_DATOS[Reporte NSK],BASE_DATOS[NSK],,0),"")</f>
        <v/>
      </c>
      <c r="P171" s="445" t="str">
        <f>IFERROR(_xlfn.XLOOKUP(CONCATENATE($L171,P$5,$M$2),BASE_DATOS[Reporte NSK],BASE_DATOS[NSK],,0),"")</f>
        <v/>
      </c>
      <c r="Q171" s="422" t="str">
        <f>IFERROR(_xlfn.XLOOKUP(CONCATENATE($L171,Q$5,$M$2),BASE_DATOS[Reporte NSK],BASE_DATOS[NSK],,0),"")</f>
        <v/>
      </c>
      <c r="R171" s="422" t="str">
        <f>IFERROR(_xlfn.XLOOKUP(CONCATENATE($L171,R$5,$M$2),BASE_DATOS[Reporte NSK],BASE_DATOS[NSK],,0),"")</f>
        <v/>
      </c>
      <c r="S171" s="422" t="str">
        <f>IFERROR(_xlfn.XLOOKUP(CONCATENATE($L171,S$5,$M$2),BASE_DATOS[Reporte NSK],BASE_DATOS[NSK],,0),"")</f>
        <v/>
      </c>
      <c r="T171" s="422" t="str">
        <f>IFERROR(_xlfn.XLOOKUP(CONCATENATE($L171,T$5,$M$2),BASE_DATOS[Reporte NSK],BASE_DATOS[NSK],,0),"")</f>
        <v/>
      </c>
      <c r="U171" s="422" t="str">
        <f>IFERROR(_xlfn.XLOOKUP(CONCATENATE($L171,U$5,$M$2),BASE_DATOS[Reporte NSK],BASE_DATOS[NSK],,0),"")</f>
        <v/>
      </c>
      <c r="V171" s="422" t="str">
        <f>IFERROR(_xlfn.XLOOKUP(CONCATENATE($L171,V$5,$M$2),BASE_DATOS[Reporte NSK],BASE_DATOS[NSK],,0),"")</f>
        <v/>
      </c>
      <c r="W171" s="436" t="str">
        <f>IFERROR(_xlfn.XLOOKUP(CONCATENATE($L171,W$5,$M$2),BASE_DATOS[Reporte NSK],BASE_DATOS[NSK],,0),"")</f>
        <v/>
      </c>
      <c r="X171" s="418" t="str">
        <f t="shared" si="6"/>
        <v/>
      </c>
    </row>
    <row r="172" spans="12:24" ht="10.199999999999999" customHeight="1" x14ac:dyDescent="0.2">
      <c r="L172" s="412"/>
      <c r="M172" s="415"/>
      <c r="N172" s="421" t="str">
        <f>IFERROR(_xlfn.XLOOKUP(CONCATENATE($L172,N$5,$M$2),BASE_DATOS[Reporte NSK],BASE_DATOS[NSK],,0),"")</f>
        <v/>
      </c>
      <c r="O172" s="422" t="str">
        <f>IFERROR(_xlfn.XLOOKUP(CONCATENATE($L172,O$5,$M$2),BASE_DATOS[Reporte NSK],BASE_DATOS[NSK],,0),"")</f>
        <v/>
      </c>
      <c r="P172" s="445" t="str">
        <f>IFERROR(_xlfn.XLOOKUP(CONCATENATE($L172,P$5,$M$2),BASE_DATOS[Reporte NSK],BASE_DATOS[NSK],,0),"")</f>
        <v/>
      </c>
      <c r="Q172" s="422" t="str">
        <f>IFERROR(_xlfn.XLOOKUP(CONCATENATE($L172,Q$5,$M$2),BASE_DATOS[Reporte NSK],BASE_DATOS[NSK],,0),"")</f>
        <v/>
      </c>
      <c r="R172" s="422" t="str">
        <f>IFERROR(_xlfn.XLOOKUP(CONCATENATE($L172,R$5,$M$2),BASE_DATOS[Reporte NSK],BASE_DATOS[NSK],,0),"")</f>
        <v/>
      </c>
      <c r="S172" s="422" t="str">
        <f>IFERROR(_xlfn.XLOOKUP(CONCATENATE($L172,S$5,$M$2),BASE_DATOS[Reporte NSK],BASE_DATOS[NSK],,0),"")</f>
        <v/>
      </c>
      <c r="T172" s="422" t="str">
        <f>IFERROR(_xlfn.XLOOKUP(CONCATENATE($L172,T$5,$M$2),BASE_DATOS[Reporte NSK],BASE_DATOS[NSK],,0),"")</f>
        <v/>
      </c>
      <c r="U172" s="422" t="str">
        <f>IFERROR(_xlfn.XLOOKUP(CONCATENATE($L172,U$5,$M$2),BASE_DATOS[Reporte NSK],BASE_DATOS[NSK],,0),"")</f>
        <v/>
      </c>
      <c r="V172" s="422" t="str">
        <f>IFERROR(_xlfn.XLOOKUP(CONCATENATE($L172,V$5,$M$2),BASE_DATOS[Reporte NSK],BASE_DATOS[NSK],,0),"")</f>
        <v/>
      </c>
      <c r="W172" s="436" t="str">
        <f>IFERROR(_xlfn.XLOOKUP(CONCATENATE($L172,W$5,$M$2),BASE_DATOS[Reporte NSK],BASE_DATOS[NSK],,0),"")</f>
        <v/>
      </c>
      <c r="X172" s="418" t="str">
        <f t="shared" si="6"/>
        <v/>
      </c>
    </row>
    <row r="173" spans="12:24" ht="10.199999999999999" customHeight="1" x14ac:dyDescent="0.2">
      <c r="L173" s="412"/>
      <c r="M173" s="415"/>
      <c r="N173" s="421" t="str">
        <f>IFERROR(_xlfn.XLOOKUP(CONCATENATE($L173,N$5,$M$2),BASE_DATOS[Reporte NSK],BASE_DATOS[NSK],,0),"")</f>
        <v/>
      </c>
      <c r="O173" s="422" t="str">
        <f>IFERROR(_xlfn.XLOOKUP(CONCATENATE($L173,O$5,$M$2),BASE_DATOS[Reporte NSK],BASE_DATOS[NSK],,0),"")</f>
        <v/>
      </c>
      <c r="P173" s="445" t="str">
        <f>IFERROR(_xlfn.XLOOKUP(CONCATENATE($L173,P$5,$M$2),BASE_DATOS[Reporte NSK],BASE_DATOS[NSK],,0),"")</f>
        <v/>
      </c>
      <c r="Q173" s="422" t="str">
        <f>IFERROR(_xlfn.XLOOKUP(CONCATENATE($L173,Q$5,$M$2),BASE_DATOS[Reporte NSK],BASE_DATOS[NSK],,0),"")</f>
        <v/>
      </c>
      <c r="R173" s="422" t="str">
        <f>IFERROR(_xlfn.XLOOKUP(CONCATENATE($L173,R$5,$M$2),BASE_DATOS[Reporte NSK],BASE_DATOS[NSK],,0),"")</f>
        <v/>
      </c>
      <c r="S173" s="422" t="str">
        <f>IFERROR(_xlfn.XLOOKUP(CONCATENATE($L173,S$5,$M$2),BASE_DATOS[Reporte NSK],BASE_DATOS[NSK],,0),"")</f>
        <v/>
      </c>
      <c r="T173" s="422" t="str">
        <f>IFERROR(_xlfn.XLOOKUP(CONCATENATE($L173,T$5,$M$2),BASE_DATOS[Reporte NSK],BASE_DATOS[NSK],,0),"")</f>
        <v/>
      </c>
      <c r="U173" s="422" t="str">
        <f>IFERROR(_xlfn.XLOOKUP(CONCATENATE($L173,U$5,$M$2),BASE_DATOS[Reporte NSK],BASE_DATOS[NSK],,0),"")</f>
        <v/>
      </c>
      <c r="V173" s="422" t="str">
        <f>IFERROR(_xlfn.XLOOKUP(CONCATENATE($L173,V$5,$M$2),BASE_DATOS[Reporte NSK],BASE_DATOS[NSK],,0),"")</f>
        <v/>
      </c>
      <c r="W173" s="436" t="str">
        <f>IFERROR(_xlfn.XLOOKUP(CONCATENATE($L173,W$5,$M$2),BASE_DATOS[Reporte NSK],BASE_DATOS[NSK],,0),"")</f>
        <v/>
      </c>
      <c r="X173" s="418" t="str">
        <f t="shared" si="6"/>
        <v/>
      </c>
    </row>
    <row r="174" spans="12:24" ht="10.199999999999999" customHeight="1" x14ac:dyDescent="0.2">
      <c r="L174" s="412"/>
      <c r="M174" s="415"/>
      <c r="N174" s="421" t="str">
        <f>IFERROR(_xlfn.XLOOKUP(CONCATENATE($L174,N$5,$M$2),BASE_DATOS[Reporte NSK],BASE_DATOS[NSK],,0),"")</f>
        <v/>
      </c>
      <c r="O174" s="422" t="str">
        <f>IFERROR(_xlfn.XLOOKUP(CONCATENATE($L174,O$5,$M$2),BASE_DATOS[Reporte NSK],BASE_DATOS[NSK],,0),"")</f>
        <v/>
      </c>
      <c r="P174" s="445" t="str">
        <f>IFERROR(_xlfn.XLOOKUP(CONCATENATE($L174,P$5,$M$2),BASE_DATOS[Reporte NSK],BASE_DATOS[NSK],,0),"")</f>
        <v/>
      </c>
      <c r="Q174" s="422" t="str">
        <f>IFERROR(_xlfn.XLOOKUP(CONCATENATE($L174,Q$5,$M$2),BASE_DATOS[Reporte NSK],BASE_DATOS[NSK],,0),"")</f>
        <v/>
      </c>
      <c r="R174" s="422" t="str">
        <f>IFERROR(_xlfn.XLOOKUP(CONCATENATE($L174,R$5,$M$2),BASE_DATOS[Reporte NSK],BASE_DATOS[NSK],,0),"")</f>
        <v/>
      </c>
      <c r="S174" s="422" t="str">
        <f>IFERROR(_xlfn.XLOOKUP(CONCATENATE($L174,S$5,$M$2),BASE_DATOS[Reporte NSK],BASE_DATOS[NSK],,0),"")</f>
        <v/>
      </c>
      <c r="T174" s="422" t="str">
        <f>IFERROR(_xlfn.XLOOKUP(CONCATENATE($L174,T$5,$M$2),BASE_DATOS[Reporte NSK],BASE_DATOS[NSK],,0),"")</f>
        <v/>
      </c>
      <c r="U174" s="422" t="str">
        <f>IFERROR(_xlfn.XLOOKUP(CONCATENATE($L174,U$5,$M$2),BASE_DATOS[Reporte NSK],BASE_DATOS[NSK],,0),"")</f>
        <v/>
      </c>
      <c r="V174" s="422" t="str">
        <f>IFERROR(_xlfn.XLOOKUP(CONCATENATE($L174,V$5,$M$2),BASE_DATOS[Reporte NSK],BASE_DATOS[NSK],,0),"")</f>
        <v/>
      </c>
      <c r="W174" s="436" t="str">
        <f>IFERROR(_xlfn.XLOOKUP(CONCATENATE($L174,W$5,$M$2),BASE_DATOS[Reporte NSK],BASE_DATOS[NSK],,0),"")</f>
        <v/>
      </c>
      <c r="X174" s="418" t="str">
        <f t="shared" si="6"/>
        <v/>
      </c>
    </row>
    <row r="175" spans="12:24" ht="10.199999999999999" customHeight="1" x14ac:dyDescent="0.2">
      <c r="L175" s="412"/>
      <c r="M175" s="415"/>
      <c r="N175" s="421" t="str">
        <f>IFERROR(_xlfn.XLOOKUP(CONCATENATE($L175,N$5,$M$2),BASE_DATOS[Reporte NSK],BASE_DATOS[NSK],,0),"")</f>
        <v/>
      </c>
      <c r="O175" s="422" t="str">
        <f>IFERROR(_xlfn.XLOOKUP(CONCATENATE($L175,O$5,$M$2),BASE_DATOS[Reporte NSK],BASE_DATOS[NSK],,0),"")</f>
        <v/>
      </c>
      <c r="P175" s="445" t="str">
        <f>IFERROR(_xlfn.XLOOKUP(CONCATENATE($L175,P$5,$M$2),BASE_DATOS[Reporte NSK],BASE_DATOS[NSK],,0),"")</f>
        <v/>
      </c>
      <c r="Q175" s="422" t="str">
        <f>IFERROR(_xlfn.XLOOKUP(CONCATENATE($L175,Q$5,$M$2),BASE_DATOS[Reporte NSK],BASE_DATOS[NSK],,0),"")</f>
        <v/>
      </c>
      <c r="R175" s="422" t="str">
        <f>IFERROR(_xlfn.XLOOKUP(CONCATENATE($L175,R$5,$M$2),BASE_DATOS[Reporte NSK],BASE_DATOS[NSK],,0),"")</f>
        <v/>
      </c>
      <c r="S175" s="422" t="str">
        <f>IFERROR(_xlfn.XLOOKUP(CONCATENATE($L175,S$5,$M$2),BASE_DATOS[Reporte NSK],BASE_DATOS[NSK],,0),"")</f>
        <v/>
      </c>
      <c r="T175" s="422" t="str">
        <f>IFERROR(_xlfn.XLOOKUP(CONCATENATE($L175,T$5,$M$2),BASE_DATOS[Reporte NSK],BASE_DATOS[NSK],,0),"")</f>
        <v/>
      </c>
      <c r="U175" s="422" t="str">
        <f>IFERROR(_xlfn.XLOOKUP(CONCATENATE($L175,U$5,$M$2),BASE_DATOS[Reporte NSK],BASE_DATOS[NSK],,0),"")</f>
        <v/>
      </c>
      <c r="V175" s="422" t="str">
        <f>IFERROR(_xlfn.XLOOKUP(CONCATENATE($L175,V$5,$M$2),BASE_DATOS[Reporte NSK],BASE_DATOS[NSK],,0),"")</f>
        <v/>
      </c>
      <c r="W175" s="436" t="str">
        <f>IFERROR(_xlfn.XLOOKUP(CONCATENATE($L175,W$5,$M$2),BASE_DATOS[Reporte NSK],BASE_DATOS[NSK],,0),"")</f>
        <v/>
      </c>
      <c r="X175" s="418" t="str">
        <f t="shared" si="6"/>
        <v/>
      </c>
    </row>
    <row r="176" spans="12:24" ht="10.199999999999999" customHeight="1" x14ac:dyDescent="0.2">
      <c r="L176" s="412"/>
      <c r="M176" s="415"/>
      <c r="N176" s="421" t="str">
        <f>IFERROR(_xlfn.XLOOKUP(CONCATENATE($L176,N$5,$M$2),BASE_DATOS[Reporte NSK],BASE_DATOS[NSK],,0),"")</f>
        <v/>
      </c>
      <c r="O176" s="422" t="str">
        <f>IFERROR(_xlfn.XLOOKUP(CONCATENATE($L176,O$5,$M$2),BASE_DATOS[Reporte NSK],BASE_DATOS[NSK],,0),"")</f>
        <v/>
      </c>
      <c r="P176" s="445" t="str">
        <f>IFERROR(_xlfn.XLOOKUP(CONCATENATE($L176,P$5,$M$2),BASE_DATOS[Reporte NSK],BASE_DATOS[NSK],,0),"")</f>
        <v/>
      </c>
      <c r="Q176" s="422" t="str">
        <f>IFERROR(_xlfn.XLOOKUP(CONCATENATE($L176,Q$5,$M$2),BASE_DATOS[Reporte NSK],BASE_DATOS[NSK],,0),"")</f>
        <v/>
      </c>
      <c r="R176" s="422" t="str">
        <f>IFERROR(_xlfn.XLOOKUP(CONCATENATE($L176,R$5,$M$2),BASE_DATOS[Reporte NSK],BASE_DATOS[NSK],,0),"")</f>
        <v/>
      </c>
      <c r="S176" s="422" t="str">
        <f>IFERROR(_xlfn.XLOOKUP(CONCATENATE($L176,S$5,$M$2),BASE_DATOS[Reporte NSK],BASE_DATOS[NSK],,0),"")</f>
        <v/>
      </c>
      <c r="T176" s="422" t="str">
        <f>IFERROR(_xlfn.XLOOKUP(CONCATENATE($L176,T$5,$M$2),BASE_DATOS[Reporte NSK],BASE_DATOS[NSK],,0),"")</f>
        <v/>
      </c>
      <c r="U176" s="422" t="str">
        <f>IFERROR(_xlfn.XLOOKUP(CONCATENATE($L176,U$5,$M$2),BASE_DATOS[Reporte NSK],BASE_DATOS[NSK],,0),"")</f>
        <v/>
      </c>
      <c r="V176" s="422" t="str">
        <f>IFERROR(_xlfn.XLOOKUP(CONCATENATE($L176,V$5,$M$2),BASE_DATOS[Reporte NSK],BASE_DATOS[NSK],,0),"")</f>
        <v/>
      </c>
      <c r="W176" s="436" t="str">
        <f>IFERROR(_xlfn.XLOOKUP(CONCATENATE($L176,W$5,$M$2),BASE_DATOS[Reporte NSK],BASE_DATOS[NSK],,0),"")</f>
        <v/>
      </c>
      <c r="X176" s="418" t="str">
        <f t="shared" si="6"/>
        <v/>
      </c>
    </row>
    <row r="177" spans="12:24" ht="10.199999999999999" customHeight="1" x14ac:dyDescent="0.2">
      <c r="L177" s="412"/>
      <c r="M177" s="415"/>
      <c r="N177" s="421" t="str">
        <f>IFERROR(_xlfn.XLOOKUP(CONCATENATE($L177,N$5,$M$2),BASE_DATOS[Reporte NSK],BASE_DATOS[NSK],,0),"")</f>
        <v/>
      </c>
      <c r="O177" s="422" t="str">
        <f>IFERROR(_xlfn.XLOOKUP(CONCATENATE($L177,O$5,$M$2),BASE_DATOS[Reporte NSK],BASE_DATOS[NSK],,0),"")</f>
        <v/>
      </c>
      <c r="P177" s="445" t="str">
        <f>IFERROR(_xlfn.XLOOKUP(CONCATENATE($L177,P$5,$M$2),BASE_DATOS[Reporte NSK],BASE_DATOS[NSK],,0),"")</f>
        <v/>
      </c>
      <c r="Q177" s="422" t="str">
        <f>IFERROR(_xlfn.XLOOKUP(CONCATENATE($L177,Q$5,$M$2),BASE_DATOS[Reporte NSK],BASE_DATOS[NSK],,0),"")</f>
        <v/>
      </c>
      <c r="R177" s="422" t="str">
        <f>IFERROR(_xlfn.XLOOKUP(CONCATENATE($L177,R$5,$M$2),BASE_DATOS[Reporte NSK],BASE_DATOS[NSK],,0),"")</f>
        <v/>
      </c>
      <c r="S177" s="422" t="str">
        <f>IFERROR(_xlfn.XLOOKUP(CONCATENATE($L177,S$5,$M$2),BASE_DATOS[Reporte NSK],BASE_DATOS[NSK],,0),"")</f>
        <v/>
      </c>
      <c r="T177" s="422" t="str">
        <f>IFERROR(_xlfn.XLOOKUP(CONCATENATE($L177,T$5,$M$2),BASE_DATOS[Reporte NSK],BASE_DATOS[NSK],,0),"")</f>
        <v/>
      </c>
      <c r="U177" s="422" t="str">
        <f>IFERROR(_xlfn.XLOOKUP(CONCATENATE($L177,U$5,$M$2),BASE_DATOS[Reporte NSK],BASE_DATOS[NSK],,0),"")</f>
        <v/>
      </c>
      <c r="V177" s="422" t="str">
        <f>IFERROR(_xlfn.XLOOKUP(CONCATENATE($L177,V$5,$M$2),BASE_DATOS[Reporte NSK],BASE_DATOS[NSK],,0),"")</f>
        <v/>
      </c>
      <c r="W177" s="436" t="str">
        <f>IFERROR(_xlfn.XLOOKUP(CONCATENATE($L177,W$5,$M$2),BASE_DATOS[Reporte NSK],BASE_DATOS[NSK],,0),"")</f>
        <v/>
      </c>
      <c r="X177" s="418" t="str">
        <f t="shared" si="6"/>
        <v/>
      </c>
    </row>
    <row r="178" spans="12:24" ht="10.199999999999999" customHeight="1" x14ac:dyDescent="0.2">
      <c r="L178" s="412"/>
      <c r="M178" s="415"/>
      <c r="N178" s="421" t="str">
        <f>IFERROR(_xlfn.XLOOKUP(CONCATENATE($L178,N$5,$M$2),BASE_DATOS[Reporte NSK],BASE_DATOS[NSK],,0),"")</f>
        <v/>
      </c>
      <c r="O178" s="422" t="str">
        <f>IFERROR(_xlfn.XLOOKUP(CONCATENATE($L178,O$5,$M$2),BASE_DATOS[Reporte NSK],BASE_DATOS[NSK],,0),"")</f>
        <v/>
      </c>
      <c r="P178" s="445" t="str">
        <f>IFERROR(_xlfn.XLOOKUP(CONCATENATE($L178,P$5,$M$2),BASE_DATOS[Reporte NSK],BASE_DATOS[NSK],,0),"")</f>
        <v/>
      </c>
      <c r="Q178" s="422" t="str">
        <f>IFERROR(_xlfn.XLOOKUP(CONCATENATE($L178,Q$5,$M$2),BASE_DATOS[Reporte NSK],BASE_DATOS[NSK],,0),"")</f>
        <v/>
      </c>
      <c r="R178" s="422" t="str">
        <f>IFERROR(_xlfn.XLOOKUP(CONCATENATE($L178,R$5,$M$2),BASE_DATOS[Reporte NSK],BASE_DATOS[NSK],,0),"")</f>
        <v/>
      </c>
      <c r="S178" s="422" t="str">
        <f>IFERROR(_xlfn.XLOOKUP(CONCATENATE($L178,S$5,$M$2),BASE_DATOS[Reporte NSK],BASE_DATOS[NSK],,0),"")</f>
        <v/>
      </c>
      <c r="T178" s="422" t="str">
        <f>IFERROR(_xlfn.XLOOKUP(CONCATENATE($L178,T$5,$M$2),BASE_DATOS[Reporte NSK],BASE_DATOS[NSK],,0),"")</f>
        <v/>
      </c>
      <c r="U178" s="422" t="str">
        <f>IFERROR(_xlfn.XLOOKUP(CONCATENATE($L178,U$5,$M$2),BASE_DATOS[Reporte NSK],BASE_DATOS[NSK],,0),"")</f>
        <v/>
      </c>
      <c r="V178" s="422" t="str">
        <f>IFERROR(_xlfn.XLOOKUP(CONCATENATE($L178,V$5,$M$2),BASE_DATOS[Reporte NSK],BASE_DATOS[NSK],,0),"")</f>
        <v/>
      </c>
      <c r="W178" s="436" t="str">
        <f>IFERROR(_xlfn.XLOOKUP(CONCATENATE($L178,W$5,$M$2),BASE_DATOS[Reporte NSK],BASE_DATOS[NSK],,0),"")</f>
        <v/>
      </c>
      <c r="X178" s="418" t="str">
        <f t="shared" si="6"/>
        <v/>
      </c>
    </row>
    <row r="179" spans="12:24" ht="10.199999999999999" customHeight="1" x14ac:dyDescent="0.2">
      <c r="L179" s="412"/>
      <c r="M179" s="415"/>
      <c r="N179" s="421" t="str">
        <f>IFERROR(_xlfn.XLOOKUP(CONCATENATE($L179,N$5,$M$2),BASE_DATOS[Reporte NSK],BASE_DATOS[NSK],,0),"")</f>
        <v/>
      </c>
      <c r="O179" s="422" t="str">
        <f>IFERROR(_xlfn.XLOOKUP(CONCATENATE($L179,O$5,$M$2),BASE_DATOS[Reporte NSK],BASE_DATOS[NSK],,0),"")</f>
        <v/>
      </c>
      <c r="P179" s="445" t="str">
        <f>IFERROR(_xlfn.XLOOKUP(CONCATENATE($L179,P$5,$M$2),BASE_DATOS[Reporte NSK],BASE_DATOS[NSK],,0),"")</f>
        <v/>
      </c>
      <c r="Q179" s="422" t="str">
        <f>IFERROR(_xlfn.XLOOKUP(CONCATENATE($L179,Q$5,$M$2),BASE_DATOS[Reporte NSK],BASE_DATOS[NSK],,0),"")</f>
        <v/>
      </c>
      <c r="R179" s="422" t="str">
        <f>IFERROR(_xlfn.XLOOKUP(CONCATENATE($L179,R$5,$M$2),BASE_DATOS[Reporte NSK],BASE_DATOS[NSK],,0),"")</f>
        <v/>
      </c>
      <c r="S179" s="422" t="str">
        <f>IFERROR(_xlfn.XLOOKUP(CONCATENATE($L179,S$5,$M$2),BASE_DATOS[Reporte NSK],BASE_DATOS[NSK],,0),"")</f>
        <v/>
      </c>
      <c r="T179" s="422" t="str">
        <f>IFERROR(_xlfn.XLOOKUP(CONCATENATE($L179,T$5,$M$2),BASE_DATOS[Reporte NSK],BASE_DATOS[NSK],,0),"")</f>
        <v/>
      </c>
      <c r="U179" s="422" t="str">
        <f>IFERROR(_xlfn.XLOOKUP(CONCATENATE($L179,U$5,$M$2),BASE_DATOS[Reporte NSK],BASE_DATOS[NSK],,0),"")</f>
        <v/>
      </c>
      <c r="V179" s="422" t="str">
        <f>IFERROR(_xlfn.XLOOKUP(CONCATENATE($L179,V$5,$M$2),BASE_DATOS[Reporte NSK],BASE_DATOS[NSK],,0),"")</f>
        <v/>
      </c>
      <c r="W179" s="436" t="str">
        <f>IFERROR(_xlfn.XLOOKUP(CONCATENATE($L179,W$5,$M$2),BASE_DATOS[Reporte NSK],BASE_DATOS[NSK],,0),"")</f>
        <v/>
      </c>
      <c r="X179" s="418" t="str">
        <f t="shared" si="6"/>
        <v/>
      </c>
    </row>
    <row r="180" spans="12:24" ht="10.199999999999999" customHeight="1" x14ac:dyDescent="0.2">
      <c r="L180" s="412"/>
      <c r="M180" s="415"/>
      <c r="N180" s="421" t="str">
        <f>IFERROR(_xlfn.XLOOKUP(CONCATENATE($L180,N$5,$M$2),BASE_DATOS[Reporte NSK],BASE_DATOS[NSK],,0),"")</f>
        <v/>
      </c>
      <c r="O180" s="422" t="str">
        <f>IFERROR(_xlfn.XLOOKUP(CONCATENATE($L180,O$5,$M$2),BASE_DATOS[Reporte NSK],BASE_DATOS[NSK],,0),"")</f>
        <v/>
      </c>
      <c r="P180" s="445" t="str">
        <f>IFERROR(_xlfn.XLOOKUP(CONCATENATE($L180,P$5,$M$2),BASE_DATOS[Reporte NSK],BASE_DATOS[NSK],,0),"")</f>
        <v/>
      </c>
      <c r="Q180" s="422" t="str">
        <f>IFERROR(_xlfn.XLOOKUP(CONCATENATE($L180,Q$5,$M$2),BASE_DATOS[Reporte NSK],BASE_DATOS[NSK],,0),"")</f>
        <v/>
      </c>
      <c r="R180" s="422" t="str">
        <f>IFERROR(_xlfn.XLOOKUP(CONCATENATE($L180,R$5,$M$2),BASE_DATOS[Reporte NSK],BASE_DATOS[NSK],,0),"")</f>
        <v/>
      </c>
      <c r="S180" s="422" t="str">
        <f>IFERROR(_xlfn.XLOOKUP(CONCATENATE($L180,S$5,$M$2),BASE_DATOS[Reporte NSK],BASE_DATOS[NSK],,0),"")</f>
        <v/>
      </c>
      <c r="T180" s="422" t="str">
        <f>IFERROR(_xlfn.XLOOKUP(CONCATENATE($L180,T$5,$M$2),BASE_DATOS[Reporte NSK],BASE_DATOS[NSK],,0),"")</f>
        <v/>
      </c>
      <c r="U180" s="422" t="str">
        <f>IFERROR(_xlfn.XLOOKUP(CONCATENATE($L180,U$5,$M$2),BASE_DATOS[Reporte NSK],BASE_DATOS[NSK],,0),"")</f>
        <v/>
      </c>
      <c r="V180" s="422" t="str">
        <f>IFERROR(_xlfn.XLOOKUP(CONCATENATE($L180,V$5,$M$2),BASE_DATOS[Reporte NSK],BASE_DATOS[NSK],,0),"")</f>
        <v/>
      </c>
      <c r="W180" s="436" t="str">
        <f>IFERROR(_xlfn.XLOOKUP(CONCATENATE($L180,W$5,$M$2),BASE_DATOS[Reporte NSK],BASE_DATOS[NSK],,0),"")</f>
        <v/>
      </c>
      <c r="X180" s="418" t="str">
        <f t="shared" si="6"/>
        <v/>
      </c>
    </row>
    <row r="181" spans="12:24" ht="10.199999999999999" customHeight="1" x14ac:dyDescent="0.2">
      <c r="L181" s="412"/>
      <c r="M181" s="415"/>
      <c r="N181" s="421" t="str">
        <f>IFERROR(_xlfn.XLOOKUP(CONCATENATE($L181,N$5,$M$2),BASE_DATOS[Reporte NSK],BASE_DATOS[NSK],,0),"")</f>
        <v/>
      </c>
      <c r="O181" s="422" t="str">
        <f>IFERROR(_xlfn.XLOOKUP(CONCATENATE($L181,O$5,$M$2),BASE_DATOS[Reporte NSK],BASE_DATOS[NSK],,0),"")</f>
        <v/>
      </c>
      <c r="P181" s="445" t="str">
        <f>IFERROR(_xlfn.XLOOKUP(CONCATENATE($L181,P$5,$M$2),BASE_DATOS[Reporte NSK],BASE_DATOS[NSK],,0),"")</f>
        <v/>
      </c>
      <c r="Q181" s="422" t="str">
        <f>IFERROR(_xlfn.XLOOKUP(CONCATENATE($L181,Q$5,$M$2),BASE_DATOS[Reporte NSK],BASE_DATOS[NSK],,0),"")</f>
        <v/>
      </c>
      <c r="R181" s="422" t="str">
        <f>IFERROR(_xlfn.XLOOKUP(CONCATENATE($L181,R$5,$M$2),BASE_DATOS[Reporte NSK],BASE_DATOS[NSK],,0),"")</f>
        <v/>
      </c>
      <c r="S181" s="422" t="str">
        <f>IFERROR(_xlfn.XLOOKUP(CONCATENATE($L181,S$5,$M$2),BASE_DATOS[Reporte NSK],BASE_DATOS[NSK],,0),"")</f>
        <v/>
      </c>
      <c r="T181" s="422" t="str">
        <f>IFERROR(_xlfn.XLOOKUP(CONCATENATE($L181,T$5,$M$2),BASE_DATOS[Reporte NSK],BASE_DATOS[NSK],,0),"")</f>
        <v/>
      </c>
      <c r="U181" s="422" t="str">
        <f>IFERROR(_xlfn.XLOOKUP(CONCATENATE($L181,U$5,$M$2),BASE_DATOS[Reporte NSK],BASE_DATOS[NSK],,0),"")</f>
        <v/>
      </c>
      <c r="V181" s="422" t="str">
        <f>IFERROR(_xlfn.XLOOKUP(CONCATENATE($L181,V$5,$M$2),BASE_DATOS[Reporte NSK],BASE_DATOS[NSK],,0),"")</f>
        <v/>
      </c>
      <c r="W181" s="436" t="str">
        <f>IFERROR(_xlfn.XLOOKUP(CONCATENATE($L181,W$5,$M$2),BASE_DATOS[Reporte NSK],BASE_DATOS[NSK],,0),"")</f>
        <v/>
      </c>
      <c r="X181" s="418" t="str">
        <f t="shared" si="6"/>
        <v/>
      </c>
    </row>
    <row r="182" spans="12:24" ht="10.199999999999999" customHeight="1" x14ac:dyDescent="0.2">
      <c r="L182" s="412"/>
      <c r="M182" s="415"/>
      <c r="N182" s="421" t="str">
        <f>IFERROR(_xlfn.XLOOKUP(CONCATENATE($L182,N$5,$M$2),BASE_DATOS[Reporte NSK],BASE_DATOS[NSK],,0),"")</f>
        <v/>
      </c>
      <c r="O182" s="422" t="str">
        <f>IFERROR(_xlfn.XLOOKUP(CONCATENATE($L182,O$5,$M$2),BASE_DATOS[Reporte NSK],BASE_DATOS[NSK],,0),"")</f>
        <v/>
      </c>
      <c r="P182" s="445" t="str">
        <f>IFERROR(_xlfn.XLOOKUP(CONCATENATE($L182,P$5,$M$2),BASE_DATOS[Reporte NSK],BASE_DATOS[NSK],,0),"")</f>
        <v/>
      </c>
      <c r="Q182" s="422" t="str">
        <f>IFERROR(_xlfn.XLOOKUP(CONCATENATE($L182,Q$5,$M$2),BASE_DATOS[Reporte NSK],BASE_DATOS[NSK],,0),"")</f>
        <v/>
      </c>
      <c r="R182" s="422" t="str">
        <f>IFERROR(_xlfn.XLOOKUP(CONCATENATE($L182,R$5,$M$2),BASE_DATOS[Reporte NSK],BASE_DATOS[NSK],,0),"")</f>
        <v/>
      </c>
      <c r="S182" s="422" t="str">
        <f>IFERROR(_xlfn.XLOOKUP(CONCATENATE($L182,S$5,$M$2),BASE_DATOS[Reporte NSK],BASE_DATOS[NSK],,0),"")</f>
        <v/>
      </c>
      <c r="T182" s="422" t="str">
        <f>IFERROR(_xlfn.XLOOKUP(CONCATENATE($L182,T$5,$M$2),BASE_DATOS[Reporte NSK],BASE_DATOS[NSK],,0),"")</f>
        <v/>
      </c>
      <c r="U182" s="422" t="str">
        <f>IFERROR(_xlfn.XLOOKUP(CONCATENATE($L182,U$5,$M$2),BASE_DATOS[Reporte NSK],BASE_DATOS[NSK],,0),"")</f>
        <v/>
      </c>
      <c r="V182" s="422" t="str">
        <f>IFERROR(_xlfn.XLOOKUP(CONCATENATE($L182,V$5,$M$2),BASE_DATOS[Reporte NSK],BASE_DATOS[NSK],,0),"")</f>
        <v/>
      </c>
      <c r="W182" s="436" t="str">
        <f>IFERROR(_xlfn.XLOOKUP(CONCATENATE($L182,W$5,$M$2),BASE_DATOS[Reporte NSK],BASE_DATOS[NSK],,0),"")</f>
        <v/>
      </c>
      <c r="X182" s="418" t="str">
        <f t="shared" si="6"/>
        <v/>
      </c>
    </row>
    <row r="183" spans="12:24" ht="10.199999999999999" customHeight="1" x14ac:dyDescent="0.2">
      <c r="L183" s="412"/>
      <c r="M183" s="415"/>
      <c r="N183" s="421" t="str">
        <f>IFERROR(_xlfn.XLOOKUP(CONCATENATE($L183,N$5,$M$2),BASE_DATOS[Reporte NSK],BASE_DATOS[NSK],,0),"")</f>
        <v/>
      </c>
      <c r="O183" s="422" t="str">
        <f>IFERROR(_xlfn.XLOOKUP(CONCATENATE($L183,O$5,$M$2),BASE_DATOS[Reporte NSK],BASE_DATOS[NSK],,0),"")</f>
        <v/>
      </c>
      <c r="P183" s="445" t="str">
        <f>IFERROR(_xlfn.XLOOKUP(CONCATENATE($L183,P$5,$M$2),BASE_DATOS[Reporte NSK],BASE_DATOS[NSK],,0),"")</f>
        <v/>
      </c>
      <c r="Q183" s="422" t="str">
        <f>IFERROR(_xlfn.XLOOKUP(CONCATENATE($L183,Q$5,$M$2),BASE_DATOS[Reporte NSK],BASE_DATOS[NSK],,0),"")</f>
        <v/>
      </c>
      <c r="R183" s="422" t="str">
        <f>IFERROR(_xlfn.XLOOKUP(CONCATENATE($L183,R$5,$M$2),BASE_DATOS[Reporte NSK],BASE_DATOS[NSK],,0),"")</f>
        <v/>
      </c>
      <c r="S183" s="422" t="str">
        <f>IFERROR(_xlfn.XLOOKUP(CONCATENATE($L183,S$5,$M$2),BASE_DATOS[Reporte NSK],BASE_DATOS[NSK],,0),"")</f>
        <v/>
      </c>
      <c r="T183" s="422" t="str">
        <f>IFERROR(_xlfn.XLOOKUP(CONCATENATE($L183,T$5,$M$2),BASE_DATOS[Reporte NSK],BASE_DATOS[NSK],,0),"")</f>
        <v/>
      </c>
      <c r="U183" s="422" t="str">
        <f>IFERROR(_xlfn.XLOOKUP(CONCATENATE($L183,U$5,$M$2),BASE_DATOS[Reporte NSK],BASE_DATOS[NSK],,0),"")</f>
        <v/>
      </c>
      <c r="V183" s="422" t="str">
        <f>IFERROR(_xlfn.XLOOKUP(CONCATENATE($L183,V$5,$M$2),BASE_DATOS[Reporte NSK],BASE_DATOS[NSK],,0),"")</f>
        <v/>
      </c>
      <c r="W183" s="436" t="str">
        <f>IFERROR(_xlfn.XLOOKUP(CONCATENATE($L183,W$5,$M$2),BASE_DATOS[Reporte NSK],BASE_DATOS[NSK],,0),"")</f>
        <v/>
      </c>
      <c r="X183" s="418" t="str">
        <f t="shared" si="6"/>
        <v/>
      </c>
    </row>
    <row r="184" spans="12:24" ht="10.199999999999999" customHeight="1" x14ac:dyDescent="0.2">
      <c r="L184" s="412"/>
      <c r="M184" s="415"/>
      <c r="N184" s="421" t="str">
        <f>IFERROR(_xlfn.XLOOKUP(CONCATENATE($L184,N$5,$M$2),BASE_DATOS[Reporte NSK],BASE_DATOS[NSK],,0),"")</f>
        <v/>
      </c>
      <c r="O184" s="422" t="str">
        <f>IFERROR(_xlfn.XLOOKUP(CONCATENATE($L184,O$5,$M$2),BASE_DATOS[Reporte NSK],BASE_DATOS[NSK],,0),"")</f>
        <v/>
      </c>
      <c r="P184" s="445" t="str">
        <f>IFERROR(_xlfn.XLOOKUP(CONCATENATE($L184,P$5,$M$2),BASE_DATOS[Reporte NSK],BASE_DATOS[NSK],,0),"")</f>
        <v/>
      </c>
      <c r="Q184" s="422" t="str">
        <f>IFERROR(_xlfn.XLOOKUP(CONCATENATE($L184,Q$5,$M$2),BASE_DATOS[Reporte NSK],BASE_DATOS[NSK],,0),"")</f>
        <v/>
      </c>
      <c r="R184" s="422" t="str">
        <f>IFERROR(_xlfn.XLOOKUP(CONCATENATE($L184,R$5,$M$2),BASE_DATOS[Reporte NSK],BASE_DATOS[NSK],,0),"")</f>
        <v/>
      </c>
      <c r="S184" s="422" t="str">
        <f>IFERROR(_xlfn.XLOOKUP(CONCATENATE($L184,S$5,$M$2),BASE_DATOS[Reporte NSK],BASE_DATOS[NSK],,0),"")</f>
        <v/>
      </c>
      <c r="T184" s="422" t="str">
        <f>IFERROR(_xlfn.XLOOKUP(CONCATENATE($L184,T$5,$M$2),BASE_DATOS[Reporte NSK],BASE_DATOS[NSK],,0),"")</f>
        <v/>
      </c>
      <c r="U184" s="422" t="str">
        <f>IFERROR(_xlfn.XLOOKUP(CONCATENATE($L184,U$5,$M$2),BASE_DATOS[Reporte NSK],BASE_DATOS[NSK],,0),"")</f>
        <v/>
      </c>
      <c r="V184" s="422" t="str">
        <f>IFERROR(_xlfn.XLOOKUP(CONCATENATE($L184,V$5,$M$2),BASE_DATOS[Reporte NSK],BASE_DATOS[NSK],,0),"")</f>
        <v/>
      </c>
      <c r="W184" s="436" t="str">
        <f>IFERROR(_xlfn.XLOOKUP(CONCATENATE($L184,W$5,$M$2),BASE_DATOS[Reporte NSK],BASE_DATOS[NSK],,0),"")</f>
        <v/>
      </c>
      <c r="X184" s="418" t="str">
        <f t="shared" si="6"/>
        <v/>
      </c>
    </row>
    <row r="185" spans="12:24" ht="10.199999999999999" customHeight="1" x14ac:dyDescent="0.2">
      <c r="L185" s="412"/>
      <c r="M185" s="415"/>
      <c r="N185" s="421" t="str">
        <f>IFERROR(_xlfn.XLOOKUP(CONCATENATE($L185,N$5,$M$2),BASE_DATOS[Reporte NSK],BASE_DATOS[NSK],,0),"")</f>
        <v/>
      </c>
      <c r="O185" s="422" t="str">
        <f>IFERROR(_xlfn.XLOOKUP(CONCATENATE($L185,O$5,$M$2),BASE_DATOS[Reporte NSK],BASE_DATOS[NSK],,0),"")</f>
        <v/>
      </c>
      <c r="P185" s="445" t="str">
        <f>IFERROR(_xlfn.XLOOKUP(CONCATENATE($L185,P$5,$M$2),BASE_DATOS[Reporte NSK],BASE_DATOS[NSK],,0),"")</f>
        <v/>
      </c>
      <c r="Q185" s="422" t="str">
        <f>IFERROR(_xlfn.XLOOKUP(CONCATENATE($L185,Q$5,$M$2),BASE_DATOS[Reporte NSK],BASE_DATOS[NSK],,0),"")</f>
        <v/>
      </c>
      <c r="R185" s="422" t="str">
        <f>IFERROR(_xlfn.XLOOKUP(CONCATENATE($L185,R$5,$M$2),BASE_DATOS[Reporte NSK],BASE_DATOS[NSK],,0),"")</f>
        <v/>
      </c>
      <c r="S185" s="422" t="str">
        <f>IFERROR(_xlfn.XLOOKUP(CONCATENATE($L185,S$5,$M$2),BASE_DATOS[Reporte NSK],BASE_DATOS[NSK],,0),"")</f>
        <v/>
      </c>
      <c r="T185" s="422" t="str">
        <f>IFERROR(_xlfn.XLOOKUP(CONCATENATE($L185,T$5,$M$2),BASE_DATOS[Reporte NSK],BASE_DATOS[NSK],,0),"")</f>
        <v/>
      </c>
      <c r="U185" s="422" t="str">
        <f>IFERROR(_xlfn.XLOOKUP(CONCATENATE($L185,U$5,$M$2),BASE_DATOS[Reporte NSK],BASE_DATOS[NSK],,0),"")</f>
        <v/>
      </c>
      <c r="V185" s="422" t="str">
        <f>IFERROR(_xlfn.XLOOKUP(CONCATENATE($L185,V$5,$M$2),BASE_DATOS[Reporte NSK],BASE_DATOS[NSK],,0),"")</f>
        <v/>
      </c>
      <c r="W185" s="436" t="str">
        <f>IFERROR(_xlfn.XLOOKUP(CONCATENATE($L185,W$5,$M$2),BASE_DATOS[Reporte NSK],BASE_DATOS[NSK],,0),"")</f>
        <v/>
      </c>
      <c r="X185" s="418" t="str">
        <f t="shared" si="6"/>
        <v/>
      </c>
    </row>
    <row r="186" spans="12:24" ht="10.199999999999999" customHeight="1" x14ac:dyDescent="0.2">
      <c r="L186" s="412"/>
      <c r="M186" s="415"/>
      <c r="N186" s="421" t="str">
        <f>IFERROR(_xlfn.XLOOKUP(CONCATENATE($L186,N$5,$M$2),BASE_DATOS[Reporte NSK],BASE_DATOS[NSK],,0),"")</f>
        <v/>
      </c>
      <c r="O186" s="422" t="str">
        <f>IFERROR(_xlfn.XLOOKUP(CONCATENATE($L186,O$5,$M$2),BASE_DATOS[Reporte NSK],BASE_DATOS[NSK],,0),"")</f>
        <v/>
      </c>
      <c r="P186" s="445" t="str">
        <f>IFERROR(_xlfn.XLOOKUP(CONCATENATE($L186,P$5,$M$2),BASE_DATOS[Reporte NSK],BASE_DATOS[NSK],,0),"")</f>
        <v/>
      </c>
      <c r="Q186" s="422" t="str">
        <f>IFERROR(_xlfn.XLOOKUP(CONCATENATE($L186,Q$5,$M$2),BASE_DATOS[Reporte NSK],BASE_DATOS[NSK],,0),"")</f>
        <v/>
      </c>
      <c r="R186" s="422" t="str">
        <f>IFERROR(_xlfn.XLOOKUP(CONCATENATE($L186,R$5,$M$2),BASE_DATOS[Reporte NSK],BASE_DATOS[NSK],,0),"")</f>
        <v/>
      </c>
      <c r="S186" s="422" t="str">
        <f>IFERROR(_xlfn.XLOOKUP(CONCATENATE($L186,S$5,$M$2),BASE_DATOS[Reporte NSK],BASE_DATOS[NSK],,0),"")</f>
        <v/>
      </c>
      <c r="T186" s="422" t="str">
        <f>IFERROR(_xlfn.XLOOKUP(CONCATENATE($L186,T$5,$M$2),BASE_DATOS[Reporte NSK],BASE_DATOS[NSK],,0),"")</f>
        <v/>
      </c>
      <c r="U186" s="422" t="str">
        <f>IFERROR(_xlfn.XLOOKUP(CONCATENATE($L186,U$5,$M$2),BASE_DATOS[Reporte NSK],BASE_DATOS[NSK],,0),"")</f>
        <v/>
      </c>
      <c r="V186" s="422" t="str">
        <f>IFERROR(_xlfn.XLOOKUP(CONCATENATE($L186,V$5,$M$2),BASE_DATOS[Reporte NSK],BASE_DATOS[NSK],,0),"")</f>
        <v/>
      </c>
      <c r="W186" s="436" t="str">
        <f>IFERROR(_xlfn.XLOOKUP(CONCATENATE($L186,W$5,$M$2),BASE_DATOS[Reporte NSK],BASE_DATOS[NSK],,0),"")</f>
        <v/>
      </c>
      <c r="X186" s="418" t="str">
        <f t="shared" si="6"/>
        <v/>
      </c>
    </row>
    <row r="187" spans="12:24" ht="10.199999999999999" customHeight="1" x14ac:dyDescent="0.2">
      <c r="L187" s="412"/>
      <c r="M187" s="415"/>
      <c r="N187" s="421" t="str">
        <f>IFERROR(_xlfn.XLOOKUP(CONCATENATE($L187,N$5,$M$2),BASE_DATOS[Reporte NSK],BASE_DATOS[NSK],,0),"")</f>
        <v/>
      </c>
      <c r="O187" s="422" t="str">
        <f>IFERROR(_xlfn.XLOOKUP(CONCATENATE($L187,O$5,$M$2),BASE_DATOS[Reporte NSK],BASE_DATOS[NSK],,0),"")</f>
        <v/>
      </c>
      <c r="P187" s="445" t="str">
        <f>IFERROR(_xlfn.XLOOKUP(CONCATENATE($L187,P$5,$M$2),BASE_DATOS[Reporte NSK],BASE_DATOS[NSK],,0),"")</f>
        <v/>
      </c>
      <c r="Q187" s="422" t="str">
        <f>IFERROR(_xlfn.XLOOKUP(CONCATENATE($L187,Q$5,$M$2),BASE_DATOS[Reporte NSK],BASE_DATOS[NSK],,0),"")</f>
        <v/>
      </c>
      <c r="R187" s="422" t="str">
        <f>IFERROR(_xlfn.XLOOKUP(CONCATENATE($L187,R$5,$M$2),BASE_DATOS[Reporte NSK],BASE_DATOS[NSK],,0),"")</f>
        <v/>
      </c>
      <c r="S187" s="422" t="str">
        <f>IFERROR(_xlfn.XLOOKUP(CONCATENATE($L187,S$5,$M$2),BASE_DATOS[Reporte NSK],BASE_DATOS[NSK],,0),"")</f>
        <v/>
      </c>
      <c r="T187" s="422" t="str">
        <f>IFERROR(_xlfn.XLOOKUP(CONCATENATE($L187,T$5,$M$2),BASE_DATOS[Reporte NSK],BASE_DATOS[NSK],,0),"")</f>
        <v/>
      </c>
      <c r="U187" s="422" t="str">
        <f>IFERROR(_xlfn.XLOOKUP(CONCATENATE($L187,U$5,$M$2),BASE_DATOS[Reporte NSK],BASE_DATOS[NSK],,0),"")</f>
        <v/>
      </c>
      <c r="V187" s="422" t="str">
        <f>IFERROR(_xlfn.XLOOKUP(CONCATENATE($L187,V$5,$M$2),BASE_DATOS[Reporte NSK],BASE_DATOS[NSK],,0),"")</f>
        <v/>
      </c>
      <c r="W187" s="436" t="str">
        <f>IFERROR(_xlfn.XLOOKUP(CONCATENATE($L187,W$5,$M$2),BASE_DATOS[Reporte NSK],BASE_DATOS[NSK],,0),"")</f>
        <v/>
      </c>
      <c r="X187" s="418" t="str">
        <f t="shared" si="6"/>
        <v/>
      </c>
    </row>
    <row r="188" spans="12:24" ht="10.199999999999999" customHeight="1" x14ac:dyDescent="0.2">
      <c r="L188" s="412"/>
      <c r="M188" s="415"/>
      <c r="N188" s="421" t="str">
        <f>IFERROR(_xlfn.XLOOKUP(CONCATENATE($L188,N$5,$M$2),BASE_DATOS[Reporte NSK],BASE_DATOS[NSK],,0),"")</f>
        <v/>
      </c>
      <c r="O188" s="422" t="str">
        <f>IFERROR(_xlfn.XLOOKUP(CONCATENATE($L188,O$5,$M$2),BASE_DATOS[Reporte NSK],BASE_DATOS[NSK],,0),"")</f>
        <v/>
      </c>
      <c r="P188" s="445" t="str">
        <f>IFERROR(_xlfn.XLOOKUP(CONCATENATE($L188,P$5,$M$2),BASE_DATOS[Reporte NSK],BASE_DATOS[NSK],,0),"")</f>
        <v/>
      </c>
      <c r="Q188" s="422" t="str">
        <f>IFERROR(_xlfn.XLOOKUP(CONCATENATE($L188,Q$5,$M$2),BASE_DATOS[Reporte NSK],BASE_DATOS[NSK],,0),"")</f>
        <v/>
      </c>
      <c r="R188" s="422" t="str">
        <f>IFERROR(_xlfn.XLOOKUP(CONCATENATE($L188,R$5,$M$2),BASE_DATOS[Reporte NSK],BASE_DATOS[NSK],,0),"")</f>
        <v/>
      </c>
      <c r="S188" s="422" t="str">
        <f>IFERROR(_xlfn.XLOOKUP(CONCATENATE($L188,S$5,$M$2),BASE_DATOS[Reporte NSK],BASE_DATOS[NSK],,0),"")</f>
        <v/>
      </c>
      <c r="T188" s="422" t="str">
        <f>IFERROR(_xlfn.XLOOKUP(CONCATENATE($L188,T$5,$M$2),BASE_DATOS[Reporte NSK],BASE_DATOS[NSK],,0),"")</f>
        <v/>
      </c>
      <c r="U188" s="422" t="str">
        <f>IFERROR(_xlfn.XLOOKUP(CONCATENATE($L188,U$5,$M$2),BASE_DATOS[Reporte NSK],BASE_DATOS[NSK],,0),"")</f>
        <v/>
      </c>
      <c r="V188" s="422" t="str">
        <f>IFERROR(_xlfn.XLOOKUP(CONCATENATE($L188,V$5,$M$2),BASE_DATOS[Reporte NSK],BASE_DATOS[NSK],,0),"")</f>
        <v/>
      </c>
      <c r="W188" s="436" t="str">
        <f>IFERROR(_xlfn.XLOOKUP(CONCATENATE($L188,W$5,$M$2),BASE_DATOS[Reporte NSK],BASE_DATOS[NSK],,0),"")</f>
        <v/>
      </c>
      <c r="X188" s="418" t="str">
        <f t="shared" si="6"/>
        <v/>
      </c>
    </row>
    <row r="189" spans="12:24" ht="10.199999999999999" customHeight="1" x14ac:dyDescent="0.2">
      <c r="L189" s="412"/>
      <c r="M189" s="415"/>
      <c r="N189" s="421" t="str">
        <f>IFERROR(_xlfn.XLOOKUP(CONCATENATE($L189,N$5,$M$2),BASE_DATOS[Reporte NSK],BASE_DATOS[NSK],,0),"")</f>
        <v/>
      </c>
      <c r="O189" s="422" t="str">
        <f>IFERROR(_xlfn.XLOOKUP(CONCATENATE($L189,O$5,$M$2),BASE_DATOS[Reporte NSK],BASE_DATOS[NSK],,0),"")</f>
        <v/>
      </c>
      <c r="P189" s="445" t="str">
        <f>IFERROR(_xlfn.XLOOKUP(CONCATENATE($L189,P$5,$M$2),BASE_DATOS[Reporte NSK],BASE_DATOS[NSK],,0),"")</f>
        <v/>
      </c>
      <c r="Q189" s="422" t="str">
        <f>IFERROR(_xlfn.XLOOKUP(CONCATENATE($L189,Q$5,$M$2),BASE_DATOS[Reporte NSK],BASE_DATOS[NSK],,0),"")</f>
        <v/>
      </c>
      <c r="R189" s="422" t="str">
        <f>IFERROR(_xlfn.XLOOKUP(CONCATENATE($L189,R$5,$M$2),BASE_DATOS[Reporte NSK],BASE_DATOS[NSK],,0),"")</f>
        <v/>
      </c>
      <c r="S189" s="422" t="str">
        <f>IFERROR(_xlfn.XLOOKUP(CONCATENATE($L189,S$5,$M$2),BASE_DATOS[Reporte NSK],BASE_DATOS[NSK],,0),"")</f>
        <v/>
      </c>
      <c r="T189" s="422" t="str">
        <f>IFERROR(_xlfn.XLOOKUP(CONCATENATE($L189,T$5,$M$2),BASE_DATOS[Reporte NSK],BASE_DATOS[NSK],,0),"")</f>
        <v/>
      </c>
      <c r="U189" s="422" t="str">
        <f>IFERROR(_xlfn.XLOOKUP(CONCATENATE($L189,U$5,$M$2),BASE_DATOS[Reporte NSK],BASE_DATOS[NSK],,0),"")</f>
        <v/>
      </c>
      <c r="V189" s="422" t="str">
        <f>IFERROR(_xlfn.XLOOKUP(CONCATENATE($L189,V$5,$M$2),BASE_DATOS[Reporte NSK],BASE_DATOS[NSK],,0),"")</f>
        <v/>
      </c>
      <c r="W189" s="436" t="str">
        <f>IFERROR(_xlfn.XLOOKUP(CONCATENATE($L189,W$5,$M$2),BASE_DATOS[Reporte NSK],BASE_DATOS[NSK],,0),"")</f>
        <v/>
      </c>
      <c r="X189" s="418" t="str">
        <f t="shared" si="6"/>
        <v/>
      </c>
    </row>
    <row r="190" spans="12:24" ht="10.199999999999999" customHeight="1" x14ac:dyDescent="0.2">
      <c r="L190" s="412"/>
      <c r="M190" s="415"/>
      <c r="N190" s="421" t="str">
        <f>IFERROR(_xlfn.XLOOKUP(CONCATENATE($L190,N$5,$M$2),BASE_DATOS[Reporte NSK],BASE_DATOS[NSK],,0),"")</f>
        <v/>
      </c>
      <c r="O190" s="422" t="str">
        <f>IFERROR(_xlfn.XLOOKUP(CONCATENATE($L190,O$5,$M$2),BASE_DATOS[Reporte NSK],BASE_DATOS[NSK],,0),"")</f>
        <v/>
      </c>
      <c r="P190" s="445" t="str">
        <f>IFERROR(_xlfn.XLOOKUP(CONCATENATE($L190,P$5,$M$2),BASE_DATOS[Reporte NSK],BASE_DATOS[NSK],,0),"")</f>
        <v/>
      </c>
      <c r="Q190" s="422" t="str">
        <f>IFERROR(_xlfn.XLOOKUP(CONCATENATE($L190,Q$5,$M$2),BASE_DATOS[Reporte NSK],BASE_DATOS[NSK],,0),"")</f>
        <v/>
      </c>
      <c r="R190" s="422" t="str">
        <f>IFERROR(_xlfn.XLOOKUP(CONCATENATE($L190,R$5,$M$2),BASE_DATOS[Reporte NSK],BASE_DATOS[NSK],,0),"")</f>
        <v/>
      </c>
      <c r="S190" s="422" t="str">
        <f>IFERROR(_xlfn.XLOOKUP(CONCATENATE($L190,S$5,$M$2),BASE_DATOS[Reporte NSK],BASE_DATOS[NSK],,0),"")</f>
        <v/>
      </c>
      <c r="T190" s="422" t="str">
        <f>IFERROR(_xlfn.XLOOKUP(CONCATENATE($L190,T$5,$M$2),BASE_DATOS[Reporte NSK],BASE_DATOS[NSK],,0),"")</f>
        <v/>
      </c>
      <c r="U190" s="422" t="str">
        <f>IFERROR(_xlfn.XLOOKUP(CONCATENATE($L190,U$5,$M$2),BASE_DATOS[Reporte NSK],BASE_DATOS[NSK],,0),"")</f>
        <v/>
      </c>
      <c r="V190" s="422" t="str">
        <f>IFERROR(_xlfn.XLOOKUP(CONCATENATE($L190,V$5,$M$2),BASE_DATOS[Reporte NSK],BASE_DATOS[NSK],,0),"")</f>
        <v/>
      </c>
      <c r="W190" s="436" t="str">
        <f>IFERROR(_xlfn.XLOOKUP(CONCATENATE($L190,W$5,$M$2),BASE_DATOS[Reporte NSK],BASE_DATOS[NSK],,0),"")</f>
        <v/>
      </c>
      <c r="X190" s="418" t="str">
        <f t="shared" si="6"/>
        <v/>
      </c>
    </row>
    <row r="191" spans="12:24" ht="10.199999999999999" customHeight="1" x14ac:dyDescent="0.2">
      <c r="L191" s="412"/>
      <c r="M191" s="415"/>
      <c r="N191" s="421" t="str">
        <f>IFERROR(_xlfn.XLOOKUP(CONCATENATE($L191,N$5,$M$2),BASE_DATOS[Reporte NSK],BASE_DATOS[NSK],,0),"")</f>
        <v/>
      </c>
      <c r="O191" s="422" t="str">
        <f>IFERROR(_xlfn.XLOOKUP(CONCATENATE($L191,O$5,$M$2),BASE_DATOS[Reporte NSK],BASE_DATOS[NSK],,0),"")</f>
        <v/>
      </c>
      <c r="P191" s="445" t="str">
        <f>IFERROR(_xlfn.XLOOKUP(CONCATENATE($L191,P$5,$M$2),BASE_DATOS[Reporte NSK],BASE_DATOS[NSK],,0),"")</f>
        <v/>
      </c>
      <c r="Q191" s="422" t="str">
        <f>IFERROR(_xlfn.XLOOKUP(CONCATENATE($L191,Q$5,$M$2),BASE_DATOS[Reporte NSK],BASE_DATOS[NSK],,0),"")</f>
        <v/>
      </c>
      <c r="R191" s="422" t="str">
        <f>IFERROR(_xlfn.XLOOKUP(CONCATENATE($L191,R$5,$M$2),BASE_DATOS[Reporte NSK],BASE_DATOS[NSK],,0),"")</f>
        <v/>
      </c>
      <c r="S191" s="422" t="str">
        <f>IFERROR(_xlfn.XLOOKUP(CONCATENATE($L191,S$5,$M$2),BASE_DATOS[Reporte NSK],BASE_DATOS[NSK],,0),"")</f>
        <v/>
      </c>
      <c r="T191" s="422" t="str">
        <f>IFERROR(_xlfn.XLOOKUP(CONCATENATE($L191,T$5,$M$2),BASE_DATOS[Reporte NSK],BASE_DATOS[NSK],,0),"")</f>
        <v/>
      </c>
      <c r="U191" s="422" t="str">
        <f>IFERROR(_xlfn.XLOOKUP(CONCATENATE($L191,U$5,$M$2),BASE_DATOS[Reporte NSK],BASE_DATOS[NSK],,0),"")</f>
        <v/>
      </c>
      <c r="V191" s="422" t="str">
        <f>IFERROR(_xlfn.XLOOKUP(CONCATENATE($L191,V$5,$M$2),BASE_DATOS[Reporte NSK],BASE_DATOS[NSK],,0),"")</f>
        <v/>
      </c>
      <c r="W191" s="436" t="str">
        <f>IFERROR(_xlfn.XLOOKUP(CONCATENATE($L191,W$5,$M$2),BASE_DATOS[Reporte NSK],BASE_DATOS[NSK],,0),"")</f>
        <v/>
      </c>
      <c r="X191" s="418" t="str">
        <f t="shared" si="6"/>
        <v/>
      </c>
    </row>
    <row r="192" spans="12:24" ht="10.199999999999999" customHeight="1" x14ac:dyDescent="0.2">
      <c r="L192" s="412"/>
      <c r="M192" s="415"/>
      <c r="N192" s="421" t="str">
        <f>IFERROR(_xlfn.XLOOKUP(CONCATENATE($L192,N$5,$M$2),BASE_DATOS[Reporte NSK],BASE_DATOS[NSK],,0),"")</f>
        <v/>
      </c>
      <c r="O192" s="422" t="str">
        <f>IFERROR(_xlfn.XLOOKUP(CONCATENATE($L192,O$5,$M$2),BASE_DATOS[Reporte NSK],BASE_DATOS[NSK],,0),"")</f>
        <v/>
      </c>
      <c r="P192" s="445" t="str">
        <f>IFERROR(_xlfn.XLOOKUP(CONCATENATE($L192,P$5,$M$2),BASE_DATOS[Reporte NSK],BASE_DATOS[NSK],,0),"")</f>
        <v/>
      </c>
      <c r="Q192" s="422" t="str">
        <f>IFERROR(_xlfn.XLOOKUP(CONCATENATE($L192,Q$5,$M$2),BASE_DATOS[Reporte NSK],BASE_DATOS[NSK],,0),"")</f>
        <v/>
      </c>
      <c r="R192" s="422" t="str">
        <f>IFERROR(_xlfn.XLOOKUP(CONCATENATE($L192,R$5,$M$2),BASE_DATOS[Reporte NSK],BASE_DATOS[NSK],,0),"")</f>
        <v/>
      </c>
      <c r="S192" s="422" t="str">
        <f>IFERROR(_xlfn.XLOOKUP(CONCATENATE($L192,S$5,$M$2),BASE_DATOS[Reporte NSK],BASE_DATOS[NSK],,0),"")</f>
        <v/>
      </c>
      <c r="T192" s="422" t="str">
        <f>IFERROR(_xlfn.XLOOKUP(CONCATENATE($L192,T$5,$M$2),BASE_DATOS[Reporte NSK],BASE_DATOS[NSK],,0),"")</f>
        <v/>
      </c>
      <c r="U192" s="422" t="str">
        <f>IFERROR(_xlfn.XLOOKUP(CONCATENATE($L192,U$5,$M$2),BASE_DATOS[Reporte NSK],BASE_DATOS[NSK],,0),"")</f>
        <v/>
      </c>
      <c r="V192" s="422" t="str">
        <f>IFERROR(_xlfn.XLOOKUP(CONCATENATE($L192,V$5,$M$2),BASE_DATOS[Reporte NSK],BASE_DATOS[NSK],,0),"")</f>
        <v/>
      </c>
      <c r="W192" s="436" t="str">
        <f>IFERROR(_xlfn.XLOOKUP(CONCATENATE($L192,W$5,$M$2),BASE_DATOS[Reporte NSK],BASE_DATOS[NSK],,0),"")</f>
        <v/>
      </c>
      <c r="X192" s="418" t="str">
        <f t="shared" si="6"/>
        <v/>
      </c>
    </row>
    <row r="193" spans="12:24" ht="10.199999999999999" customHeight="1" x14ac:dyDescent="0.2">
      <c r="L193" s="412"/>
      <c r="M193" s="415"/>
      <c r="N193" s="421" t="str">
        <f>IFERROR(_xlfn.XLOOKUP(CONCATENATE($L193,N$5,$M$2),BASE_DATOS[Reporte NSK],BASE_DATOS[NSK],,0),"")</f>
        <v/>
      </c>
      <c r="O193" s="422" t="str">
        <f>IFERROR(_xlfn.XLOOKUP(CONCATENATE($L193,O$5,$M$2),BASE_DATOS[Reporte NSK],BASE_DATOS[NSK],,0),"")</f>
        <v/>
      </c>
      <c r="P193" s="445" t="str">
        <f>IFERROR(_xlfn.XLOOKUP(CONCATENATE($L193,P$5,$M$2),BASE_DATOS[Reporte NSK],BASE_DATOS[NSK],,0),"")</f>
        <v/>
      </c>
      <c r="Q193" s="422" t="str">
        <f>IFERROR(_xlfn.XLOOKUP(CONCATENATE($L193,Q$5,$M$2),BASE_DATOS[Reporte NSK],BASE_DATOS[NSK],,0),"")</f>
        <v/>
      </c>
      <c r="R193" s="422" t="str">
        <f>IFERROR(_xlfn.XLOOKUP(CONCATENATE($L193,R$5,$M$2),BASE_DATOS[Reporte NSK],BASE_DATOS[NSK],,0),"")</f>
        <v/>
      </c>
      <c r="S193" s="422" t="str">
        <f>IFERROR(_xlfn.XLOOKUP(CONCATENATE($L193,S$5,$M$2),BASE_DATOS[Reporte NSK],BASE_DATOS[NSK],,0),"")</f>
        <v/>
      </c>
      <c r="T193" s="422" t="str">
        <f>IFERROR(_xlfn.XLOOKUP(CONCATENATE($L193,T$5,$M$2),BASE_DATOS[Reporte NSK],BASE_DATOS[NSK],,0),"")</f>
        <v/>
      </c>
      <c r="U193" s="422" t="str">
        <f>IFERROR(_xlfn.XLOOKUP(CONCATENATE($L193,U$5,$M$2),BASE_DATOS[Reporte NSK],BASE_DATOS[NSK],,0),"")</f>
        <v/>
      </c>
      <c r="V193" s="422" t="str">
        <f>IFERROR(_xlfn.XLOOKUP(CONCATENATE($L193,V$5,$M$2),BASE_DATOS[Reporte NSK],BASE_DATOS[NSK],,0),"")</f>
        <v/>
      </c>
      <c r="W193" s="436" t="str">
        <f>IFERROR(_xlfn.XLOOKUP(CONCATENATE($L193,W$5,$M$2),BASE_DATOS[Reporte NSK],BASE_DATOS[NSK],,0),"")</f>
        <v/>
      </c>
      <c r="X193" s="418" t="str">
        <f t="shared" si="6"/>
        <v/>
      </c>
    </row>
    <row r="194" spans="12:24" ht="10.199999999999999" customHeight="1" x14ac:dyDescent="0.2">
      <c r="L194" s="412"/>
      <c r="M194" s="415"/>
      <c r="N194" s="421" t="str">
        <f>IFERROR(_xlfn.XLOOKUP(CONCATENATE($L194,N$5,$M$2),BASE_DATOS[Reporte NSK],BASE_DATOS[NSK],,0),"")</f>
        <v/>
      </c>
      <c r="O194" s="422" t="str">
        <f>IFERROR(_xlfn.XLOOKUP(CONCATENATE($L194,O$5,$M$2),BASE_DATOS[Reporte NSK],BASE_DATOS[NSK],,0),"")</f>
        <v/>
      </c>
      <c r="P194" s="445" t="str">
        <f>IFERROR(_xlfn.XLOOKUP(CONCATENATE($L194,P$5,$M$2),BASE_DATOS[Reporte NSK],BASE_DATOS[NSK],,0),"")</f>
        <v/>
      </c>
      <c r="Q194" s="422" t="str">
        <f>IFERROR(_xlfn.XLOOKUP(CONCATENATE($L194,Q$5,$M$2),BASE_DATOS[Reporte NSK],BASE_DATOS[NSK],,0),"")</f>
        <v/>
      </c>
      <c r="R194" s="422" t="str">
        <f>IFERROR(_xlfn.XLOOKUP(CONCATENATE($L194,R$5,$M$2),BASE_DATOS[Reporte NSK],BASE_DATOS[NSK],,0),"")</f>
        <v/>
      </c>
      <c r="S194" s="422" t="str">
        <f>IFERROR(_xlfn.XLOOKUP(CONCATENATE($L194,S$5,$M$2),BASE_DATOS[Reporte NSK],BASE_DATOS[NSK],,0),"")</f>
        <v/>
      </c>
      <c r="T194" s="422" t="str">
        <f>IFERROR(_xlfn.XLOOKUP(CONCATENATE($L194,T$5,$M$2),BASE_DATOS[Reporte NSK],BASE_DATOS[NSK],,0),"")</f>
        <v/>
      </c>
      <c r="U194" s="422" t="str">
        <f>IFERROR(_xlfn.XLOOKUP(CONCATENATE($L194,U$5,$M$2),BASE_DATOS[Reporte NSK],BASE_DATOS[NSK],,0),"")</f>
        <v/>
      </c>
      <c r="V194" s="422" t="str">
        <f>IFERROR(_xlfn.XLOOKUP(CONCATENATE($L194,V$5,$M$2),BASE_DATOS[Reporte NSK],BASE_DATOS[NSK],,0),"")</f>
        <v/>
      </c>
      <c r="W194" s="436" t="str">
        <f>IFERROR(_xlfn.XLOOKUP(CONCATENATE($L194,W$5,$M$2),BASE_DATOS[Reporte NSK],BASE_DATOS[NSK],,0),"")</f>
        <v/>
      </c>
      <c r="X194" s="418" t="str">
        <f t="shared" si="6"/>
        <v/>
      </c>
    </row>
    <row r="195" spans="12:24" ht="10.199999999999999" customHeight="1" x14ac:dyDescent="0.2">
      <c r="L195" s="412"/>
      <c r="M195" s="415"/>
      <c r="N195" s="421" t="str">
        <f>IFERROR(_xlfn.XLOOKUP(CONCATENATE($L195,N$5,$M$2),BASE_DATOS[Reporte NSK],BASE_DATOS[NSK],,0),"")</f>
        <v/>
      </c>
      <c r="O195" s="422" t="str">
        <f>IFERROR(_xlfn.XLOOKUP(CONCATENATE($L195,O$5,$M$2),BASE_DATOS[Reporte NSK],BASE_DATOS[NSK],,0),"")</f>
        <v/>
      </c>
      <c r="P195" s="445" t="str">
        <f>IFERROR(_xlfn.XLOOKUP(CONCATENATE($L195,P$5,$M$2),BASE_DATOS[Reporte NSK],BASE_DATOS[NSK],,0),"")</f>
        <v/>
      </c>
      <c r="Q195" s="422" t="str">
        <f>IFERROR(_xlfn.XLOOKUP(CONCATENATE($L195,Q$5,$M$2),BASE_DATOS[Reporte NSK],BASE_DATOS[NSK],,0),"")</f>
        <v/>
      </c>
      <c r="R195" s="422" t="str">
        <f>IFERROR(_xlfn.XLOOKUP(CONCATENATE($L195,R$5,$M$2),BASE_DATOS[Reporte NSK],BASE_DATOS[NSK],,0),"")</f>
        <v/>
      </c>
      <c r="S195" s="422" t="str">
        <f>IFERROR(_xlfn.XLOOKUP(CONCATENATE($L195,S$5,$M$2),BASE_DATOS[Reporte NSK],BASE_DATOS[NSK],,0),"")</f>
        <v/>
      </c>
      <c r="T195" s="422" t="str">
        <f>IFERROR(_xlfn.XLOOKUP(CONCATENATE($L195,T$5,$M$2),BASE_DATOS[Reporte NSK],BASE_DATOS[NSK],,0),"")</f>
        <v/>
      </c>
      <c r="U195" s="422" t="str">
        <f>IFERROR(_xlfn.XLOOKUP(CONCATENATE($L195,U$5,$M$2),BASE_DATOS[Reporte NSK],BASE_DATOS[NSK],,0),"")</f>
        <v/>
      </c>
      <c r="V195" s="422" t="str">
        <f>IFERROR(_xlfn.XLOOKUP(CONCATENATE($L195,V$5,$M$2),BASE_DATOS[Reporte NSK],BASE_DATOS[NSK],,0),"")</f>
        <v/>
      </c>
      <c r="W195" s="436" t="str">
        <f>IFERROR(_xlfn.XLOOKUP(CONCATENATE($L195,W$5,$M$2),BASE_DATOS[Reporte NSK],BASE_DATOS[NSK],,0),"")</f>
        <v/>
      </c>
      <c r="X195" s="418" t="str">
        <f t="shared" si="6"/>
        <v/>
      </c>
    </row>
    <row r="196" spans="12:24" ht="10.199999999999999" customHeight="1" x14ac:dyDescent="0.2">
      <c r="L196" s="412"/>
      <c r="M196" s="415"/>
      <c r="N196" s="421" t="str">
        <f>IFERROR(_xlfn.XLOOKUP(CONCATENATE($L196,N$5,$M$2),BASE_DATOS[Reporte NSK],BASE_DATOS[NSK],,0),"")</f>
        <v/>
      </c>
      <c r="O196" s="422" t="str">
        <f>IFERROR(_xlfn.XLOOKUP(CONCATENATE($L196,O$5,$M$2),BASE_DATOS[Reporte NSK],BASE_DATOS[NSK],,0),"")</f>
        <v/>
      </c>
      <c r="P196" s="445" t="str">
        <f>IFERROR(_xlfn.XLOOKUP(CONCATENATE($L196,P$5,$M$2),BASE_DATOS[Reporte NSK],BASE_DATOS[NSK],,0),"")</f>
        <v/>
      </c>
      <c r="Q196" s="422" t="str">
        <f>IFERROR(_xlfn.XLOOKUP(CONCATENATE($L196,Q$5,$M$2),BASE_DATOS[Reporte NSK],BASE_DATOS[NSK],,0),"")</f>
        <v/>
      </c>
      <c r="R196" s="422" t="str">
        <f>IFERROR(_xlfn.XLOOKUP(CONCATENATE($L196,R$5,$M$2),BASE_DATOS[Reporte NSK],BASE_DATOS[NSK],,0),"")</f>
        <v/>
      </c>
      <c r="S196" s="422" t="str">
        <f>IFERROR(_xlfn.XLOOKUP(CONCATENATE($L196,S$5,$M$2),BASE_DATOS[Reporte NSK],BASE_DATOS[NSK],,0),"")</f>
        <v/>
      </c>
      <c r="T196" s="422" t="str">
        <f>IFERROR(_xlfn.XLOOKUP(CONCATENATE($L196,T$5,$M$2),BASE_DATOS[Reporte NSK],BASE_DATOS[NSK],,0),"")</f>
        <v/>
      </c>
      <c r="U196" s="422" t="str">
        <f>IFERROR(_xlfn.XLOOKUP(CONCATENATE($L196,U$5,$M$2),BASE_DATOS[Reporte NSK],BASE_DATOS[NSK],,0),"")</f>
        <v/>
      </c>
      <c r="V196" s="422" t="str">
        <f>IFERROR(_xlfn.XLOOKUP(CONCATENATE($L196,V$5,$M$2),BASE_DATOS[Reporte NSK],BASE_DATOS[NSK],,0),"")</f>
        <v/>
      </c>
      <c r="W196" s="436" t="str">
        <f>IFERROR(_xlfn.XLOOKUP(CONCATENATE($L196,W$5,$M$2),BASE_DATOS[Reporte NSK],BASE_DATOS[NSK],,0),"")</f>
        <v/>
      </c>
      <c r="X196" s="418" t="str">
        <f t="shared" si="6"/>
        <v/>
      </c>
    </row>
    <row r="197" spans="12:24" ht="10.199999999999999" customHeight="1" x14ac:dyDescent="0.2">
      <c r="L197" s="412"/>
      <c r="M197" s="415"/>
      <c r="N197" s="421" t="str">
        <f>IFERROR(_xlfn.XLOOKUP(CONCATENATE($L197,N$5,$M$2),BASE_DATOS[Reporte NSK],BASE_DATOS[NSK],,0),"")</f>
        <v/>
      </c>
      <c r="O197" s="422" t="str">
        <f>IFERROR(_xlfn.XLOOKUP(CONCATENATE($L197,O$5,$M$2),BASE_DATOS[Reporte NSK],BASE_DATOS[NSK],,0),"")</f>
        <v/>
      </c>
      <c r="P197" s="445" t="str">
        <f>IFERROR(_xlfn.XLOOKUP(CONCATENATE($L197,P$5,$M$2),BASE_DATOS[Reporte NSK],BASE_DATOS[NSK],,0),"")</f>
        <v/>
      </c>
      <c r="Q197" s="422" t="str">
        <f>IFERROR(_xlfn.XLOOKUP(CONCATENATE($L197,Q$5,$M$2),BASE_DATOS[Reporte NSK],BASE_DATOS[NSK],,0),"")</f>
        <v/>
      </c>
      <c r="R197" s="422" t="str">
        <f>IFERROR(_xlfn.XLOOKUP(CONCATENATE($L197,R$5,$M$2),BASE_DATOS[Reporte NSK],BASE_DATOS[NSK],,0),"")</f>
        <v/>
      </c>
      <c r="S197" s="422" t="str">
        <f>IFERROR(_xlfn.XLOOKUP(CONCATENATE($L197,S$5,$M$2),BASE_DATOS[Reporte NSK],BASE_DATOS[NSK],,0),"")</f>
        <v/>
      </c>
      <c r="T197" s="422" t="str">
        <f>IFERROR(_xlfn.XLOOKUP(CONCATENATE($L197,T$5,$M$2),BASE_DATOS[Reporte NSK],BASE_DATOS[NSK],,0),"")</f>
        <v/>
      </c>
      <c r="U197" s="422" t="str">
        <f>IFERROR(_xlfn.XLOOKUP(CONCATENATE($L197,U$5,$M$2),BASE_DATOS[Reporte NSK],BASE_DATOS[NSK],,0),"")</f>
        <v/>
      </c>
      <c r="V197" s="422" t="str">
        <f>IFERROR(_xlfn.XLOOKUP(CONCATENATE($L197,V$5,$M$2),BASE_DATOS[Reporte NSK],BASE_DATOS[NSK],,0),"")</f>
        <v/>
      </c>
      <c r="W197" s="436" t="str">
        <f>IFERROR(_xlfn.XLOOKUP(CONCATENATE($L197,W$5,$M$2),BASE_DATOS[Reporte NSK],BASE_DATOS[NSK],,0),"")</f>
        <v/>
      </c>
      <c r="X197" s="418" t="str">
        <f t="shared" si="6"/>
        <v/>
      </c>
    </row>
    <row r="198" spans="12:24" ht="10.199999999999999" customHeight="1" x14ac:dyDescent="0.2">
      <c r="L198" s="412"/>
      <c r="M198" s="415"/>
      <c r="N198" s="421" t="str">
        <f>IFERROR(_xlfn.XLOOKUP(CONCATENATE($L198,N$5,$M$2),BASE_DATOS[Reporte NSK],BASE_DATOS[NSK],,0),"")</f>
        <v/>
      </c>
      <c r="O198" s="422" t="str">
        <f>IFERROR(_xlfn.XLOOKUP(CONCATENATE($L198,O$5,$M$2),BASE_DATOS[Reporte NSK],BASE_DATOS[NSK],,0),"")</f>
        <v/>
      </c>
      <c r="P198" s="445" t="str">
        <f>IFERROR(_xlfn.XLOOKUP(CONCATENATE($L198,P$5,$M$2),BASE_DATOS[Reporte NSK],BASE_DATOS[NSK],,0),"")</f>
        <v/>
      </c>
      <c r="Q198" s="422" t="str">
        <f>IFERROR(_xlfn.XLOOKUP(CONCATENATE($L198,Q$5,$M$2),BASE_DATOS[Reporte NSK],BASE_DATOS[NSK],,0),"")</f>
        <v/>
      </c>
      <c r="R198" s="422" t="str">
        <f>IFERROR(_xlfn.XLOOKUP(CONCATENATE($L198,R$5,$M$2),BASE_DATOS[Reporte NSK],BASE_DATOS[NSK],,0),"")</f>
        <v/>
      </c>
      <c r="S198" s="422" t="str">
        <f>IFERROR(_xlfn.XLOOKUP(CONCATENATE($L198,S$5,$M$2),BASE_DATOS[Reporte NSK],BASE_DATOS[NSK],,0),"")</f>
        <v/>
      </c>
      <c r="T198" s="422" t="str">
        <f>IFERROR(_xlfn.XLOOKUP(CONCATENATE($L198,T$5,$M$2),BASE_DATOS[Reporte NSK],BASE_DATOS[NSK],,0),"")</f>
        <v/>
      </c>
      <c r="U198" s="422" t="str">
        <f>IFERROR(_xlfn.XLOOKUP(CONCATENATE($L198,U$5,$M$2),BASE_DATOS[Reporte NSK],BASE_DATOS[NSK],,0),"")</f>
        <v/>
      </c>
      <c r="V198" s="422" t="str">
        <f>IFERROR(_xlfn.XLOOKUP(CONCATENATE($L198,V$5,$M$2),BASE_DATOS[Reporte NSK],BASE_DATOS[NSK],,0),"")</f>
        <v/>
      </c>
      <c r="W198" s="436" t="str">
        <f>IFERROR(_xlfn.XLOOKUP(CONCATENATE($L198,W$5,$M$2),BASE_DATOS[Reporte NSK],BASE_DATOS[NSK],,0),"")</f>
        <v/>
      </c>
      <c r="X198" s="418" t="str">
        <f t="shared" ref="X198:X229" si="7">IF(COUNT(N198:W198)&gt;0,COUNT(N198:W198),"")</f>
        <v/>
      </c>
    </row>
    <row r="199" spans="12:24" ht="10.199999999999999" customHeight="1" x14ac:dyDescent="0.2">
      <c r="L199" s="412"/>
      <c r="M199" s="415"/>
      <c r="N199" s="421" t="str">
        <f>IFERROR(_xlfn.XLOOKUP(CONCATENATE($L199,N$5,$M$2),BASE_DATOS[Reporte NSK],BASE_DATOS[NSK],,0),"")</f>
        <v/>
      </c>
      <c r="O199" s="422" t="str">
        <f>IFERROR(_xlfn.XLOOKUP(CONCATENATE($L199,O$5,$M$2),BASE_DATOS[Reporte NSK],BASE_DATOS[NSK],,0),"")</f>
        <v/>
      </c>
      <c r="P199" s="445" t="str">
        <f>IFERROR(_xlfn.XLOOKUP(CONCATENATE($L199,P$5,$M$2),BASE_DATOS[Reporte NSK],BASE_DATOS[NSK],,0),"")</f>
        <v/>
      </c>
      <c r="Q199" s="422" t="str">
        <f>IFERROR(_xlfn.XLOOKUP(CONCATENATE($L199,Q$5,$M$2),BASE_DATOS[Reporte NSK],BASE_DATOS[NSK],,0),"")</f>
        <v/>
      </c>
      <c r="R199" s="422" t="str">
        <f>IFERROR(_xlfn.XLOOKUP(CONCATENATE($L199,R$5,$M$2),BASE_DATOS[Reporte NSK],BASE_DATOS[NSK],,0),"")</f>
        <v/>
      </c>
      <c r="S199" s="422" t="str">
        <f>IFERROR(_xlfn.XLOOKUP(CONCATENATE($L199,S$5,$M$2),BASE_DATOS[Reporte NSK],BASE_DATOS[NSK],,0),"")</f>
        <v/>
      </c>
      <c r="T199" s="422" t="str">
        <f>IFERROR(_xlfn.XLOOKUP(CONCATENATE($L199,T$5,$M$2),BASE_DATOS[Reporte NSK],BASE_DATOS[NSK],,0),"")</f>
        <v/>
      </c>
      <c r="U199" s="422" t="str">
        <f>IFERROR(_xlfn.XLOOKUP(CONCATENATE($L199,U$5,$M$2),BASE_DATOS[Reporte NSK],BASE_DATOS[NSK],,0),"")</f>
        <v/>
      </c>
      <c r="V199" s="422" t="str">
        <f>IFERROR(_xlfn.XLOOKUP(CONCATENATE($L199,V$5,$M$2),BASE_DATOS[Reporte NSK],BASE_DATOS[NSK],,0),"")</f>
        <v/>
      </c>
      <c r="W199" s="436" t="str">
        <f>IFERROR(_xlfn.XLOOKUP(CONCATENATE($L199,W$5,$M$2),BASE_DATOS[Reporte NSK],BASE_DATOS[NSK],,0),"")</f>
        <v/>
      </c>
      <c r="X199" s="418" t="str">
        <f t="shared" si="7"/>
        <v/>
      </c>
    </row>
    <row r="200" spans="12:24" ht="10.199999999999999" customHeight="1" x14ac:dyDescent="0.2">
      <c r="L200" s="412"/>
      <c r="M200" s="415"/>
      <c r="N200" s="421" t="str">
        <f>IFERROR(_xlfn.XLOOKUP(CONCATENATE($L200,N$5,$M$2),BASE_DATOS[Reporte NSK],BASE_DATOS[NSK],,0),"")</f>
        <v/>
      </c>
      <c r="O200" s="422" t="str">
        <f>IFERROR(_xlfn.XLOOKUP(CONCATENATE($L200,O$5,$M$2),BASE_DATOS[Reporte NSK],BASE_DATOS[NSK],,0),"")</f>
        <v/>
      </c>
      <c r="P200" s="445" t="str">
        <f>IFERROR(_xlfn.XLOOKUP(CONCATENATE($L200,P$5,$M$2),BASE_DATOS[Reporte NSK],BASE_DATOS[NSK],,0),"")</f>
        <v/>
      </c>
      <c r="Q200" s="422" t="str">
        <f>IFERROR(_xlfn.XLOOKUP(CONCATENATE($L200,Q$5,$M$2),BASE_DATOS[Reporte NSK],BASE_DATOS[NSK],,0),"")</f>
        <v/>
      </c>
      <c r="R200" s="422" t="str">
        <f>IFERROR(_xlfn.XLOOKUP(CONCATENATE($L200,R$5,$M$2),BASE_DATOS[Reporte NSK],BASE_DATOS[NSK],,0),"")</f>
        <v/>
      </c>
      <c r="S200" s="422" t="str">
        <f>IFERROR(_xlfn.XLOOKUP(CONCATENATE($L200,S$5,$M$2),BASE_DATOS[Reporte NSK],BASE_DATOS[NSK],,0),"")</f>
        <v/>
      </c>
      <c r="T200" s="422" t="str">
        <f>IFERROR(_xlfn.XLOOKUP(CONCATENATE($L200,T$5,$M$2),BASE_DATOS[Reporte NSK],BASE_DATOS[NSK],,0),"")</f>
        <v/>
      </c>
      <c r="U200" s="422" t="str">
        <f>IFERROR(_xlfn.XLOOKUP(CONCATENATE($L200,U$5,$M$2),BASE_DATOS[Reporte NSK],BASE_DATOS[NSK],,0),"")</f>
        <v/>
      </c>
      <c r="V200" s="422" t="str">
        <f>IFERROR(_xlfn.XLOOKUP(CONCATENATE($L200,V$5,$M$2),BASE_DATOS[Reporte NSK],BASE_DATOS[NSK],,0),"")</f>
        <v/>
      </c>
      <c r="W200" s="436" t="str">
        <f>IFERROR(_xlfn.XLOOKUP(CONCATENATE($L200,W$5,$M$2),BASE_DATOS[Reporte NSK],BASE_DATOS[NSK],,0),"")</f>
        <v/>
      </c>
      <c r="X200" s="418" t="str">
        <f t="shared" si="7"/>
        <v/>
      </c>
    </row>
    <row r="201" spans="12:24" ht="10.199999999999999" customHeight="1" x14ac:dyDescent="0.2">
      <c r="L201" s="389"/>
      <c r="M201" s="389"/>
    </row>
    <row r="202" spans="12:24" ht="10.199999999999999" customHeight="1" x14ac:dyDescent="0.2">
      <c r="L202" s="389"/>
      <c r="M202" s="389"/>
    </row>
    <row r="203" spans="12:24" ht="10.199999999999999" customHeight="1" x14ac:dyDescent="0.2">
      <c r="L203" s="389"/>
      <c r="M203" s="389"/>
    </row>
    <row r="204" spans="12:24" ht="10.199999999999999" customHeight="1" x14ac:dyDescent="0.2">
      <c r="L204" s="389"/>
      <c r="M204" s="389"/>
    </row>
    <row r="205" spans="12:24" ht="10.199999999999999" customHeight="1" x14ac:dyDescent="0.2">
      <c r="L205" s="389"/>
      <c r="M205" s="389"/>
    </row>
    <row r="206" spans="12:24" ht="10.199999999999999" customHeight="1" x14ac:dyDescent="0.2">
      <c r="L206" s="389"/>
      <c r="M206" s="389"/>
    </row>
    <row r="207" spans="12:24" ht="10.199999999999999" customHeight="1" x14ac:dyDescent="0.2">
      <c r="L207" s="389"/>
      <c r="M207" s="389"/>
    </row>
    <row r="208" spans="12:24" ht="10.199999999999999" customHeight="1" x14ac:dyDescent="0.2">
      <c r="L208" s="389"/>
      <c r="M208" s="389"/>
    </row>
    <row r="209" spans="12:13" ht="10.199999999999999" customHeight="1" x14ac:dyDescent="0.2">
      <c r="L209" s="389"/>
      <c r="M209" s="389"/>
    </row>
    <row r="210" spans="12:13" ht="10.199999999999999" customHeight="1" x14ac:dyDescent="0.2">
      <c r="L210" s="389"/>
      <c r="M210" s="389"/>
    </row>
    <row r="211" spans="12:13" ht="10.199999999999999" customHeight="1" x14ac:dyDescent="0.2">
      <c r="L211" s="389"/>
      <c r="M211" s="389"/>
    </row>
    <row r="212" spans="12:13" ht="10.199999999999999" customHeight="1" x14ac:dyDescent="0.2">
      <c r="L212" s="389"/>
      <c r="M212" s="389"/>
    </row>
    <row r="213" spans="12:13" ht="10.199999999999999" customHeight="1" x14ac:dyDescent="0.2">
      <c r="L213" s="389"/>
      <c r="M213" s="389"/>
    </row>
    <row r="214" spans="12:13" ht="10.199999999999999" customHeight="1" x14ac:dyDescent="0.2">
      <c r="L214" s="389"/>
      <c r="M214" s="389"/>
    </row>
    <row r="215" spans="12:13" ht="10.199999999999999" customHeight="1" x14ac:dyDescent="0.2">
      <c r="L215" s="389"/>
      <c r="M215" s="389"/>
    </row>
    <row r="216" spans="12:13" ht="10.199999999999999" customHeight="1" x14ac:dyDescent="0.2">
      <c r="L216" s="389"/>
      <c r="M216" s="389"/>
    </row>
    <row r="217" spans="12:13" ht="10.199999999999999" customHeight="1" x14ac:dyDescent="0.2">
      <c r="L217" s="389"/>
      <c r="M217" s="389"/>
    </row>
    <row r="218" spans="12:13" ht="10.199999999999999" customHeight="1" x14ac:dyDescent="0.2">
      <c r="L218" s="389"/>
      <c r="M218" s="389"/>
    </row>
    <row r="219" spans="12:13" ht="10.199999999999999" customHeight="1" x14ac:dyDescent="0.2">
      <c r="L219" s="389"/>
      <c r="M219" s="389"/>
    </row>
    <row r="220" spans="12:13" ht="10.199999999999999" customHeight="1" x14ac:dyDescent="0.2">
      <c r="L220" s="389"/>
      <c r="M220" s="389"/>
    </row>
    <row r="221" spans="12:13" ht="10.199999999999999" customHeight="1" x14ac:dyDescent="0.2">
      <c r="L221" s="389"/>
      <c r="M221" s="389"/>
    </row>
    <row r="222" spans="12:13" ht="10.199999999999999" customHeight="1" x14ac:dyDescent="0.2">
      <c r="L222" s="389"/>
      <c r="M222" s="389"/>
    </row>
    <row r="223" spans="12:13" ht="10.199999999999999" customHeight="1" x14ac:dyDescent="0.2">
      <c r="L223" s="389"/>
      <c r="M223" s="389"/>
    </row>
    <row r="224" spans="12:13" ht="10.199999999999999" customHeight="1" x14ac:dyDescent="0.2">
      <c r="L224" s="389"/>
      <c r="M224" s="389"/>
    </row>
  </sheetData>
  <mergeCells count="4">
    <mergeCell ref="D3:F4"/>
    <mergeCell ref="G3:H3"/>
    <mergeCell ref="N4:W4"/>
    <mergeCell ref="D2:H2"/>
  </mergeCells>
  <conditionalFormatting sqref="N6:W68">
    <cfRule type="cellIs" dxfId="7" priority="23918" operator="greaterThanOrEqual">
      <formula>$A$4</formula>
    </cfRule>
    <cfRule type="cellIs" dxfId="6" priority="23919" operator="between">
      <formula>$A$3</formula>
      <formula>$B$3</formula>
    </cfRule>
    <cfRule type="cellIs" dxfId="5" priority="23920" operator="lessThanOrEqual">
      <formula>$A$2</formula>
    </cfRule>
  </conditionalFormatting>
  <dataValidations count="1">
    <dataValidation type="list" allowBlank="1" showInputMessage="1" showErrorMessage="1" sqref="B1:K1" xr:uid="{13DA9EFB-F39E-4442-AAEE-03D9EDBC2D53}">
      <formula1>_xlfn.ANCHORARRAY(#REF!)</formula1>
    </dataValidation>
  </dataValidations>
  <pageMargins left="0.7" right="0.7" top="0.75" bottom="0.75" header="0.3" footer="0.3"/>
  <pageSetup orientation="portrait" horizontalDpi="4294967293" verticalDpi="0" r:id="rId2"/>
  <ignoredErrors>
    <ignoredError sqref="F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3B98-45BF-4AC5-85CA-16EDEF80F9BA}">
  <sheetPr>
    <tabColor theme="5" tint="0.39997558519241921"/>
  </sheetPr>
  <dimension ref="A1:BS224"/>
  <sheetViews>
    <sheetView showGridLines="0" workbookViewId="0"/>
  </sheetViews>
  <sheetFormatPr baseColWidth="10" defaultColWidth="11.5546875" defaultRowHeight="10.199999999999999" customHeight="1" x14ac:dyDescent="0.3"/>
  <cols>
    <col min="1" max="3" width="7.88671875" style="108" customWidth="1"/>
    <col min="4" max="4" width="4.77734375" style="108" customWidth="1"/>
    <col min="5" max="5" width="2.77734375" style="108" customWidth="1"/>
    <col min="6" max="6" width="3.77734375" style="108" customWidth="1"/>
    <col min="7" max="7" width="10.77734375" style="108" customWidth="1"/>
    <col min="8" max="8" width="1.88671875" style="108" customWidth="1"/>
    <col min="9" max="9" width="10.77734375" style="108" customWidth="1"/>
    <col min="10" max="10" width="7.88671875" style="108" customWidth="1"/>
    <col min="11" max="11" width="11.109375" style="108" customWidth="1"/>
    <col min="12" max="12" width="10" style="108" bestFit="1" customWidth="1"/>
    <col min="13" max="20" width="4.77734375" style="152" customWidth="1"/>
    <col min="21" max="21" width="6.6640625" style="108" customWidth="1"/>
    <col min="22" max="22" width="5.77734375" style="108" customWidth="1"/>
    <col min="23" max="23" width="11.5546875" style="108"/>
    <col min="24" max="24" width="5.77734375" style="108" customWidth="1"/>
    <col min="25" max="25" width="2.77734375" style="108" customWidth="1"/>
    <col min="26" max="26" width="5.77734375" style="108" customWidth="1"/>
    <col min="27" max="16384" width="11.5546875" style="108"/>
  </cols>
  <sheetData>
    <row r="1" spans="1:30" ht="10.199999999999999" customHeight="1" x14ac:dyDescent="0.3">
      <c r="A1" s="417" t="s">
        <v>506</v>
      </c>
      <c r="B1" s="393"/>
      <c r="C1" s="393"/>
      <c r="D1" s="393"/>
      <c r="E1" s="393"/>
      <c r="F1" s="393"/>
      <c r="G1" s="393"/>
      <c r="H1" s="393"/>
      <c r="I1" s="393"/>
      <c r="J1" s="393"/>
      <c r="K1" s="394"/>
      <c r="L1" s="394"/>
      <c r="U1" s="394"/>
    </row>
    <row r="2" spans="1:30" ht="15.6" x14ac:dyDescent="0.2">
      <c r="A2" s="110">
        <v>6</v>
      </c>
      <c r="D2" s="524" t="s">
        <v>269</v>
      </c>
      <c r="E2" s="524"/>
      <c r="F2" s="524"/>
      <c r="G2" s="524"/>
      <c r="H2" s="451"/>
      <c r="K2" s="403" t="s">
        <v>43</v>
      </c>
      <c r="L2" s="404" t="s">
        <v>62</v>
      </c>
      <c r="T2" s="446" t="s">
        <v>507</v>
      </c>
      <c r="U2" s="447">
        <f>SUM(U6:U200)</f>
        <v>373</v>
      </c>
      <c r="W2" s="142" t="s">
        <v>510</v>
      </c>
      <c r="AD2" s="395"/>
    </row>
    <row r="3" spans="1:30" x14ac:dyDescent="0.2">
      <c r="A3" s="111">
        <v>7</v>
      </c>
      <c r="B3" s="113">
        <v>9</v>
      </c>
      <c r="C3" s="428"/>
      <c r="D3" s="515" t="s">
        <v>493</v>
      </c>
      <c r="E3" s="515"/>
      <c r="F3" s="516"/>
      <c r="G3" s="429" t="s">
        <v>69</v>
      </c>
      <c r="H3" s="107"/>
      <c r="I3" s="428"/>
      <c r="J3" s="428"/>
      <c r="K3" s="403" t="s">
        <v>504</v>
      </c>
      <c r="L3" s="404" t="s">
        <v>295</v>
      </c>
      <c r="M3" s="143" t="str">
        <f t="shared" ref="M3:T3" si="0">IF(COUNT(M6:M56)=0,"X","")</f>
        <v/>
      </c>
      <c r="N3" s="143" t="str">
        <f t="shared" si="0"/>
        <v/>
      </c>
      <c r="O3" s="143" t="str">
        <f t="shared" si="0"/>
        <v/>
      </c>
      <c r="P3" s="143" t="str">
        <f t="shared" si="0"/>
        <v/>
      </c>
      <c r="Q3" s="143" t="str">
        <f t="shared" si="0"/>
        <v/>
      </c>
      <c r="R3" s="143" t="str">
        <f t="shared" si="0"/>
        <v/>
      </c>
      <c r="S3" s="143" t="str">
        <f t="shared" si="0"/>
        <v/>
      </c>
      <c r="T3" s="143" t="str">
        <f t="shared" si="0"/>
        <v/>
      </c>
      <c r="W3" s="142" t="s">
        <v>511</v>
      </c>
      <c r="AD3" s="396"/>
    </row>
    <row r="4" spans="1:30" ht="10.199999999999999" customHeight="1" x14ac:dyDescent="0.3">
      <c r="A4" s="112">
        <v>10</v>
      </c>
      <c r="D4" s="517"/>
      <c r="E4" s="517"/>
      <c r="F4" s="518"/>
      <c r="G4" s="429" t="s">
        <v>86</v>
      </c>
      <c r="H4" s="107"/>
      <c r="I4" s="448" t="s">
        <v>508</v>
      </c>
      <c r="K4" s="407"/>
      <c r="L4" s="407"/>
      <c r="M4" s="521" t="s">
        <v>80</v>
      </c>
      <c r="N4" s="522"/>
      <c r="O4" s="522"/>
      <c r="P4" s="522"/>
      <c r="Q4" s="522"/>
      <c r="R4" s="522"/>
      <c r="S4" s="522"/>
      <c r="T4" s="523"/>
      <c r="U4" s="430"/>
    </row>
    <row r="5" spans="1:30" ht="13.2" x14ac:dyDescent="0.2">
      <c r="D5" s="397">
        <v>0</v>
      </c>
      <c r="E5" s="397" t="s">
        <v>474</v>
      </c>
      <c r="F5" s="398">
        <f>A2</f>
        <v>6</v>
      </c>
      <c r="G5" s="452">
        <f>COUNTIFS($M$6:$R$200,"&lt;="&amp;$F$5)</f>
        <v>6</v>
      </c>
      <c r="H5" s="143"/>
      <c r="I5" s="467">
        <f>COUNTIFS($S$6:$S$200,"&lt;="&amp;$F$5)</f>
        <v>7</v>
      </c>
      <c r="K5" s="437" t="s">
        <v>502</v>
      </c>
      <c r="L5" s="438" t="s">
        <v>503</v>
      </c>
      <c r="M5" s="439">
        <v>1</v>
      </c>
      <c r="N5" s="439">
        <v>2</v>
      </c>
      <c r="O5" s="456">
        <v>3</v>
      </c>
      <c r="P5" s="439">
        <v>4</v>
      </c>
      <c r="Q5" s="439">
        <v>5</v>
      </c>
      <c r="R5" s="439">
        <v>6</v>
      </c>
      <c r="S5" s="457" t="s">
        <v>509</v>
      </c>
      <c r="T5" s="458" t="s">
        <v>108</v>
      </c>
      <c r="U5" s="431" t="s">
        <v>69</v>
      </c>
    </row>
    <row r="6" spans="1:30" ht="13.2" x14ac:dyDescent="0.2">
      <c r="D6" s="399">
        <f>A3</f>
        <v>7</v>
      </c>
      <c r="E6" s="399" t="s">
        <v>474</v>
      </c>
      <c r="F6" s="400">
        <f>B3</f>
        <v>9</v>
      </c>
      <c r="G6" s="453">
        <f>COUNTIFS($M$6:$R$200,"&gt;="&amp;$D$6,$M$6:$R$200,"&lt;="&amp;$F$6)</f>
        <v>58</v>
      </c>
      <c r="H6" s="428"/>
      <c r="I6" s="449">
        <f>COUNTIFS($S$6:$S$200,"&gt;="&amp;$D$6,$S$6:$S$200,"&lt;="&amp;$F$6)</f>
        <v>16</v>
      </c>
      <c r="K6" s="455" t="s">
        <v>111</v>
      </c>
      <c r="L6" s="414" t="s">
        <v>112</v>
      </c>
      <c r="M6" s="425">
        <f>IFERROR(_xlfn.XLOOKUP(CONCATENATE($K6,M$5,$L$2),BASE_DATOS[Reporte NSK],BASE_DATOS[NSK],,0),"")</f>
        <v>7</v>
      </c>
      <c r="N6" s="426">
        <f>IFERROR(_xlfn.XLOOKUP(CONCATENATE($K6,N$5,$L$2),BASE_DATOS[Reporte NSK],BASE_DATOS[NSK],,0),"")</f>
        <v>7</v>
      </c>
      <c r="O6" s="426">
        <f>IFERROR(_xlfn.XLOOKUP(CONCATENATE($K6,O$5,$L$2),BASE_DATOS[Reporte NSK],BASE_DATOS[NSK],,0),"")</f>
        <v>13</v>
      </c>
      <c r="P6" s="426">
        <f>IFERROR(_xlfn.XLOOKUP(CONCATENATE($K6,P$5,$L$2),BASE_DATOS[Reporte NSK],BASE_DATOS[NSK],,0),"")</f>
        <v>14</v>
      </c>
      <c r="Q6" s="426">
        <f>IFERROR(_xlfn.XLOOKUP(CONCATENATE($K6,Q$5,$L$2),BASE_DATOS[Reporte NSK],BASE_DATOS[NSK],,0),"")</f>
        <v>13</v>
      </c>
      <c r="R6" s="426">
        <f>IFERROR(_xlfn.XLOOKUP(CONCATENATE($K6,R$5,$L$2),BASE_DATOS[Reporte NSK],BASE_DATOS[NSK],,0),"")</f>
        <v>10</v>
      </c>
      <c r="S6" s="459">
        <f>IFERROR(_xlfn.XLOOKUP(CONCATENATE($K6,S$5,$L$2),BASE_DATOS[Reporte NSK],BASE_DATOS[NSK],,0),"")</f>
        <v>7</v>
      </c>
      <c r="T6" s="460">
        <f>IFERROR(_xlfn.XLOOKUP(CONCATENATE($K6,T$5,$L$2),BASE_DATOS[Reporte NSK],BASE_DATOS[NSK],,0),"")</f>
        <v>7</v>
      </c>
      <c r="U6" s="432">
        <f t="shared" ref="U6:U37" si="1">IF(COUNT(M6:T6)&gt;0,COUNT(M6:T6),"")</f>
        <v>8</v>
      </c>
    </row>
    <row r="7" spans="1:30" ht="13.2" x14ac:dyDescent="0.2">
      <c r="D7" s="401" t="s">
        <v>494</v>
      </c>
      <c r="E7" s="401" t="s">
        <v>474</v>
      </c>
      <c r="F7" s="402">
        <f>A4</f>
        <v>10</v>
      </c>
      <c r="G7" s="454">
        <f>COUNTIFS($M$6:$R$200,"&gt;="&amp;$F$7)</f>
        <v>218</v>
      </c>
      <c r="H7" s="409"/>
      <c r="I7" s="450">
        <f>COUNTIFS($S$6:$S$200,"&gt;="&amp;$F$7)</f>
        <v>23</v>
      </c>
      <c r="K7" s="412" t="s">
        <v>115</v>
      </c>
      <c r="L7" s="415" t="s">
        <v>116</v>
      </c>
      <c r="M7" s="423">
        <f>IFERROR(_xlfn.XLOOKUP(CONCATENATE($K7,M$5,$L$2),BASE_DATOS[Reporte NSK],BASE_DATOS[NSK],,0),"")</f>
        <v>11</v>
      </c>
      <c r="N7" s="424">
        <f>IFERROR(_xlfn.XLOOKUP(CONCATENATE($K7,N$5,$L$2),BASE_DATOS[Reporte NSK],BASE_DATOS[NSK],,0),"")</f>
        <v>11</v>
      </c>
      <c r="O7" s="424">
        <f>IFERROR(_xlfn.XLOOKUP(CONCATENATE($K7,O$5,$L$2),BASE_DATOS[Reporte NSK],BASE_DATOS[NSK],,0),"")</f>
        <v>10</v>
      </c>
      <c r="P7" s="424">
        <f>IFERROR(_xlfn.XLOOKUP(CONCATENATE($K7,P$5,$L$2),BASE_DATOS[Reporte NSK],BASE_DATOS[NSK],,0),"")</f>
        <v>12</v>
      </c>
      <c r="Q7" s="424">
        <f>IFERROR(_xlfn.XLOOKUP(CONCATENATE($K7,Q$5,$L$2),BASE_DATOS[Reporte NSK],BASE_DATOS[NSK],,0),"")</f>
        <v>19</v>
      </c>
      <c r="R7" s="424">
        <f>IFERROR(_xlfn.XLOOKUP(CONCATENATE($K7,R$5,$L$2),BASE_DATOS[Reporte NSK],BASE_DATOS[NSK],,0),"")</f>
        <v>19</v>
      </c>
      <c r="S7" s="461">
        <f>IFERROR(_xlfn.XLOOKUP(CONCATENATE($K7,S$5,$L$2),BASE_DATOS[Reporte NSK],BASE_DATOS[NSK],,0),"")</f>
        <v>8</v>
      </c>
      <c r="T7" s="462">
        <f>IFERROR(_xlfn.XLOOKUP(CONCATENATE($K7,T$5,$L$2),BASE_DATOS[Reporte NSK],BASE_DATOS[NSK],,0),"")</f>
        <v>13</v>
      </c>
      <c r="U7" s="418">
        <f t="shared" si="1"/>
        <v>8</v>
      </c>
    </row>
    <row r="8" spans="1:30" x14ac:dyDescent="0.2">
      <c r="D8" s="405"/>
      <c r="E8" s="405"/>
      <c r="F8" s="405"/>
      <c r="G8" s="406">
        <f>SUM(G5:G7)</f>
        <v>282</v>
      </c>
      <c r="H8" s="152"/>
      <c r="I8" s="406">
        <f>SUM(I5:I7)</f>
        <v>46</v>
      </c>
      <c r="K8" s="412" t="s">
        <v>119</v>
      </c>
      <c r="L8" s="415" t="s">
        <v>120</v>
      </c>
      <c r="M8" s="419">
        <f>IFERROR(_xlfn.XLOOKUP(CONCATENATE($K8,M$5,$L$2),BASE_DATOS[Reporte NSK],BASE_DATOS[NSK],,0),"")</f>
        <v>16</v>
      </c>
      <c r="N8" s="420">
        <f>IFERROR(_xlfn.XLOOKUP(CONCATENATE($K8,N$5,$L$2),BASE_DATOS[Reporte NSK],BASE_DATOS[NSK],,0),"")</f>
        <v>15</v>
      </c>
      <c r="O8" s="420">
        <f>IFERROR(_xlfn.XLOOKUP(CONCATENATE($K8,O$5,$L$2),BASE_DATOS[Reporte NSK],BASE_DATOS[NSK],,0),"")</f>
        <v>9</v>
      </c>
      <c r="P8" s="420">
        <f>IFERROR(_xlfn.XLOOKUP(CONCATENATE($K8,P$5,$L$2),BASE_DATOS[Reporte NSK],BASE_DATOS[NSK],,0),"")</f>
        <v>7</v>
      </c>
      <c r="Q8" s="420">
        <f>IFERROR(_xlfn.XLOOKUP(CONCATENATE($K8,Q$5,$L$2),BASE_DATOS[Reporte NSK],BASE_DATOS[NSK],,0),"")</f>
        <v>13</v>
      </c>
      <c r="R8" s="420">
        <f>IFERROR(_xlfn.XLOOKUP(CONCATENATE($K8,R$5,$L$2),BASE_DATOS[Reporte NSK],BASE_DATOS[NSK],,0),"")</f>
        <v>13</v>
      </c>
      <c r="S8" s="463">
        <f>IFERROR(_xlfn.XLOOKUP(CONCATENATE($K8,S$5,$L$2),BASE_DATOS[Reporte NSK],BASE_DATOS[NSK],,0),"")</f>
        <v>6</v>
      </c>
      <c r="T8" s="464">
        <f>IFERROR(_xlfn.XLOOKUP(CONCATENATE($K8,T$5,$L$2),BASE_DATOS[Reporte NSK],BASE_DATOS[NSK],,0),"")</f>
        <v>7</v>
      </c>
      <c r="U8" s="418">
        <f t="shared" si="1"/>
        <v>8</v>
      </c>
    </row>
    <row r="9" spans="1:30" x14ac:dyDescent="0.2">
      <c r="K9" s="412" t="s">
        <v>127</v>
      </c>
      <c r="L9" s="415" t="s">
        <v>128</v>
      </c>
      <c r="M9" s="419">
        <f>IFERROR(_xlfn.XLOOKUP(CONCATENATE($K9,M$5,$L$2),BASE_DATOS[Reporte NSK],BASE_DATOS[NSK],,0),"")</f>
        <v>14</v>
      </c>
      <c r="N9" s="420">
        <f>IFERROR(_xlfn.XLOOKUP(CONCATENATE($K9,N$5,$L$2),BASE_DATOS[Reporte NSK],BASE_DATOS[NSK],,0),"")</f>
        <v>14</v>
      </c>
      <c r="O9" s="420">
        <f>IFERROR(_xlfn.XLOOKUP(CONCATENATE($K9,O$5,$L$2),BASE_DATOS[Reporte NSK],BASE_DATOS[NSK],,0),"")</f>
        <v>9</v>
      </c>
      <c r="P9" s="420">
        <f>IFERROR(_xlfn.XLOOKUP(CONCATENATE($K9,P$5,$L$2),BASE_DATOS[Reporte NSK],BASE_DATOS[NSK],,0),"")</f>
        <v>7</v>
      </c>
      <c r="Q9" s="420">
        <f>IFERROR(_xlfn.XLOOKUP(CONCATENATE($K9,Q$5,$L$2),BASE_DATOS[Reporte NSK],BASE_DATOS[NSK],,0),"")</f>
        <v>6</v>
      </c>
      <c r="R9" s="420">
        <f>IFERROR(_xlfn.XLOOKUP(CONCATENATE($K9,R$5,$L$2),BASE_DATOS[Reporte NSK],BASE_DATOS[NSK],,0),"")</f>
        <v>9</v>
      </c>
      <c r="S9" s="463">
        <f>IFERROR(_xlfn.XLOOKUP(CONCATENATE($K9,S$5,$L$2),BASE_DATOS[Reporte NSK],BASE_DATOS[NSK],,0),"")</f>
        <v>7</v>
      </c>
      <c r="T9" s="464">
        <f>IFERROR(_xlfn.XLOOKUP(CONCATENATE($K9,T$5,$L$2),BASE_DATOS[Reporte NSK],BASE_DATOS[NSK],,0),"")</f>
        <v>9</v>
      </c>
      <c r="U9" s="418">
        <f t="shared" si="1"/>
        <v>8</v>
      </c>
      <c r="X9" s="408"/>
      <c r="Y9" s="408"/>
      <c r="Z9" s="408"/>
      <c r="AA9" s="408"/>
      <c r="AB9" s="409"/>
    </row>
    <row r="10" spans="1:30" x14ac:dyDescent="0.2">
      <c r="K10" s="412" t="s">
        <v>129</v>
      </c>
      <c r="L10" s="415" t="s">
        <v>130</v>
      </c>
      <c r="M10" s="419">
        <f>IFERROR(_xlfn.XLOOKUP(CONCATENATE($K10,M$5,$L$2),BASE_DATOS[Reporte NSK],BASE_DATOS[NSK],,0),"")</f>
        <v>18</v>
      </c>
      <c r="N10" s="420">
        <f>IFERROR(_xlfn.XLOOKUP(CONCATENATE($K10,N$5,$L$2),BASE_DATOS[Reporte NSK],BASE_DATOS[NSK],,0),"")</f>
        <v>18</v>
      </c>
      <c r="O10" s="420">
        <f>IFERROR(_xlfn.XLOOKUP(CONCATENATE($K10,O$5,$L$2),BASE_DATOS[Reporte NSK],BASE_DATOS[NSK],,0),"")</f>
        <v>14</v>
      </c>
      <c r="P10" s="420">
        <f>IFERROR(_xlfn.XLOOKUP(CONCATENATE($K10,P$5,$L$2),BASE_DATOS[Reporte NSK],BASE_DATOS[NSK],,0),"")</f>
        <v>14</v>
      </c>
      <c r="Q10" s="420">
        <f>IFERROR(_xlfn.XLOOKUP(CONCATENATE($K10,Q$5,$L$2),BASE_DATOS[Reporte NSK],BASE_DATOS[NSK],,0),"")</f>
        <v>10</v>
      </c>
      <c r="R10" s="420">
        <f>IFERROR(_xlfn.XLOOKUP(CONCATENATE($K10,R$5,$L$2),BASE_DATOS[Reporte NSK],BASE_DATOS[NSK],,0),"")</f>
        <v>11</v>
      </c>
      <c r="S10" s="463">
        <f>IFERROR(_xlfn.XLOOKUP(CONCATENATE($K10,S$5,$L$2),BASE_DATOS[Reporte NSK],BASE_DATOS[NSK],,0),"")</f>
        <v>9</v>
      </c>
      <c r="T10" s="464">
        <f>IFERROR(_xlfn.XLOOKUP(CONCATENATE($K10,T$5,$L$2),BASE_DATOS[Reporte NSK],BASE_DATOS[NSK],,0),"")</f>
        <v>6</v>
      </c>
      <c r="U10" s="418">
        <f t="shared" si="1"/>
        <v>8</v>
      </c>
    </row>
    <row r="11" spans="1:30" x14ac:dyDescent="0.2">
      <c r="K11" s="412" t="s">
        <v>131</v>
      </c>
      <c r="L11" s="415" t="s">
        <v>132</v>
      </c>
      <c r="M11" s="419">
        <f>IFERROR(_xlfn.XLOOKUP(CONCATENATE($K11,M$5,$L$2),BASE_DATOS[Reporte NSK],BASE_DATOS[NSK],,0),"")</f>
        <v>9</v>
      </c>
      <c r="N11" s="420">
        <f>IFERROR(_xlfn.XLOOKUP(CONCATENATE($K11,N$5,$L$2),BASE_DATOS[Reporte NSK],BASE_DATOS[NSK],,0),"")</f>
        <v>10</v>
      </c>
      <c r="O11" s="420">
        <f>IFERROR(_xlfn.XLOOKUP(CONCATENATE($K11,O$5,$L$2),BASE_DATOS[Reporte NSK],BASE_DATOS[NSK],,0),"")</f>
        <v>11</v>
      </c>
      <c r="P11" s="420">
        <f>IFERROR(_xlfn.XLOOKUP(CONCATENATE($K11,P$5,$L$2),BASE_DATOS[Reporte NSK],BASE_DATOS[NSK],,0),"")</f>
        <v>11</v>
      </c>
      <c r="Q11" s="420">
        <f>IFERROR(_xlfn.XLOOKUP(CONCATENATE($K11,Q$5,$L$2),BASE_DATOS[Reporte NSK],BASE_DATOS[NSK],,0),"")</f>
        <v>8</v>
      </c>
      <c r="R11" s="420">
        <f>IFERROR(_xlfn.XLOOKUP(CONCATENATE($K11,R$5,$L$2),BASE_DATOS[Reporte NSK],BASE_DATOS[NSK],,0),"")</f>
        <v>8</v>
      </c>
      <c r="S11" s="463">
        <f>IFERROR(_xlfn.XLOOKUP(CONCATENATE($K11,S$5,$L$2),BASE_DATOS[Reporte NSK],BASE_DATOS[NSK],,0),"")</f>
        <v>6</v>
      </c>
      <c r="T11" s="464">
        <f>IFERROR(_xlfn.XLOOKUP(CONCATENATE($K11,T$5,$L$2),BASE_DATOS[Reporte NSK],BASE_DATOS[NSK],,0),"")</f>
        <v>21</v>
      </c>
      <c r="U11" s="418">
        <f t="shared" si="1"/>
        <v>8</v>
      </c>
    </row>
    <row r="12" spans="1:30" x14ac:dyDescent="0.2">
      <c r="K12" s="412" t="s">
        <v>135</v>
      </c>
      <c r="L12" s="415" t="s">
        <v>136</v>
      </c>
      <c r="M12" s="419">
        <f>IFERROR(_xlfn.XLOOKUP(CONCATENATE($K12,M$5,$L$2),BASE_DATOS[Reporte NSK],BASE_DATOS[NSK],,0),"")</f>
        <v>9</v>
      </c>
      <c r="N12" s="420">
        <f>IFERROR(_xlfn.XLOOKUP(CONCATENATE($K12,N$5,$L$2),BASE_DATOS[Reporte NSK],BASE_DATOS[NSK],,0),"")</f>
        <v>10</v>
      </c>
      <c r="O12" s="420">
        <f>IFERROR(_xlfn.XLOOKUP(CONCATENATE($K12,O$5,$L$2),BASE_DATOS[Reporte NSK],BASE_DATOS[NSK],,0),"")</f>
        <v>18</v>
      </c>
      <c r="P12" s="420">
        <f>IFERROR(_xlfn.XLOOKUP(CONCATENATE($K12,P$5,$L$2),BASE_DATOS[Reporte NSK],BASE_DATOS[NSK],,0),"")</f>
        <v>13</v>
      </c>
      <c r="Q12" s="420">
        <f>IFERROR(_xlfn.XLOOKUP(CONCATENATE($K12,Q$5,$L$2),BASE_DATOS[Reporte NSK],BASE_DATOS[NSK],,0),"")</f>
        <v>16</v>
      </c>
      <c r="R12" s="420">
        <f>IFERROR(_xlfn.XLOOKUP(CONCATENATE($K12,R$5,$L$2),BASE_DATOS[Reporte NSK],BASE_DATOS[NSK],,0),"")</f>
        <v>16</v>
      </c>
      <c r="S12" s="463" t="str">
        <f>IFERROR(_xlfn.XLOOKUP(CONCATENATE($K12,S$5,$L$2),BASE_DATOS[Reporte NSK],BASE_DATOS[NSK],,0),"")</f>
        <v/>
      </c>
      <c r="T12" s="464" t="str">
        <f>IFERROR(_xlfn.XLOOKUP(CONCATENATE($K12,T$5,$L$2),BASE_DATOS[Reporte NSK],BASE_DATOS[NSK],,0),"")</f>
        <v/>
      </c>
      <c r="U12" s="418">
        <f t="shared" si="1"/>
        <v>6</v>
      </c>
    </row>
    <row r="13" spans="1:30" x14ac:dyDescent="0.2">
      <c r="K13" s="412" t="s">
        <v>139</v>
      </c>
      <c r="L13" s="415" t="s">
        <v>140</v>
      </c>
      <c r="M13" s="419">
        <f>IFERROR(_xlfn.XLOOKUP(CONCATENATE($K13,M$5,$L$2),BASE_DATOS[Reporte NSK],BASE_DATOS[NSK],,0),"")</f>
        <v>9</v>
      </c>
      <c r="N13" s="420">
        <f>IFERROR(_xlfn.XLOOKUP(CONCATENATE($K13,N$5,$L$2),BASE_DATOS[Reporte NSK],BASE_DATOS[NSK],,0),"")</f>
        <v>8</v>
      </c>
      <c r="O13" s="420">
        <f>IFERROR(_xlfn.XLOOKUP(CONCATENATE($K13,O$5,$L$2),BASE_DATOS[Reporte NSK],BASE_DATOS[NSK],,0),"")</f>
        <v>14</v>
      </c>
      <c r="P13" s="420">
        <f>IFERROR(_xlfn.XLOOKUP(CONCATENATE($K13,P$5,$L$2),BASE_DATOS[Reporte NSK],BASE_DATOS[NSK],,0),"")</f>
        <v>13</v>
      </c>
      <c r="Q13" s="420">
        <f>IFERROR(_xlfn.XLOOKUP(CONCATENATE($K13,Q$5,$L$2),BASE_DATOS[Reporte NSK],BASE_DATOS[NSK],,0),"")</f>
        <v>17</v>
      </c>
      <c r="R13" s="420">
        <f>IFERROR(_xlfn.XLOOKUP(CONCATENATE($K13,R$5,$L$2),BASE_DATOS[Reporte NSK],BASE_DATOS[NSK],,0),"")</f>
        <v>17</v>
      </c>
      <c r="S13" s="463">
        <f>IFERROR(_xlfn.XLOOKUP(CONCATENATE($K13,S$5,$L$2),BASE_DATOS[Reporte NSK],BASE_DATOS[NSK],,0),"")</f>
        <v>14</v>
      </c>
      <c r="T13" s="464">
        <f>IFERROR(_xlfn.XLOOKUP(CONCATENATE($K13,T$5,$L$2),BASE_DATOS[Reporte NSK],BASE_DATOS[NSK],,0),"")</f>
        <v>7</v>
      </c>
      <c r="U13" s="418">
        <f t="shared" si="1"/>
        <v>8</v>
      </c>
    </row>
    <row r="14" spans="1:30" x14ac:dyDescent="0.2">
      <c r="K14" s="412" t="s">
        <v>147</v>
      </c>
      <c r="L14" s="415" t="s">
        <v>148</v>
      </c>
      <c r="M14" s="419">
        <f>IFERROR(_xlfn.XLOOKUP(CONCATENATE($K14,M$5,$L$2),BASE_DATOS[Reporte NSK],BASE_DATOS[NSK],,0),"")</f>
        <v>15</v>
      </c>
      <c r="N14" s="420">
        <f>IFERROR(_xlfn.XLOOKUP(CONCATENATE($K14,N$5,$L$2),BASE_DATOS[Reporte NSK],BASE_DATOS[NSK],,0),"")</f>
        <v>15</v>
      </c>
      <c r="O14" s="420">
        <f>IFERROR(_xlfn.XLOOKUP(CONCATENATE($K14,O$5,$L$2),BASE_DATOS[Reporte NSK],BASE_DATOS[NSK],,0),"")</f>
        <v>11</v>
      </c>
      <c r="P14" s="420">
        <f>IFERROR(_xlfn.XLOOKUP(CONCATENATE($K14,P$5,$L$2),BASE_DATOS[Reporte NSK],BASE_DATOS[NSK],,0),"")</f>
        <v>9</v>
      </c>
      <c r="Q14" s="420">
        <f>IFERROR(_xlfn.XLOOKUP(CONCATENATE($K14,Q$5,$L$2),BASE_DATOS[Reporte NSK],BASE_DATOS[NSK],,0),"")</f>
        <v>13</v>
      </c>
      <c r="R14" s="420">
        <f>IFERROR(_xlfn.XLOOKUP(CONCATENATE($K14,R$5,$L$2),BASE_DATOS[Reporte NSK],BASE_DATOS[NSK],,0),"")</f>
        <v>13</v>
      </c>
      <c r="S14" s="463">
        <f>IFERROR(_xlfn.XLOOKUP(CONCATENATE($K14,S$5,$L$2),BASE_DATOS[Reporte NSK],BASE_DATOS[NSK],,0),"")</f>
        <v>9</v>
      </c>
      <c r="T14" s="464">
        <f>IFERROR(_xlfn.XLOOKUP(CONCATENATE($K14,T$5,$L$2),BASE_DATOS[Reporte NSK],BASE_DATOS[NSK],,0),"")</f>
        <v>11</v>
      </c>
      <c r="U14" s="418">
        <f t="shared" si="1"/>
        <v>8</v>
      </c>
    </row>
    <row r="15" spans="1:30" x14ac:dyDescent="0.2">
      <c r="K15" s="412" t="s">
        <v>151</v>
      </c>
      <c r="L15" s="415" t="s">
        <v>152</v>
      </c>
      <c r="M15" s="419">
        <f>IFERROR(_xlfn.XLOOKUP(CONCATENATE($K15,M$5,$L$2),BASE_DATOS[Reporte NSK],BASE_DATOS[NSK],,0),"")</f>
        <v>8</v>
      </c>
      <c r="N15" s="420">
        <f>IFERROR(_xlfn.XLOOKUP(CONCATENATE($K15,N$5,$L$2),BASE_DATOS[Reporte NSK],BASE_DATOS[NSK],,0),"")</f>
        <v>9</v>
      </c>
      <c r="O15" s="420">
        <f>IFERROR(_xlfn.XLOOKUP(CONCATENATE($K15,O$5,$L$2),BASE_DATOS[Reporte NSK],BASE_DATOS[NSK],,0),"")</f>
        <v>15</v>
      </c>
      <c r="P15" s="420">
        <f>IFERROR(_xlfn.XLOOKUP(CONCATENATE($K15,P$5,$L$2),BASE_DATOS[Reporte NSK],BASE_DATOS[NSK],,0),"")</f>
        <v>15</v>
      </c>
      <c r="Q15" s="420">
        <f>IFERROR(_xlfn.XLOOKUP(CONCATENATE($K15,Q$5,$L$2),BASE_DATOS[Reporte NSK],BASE_DATOS[NSK],,0),"")</f>
        <v>14</v>
      </c>
      <c r="R15" s="420">
        <f>IFERROR(_xlfn.XLOOKUP(CONCATENATE($K15,R$5,$L$2),BASE_DATOS[Reporte NSK],BASE_DATOS[NSK],,0),"")</f>
        <v>14</v>
      </c>
      <c r="S15" s="463">
        <f>IFERROR(_xlfn.XLOOKUP(CONCATENATE($K15,S$5,$L$2),BASE_DATOS[Reporte NSK],BASE_DATOS[NSK],,0),"")</f>
        <v>9</v>
      </c>
      <c r="T15" s="464">
        <f>IFERROR(_xlfn.XLOOKUP(CONCATENATE($K15,T$5,$L$2),BASE_DATOS[Reporte NSK],BASE_DATOS[NSK],,0),"")</f>
        <v>6</v>
      </c>
      <c r="U15" s="418">
        <f t="shared" si="1"/>
        <v>8</v>
      </c>
    </row>
    <row r="16" spans="1:30" x14ac:dyDescent="0.2">
      <c r="K16" s="412" t="s">
        <v>155</v>
      </c>
      <c r="L16" s="415" t="s">
        <v>156</v>
      </c>
      <c r="M16" s="419">
        <f>IFERROR(_xlfn.XLOOKUP(CONCATENATE($K16,M$5,$L$2),BASE_DATOS[Reporte NSK],BASE_DATOS[NSK],,0),"")</f>
        <v>12</v>
      </c>
      <c r="N16" s="420">
        <f>IFERROR(_xlfn.XLOOKUP(CONCATENATE($K16,N$5,$L$2),BASE_DATOS[Reporte NSK],BASE_DATOS[NSK],,0),"")</f>
        <v>12</v>
      </c>
      <c r="O16" s="420">
        <f>IFERROR(_xlfn.XLOOKUP(CONCATENATE($K16,O$5,$L$2),BASE_DATOS[Reporte NSK],BASE_DATOS[NSK],,0),"")</f>
        <v>13</v>
      </c>
      <c r="P16" s="420">
        <f>IFERROR(_xlfn.XLOOKUP(CONCATENATE($K16,P$5,$L$2),BASE_DATOS[Reporte NSK],BASE_DATOS[NSK],,0),"")</f>
        <v>13</v>
      </c>
      <c r="Q16" s="420">
        <f>IFERROR(_xlfn.XLOOKUP(CONCATENATE($K16,Q$5,$L$2),BASE_DATOS[Reporte NSK],BASE_DATOS[NSK],,0),"")</f>
        <v>12</v>
      </c>
      <c r="R16" s="420">
        <f>IFERROR(_xlfn.XLOOKUP(CONCATENATE($K16,R$5,$L$2),BASE_DATOS[Reporte NSK],BASE_DATOS[NSK],,0),"")</f>
        <v>13</v>
      </c>
      <c r="S16" s="463">
        <f>IFERROR(_xlfn.XLOOKUP(CONCATENATE($K16,S$5,$L$2),BASE_DATOS[Reporte NSK],BASE_DATOS[NSK],,0),"")</f>
        <v>12</v>
      </c>
      <c r="T16" s="464">
        <f>IFERROR(_xlfn.XLOOKUP(CONCATENATE($K16,T$5,$L$2),BASE_DATOS[Reporte NSK],BASE_DATOS[NSK],,0),"")</f>
        <v>15</v>
      </c>
      <c r="U16" s="418">
        <f t="shared" si="1"/>
        <v>8</v>
      </c>
    </row>
    <row r="17" spans="11:21" x14ac:dyDescent="0.2">
      <c r="K17" s="412" t="s">
        <v>157</v>
      </c>
      <c r="L17" s="415" t="s">
        <v>158</v>
      </c>
      <c r="M17" s="419">
        <f>IFERROR(_xlfn.XLOOKUP(CONCATENATE($K17,M$5,$L$2),BASE_DATOS[Reporte NSK],BASE_DATOS[NSK],,0),"")</f>
        <v>18</v>
      </c>
      <c r="N17" s="420">
        <f>IFERROR(_xlfn.XLOOKUP(CONCATENATE($K17,N$5,$L$2),BASE_DATOS[Reporte NSK],BASE_DATOS[NSK],,0),"")</f>
        <v>18</v>
      </c>
      <c r="O17" s="420">
        <f>IFERROR(_xlfn.XLOOKUP(CONCATENATE($K17,O$5,$L$2),BASE_DATOS[Reporte NSK],BASE_DATOS[NSK],,0),"")</f>
        <v>13</v>
      </c>
      <c r="P17" s="420">
        <f>IFERROR(_xlfn.XLOOKUP(CONCATENATE($K17,P$5,$L$2),BASE_DATOS[Reporte NSK],BASE_DATOS[NSK],,0),"")</f>
        <v>12</v>
      </c>
      <c r="Q17" s="420">
        <f>IFERROR(_xlfn.XLOOKUP(CONCATENATE($K17,Q$5,$L$2),BASE_DATOS[Reporte NSK],BASE_DATOS[NSK],,0),"")</f>
        <v>9</v>
      </c>
      <c r="R17" s="420">
        <f>IFERROR(_xlfn.XLOOKUP(CONCATENATE($K17,R$5,$L$2),BASE_DATOS[Reporte NSK],BASE_DATOS[NSK],,0),"")</f>
        <v>9</v>
      </c>
      <c r="S17" s="463">
        <f>IFERROR(_xlfn.XLOOKUP(CONCATENATE($K17,S$5,$L$2),BASE_DATOS[Reporte NSK],BASE_DATOS[NSK],,0),"")</f>
        <v>6</v>
      </c>
      <c r="T17" s="464">
        <f>IFERROR(_xlfn.XLOOKUP(CONCATENATE($K17,T$5,$L$2),BASE_DATOS[Reporte NSK],BASE_DATOS[NSK],,0),"")</f>
        <v>20</v>
      </c>
      <c r="U17" s="418">
        <f t="shared" si="1"/>
        <v>8</v>
      </c>
    </row>
    <row r="18" spans="11:21" x14ac:dyDescent="0.2">
      <c r="K18" s="412" t="s">
        <v>161</v>
      </c>
      <c r="L18" s="415" t="s">
        <v>162</v>
      </c>
      <c r="M18" s="419">
        <f>IFERROR(_xlfn.XLOOKUP(CONCATENATE($K18,M$5,$L$2),BASE_DATOS[Reporte NSK],BASE_DATOS[NSK],,0),"")</f>
        <v>13</v>
      </c>
      <c r="N18" s="420">
        <f>IFERROR(_xlfn.XLOOKUP(CONCATENATE($K18,N$5,$L$2),BASE_DATOS[Reporte NSK],BASE_DATOS[NSK],,0),"")</f>
        <v>13</v>
      </c>
      <c r="O18" s="420">
        <f>IFERROR(_xlfn.XLOOKUP(CONCATENATE($K18,O$5,$L$2),BASE_DATOS[Reporte NSK],BASE_DATOS[NSK],,0),"")</f>
        <v>8</v>
      </c>
      <c r="P18" s="420">
        <f>IFERROR(_xlfn.XLOOKUP(CONCATENATE($K18,P$5,$L$2),BASE_DATOS[Reporte NSK],BASE_DATOS[NSK],,0),"")</f>
        <v>8</v>
      </c>
      <c r="Q18" s="420">
        <f>IFERROR(_xlfn.XLOOKUP(CONCATENATE($K18,Q$5,$L$2),BASE_DATOS[Reporte NSK],BASE_DATOS[NSK],,0),"")</f>
        <v>15</v>
      </c>
      <c r="R18" s="420">
        <f>IFERROR(_xlfn.XLOOKUP(CONCATENATE($K18,R$5,$L$2),BASE_DATOS[Reporte NSK],BASE_DATOS[NSK],,0),"")</f>
        <v>15</v>
      </c>
      <c r="S18" s="463">
        <f>IFERROR(_xlfn.XLOOKUP(CONCATENATE($K18,S$5,$L$2),BASE_DATOS[Reporte NSK],BASE_DATOS[NSK],,0),"")</f>
        <v>10</v>
      </c>
      <c r="T18" s="464">
        <f>IFERROR(_xlfn.XLOOKUP(CONCATENATE($K18,T$5,$L$2),BASE_DATOS[Reporte NSK],BASE_DATOS[NSK],,0),"")</f>
        <v>6</v>
      </c>
      <c r="U18" s="418">
        <f t="shared" si="1"/>
        <v>8</v>
      </c>
    </row>
    <row r="19" spans="11:21" x14ac:dyDescent="0.2">
      <c r="K19" s="412" t="s">
        <v>163</v>
      </c>
      <c r="L19" s="415" t="s">
        <v>164</v>
      </c>
      <c r="M19" s="419">
        <f>IFERROR(_xlfn.XLOOKUP(CONCATENATE($K19,M$5,$L$2),BASE_DATOS[Reporte NSK],BASE_DATOS[NSK],,0),"")</f>
        <v>19</v>
      </c>
      <c r="N19" s="420">
        <f>IFERROR(_xlfn.XLOOKUP(CONCATENATE($K19,N$5,$L$2),BASE_DATOS[Reporte NSK],BASE_DATOS[NSK],,0),"")</f>
        <v>19</v>
      </c>
      <c r="O19" s="420">
        <f>IFERROR(_xlfn.XLOOKUP(CONCATENATE($K19,O$5,$L$2),BASE_DATOS[Reporte NSK],BASE_DATOS[NSK],,0),"")</f>
        <v>10</v>
      </c>
      <c r="P19" s="420">
        <f>IFERROR(_xlfn.XLOOKUP(CONCATENATE($K19,P$5,$L$2),BASE_DATOS[Reporte NSK],BASE_DATOS[NSK],,0),"")</f>
        <v>8</v>
      </c>
      <c r="Q19" s="420">
        <f>IFERROR(_xlfn.XLOOKUP(CONCATENATE($K19,Q$5,$L$2),BASE_DATOS[Reporte NSK],BASE_DATOS[NSK],,0),"")</f>
        <v>12</v>
      </c>
      <c r="R19" s="420">
        <f>IFERROR(_xlfn.XLOOKUP(CONCATENATE($K19,R$5,$L$2),BASE_DATOS[Reporte NSK],BASE_DATOS[NSK],,0),"")</f>
        <v>12</v>
      </c>
      <c r="S19" s="463">
        <f>IFERROR(_xlfn.XLOOKUP(CONCATENATE($K19,S$5,$L$2),BASE_DATOS[Reporte NSK],BASE_DATOS[NSK],,0),"")</f>
        <v>7</v>
      </c>
      <c r="T19" s="464">
        <f>IFERROR(_xlfn.XLOOKUP(CONCATENATE($K19,T$5,$L$2),BASE_DATOS[Reporte NSK],BASE_DATOS[NSK],,0),"")</f>
        <v>20</v>
      </c>
      <c r="U19" s="418">
        <f t="shared" si="1"/>
        <v>8</v>
      </c>
    </row>
    <row r="20" spans="11:21" x14ac:dyDescent="0.2">
      <c r="K20" s="412" t="s">
        <v>167</v>
      </c>
      <c r="L20" s="415" t="s">
        <v>168</v>
      </c>
      <c r="M20" s="419">
        <f>IFERROR(_xlfn.XLOOKUP(CONCATENATE($K20,M$5,$L$2),BASE_DATOS[Reporte NSK],BASE_DATOS[NSK],,0),"")</f>
        <v>12</v>
      </c>
      <c r="N20" s="420">
        <f>IFERROR(_xlfn.XLOOKUP(CONCATENATE($K20,N$5,$L$2),BASE_DATOS[Reporte NSK],BASE_DATOS[NSK],,0),"")</f>
        <v>13</v>
      </c>
      <c r="O20" s="420">
        <f>IFERROR(_xlfn.XLOOKUP(CONCATENATE($K20,O$5,$L$2),BASE_DATOS[Reporte NSK],BASE_DATOS[NSK],,0),"")</f>
        <v>14</v>
      </c>
      <c r="P20" s="420">
        <f>IFERROR(_xlfn.XLOOKUP(CONCATENATE($K20,P$5,$L$2),BASE_DATOS[Reporte NSK],BASE_DATOS[NSK],,0),"")</f>
        <v>15</v>
      </c>
      <c r="Q20" s="420">
        <f>IFERROR(_xlfn.XLOOKUP(CONCATENATE($K20,Q$5,$L$2),BASE_DATOS[Reporte NSK],BASE_DATOS[NSK],,0),"")</f>
        <v>15</v>
      </c>
      <c r="R20" s="420">
        <f>IFERROR(_xlfn.XLOOKUP(CONCATENATE($K20,R$5,$L$2),BASE_DATOS[Reporte NSK],BASE_DATOS[NSK],,0),"")</f>
        <v>14</v>
      </c>
      <c r="S20" s="463">
        <f>IFERROR(_xlfn.XLOOKUP(CONCATENATE($K20,S$5,$L$2),BASE_DATOS[Reporte NSK],BASE_DATOS[NSK],,0),"")</f>
        <v>5</v>
      </c>
      <c r="T20" s="464">
        <f>IFERROR(_xlfn.XLOOKUP(CONCATENATE($K20,T$5,$L$2),BASE_DATOS[Reporte NSK],BASE_DATOS[NSK],,0),"")</f>
        <v>7</v>
      </c>
      <c r="U20" s="418">
        <f t="shared" si="1"/>
        <v>8</v>
      </c>
    </row>
    <row r="21" spans="11:21" x14ac:dyDescent="0.2">
      <c r="K21" s="412" t="s">
        <v>171</v>
      </c>
      <c r="L21" s="415" t="s">
        <v>172</v>
      </c>
      <c r="M21" s="419">
        <f>IFERROR(_xlfn.XLOOKUP(CONCATENATE($K21,M$5,$L$2),BASE_DATOS[Reporte NSK],BASE_DATOS[NSK],,0),"")</f>
        <v>9</v>
      </c>
      <c r="N21" s="420">
        <f>IFERROR(_xlfn.XLOOKUP(CONCATENATE($K21,N$5,$L$2),BASE_DATOS[Reporte NSK],BASE_DATOS[NSK],,0),"")</f>
        <v>12</v>
      </c>
      <c r="O21" s="420">
        <f>IFERROR(_xlfn.XLOOKUP(CONCATENATE($K21,O$5,$L$2),BASE_DATOS[Reporte NSK],BASE_DATOS[NSK],,0),"")</f>
        <v>10</v>
      </c>
      <c r="P21" s="420">
        <f>IFERROR(_xlfn.XLOOKUP(CONCATENATE($K21,P$5,$L$2),BASE_DATOS[Reporte NSK],BASE_DATOS[NSK],,0),"")</f>
        <v>10</v>
      </c>
      <c r="Q21" s="420">
        <f>IFERROR(_xlfn.XLOOKUP(CONCATENATE($K21,Q$5,$L$2),BASE_DATOS[Reporte NSK],BASE_DATOS[NSK],,0),"")</f>
        <v>13</v>
      </c>
      <c r="R21" s="420">
        <f>IFERROR(_xlfn.XLOOKUP(CONCATENATE($K21,R$5,$L$2),BASE_DATOS[Reporte NSK],BASE_DATOS[NSK],,0),"")</f>
        <v>13</v>
      </c>
      <c r="S21" s="463">
        <f>IFERROR(_xlfn.XLOOKUP(CONCATENATE($K21,S$5,$L$2),BASE_DATOS[Reporte NSK],BASE_DATOS[NSK],,0),"")</f>
        <v>10</v>
      </c>
      <c r="T21" s="464">
        <f>IFERROR(_xlfn.XLOOKUP(CONCATENATE($K21,T$5,$L$2),BASE_DATOS[Reporte NSK],BASE_DATOS[NSK],,0),"")</f>
        <v>8</v>
      </c>
      <c r="U21" s="418">
        <f t="shared" si="1"/>
        <v>8</v>
      </c>
    </row>
    <row r="22" spans="11:21" x14ac:dyDescent="0.2">
      <c r="K22" s="412" t="s">
        <v>175</v>
      </c>
      <c r="L22" s="415" t="s">
        <v>176</v>
      </c>
      <c r="M22" s="419">
        <f>IFERROR(_xlfn.XLOOKUP(CONCATENATE($K22,M$5,$L$2),BASE_DATOS[Reporte NSK],BASE_DATOS[NSK],,0),"")</f>
        <v>8</v>
      </c>
      <c r="N22" s="420">
        <f>IFERROR(_xlfn.XLOOKUP(CONCATENATE($K22,N$5,$L$2),BASE_DATOS[Reporte NSK],BASE_DATOS[NSK],,0),"")</f>
        <v>9</v>
      </c>
      <c r="O22" s="420">
        <f>IFERROR(_xlfn.XLOOKUP(CONCATENATE($K22,O$5,$L$2),BASE_DATOS[Reporte NSK],BASE_DATOS[NSK],,0),"")</f>
        <v>11</v>
      </c>
      <c r="P22" s="420">
        <f>IFERROR(_xlfn.XLOOKUP(CONCATENATE($K22,P$5,$L$2),BASE_DATOS[Reporte NSK],BASE_DATOS[NSK],,0),"")</f>
        <v>11</v>
      </c>
      <c r="Q22" s="420">
        <f>IFERROR(_xlfn.XLOOKUP(CONCATENATE($K22,Q$5,$L$2),BASE_DATOS[Reporte NSK],BASE_DATOS[NSK],,0),"")</f>
        <v>10</v>
      </c>
      <c r="R22" s="420">
        <f>IFERROR(_xlfn.XLOOKUP(CONCATENATE($K22,R$5,$L$2),BASE_DATOS[Reporte NSK],BASE_DATOS[NSK],,0),"")</f>
        <v>11</v>
      </c>
      <c r="S22" s="463">
        <f>IFERROR(_xlfn.XLOOKUP(CONCATENATE($K22,S$5,$L$2),BASE_DATOS[Reporte NSK],BASE_DATOS[NSK],,0),"")</f>
        <v>5</v>
      </c>
      <c r="T22" s="464">
        <f>IFERROR(_xlfn.XLOOKUP(CONCATENATE($K22,T$5,$L$2),BASE_DATOS[Reporte NSK],BASE_DATOS[NSK],,0),"")</f>
        <v>10</v>
      </c>
      <c r="U22" s="418">
        <f t="shared" si="1"/>
        <v>8</v>
      </c>
    </row>
    <row r="23" spans="11:21" x14ac:dyDescent="0.2">
      <c r="K23" s="412" t="s">
        <v>179</v>
      </c>
      <c r="L23" s="415" t="s">
        <v>180</v>
      </c>
      <c r="M23" s="419">
        <f>IFERROR(_xlfn.XLOOKUP(CONCATENATE($K23,M$5,$L$2),BASE_DATOS[Reporte NSK],BASE_DATOS[NSK],,0),"")</f>
        <v>15</v>
      </c>
      <c r="N23" s="420">
        <f>IFERROR(_xlfn.XLOOKUP(CONCATENATE($K23,N$5,$L$2),BASE_DATOS[Reporte NSK],BASE_DATOS[NSK],,0),"")</f>
        <v>14</v>
      </c>
      <c r="O23" s="420">
        <f>IFERROR(_xlfn.XLOOKUP(CONCATENATE($K23,O$5,$L$2),BASE_DATOS[Reporte NSK],BASE_DATOS[NSK],,0),"")</f>
        <v>14</v>
      </c>
      <c r="P23" s="420">
        <f>IFERROR(_xlfn.XLOOKUP(CONCATENATE($K23,P$5,$L$2),BASE_DATOS[Reporte NSK],BASE_DATOS[NSK],,0),"")</f>
        <v>14</v>
      </c>
      <c r="Q23" s="420">
        <f>IFERROR(_xlfn.XLOOKUP(CONCATENATE($K23,Q$5,$L$2),BASE_DATOS[Reporte NSK],BASE_DATOS[NSK],,0),"")</f>
        <v>19</v>
      </c>
      <c r="R23" s="420">
        <f>IFERROR(_xlfn.XLOOKUP(CONCATENATE($K23,R$5,$L$2),BASE_DATOS[Reporte NSK],BASE_DATOS[NSK],,0),"")</f>
        <v>19</v>
      </c>
      <c r="S23" s="463">
        <f>IFERROR(_xlfn.XLOOKUP(CONCATENATE($K23,S$5,$L$2),BASE_DATOS[Reporte NSK],BASE_DATOS[NSK],,0),"")</f>
        <v>16</v>
      </c>
      <c r="T23" s="464">
        <f>IFERROR(_xlfn.XLOOKUP(CONCATENATE($K23,T$5,$L$2),BASE_DATOS[Reporte NSK],BASE_DATOS[NSK],,0),"")</f>
        <v>6</v>
      </c>
      <c r="U23" s="418">
        <f t="shared" si="1"/>
        <v>8</v>
      </c>
    </row>
    <row r="24" spans="11:21" x14ac:dyDescent="0.2">
      <c r="K24" s="412" t="s">
        <v>183</v>
      </c>
      <c r="L24" s="415" t="s">
        <v>184</v>
      </c>
      <c r="M24" s="419">
        <f>IFERROR(_xlfn.XLOOKUP(CONCATENATE($K24,M$5,$L$2),BASE_DATOS[Reporte NSK],BASE_DATOS[NSK],,0),"")</f>
        <v>8</v>
      </c>
      <c r="N24" s="420">
        <f>IFERROR(_xlfn.XLOOKUP(CONCATENATE($K24,N$5,$L$2),BASE_DATOS[Reporte NSK],BASE_DATOS[NSK],,0),"")</f>
        <v>9</v>
      </c>
      <c r="O24" s="420">
        <f>IFERROR(_xlfn.XLOOKUP(CONCATENATE($K24,O$5,$L$2),BASE_DATOS[Reporte NSK],BASE_DATOS[NSK],,0),"")</f>
        <v>7</v>
      </c>
      <c r="P24" s="420">
        <f>IFERROR(_xlfn.XLOOKUP(CONCATENATE($K24,P$5,$L$2),BASE_DATOS[Reporte NSK],BASE_DATOS[NSK],,0),"")</f>
        <v>13</v>
      </c>
      <c r="Q24" s="420">
        <f>IFERROR(_xlfn.XLOOKUP(CONCATENATE($K24,Q$5,$L$2),BASE_DATOS[Reporte NSK],BASE_DATOS[NSK],,0),"")</f>
        <v>14</v>
      </c>
      <c r="R24" s="420">
        <f>IFERROR(_xlfn.XLOOKUP(CONCATENATE($K24,R$5,$L$2),BASE_DATOS[Reporte NSK],BASE_DATOS[NSK],,0),"")</f>
        <v>14</v>
      </c>
      <c r="S24" s="463">
        <f>IFERROR(_xlfn.XLOOKUP(CONCATENATE($K24,S$5,$L$2),BASE_DATOS[Reporte NSK],BASE_DATOS[NSK],,0),"")</f>
        <v>7</v>
      </c>
      <c r="T24" s="464">
        <f>IFERROR(_xlfn.XLOOKUP(CONCATENATE($K24,T$5,$L$2),BASE_DATOS[Reporte NSK],BASE_DATOS[NSK],,0),"")</f>
        <v>7</v>
      </c>
      <c r="U24" s="418">
        <f t="shared" si="1"/>
        <v>8</v>
      </c>
    </row>
    <row r="25" spans="11:21" x14ac:dyDescent="0.2">
      <c r="K25" s="412" t="s">
        <v>187</v>
      </c>
      <c r="L25" s="415" t="s">
        <v>188</v>
      </c>
      <c r="M25" s="419">
        <f>IFERROR(_xlfn.XLOOKUP(CONCATENATE($K25,M$5,$L$2),BASE_DATOS[Reporte NSK],BASE_DATOS[NSK],,0),"")</f>
        <v>17</v>
      </c>
      <c r="N25" s="420">
        <f>IFERROR(_xlfn.XLOOKUP(CONCATENATE($K25,N$5,$L$2),BASE_DATOS[Reporte NSK],BASE_DATOS[NSK],,0),"")</f>
        <v>12</v>
      </c>
      <c r="O25" s="420">
        <f>IFERROR(_xlfn.XLOOKUP(CONCATENATE($K25,O$5,$L$2),BASE_DATOS[Reporte NSK],BASE_DATOS[NSK],,0),"")</f>
        <v>13</v>
      </c>
      <c r="P25" s="420">
        <f>IFERROR(_xlfn.XLOOKUP(CONCATENATE($K25,P$5,$L$2),BASE_DATOS[Reporte NSK],BASE_DATOS[NSK],,0),"")</f>
        <v>10</v>
      </c>
      <c r="Q25" s="420">
        <f>IFERROR(_xlfn.XLOOKUP(CONCATENATE($K25,Q$5,$L$2),BASE_DATOS[Reporte NSK],BASE_DATOS[NSK],,0),"")</f>
        <v>11</v>
      </c>
      <c r="R25" s="420">
        <f>IFERROR(_xlfn.XLOOKUP(CONCATENATE($K25,R$5,$L$2),BASE_DATOS[Reporte NSK],BASE_DATOS[NSK],,0),"")</f>
        <v>12</v>
      </c>
      <c r="S25" s="463">
        <f>IFERROR(_xlfn.XLOOKUP(CONCATENATE($K25,S$5,$L$2),BASE_DATOS[Reporte NSK],BASE_DATOS[NSK],,0),"")</f>
        <v>10</v>
      </c>
      <c r="T25" s="464">
        <f>IFERROR(_xlfn.XLOOKUP(CONCATENATE($K25,T$5,$L$2),BASE_DATOS[Reporte NSK],BASE_DATOS[NSK],,0),"")</f>
        <v>14</v>
      </c>
      <c r="U25" s="418">
        <f t="shared" si="1"/>
        <v>8</v>
      </c>
    </row>
    <row r="26" spans="11:21" x14ac:dyDescent="0.2">
      <c r="K26" s="412" t="s">
        <v>189</v>
      </c>
      <c r="L26" s="415" t="s">
        <v>190</v>
      </c>
      <c r="M26" s="419">
        <f>IFERROR(_xlfn.XLOOKUP(CONCATENATE($K26,M$5,$L$2),BASE_DATOS[Reporte NSK],BASE_DATOS[NSK],,0),"")</f>
        <v>5</v>
      </c>
      <c r="N26" s="420">
        <f>IFERROR(_xlfn.XLOOKUP(CONCATENATE($K26,N$5,$L$2),BASE_DATOS[Reporte NSK],BASE_DATOS[NSK],,0),"")</f>
        <v>8</v>
      </c>
      <c r="O26" s="420">
        <f>IFERROR(_xlfn.XLOOKUP(CONCATENATE($K26,O$5,$L$2),BASE_DATOS[Reporte NSK],BASE_DATOS[NSK],,0),"")</f>
        <v>9</v>
      </c>
      <c r="P26" s="420">
        <f>IFERROR(_xlfn.XLOOKUP(CONCATENATE($K26,P$5,$L$2),BASE_DATOS[Reporte NSK],BASE_DATOS[NSK],,0),"")</f>
        <v>8</v>
      </c>
      <c r="Q26" s="420">
        <f>IFERROR(_xlfn.XLOOKUP(CONCATENATE($K26,Q$5,$L$2),BASE_DATOS[Reporte NSK],BASE_DATOS[NSK],,0),"")</f>
        <v>10</v>
      </c>
      <c r="R26" s="420">
        <f>IFERROR(_xlfn.XLOOKUP(CONCATENATE($K26,R$5,$L$2),BASE_DATOS[Reporte NSK],BASE_DATOS[NSK],,0),"")</f>
        <v>7</v>
      </c>
      <c r="S26" s="463">
        <f>IFERROR(_xlfn.XLOOKUP(CONCATENATE($K26,S$5,$L$2),BASE_DATOS[Reporte NSK],BASE_DATOS[NSK],,0),"")</f>
        <v>11</v>
      </c>
      <c r="T26" s="464">
        <f>IFERROR(_xlfn.XLOOKUP(CONCATENATE($K26,T$5,$L$2),BASE_DATOS[Reporte NSK],BASE_DATOS[NSK],,0),"")</f>
        <v>9</v>
      </c>
      <c r="U26" s="418">
        <f t="shared" si="1"/>
        <v>8</v>
      </c>
    </row>
    <row r="27" spans="11:21" x14ac:dyDescent="0.2">
      <c r="K27" s="412" t="s">
        <v>193</v>
      </c>
      <c r="L27" s="415" t="s">
        <v>194</v>
      </c>
      <c r="M27" s="419">
        <f>IFERROR(_xlfn.XLOOKUP(CONCATENATE($K27,M$5,$L$2),BASE_DATOS[Reporte NSK],BASE_DATOS[NSK],,0),"")</f>
        <v>18</v>
      </c>
      <c r="N27" s="420">
        <f>IFERROR(_xlfn.XLOOKUP(CONCATENATE($K27,N$5,$L$2),BASE_DATOS[Reporte NSK],BASE_DATOS[NSK],,0),"")</f>
        <v>18</v>
      </c>
      <c r="O27" s="420">
        <f>IFERROR(_xlfn.XLOOKUP(CONCATENATE($K27,O$5,$L$2),BASE_DATOS[Reporte NSK],BASE_DATOS[NSK],,0),"")</f>
        <v>9</v>
      </c>
      <c r="P27" s="420">
        <f>IFERROR(_xlfn.XLOOKUP(CONCATENATE($K27,P$5,$L$2),BASE_DATOS[Reporte NSK],BASE_DATOS[NSK],,0),"")</f>
        <v>9</v>
      </c>
      <c r="Q27" s="420">
        <f>IFERROR(_xlfn.XLOOKUP(CONCATENATE($K27,Q$5,$L$2),BASE_DATOS[Reporte NSK],BASE_DATOS[NSK],,0),"")</f>
        <v>12</v>
      </c>
      <c r="R27" s="420">
        <f>IFERROR(_xlfn.XLOOKUP(CONCATENATE($K27,R$5,$L$2),BASE_DATOS[Reporte NSK],BASE_DATOS[NSK],,0),"")</f>
        <v>12</v>
      </c>
      <c r="S27" s="463">
        <f>IFERROR(_xlfn.XLOOKUP(CONCATENATE($K27,S$5,$L$2),BASE_DATOS[Reporte NSK],BASE_DATOS[NSK],,0),"")</f>
        <v>8</v>
      </c>
      <c r="T27" s="464">
        <f>IFERROR(_xlfn.XLOOKUP(CONCATENATE($K27,T$5,$L$2),BASE_DATOS[Reporte NSK],BASE_DATOS[NSK],,0),"")</f>
        <v>7</v>
      </c>
      <c r="U27" s="418">
        <f t="shared" si="1"/>
        <v>8</v>
      </c>
    </row>
    <row r="28" spans="11:21" x14ac:dyDescent="0.2">
      <c r="K28" s="412" t="s">
        <v>195</v>
      </c>
      <c r="L28" s="415" t="s">
        <v>196</v>
      </c>
      <c r="M28" s="419">
        <f>IFERROR(_xlfn.XLOOKUP(CONCATENATE($K28,M$5,$L$2),BASE_DATOS[Reporte NSK],BASE_DATOS[NSK],,0),"")</f>
        <v>10</v>
      </c>
      <c r="N28" s="420">
        <f>IFERROR(_xlfn.XLOOKUP(CONCATENATE($K28,N$5,$L$2),BASE_DATOS[Reporte NSK],BASE_DATOS[NSK],,0),"")</f>
        <v>9</v>
      </c>
      <c r="O28" s="420">
        <f>IFERROR(_xlfn.XLOOKUP(CONCATENATE($K28,O$5,$L$2),BASE_DATOS[Reporte NSK],BASE_DATOS[NSK],,0),"")</f>
        <v>12</v>
      </c>
      <c r="P28" s="420">
        <f>IFERROR(_xlfn.XLOOKUP(CONCATENATE($K28,P$5,$L$2),BASE_DATOS[Reporte NSK],BASE_DATOS[NSK],,0),"")</f>
        <v>14</v>
      </c>
      <c r="Q28" s="420">
        <f>IFERROR(_xlfn.XLOOKUP(CONCATENATE($K28,Q$5,$L$2),BASE_DATOS[Reporte NSK],BASE_DATOS[NSK],,0),"")</f>
        <v>13</v>
      </c>
      <c r="R28" s="420">
        <f>IFERROR(_xlfn.XLOOKUP(CONCATENATE($K28,R$5,$L$2),BASE_DATOS[Reporte NSK],BASE_DATOS[NSK],,0),"")</f>
        <v>14</v>
      </c>
      <c r="S28" s="463">
        <f>IFERROR(_xlfn.XLOOKUP(CONCATENATE($K28,S$5,$L$2),BASE_DATOS[Reporte NSK],BASE_DATOS[NSK],,0),"")</f>
        <v>8</v>
      </c>
      <c r="T28" s="464">
        <f>IFERROR(_xlfn.XLOOKUP(CONCATENATE($K28,T$5,$L$2),BASE_DATOS[Reporte NSK],BASE_DATOS[NSK],,0),"")</f>
        <v>13</v>
      </c>
      <c r="U28" s="418">
        <f t="shared" si="1"/>
        <v>8</v>
      </c>
    </row>
    <row r="29" spans="11:21" x14ac:dyDescent="0.2">
      <c r="K29" s="412" t="s">
        <v>199</v>
      </c>
      <c r="L29" s="415" t="s">
        <v>200</v>
      </c>
      <c r="M29" s="419">
        <f>IFERROR(_xlfn.XLOOKUP(CONCATENATE($K29,M$5,$L$2),BASE_DATOS[Reporte NSK],BASE_DATOS[NSK],,0),"")</f>
        <v>20</v>
      </c>
      <c r="N29" s="420">
        <f>IFERROR(_xlfn.XLOOKUP(CONCATENATE($K29,N$5,$L$2),BASE_DATOS[Reporte NSK],BASE_DATOS[NSK],,0),"")</f>
        <v>20</v>
      </c>
      <c r="O29" s="420">
        <f>IFERROR(_xlfn.XLOOKUP(CONCATENATE($K29,O$5,$L$2),BASE_DATOS[Reporte NSK],BASE_DATOS[NSK],,0),"")</f>
        <v>15</v>
      </c>
      <c r="P29" s="420">
        <f>IFERROR(_xlfn.XLOOKUP(CONCATENATE($K29,P$5,$L$2),BASE_DATOS[Reporte NSK],BASE_DATOS[NSK],,0),"")</f>
        <v>15</v>
      </c>
      <c r="Q29" s="420">
        <f>IFERROR(_xlfn.XLOOKUP(CONCATENATE($K29,Q$5,$L$2),BASE_DATOS[Reporte NSK],BASE_DATOS[NSK],,0),"")</f>
        <v>8</v>
      </c>
      <c r="R29" s="420">
        <f>IFERROR(_xlfn.XLOOKUP(CONCATENATE($K29,R$5,$L$2),BASE_DATOS[Reporte NSK],BASE_DATOS[NSK],,0),"")</f>
        <v>8</v>
      </c>
      <c r="S29" s="463">
        <f>IFERROR(_xlfn.XLOOKUP(CONCATENATE($K29,S$5,$L$2),BASE_DATOS[Reporte NSK],BASE_DATOS[NSK],,0),"")</f>
        <v>8</v>
      </c>
      <c r="T29" s="464">
        <f>IFERROR(_xlfn.XLOOKUP(CONCATENATE($K29,T$5,$L$2),BASE_DATOS[Reporte NSK],BASE_DATOS[NSK],,0),"")</f>
        <v>6</v>
      </c>
      <c r="U29" s="418">
        <f t="shared" si="1"/>
        <v>8</v>
      </c>
    </row>
    <row r="30" spans="11:21" x14ac:dyDescent="0.2">
      <c r="K30" s="412" t="s">
        <v>201</v>
      </c>
      <c r="L30" s="415" t="s">
        <v>202</v>
      </c>
      <c r="M30" s="419">
        <f>IFERROR(_xlfn.XLOOKUP(CONCATENATE($K30,M$5,$L$2),BASE_DATOS[Reporte NSK],BASE_DATOS[NSK],,0),"")</f>
        <v>5</v>
      </c>
      <c r="N30" s="420">
        <f>IFERROR(_xlfn.XLOOKUP(CONCATENATE($K30,N$5,$L$2),BASE_DATOS[Reporte NSK],BASE_DATOS[NSK],,0),"")</f>
        <v>10</v>
      </c>
      <c r="O30" s="420">
        <f>IFERROR(_xlfn.XLOOKUP(CONCATENATE($K30,O$5,$L$2),BASE_DATOS[Reporte NSK],BASE_DATOS[NSK],,0),"")</f>
        <v>16</v>
      </c>
      <c r="P30" s="420">
        <f>IFERROR(_xlfn.XLOOKUP(CONCATENATE($K30,P$5,$L$2),BASE_DATOS[Reporte NSK],BASE_DATOS[NSK],,0),"")</f>
        <v>16</v>
      </c>
      <c r="Q30" s="420">
        <f>IFERROR(_xlfn.XLOOKUP(CONCATENATE($K30,Q$5,$L$2),BASE_DATOS[Reporte NSK],BASE_DATOS[NSK],,0),"")</f>
        <v>8</v>
      </c>
      <c r="R30" s="420">
        <f>IFERROR(_xlfn.XLOOKUP(CONCATENATE($K30,R$5,$L$2),BASE_DATOS[Reporte NSK],BASE_DATOS[NSK],,0),"")</f>
        <v>8</v>
      </c>
      <c r="S30" s="463">
        <f>IFERROR(_xlfn.XLOOKUP(CONCATENATE($K30,S$5,$L$2),BASE_DATOS[Reporte NSK],BASE_DATOS[NSK],,0),"")</f>
        <v>8</v>
      </c>
      <c r="T30" s="464">
        <f>IFERROR(_xlfn.XLOOKUP(CONCATENATE($K30,T$5,$L$2),BASE_DATOS[Reporte NSK],BASE_DATOS[NSK],,0),"")</f>
        <v>12</v>
      </c>
      <c r="U30" s="418">
        <f t="shared" si="1"/>
        <v>8</v>
      </c>
    </row>
    <row r="31" spans="11:21" x14ac:dyDescent="0.2">
      <c r="K31" s="412" t="s">
        <v>205</v>
      </c>
      <c r="L31" s="415" t="s">
        <v>206</v>
      </c>
      <c r="M31" s="419">
        <f>IFERROR(_xlfn.XLOOKUP(CONCATENATE($K31,M$5,$L$2),BASE_DATOS[Reporte NSK],BASE_DATOS[NSK],,0),"")</f>
        <v>14</v>
      </c>
      <c r="N31" s="420">
        <f>IFERROR(_xlfn.XLOOKUP(CONCATENATE($K31,N$5,$L$2),BASE_DATOS[Reporte NSK],BASE_DATOS[NSK],,0),"")</f>
        <v>14</v>
      </c>
      <c r="O31" s="420">
        <f>IFERROR(_xlfn.XLOOKUP(CONCATENATE($K31,O$5,$L$2),BASE_DATOS[Reporte NSK],BASE_DATOS[NSK],,0),"")</f>
        <v>13</v>
      </c>
      <c r="P31" s="420">
        <f>IFERROR(_xlfn.XLOOKUP(CONCATENATE($K31,P$5,$L$2),BASE_DATOS[Reporte NSK],BASE_DATOS[NSK],,0),"")</f>
        <v>14</v>
      </c>
      <c r="Q31" s="420">
        <f>IFERROR(_xlfn.XLOOKUP(CONCATENATE($K31,Q$5,$L$2),BASE_DATOS[Reporte NSK],BASE_DATOS[NSK],,0),"")</f>
        <v>10</v>
      </c>
      <c r="R31" s="420">
        <f>IFERROR(_xlfn.XLOOKUP(CONCATENATE($K31,R$5,$L$2),BASE_DATOS[Reporte NSK],BASE_DATOS[NSK],,0),"")</f>
        <v>10</v>
      </c>
      <c r="S31" s="463">
        <f>IFERROR(_xlfn.XLOOKUP(CONCATENATE($K31,S$5,$L$2),BASE_DATOS[Reporte NSK],BASE_DATOS[NSK],,0),"")</f>
        <v>4</v>
      </c>
      <c r="T31" s="464">
        <f>IFERROR(_xlfn.XLOOKUP(CONCATENATE($K31,T$5,$L$2),BASE_DATOS[Reporte NSK],BASE_DATOS[NSK],,0),"")</f>
        <v>7</v>
      </c>
      <c r="U31" s="418">
        <f t="shared" si="1"/>
        <v>8</v>
      </c>
    </row>
    <row r="32" spans="11:21" x14ac:dyDescent="0.2">
      <c r="K32" s="412" t="s">
        <v>209</v>
      </c>
      <c r="L32" s="415" t="s">
        <v>210</v>
      </c>
      <c r="M32" s="419">
        <f>IFERROR(_xlfn.XLOOKUP(CONCATENATE($K32,M$5,$L$2),BASE_DATOS[Reporte NSK],BASE_DATOS[NSK],,0),"")</f>
        <v>8</v>
      </c>
      <c r="N32" s="420">
        <f>IFERROR(_xlfn.XLOOKUP(CONCATENATE($K32,N$5,$L$2),BASE_DATOS[Reporte NSK],BASE_DATOS[NSK],,0),"")</f>
        <v>8</v>
      </c>
      <c r="O32" s="420">
        <f>IFERROR(_xlfn.XLOOKUP(CONCATENATE($K32,O$5,$L$2),BASE_DATOS[Reporte NSK],BASE_DATOS[NSK],,0),"")</f>
        <v>7</v>
      </c>
      <c r="P32" s="420">
        <f>IFERROR(_xlfn.XLOOKUP(CONCATENATE($K32,P$5,$L$2),BASE_DATOS[Reporte NSK],BASE_DATOS[NSK],,0),"")</f>
        <v>6</v>
      </c>
      <c r="Q32" s="420">
        <f>IFERROR(_xlfn.XLOOKUP(CONCATENATE($K32,Q$5,$L$2),BASE_DATOS[Reporte NSK],BASE_DATOS[NSK],,0),"")</f>
        <v>7</v>
      </c>
      <c r="R32" s="420">
        <f>IFERROR(_xlfn.XLOOKUP(CONCATENATE($K32,R$5,$L$2),BASE_DATOS[Reporte NSK],BASE_DATOS[NSK],,0),"")</f>
        <v>8</v>
      </c>
      <c r="S32" s="463">
        <f>IFERROR(_xlfn.XLOOKUP(CONCATENATE($K32,S$5,$L$2),BASE_DATOS[Reporte NSK],BASE_DATOS[NSK],,0),"")</f>
        <v>8</v>
      </c>
      <c r="T32" s="464" t="str">
        <f>IFERROR(_xlfn.XLOOKUP(CONCATENATE($K32,T$5,$L$2),BASE_DATOS[Reporte NSK],BASE_DATOS[NSK],,0),"")</f>
        <v/>
      </c>
      <c r="U32" s="418">
        <f t="shared" si="1"/>
        <v>7</v>
      </c>
    </row>
    <row r="33" spans="11:21" x14ac:dyDescent="0.2">
      <c r="K33" s="412" t="s">
        <v>213</v>
      </c>
      <c r="L33" s="415" t="s">
        <v>214</v>
      </c>
      <c r="M33" s="419">
        <f>IFERROR(_xlfn.XLOOKUP(CONCATENATE($K33,M$5,$L$2),BASE_DATOS[Reporte NSK],BASE_DATOS[NSK],,0),"")</f>
        <v>10</v>
      </c>
      <c r="N33" s="420">
        <f>IFERROR(_xlfn.XLOOKUP(CONCATENATE($K33,N$5,$L$2),BASE_DATOS[Reporte NSK],BASE_DATOS[NSK],,0),"")</f>
        <v>11</v>
      </c>
      <c r="O33" s="420">
        <f>IFERROR(_xlfn.XLOOKUP(CONCATENATE($K33,O$5,$L$2),BASE_DATOS[Reporte NSK],BASE_DATOS[NSK],,0),"")</f>
        <v>19</v>
      </c>
      <c r="P33" s="420">
        <f>IFERROR(_xlfn.XLOOKUP(CONCATENATE($K33,P$5,$L$2),BASE_DATOS[Reporte NSK],BASE_DATOS[NSK],,0),"")</f>
        <v>19</v>
      </c>
      <c r="Q33" s="420">
        <f>IFERROR(_xlfn.XLOOKUP(CONCATENATE($K33,Q$5,$L$2),BASE_DATOS[Reporte NSK],BASE_DATOS[NSK],,0),"")</f>
        <v>14</v>
      </c>
      <c r="R33" s="420">
        <f>IFERROR(_xlfn.XLOOKUP(CONCATENATE($K33,R$5,$L$2),BASE_DATOS[Reporte NSK],BASE_DATOS[NSK],,0),"")</f>
        <v>14</v>
      </c>
      <c r="S33" s="463">
        <f>IFERROR(_xlfn.XLOOKUP(CONCATENATE($K33,S$5,$L$2),BASE_DATOS[Reporte NSK],BASE_DATOS[NSK],,0),"")</f>
        <v>8</v>
      </c>
      <c r="T33" s="464">
        <f>IFERROR(_xlfn.XLOOKUP(CONCATENATE($K33,T$5,$L$2),BASE_DATOS[Reporte NSK],BASE_DATOS[NSK],,0),"")</f>
        <v>8</v>
      </c>
      <c r="U33" s="418">
        <f t="shared" si="1"/>
        <v>8</v>
      </c>
    </row>
    <row r="34" spans="11:21" x14ac:dyDescent="0.2">
      <c r="K34" s="412" t="s">
        <v>217</v>
      </c>
      <c r="L34" s="415" t="s">
        <v>218</v>
      </c>
      <c r="M34" s="419">
        <f>IFERROR(_xlfn.XLOOKUP(CONCATENATE($K34,M$5,$L$2),BASE_DATOS[Reporte NSK],BASE_DATOS[NSK],,0),"")</f>
        <v>12</v>
      </c>
      <c r="N34" s="420">
        <f>IFERROR(_xlfn.XLOOKUP(CONCATENATE($K34,N$5,$L$2),BASE_DATOS[Reporte NSK],BASE_DATOS[NSK],,0),"")</f>
        <v>15</v>
      </c>
      <c r="O34" s="420">
        <f>IFERROR(_xlfn.XLOOKUP(CONCATENATE($K34,O$5,$L$2),BASE_DATOS[Reporte NSK],BASE_DATOS[NSK],,0),"")</f>
        <v>9</v>
      </c>
      <c r="P34" s="420">
        <f>IFERROR(_xlfn.XLOOKUP(CONCATENATE($K34,P$5,$L$2),BASE_DATOS[Reporte NSK],BASE_DATOS[NSK],,0),"")</f>
        <v>9</v>
      </c>
      <c r="Q34" s="420">
        <f>IFERROR(_xlfn.XLOOKUP(CONCATENATE($K34,Q$5,$L$2),BASE_DATOS[Reporte NSK],BASE_DATOS[NSK],,0),"")</f>
        <v>14</v>
      </c>
      <c r="R34" s="420">
        <f>IFERROR(_xlfn.XLOOKUP(CONCATENATE($K34,R$5,$L$2),BASE_DATOS[Reporte NSK],BASE_DATOS[NSK],,0),"")</f>
        <v>15</v>
      </c>
      <c r="S34" s="463">
        <f>IFERROR(_xlfn.XLOOKUP(CONCATENATE($K34,S$5,$L$2),BASE_DATOS[Reporte NSK],BASE_DATOS[NSK],,0),"")</f>
        <v>5</v>
      </c>
      <c r="T34" s="464">
        <f>IFERROR(_xlfn.XLOOKUP(CONCATENATE($K34,T$5,$L$2),BASE_DATOS[Reporte NSK],BASE_DATOS[NSK],,0),"")</f>
        <v>6</v>
      </c>
      <c r="U34" s="418">
        <f t="shared" si="1"/>
        <v>8</v>
      </c>
    </row>
    <row r="35" spans="11:21" x14ac:dyDescent="0.2">
      <c r="K35" s="412" t="s">
        <v>221</v>
      </c>
      <c r="L35" s="415" t="s">
        <v>222</v>
      </c>
      <c r="M35" s="419">
        <f>IFERROR(_xlfn.XLOOKUP(CONCATENATE($K35,M$5,$L$2),BASE_DATOS[Reporte NSK],BASE_DATOS[NSK],,0),"")</f>
        <v>10</v>
      </c>
      <c r="N35" s="420">
        <f>IFERROR(_xlfn.XLOOKUP(CONCATENATE($K35,N$5,$L$2),BASE_DATOS[Reporte NSK],BASE_DATOS[NSK],,0),"")</f>
        <v>9</v>
      </c>
      <c r="O35" s="420">
        <f>IFERROR(_xlfn.XLOOKUP(CONCATENATE($K35,O$5,$L$2),BASE_DATOS[Reporte NSK],BASE_DATOS[NSK],,0),"")</f>
        <v>8</v>
      </c>
      <c r="P35" s="420">
        <f>IFERROR(_xlfn.XLOOKUP(CONCATENATE($K35,P$5,$L$2),BASE_DATOS[Reporte NSK],BASE_DATOS[NSK],,0),"")</f>
        <v>9</v>
      </c>
      <c r="Q35" s="420">
        <f>IFERROR(_xlfn.XLOOKUP(CONCATENATE($K35,Q$5,$L$2),BASE_DATOS[Reporte NSK],BASE_DATOS[NSK],,0),"")</f>
        <v>14</v>
      </c>
      <c r="R35" s="420">
        <f>IFERROR(_xlfn.XLOOKUP(CONCATENATE($K35,R$5,$L$2),BASE_DATOS[Reporte NSK],BASE_DATOS[NSK],,0),"")</f>
        <v>14</v>
      </c>
      <c r="S35" s="463">
        <f>IFERROR(_xlfn.XLOOKUP(CONCATENATE($K35,S$5,$L$2),BASE_DATOS[Reporte NSK],BASE_DATOS[NSK],,0),"")</f>
        <v>16</v>
      </c>
      <c r="T35" s="464">
        <f>IFERROR(_xlfn.XLOOKUP(CONCATENATE($K35,T$5,$L$2),BASE_DATOS[Reporte NSK],BASE_DATOS[NSK],,0),"")</f>
        <v>12</v>
      </c>
      <c r="U35" s="418">
        <f t="shared" si="1"/>
        <v>8</v>
      </c>
    </row>
    <row r="36" spans="11:21" x14ac:dyDescent="0.2">
      <c r="K36" s="412" t="s">
        <v>225</v>
      </c>
      <c r="L36" s="415" t="s">
        <v>226</v>
      </c>
      <c r="M36" s="419">
        <f>IFERROR(_xlfn.XLOOKUP(CONCATENATE($K36,M$5,$L$2),BASE_DATOS[Reporte NSK],BASE_DATOS[NSK],,0),"")</f>
        <v>10</v>
      </c>
      <c r="N36" s="420">
        <f>IFERROR(_xlfn.XLOOKUP(CONCATENATE($K36,N$5,$L$2),BASE_DATOS[Reporte NSK],BASE_DATOS[NSK],,0),"")</f>
        <v>8</v>
      </c>
      <c r="O36" s="420">
        <f>IFERROR(_xlfn.XLOOKUP(CONCATENATE($K36,O$5,$L$2),BASE_DATOS[Reporte NSK],BASE_DATOS[NSK],,0),"")</f>
        <v>13</v>
      </c>
      <c r="P36" s="420">
        <f>IFERROR(_xlfn.XLOOKUP(CONCATENATE($K36,P$5,$L$2),BASE_DATOS[Reporte NSK],BASE_DATOS[NSK],,0),"")</f>
        <v>7</v>
      </c>
      <c r="Q36" s="420">
        <f>IFERROR(_xlfn.XLOOKUP(CONCATENATE($K36,Q$5,$L$2),BASE_DATOS[Reporte NSK],BASE_DATOS[NSK],,0),"")</f>
        <v>15</v>
      </c>
      <c r="R36" s="420">
        <f>IFERROR(_xlfn.XLOOKUP(CONCATENATE($K36,R$5,$L$2),BASE_DATOS[Reporte NSK],BASE_DATOS[NSK],,0),"")</f>
        <v>15</v>
      </c>
      <c r="S36" s="463">
        <f>IFERROR(_xlfn.XLOOKUP(CONCATENATE($K36,S$5,$L$2),BASE_DATOS[Reporte NSK],BASE_DATOS[NSK],,0),"")</f>
        <v>7</v>
      </c>
      <c r="T36" s="464">
        <f>IFERROR(_xlfn.XLOOKUP(CONCATENATE($K36,T$5,$L$2),BASE_DATOS[Reporte NSK],BASE_DATOS[NSK],,0),"")</f>
        <v>8</v>
      </c>
      <c r="U36" s="418">
        <f t="shared" si="1"/>
        <v>8</v>
      </c>
    </row>
    <row r="37" spans="11:21" x14ac:dyDescent="0.2">
      <c r="K37" s="412" t="s">
        <v>229</v>
      </c>
      <c r="L37" s="415" t="s">
        <v>236</v>
      </c>
      <c r="M37" s="419">
        <f>IFERROR(_xlfn.XLOOKUP(CONCATENATE($K37,M$5,$L$2),BASE_DATOS[Reporte NSK],BASE_DATOS[NSK],,0),"")</f>
        <v>11</v>
      </c>
      <c r="N37" s="420">
        <f>IFERROR(_xlfn.XLOOKUP(CONCATENATE($K37,N$5,$L$2),BASE_DATOS[Reporte NSK],BASE_DATOS[NSK],,0),"")</f>
        <v>13</v>
      </c>
      <c r="O37" s="420">
        <f>IFERROR(_xlfn.XLOOKUP(CONCATENATE($K37,O$5,$L$2),BASE_DATOS[Reporte NSK],BASE_DATOS[NSK],,0),"")</f>
        <v>10</v>
      </c>
      <c r="P37" s="420">
        <f>IFERROR(_xlfn.XLOOKUP(CONCATENATE($K37,P$5,$L$2),BASE_DATOS[Reporte NSK],BASE_DATOS[NSK],,0),"")</f>
        <v>14</v>
      </c>
      <c r="Q37" s="420">
        <f>IFERROR(_xlfn.XLOOKUP(CONCATENATE($K37,Q$5,$L$2),BASE_DATOS[Reporte NSK],BASE_DATOS[NSK],,0),"")</f>
        <v>12</v>
      </c>
      <c r="R37" s="420">
        <f>IFERROR(_xlfn.XLOOKUP(CONCATENATE($K37,R$5,$L$2),BASE_DATOS[Reporte NSK],BASE_DATOS[NSK],,0),"")</f>
        <v>11</v>
      </c>
      <c r="S37" s="463">
        <f>IFERROR(_xlfn.XLOOKUP(CONCATENATE($K37,S$5,$L$2),BASE_DATOS[Reporte NSK],BASE_DATOS[NSK],,0),"")</f>
        <v>17</v>
      </c>
      <c r="T37" s="464">
        <f>IFERROR(_xlfn.XLOOKUP(CONCATENATE($K37,T$5,$L$2),BASE_DATOS[Reporte NSK],BASE_DATOS[NSK],,0),"")</f>
        <v>13</v>
      </c>
      <c r="U37" s="418">
        <f t="shared" si="1"/>
        <v>8</v>
      </c>
    </row>
    <row r="38" spans="11:21" x14ac:dyDescent="0.2">
      <c r="K38" s="412" t="s">
        <v>233</v>
      </c>
      <c r="L38" s="415" t="s">
        <v>230</v>
      </c>
      <c r="M38" s="419">
        <f>IFERROR(_xlfn.XLOOKUP(CONCATENATE($K38,M$5,$L$2),BASE_DATOS[Reporte NSK],BASE_DATOS[NSK],,0),"")</f>
        <v>14</v>
      </c>
      <c r="N38" s="420">
        <f>IFERROR(_xlfn.XLOOKUP(CONCATENATE($K38,N$5,$L$2),BASE_DATOS[Reporte NSK],BASE_DATOS[NSK],,0),"")</f>
        <v>14</v>
      </c>
      <c r="O38" s="420">
        <f>IFERROR(_xlfn.XLOOKUP(CONCATENATE($K38,O$5,$L$2),BASE_DATOS[Reporte NSK],BASE_DATOS[NSK],,0),"")</f>
        <v>10</v>
      </c>
      <c r="P38" s="420">
        <f>IFERROR(_xlfn.XLOOKUP(CONCATENATE($K38,P$5,$L$2),BASE_DATOS[Reporte NSK],BASE_DATOS[NSK],,0),"")</f>
        <v>9</v>
      </c>
      <c r="Q38" s="420">
        <f>IFERROR(_xlfn.XLOOKUP(CONCATENATE($K38,Q$5,$L$2),BASE_DATOS[Reporte NSK],BASE_DATOS[NSK],,0),"")</f>
        <v>12</v>
      </c>
      <c r="R38" s="420">
        <f>IFERROR(_xlfn.XLOOKUP(CONCATENATE($K38,R$5,$L$2),BASE_DATOS[Reporte NSK],BASE_DATOS[NSK],,0),"")</f>
        <v>12</v>
      </c>
      <c r="S38" s="463">
        <f>IFERROR(_xlfn.XLOOKUP(CONCATENATE($K38,S$5,$L$2),BASE_DATOS[Reporte NSK],BASE_DATOS[NSK],,0),"")</f>
        <v>10</v>
      </c>
      <c r="T38" s="464">
        <f>IFERROR(_xlfn.XLOOKUP(CONCATENATE($K38,T$5,$L$2),BASE_DATOS[Reporte NSK],BASE_DATOS[NSK],,0),"")</f>
        <v>7</v>
      </c>
      <c r="U38" s="418">
        <f t="shared" ref="U38:U69" si="2">IF(COUNT(M38:T38)&gt;0,COUNT(M38:T38),"")</f>
        <v>8</v>
      </c>
    </row>
    <row r="39" spans="11:21" x14ac:dyDescent="0.2">
      <c r="K39" s="412" t="s">
        <v>473</v>
      </c>
      <c r="L39" s="415" t="s">
        <v>472</v>
      </c>
      <c r="M39" s="419">
        <f>IFERROR(_xlfn.XLOOKUP(CONCATENATE($K39,M$5,$L$2),BASE_DATOS[Reporte NSK],BASE_DATOS[NSK],,0),"")</f>
        <v>13</v>
      </c>
      <c r="N39" s="420">
        <f>IFERROR(_xlfn.XLOOKUP(CONCATENATE($K39,N$5,$L$2),BASE_DATOS[Reporte NSK],BASE_DATOS[NSK],,0),"")</f>
        <v>18</v>
      </c>
      <c r="O39" s="420">
        <f>IFERROR(_xlfn.XLOOKUP(CONCATENATE($K39,O$5,$L$2),BASE_DATOS[Reporte NSK],BASE_DATOS[NSK],,0),"")</f>
        <v>9</v>
      </c>
      <c r="P39" s="420">
        <f>IFERROR(_xlfn.XLOOKUP(CONCATENATE($K39,P$5,$L$2),BASE_DATOS[Reporte NSK],BASE_DATOS[NSK],,0),"")</f>
        <v>11</v>
      </c>
      <c r="Q39" s="420">
        <f>IFERROR(_xlfn.XLOOKUP(CONCATENATE($K39,Q$5,$L$2),BASE_DATOS[Reporte NSK],BASE_DATOS[NSK],,0),"")</f>
        <v>13</v>
      </c>
      <c r="R39" s="420">
        <f>IFERROR(_xlfn.XLOOKUP(CONCATENATE($K39,R$5,$L$2),BASE_DATOS[Reporte NSK],BASE_DATOS[NSK],,0),"")</f>
        <v>12</v>
      </c>
      <c r="S39" s="463">
        <f>IFERROR(_xlfn.XLOOKUP(CONCATENATE($K39,S$5,$L$2),BASE_DATOS[Reporte NSK],BASE_DATOS[NSK],,0),"")</f>
        <v>8</v>
      </c>
      <c r="T39" s="464">
        <f>IFERROR(_xlfn.XLOOKUP(CONCATENATE($K39,T$5,$L$2),BASE_DATOS[Reporte NSK],BASE_DATOS[NSK],,0),"")</f>
        <v>6</v>
      </c>
      <c r="U39" s="418">
        <f t="shared" si="2"/>
        <v>8</v>
      </c>
    </row>
    <row r="40" spans="11:21" x14ac:dyDescent="0.2">
      <c r="K40" s="412" t="s">
        <v>242</v>
      </c>
      <c r="L40" s="415" t="s">
        <v>239</v>
      </c>
      <c r="M40" s="419">
        <f>IFERROR(_xlfn.XLOOKUP(CONCATENATE($K40,M$5,$L$2),BASE_DATOS[Reporte NSK],BASE_DATOS[NSK],,0),"")</f>
        <v>11</v>
      </c>
      <c r="N40" s="420">
        <f>IFERROR(_xlfn.XLOOKUP(CONCATENATE($K40,N$5,$L$2),BASE_DATOS[Reporte NSK],BASE_DATOS[NSK],,0),"")</f>
        <v>8</v>
      </c>
      <c r="O40" s="420">
        <f>IFERROR(_xlfn.XLOOKUP(CONCATENATE($K40,O$5,$L$2),BASE_DATOS[Reporte NSK],BASE_DATOS[NSK],,0),"")</f>
        <v>15</v>
      </c>
      <c r="P40" s="420">
        <f>IFERROR(_xlfn.XLOOKUP(CONCATENATE($K40,P$5,$L$2),BASE_DATOS[Reporte NSK],BASE_DATOS[NSK],,0),"")</f>
        <v>15</v>
      </c>
      <c r="Q40" s="420">
        <f>IFERROR(_xlfn.XLOOKUP(CONCATENATE($K40,Q$5,$L$2),BASE_DATOS[Reporte NSK],BASE_DATOS[NSK],,0),"")</f>
        <v>13</v>
      </c>
      <c r="R40" s="420">
        <f>IFERROR(_xlfn.XLOOKUP(CONCATENATE($K40,R$5,$L$2),BASE_DATOS[Reporte NSK],BASE_DATOS[NSK],,0),"")</f>
        <v>14</v>
      </c>
      <c r="S40" s="463">
        <f>IFERROR(_xlfn.XLOOKUP(CONCATENATE($K40,S$5,$L$2),BASE_DATOS[Reporte NSK],BASE_DATOS[NSK],,0),"")</f>
        <v>16</v>
      </c>
      <c r="T40" s="464">
        <f>IFERROR(_xlfn.XLOOKUP(CONCATENATE($K40,T$5,$L$2),BASE_DATOS[Reporte NSK],BASE_DATOS[NSK],,0),"")</f>
        <v>17</v>
      </c>
      <c r="U40" s="418">
        <f t="shared" si="2"/>
        <v>8</v>
      </c>
    </row>
    <row r="41" spans="11:21" x14ac:dyDescent="0.2">
      <c r="K41" s="412" t="s">
        <v>243</v>
      </c>
      <c r="L41" s="415" t="s">
        <v>244</v>
      </c>
      <c r="M41" s="419">
        <f>IFERROR(_xlfn.XLOOKUP(CONCATENATE($K41,M$5,$L$2),BASE_DATOS[Reporte NSK],BASE_DATOS[NSK],,0),"")</f>
        <v>11</v>
      </c>
      <c r="N41" s="420">
        <f>IFERROR(_xlfn.XLOOKUP(CONCATENATE($K41,N$5,$L$2),BASE_DATOS[Reporte NSK],BASE_DATOS[NSK],,0),"")</f>
        <v>11</v>
      </c>
      <c r="O41" s="420">
        <f>IFERROR(_xlfn.XLOOKUP(CONCATENATE($K41,O$5,$L$2),BASE_DATOS[Reporte NSK],BASE_DATOS[NSK],,0),"")</f>
        <v>14</v>
      </c>
      <c r="P41" s="420">
        <f>IFERROR(_xlfn.XLOOKUP(CONCATENATE($K41,P$5,$L$2),BASE_DATOS[Reporte NSK],BASE_DATOS[NSK],,0),"")</f>
        <v>15</v>
      </c>
      <c r="Q41" s="420">
        <f>IFERROR(_xlfn.XLOOKUP(CONCATENATE($K41,Q$5,$L$2),BASE_DATOS[Reporte NSK],BASE_DATOS[NSK],,0),"")</f>
        <v>12</v>
      </c>
      <c r="R41" s="420">
        <f>IFERROR(_xlfn.XLOOKUP(CONCATENATE($K41,R$5,$L$2),BASE_DATOS[Reporte NSK],BASE_DATOS[NSK],,0),"")</f>
        <v>12</v>
      </c>
      <c r="S41" s="463">
        <f>IFERROR(_xlfn.XLOOKUP(CONCATENATE($K41,S$5,$L$2),BASE_DATOS[Reporte NSK],BASE_DATOS[NSK],,0),"")</f>
        <v>16</v>
      </c>
      <c r="T41" s="464">
        <f>IFERROR(_xlfn.XLOOKUP(CONCATENATE($K41,T$5,$L$2),BASE_DATOS[Reporte NSK],BASE_DATOS[NSK],,0),"")</f>
        <v>21</v>
      </c>
      <c r="U41" s="418">
        <f t="shared" si="2"/>
        <v>8</v>
      </c>
    </row>
    <row r="42" spans="11:21" x14ac:dyDescent="0.2">
      <c r="K42" s="412" t="s">
        <v>475</v>
      </c>
      <c r="L42" s="415" t="s">
        <v>261</v>
      </c>
      <c r="M42" s="419">
        <f>IFERROR(_xlfn.XLOOKUP(CONCATENATE($K42,M$5,$L$2),BASE_DATOS[Reporte NSK],BASE_DATOS[NSK],,0),"")</f>
        <v>16</v>
      </c>
      <c r="N42" s="420">
        <f>IFERROR(_xlfn.XLOOKUP(CONCATENATE($K42,N$5,$L$2),BASE_DATOS[Reporte NSK],BASE_DATOS[NSK],,0),"")</f>
        <v>15</v>
      </c>
      <c r="O42" s="420">
        <f>IFERROR(_xlfn.XLOOKUP(CONCATENATE($K42,O$5,$L$2),BASE_DATOS[Reporte NSK],BASE_DATOS[NSK],,0),"")</f>
        <v>12</v>
      </c>
      <c r="P42" s="420">
        <f>IFERROR(_xlfn.XLOOKUP(CONCATENATE($K42,P$5,$L$2),BASE_DATOS[Reporte NSK],BASE_DATOS[NSK],,0),"")</f>
        <v>11</v>
      </c>
      <c r="Q42" s="420">
        <f>IFERROR(_xlfn.XLOOKUP(CONCATENATE($K42,Q$5,$L$2),BASE_DATOS[Reporte NSK],BASE_DATOS[NSK],,0),"")</f>
        <v>14</v>
      </c>
      <c r="R42" s="420">
        <f>IFERROR(_xlfn.XLOOKUP(CONCATENATE($K42,R$5,$L$2),BASE_DATOS[Reporte NSK],BASE_DATOS[NSK],,0),"")</f>
        <v>15</v>
      </c>
      <c r="S42" s="463">
        <f>IFERROR(_xlfn.XLOOKUP(CONCATENATE($K42,S$5,$L$2),BASE_DATOS[Reporte NSK],BASE_DATOS[NSK],,0),"")</f>
        <v>13</v>
      </c>
      <c r="T42" s="464">
        <f>IFERROR(_xlfn.XLOOKUP(CONCATENATE($K42,T$5,$L$2),BASE_DATOS[Reporte NSK],BASE_DATOS[NSK],,0),"")</f>
        <v>20</v>
      </c>
      <c r="U42" s="418">
        <f t="shared" si="2"/>
        <v>8</v>
      </c>
    </row>
    <row r="43" spans="11:21" x14ac:dyDescent="0.2">
      <c r="K43" s="412" t="s">
        <v>462</v>
      </c>
      <c r="L43" s="415" t="s">
        <v>254</v>
      </c>
      <c r="M43" s="419">
        <f>IFERROR(_xlfn.XLOOKUP(CONCATENATE($K43,M$5,$L$2),BASE_DATOS[Reporte NSK],BASE_DATOS[NSK],,0),"")</f>
        <v>10</v>
      </c>
      <c r="N43" s="420">
        <f>IFERROR(_xlfn.XLOOKUP(CONCATENATE($K43,N$5,$L$2),BASE_DATOS[Reporte NSK],BASE_DATOS[NSK],,0),"")</f>
        <v>10</v>
      </c>
      <c r="O43" s="420">
        <f>IFERROR(_xlfn.XLOOKUP(CONCATENATE($K43,O$5,$L$2),BASE_DATOS[Reporte NSK],BASE_DATOS[NSK],,0),"")</f>
        <v>9</v>
      </c>
      <c r="P43" s="420">
        <f>IFERROR(_xlfn.XLOOKUP(CONCATENATE($K43,P$5,$L$2),BASE_DATOS[Reporte NSK],BASE_DATOS[NSK],,0),"")</f>
        <v>9</v>
      </c>
      <c r="Q43" s="420">
        <f>IFERROR(_xlfn.XLOOKUP(CONCATENATE($K43,Q$5,$L$2),BASE_DATOS[Reporte NSK],BASE_DATOS[NSK],,0),"")</f>
        <v>10</v>
      </c>
      <c r="R43" s="420">
        <f>IFERROR(_xlfn.XLOOKUP(CONCATENATE($K43,R$5,$L$2),BASE_DATOS[Reporte NSK],BASE_DATOS[NSK],,0),"")</f>
        <v>11</v>
      </c>
      <c r="S43" s="463">
        <f>IFERROR(_xlfn.XLOOKUP(CONCATENATE($K43,S$5,$L$2),BASE_DATOS[Reporte NSK],BASE_DATOS[NSK],,0),"")</f>
        <v>16</v>
      </c>
      <c r="T43" s="464">
        <f>IFERROR(_xlfn.XLOOKUP(CONCATENATE($K43,T$5,$L$2),BASE_DATOS[Reporte NSK],BASE_DATOS[NSK],,0),"")</f>
        <v>20</v>
      </c>
      <c r="U43" s="418">
        <f t="shared" si="2"/>
        <v>8</v>
      </c>
    </row>
    <row r="44" spans="11:21" x14ac:dyDescent="0.2">
      <c r="K44" s="412" t="s">
        <v>464</v>
      </c>
      <c r="L44" s="415" t="s">
        <v>262</v>
      </c>
      <c r="M44" s="419">
        <f>IFERROR(_xlfn.XLOOKUP(CONCATENATE($K44,M$5,$L$2),BASE_DATOS[Reporte NSK],BASE_DATOS[NSK],,0),"")</f>
        <v>12</v>
      </c>
      <c r="N44" s="420">
        <f>IFERROR(_xlfn.XLOOKUP(CONCATENATE($K44,N$5,$L$2),BASE_DATOS[Reporte NSK],BASE_DATOS[NSK],,0),"")</f>
        <v>13</v>
      </c>
      <c r="O44" s="420">
        <f>IFERROR(_xlfn.XLOOKUP(CONCATENATE($K44,O$5,$L$2),BASE_DATOS[Reporte NSK],BASE_DATOS[NSK],,0),"")</f>
        <v>11</v>
      </c>
      <c r="P44" s="420">
        <f>IFERROR(_xlfn.XLOOKUP(CONCATENATE($K44,P$5,$L$2),BASE_DATOS[Reporte NSK],BASE_DATOS[NSK],,0),"")</f>
        <v>12</v>
      </c>
      <c r="Q44" s="420">
        <f>IFERROR(_xlfn.XLOOKUP(CONCATENATE($K44,Q$5,$L$2),BASE_DATOS[Reporte NSK],BASE_DATOS[NSK],,0),"")</f>
        <v>14</v>
      </c>
      <c r="R44" s="420">
        <f>IFERROR(_xlfn.XLOOKUP(CONCATENATE($K44,R$5,$L$2),BASE_DATOS[Reporte NSK],BASE_DATOS[NSK],,0),"")</f>
        <v>13</v>
      </c>
      <c r="S44" s="463">
        <f>IFERROR(_xlfn.XLOOKUP(CONCATENATE($K44,S$5,$L$2),BASE_DATOS[Reporte NSK],BASE_DATOS[NSK],,0),"")</f>
        <v>16</v>
      </c>
      <c r="T44" s="464">
        <f>IFERROR(_xlfn.XLOOKUP(CONCATENATE($K44,T$5,$L$2),BASE_DATOS[Reporte NSK],BASE_DATOS[NSK],,0),"")</f>
        <v>21</v>
      </c>
      <c r="U44" s="418">
        <f t="shared" si="2"/>
        <v>8</v>
      </c>
    </row>
    <row r="45" spans="11:21" x14ac:dyDescent="0.2">
      <c r="K45" s="412" t="s">
        <v>459</v>
      </c>
      <c r="L45" s="415" t="s">
        <v>265</v>
      </c>
      <c r="M45" s="419">
        <f>IFERROR(_xlfn.XLOOKUP(CONCATENATE($K45,M$5,$L$2),BASE_DATOS[Reporte NSK],BASE_DATOS[NSK],,0),"")</f>
        <v>11</v>
      </c>
      <c r="N45" s="420">
        <f>IFERROR(_xlfn.XLOOKUP(CONCATENATE($K45,N$5,$L$2),BASE_DATOS[Reporte NSK],BASE_DATOS[NSK],,0),"")</f>
        <v>11</v>
      </c>
      <c r="O45" s="420">
        <f>IFERROR(_xlfn.XLOOKUP(CONCATENATE($K45,O$5,$L$2),BASE_DATOS[Reporte NSK],BASE_DATOS[NSK],,0),"")</f>
        <v>12</v>
      </c>
      <c r="P45" s="420">
        <f>IFERROR(_xlfn.XLOOKUP(CONCATENATE($K45,P$5,$L$2),BASE_DATOS[Reporte NSK],BASE_DATOS[NSK],,0),"")</f>
        <v>11</v>
      </c>
      <c r="Q45" s="420">
        <f>IFERROR(_xlfn.XLOOKUP(CONCATENATE($K45,Q$5,$L$2),BASE_DATOS[Reporte NSK],BASE_DATOS[NSK],,0),"")</f>
        <v>6</v>
      </c>
      <c r="R45" s="420">
        <f>IFERROR(_xlfn.XLOOKUP(CONCATENATE($K45,R$5,$L$2),BASE_DATOS[Reporte NSK],BASE_DATOS[NSK],,0),"")</f>
        <v>6</v>
      </c>
      <c r="S45" s="463">
        <f>IFERROR(_xlfn.XLOOKUP(CONCATENATE($K45,S$5,$L$2),BASE_DATOS[Reporte NSK],BASE_DATOS[NSK],,0),"")</f>
        <v>16</v>
      </c>
      <c r="T45" s="464">
        <f>IFERROR(_xlfn.XLOOKUP(CONCATENATE($K45,T$5,$L$2),BASE_DATOS[Reporte NSK],BASE_DATOS[NSK],,0),"")</f>
        <v>21</v>
      </c>
      <c r="U45" s="418">
        <f t="shared" si="2"/>
        <v>8</v>
      </c>
    </row>
    <row r="46" spans="11:21" x14ac:dyDescent="0.2">
      <c r="K46" s="412" t="s">
        <v>461</v>
      </c>
      <c r="L46" s="415" t="s">
        <v>263</v>
      </c>
      <c r="M46" s="419">
        <f>IFERROR(_xlfn.XLOOKUP(CONCATENATE($K46,M$5,$L$2),BASE_DATOS[Reporte NSK],BASE_DATOS[NSK],,0),"")</f>
        <v>14</v>
      </c>
      <c r="N46" s="420">
        <f>IFERROR(_xlfn.XLOOKUP(CONCATENATE($K46,N$5,$L$2),BASE_DATOS[Reporte NSK],BASE_DATOS[NSK],,0),"")</f>
        <v>8</v>
      </c>
      <c r="O46" s="420">
        <f>IFERROR(_xlfn.XLOOKUP(CONCATENATE($K46,O$5,$L$2),BASE_DATOS[Reporte NSK],BASE_DATOS[NSK],,0),"")</f>
        <v>10</v>
      </c>
      <c r="P46" s="420">
        <f>IFERROR(_xlfn.XLOOKUP(CONCATENATE($K46,P$5,$L$2),BASE_DATOS[Reporte NSK],BASE_DATOS[NSK],,0),"")</f>
        <v>8</v>
      </c>
      <c r="Q46" s="420">
        <f>IFERROR(_xlfn.XLOOKUP(CONCATENATE($K46,Q$5,$L$2),BASE_DATOS[Reporte NSK],BASE_DATOS[NSK],,0),"")</f>
        <v>10</v>
      </c>
      <c r="R46" s="420">
        <f>IFERROR(_xlfn.XLOOKUP(CONCATENATE($K46,R$5,$L$2),BASE_DATOS[Reporte NSK],BASE_DATOS[NSK],,0),"")</f>
        <v>11</v>
      </c>
      <c r="S46" s="463">
        <f>IFERROR(_xlfn.XLOOKUP(CONCATENATE($K46,S$5,$L$2),BASE_DATOS[Reporte NSK],BASE_DATOS[NSK],,0),"")</f>
        <v>15</v>
      </c>
      <c r="T46" s="464">
        <f>IFERROR(_xlfn.XLOOKUP(CONCATENATE($K46,T$5,$L$2),BASE_DATOS[Reporte NSK],BASE_DATOS[NSK],,0),"")</f>
        <v>20</v>
      </c>
      <c r="U46" s="418">
        <f t="shared" si="2"/>
        <v>8</v>
      </c>
    </row>
    <row r="47" spans="11:21" x14ac:dyDescent="0.2">
      <c r="K47" s="412" t="s">
        <v>403</v>
      </c>
      <c r="L47" s="415" t="s">
        <v>258</v>
      </c>
      <c r="M47" s="419">
        <f>IFERROR(_xlfn.XLOOKUP(CONCATENATE($K47,M$5,$L$2),BASE_DATOS[Reporte NSK],BASE_DATOS[NSK],,0),"")</f>
        <v>20</v>
      </c>
      <c r="N47" s="420">
        <f>IFERROR(_xlfn.XLOOKUP(CONCATENATE($K47,N$5,$L$2),BASE_DATOS[Reporte NSK],BASE_DATOS[NSK],,0),"")</f>
        <v>19</v>
      </c>
      <c r="O47" s="420">
        <f>IFERROR(_xlfn.XLOOKUP(CONCATENATE($K47,O$5,$L$2),BASE_DATOS[Reporte NSK],BASE_DATOS[NSK],,0),"")</f>
        <v>9</v>
      </c>
      <c r="P47" s="420">
        <f>IFERROR(_xlfn.XLOOKUP(CONCATENATE($K47,P$5,$L$2),BASE_DATOS[Reporte NSK],BASE_DATOS[NSK],,0),"")</f>
        <v>10</v>
      </c>
      <c r="Q47" s="420">
        <f>IFERROR(_xlfn.XLOOKUP(CONCATENATE($K47,Q$5,$L$2),BASE_DATOS[Reporte NSK],BASE_DATOS[NSK],,0),"")</f>
        <v>13</v>
      </c>
      <c r="R47" s="420">
        <f>IFERROR(_xlfn.XLOOKUP(CONCATENATE($K47,R$5,$L$2),BASE_DATOS[Reporte NSK],BASE_DATOS[NSK],,0),"")</f>
        <v>14</v>
      </c>
      <c r="S47" s="463">
        <f>IFERROR(_xlfn.XLOOKUP(CONCATENATE($K47,S$5,$L$2),BASE_DATOS[Reporte NSK],BASE_DATOS[NSK],,0),"")</f>
        <v>15</v>
      </c>
      <c r="T47" s="464">
        <f>IFERROR(_xlfn.XLOOKUP(CONCATENATE($K47,T$5,$L$2),BASE_DATOS[Reporte NSK],BASE_DATOS[NSK],,0),"")</f>
        <v>20</v>
      </c>
      <c r="U47" s="418">
        <f t="shared" si="2"/>
        <v>8</v>
      </c>
    </row>
    <row r="48" spans="11:21" x14ac:dyDescent="0.2">
      <c r="K48" s="412" t="s">
        <v>458</v>
      </c>
      <c r="L48" s="415" t="s">
        <v>260</v>
      </c>
      <c r="M48" s="419">
        <f>IFERROR(_xlfn.XLOOKUP(CONCATENATE($K48,M$5,$L$2),BASE_DATOS[Reporte NSK],BASE_DATOS[NSK],,0),"")</f>
        <v>12</v>
      </c>
      <c r="N48" s="420">
        <f>IFERROR(_xlfn.XLOOKUP(CONCATENATE($K48,N$5,$L$2),BASE_DATOS[Reporte NSK],BASE_DATOS[NSK],,0),"")</f>
        <v>12</v>
      </c>
      <c r="O48" s="420">
        <f>IFERROR(_xlfn.XLOOKUP(CONCATENATE($K48,O$5,$L$2),BASE_DATOS[Reporte NSK],BASE_DATOS[NSK],,0),"")</f>
        <v>12</v>
      </c>
      <c r="P48" s="420">
        <f>IFERROR(_xlfn.XLOOKUP(CONCATENATE($K48,P$5,$L$2),BASE_DATOS[Reporte NSK],BASE_DATOS[NSK],,0),"")</f>
        <v>10</v>
      </c>
      <c r="Q48" s="420">
        <f>IFERROR(_xlfn.XLOOKUP(CONCATENATE($K48,Q$5,$L$2),BASE_DATOS[Reporte NSK],BASE_DATOS[NSK],,0),"")</f>
        <v>15</v>
      </c>
      <c r="R48" s="420">
        <f>IFERROR(_xlfn.XLOOKUP(CONCATENATE($K48,R$5,$L$2),BASE_DATOS[Reporte NSK],BASE_DATOS[NSK],,0),"")</f>
        <v>15</v>
      </c>
      <c r="S48" s="463">
        <f>IFERROR(_xlfn.XLOOKUP(CONCATENATE($K48,S$5,$L$2),BASE_DATOS[Reporte NSK],BASE_DATOS[NSK],,0),"")</f>
        <v>16</v>
      </c>
      <c r="T48" s="464">
        <f>IFERROR(_xlfn.XLOOKUP(CONCATENATE($K48,T$5,$L$2),BASE_DATOS[Reporte NSK],BASE_DATOS[NSK],,0),"")</f>
        <v>20</v>
      </c>
      <c r="U48" s="418">
        <f t="shared" si="2"/>
        <v>8</v>
      </c>
    </row>
    <row r="49" spans="11:21" x14ac:dyDescent="0.2">
      <c r="K49" s="412" t="s">
        <v>400</v>
      </c>
      <c r="L49" s="415" t="s">
        <v>347</v>
      </c>
      <c r="M49" s="419">
        <f>IFERROR(_xlfn.XLOOKUP(CONCATENATE($K49,M$5,$L$2),BASE_DATOS[Reporte NSK],BASE_DATOS[NSK],,0),"")</f>
        <v>15</v>
      </c>
      <c r="N49" s="420">
        <f>IFERROR(_xlfn.XLOOKUP(CONCATENATE($K49,N$5,$L$2),BASE_DATOS[Reporte NSK],BASE_DATOS[NSK],,0),"")</f>
        <v>14</v>
      </c>
      <c r="O49" s="420">
        <f>IFERROR(_xlfn.XLOOKUP(CONCATENATE($K49,O$5,$L$2),BASE_DATOS[Reporte NSK],BASE_DATOS[NSK],,0),"")</f>
        <v>14</v>
      </c>
      <c r="P49" s="420">
        <f>IFERROR(_xlfn.XLOOKUP(CONCATENATE($K49,P$5,$L$2),BASE_DATOS[Reporte NSK],BASE_DATOS[NSK],,0),"")</f>
        <v>14</v>
      </c>
      <c r="Q49" s="420">
        <f>IFERROR(_xlfn.XLOOKUP(CONCATENATE($K49,Q$5,$L$2),BASE_DATOS[Reporte NSK],BASE_DATOS[NSK],,0),"")</f>
        <v>12</v>
      </c>
      <c r="R49" s="420">
        <f>IFERROR(_xlfn.XLOOKUP(CONCATENATE($K49,R$5,$L$2),BASE_DATOS[Reporte NSK],BASE_DATOS[NSK],,0),"")</f>
        <v>12</v>
      </c>
      <c r="S49" s="463">
        <f>IFERROR(_xlfn.XLOOKUP(CONCATENATE($K49,S$5,$L$2),BASE_DATOS[Reporte NSK],BASE_DATOS[NSK],,0),"")</f>
        <v>16</v>
      </c>
      <c r="T49" s="464">
        <f>IFERROR(_xlfn.XLOOKUP(CONCATENATE($K49,T$5,$L$2),BASE_DATOS[Reporte NSK],BASE_DATOS[NSK],,0),"")</f>
        <v>20</v>
      </c>
      <c r="U49" s="418">
        <f t="shared" si="2"/>
        <v>8</v>
      </c>
    </row>
    <row r="50" spans="11:21" x14ac:dyDescent="0.2">
      <c r="K50" s="412" t="s">
        <v>406</v>
      </c>
      <c r="L50" s="415" t="s">
        <v>349</v>
      </c>
      <c r="M50" s="419">
        <f>IFERROR(_xlfn.XLOOKUP(CONCATENATE($K50,M$5,$L$2),BASE_DATOS[Reporte NSK],BASE_DATOS[NSK],,0),"")</f>
        <v>14</v>
      </c>
      <c r="N50" s="420">
        <f>IFERROR(_xlfn.XLOOKUP(CONCATENATE($K50,N$5,$L$2),BASE_DATOS[Reporte NSK],BASE_DATOS[NSK],,0),"")</f>
        <v>14</v>
      </c>
      <c r="O50" s="420">
        <f>IFERROR(_xlfn.XLOOKUP(CONCATENATE($K50,O$5,$L$2),BASE_DATOS[Reporte NSK],BASE_DATOS[NSK],,0),"")</f>
        <v>14</v>
      </c>
      <c r="P50" s="420">
        <f>IFERROR(_xlfn.XLOOKUP(CONCATENATE($K50,P$5,$L$2),BASE_DATOS[Reporte NSK],BASE_DATOS[NSK],,0),"")</f>
        <v>14</v>
      </c>
      <c r="Q50" s="420">
        <f>IFERROR(_xlfn.XLOOKUP(CONCATENATE($K50,Q$5,$L$2),BASE_DATOS[Reporte NSK],BASE_DATOS[NSK],,0),"")</f>
        <v>10</v>
      </c>
      <c r="R50" s="420">
        <f>IFERROR(_xlfn.XLOOKUP(CONCATENATE($K50,R$5,$L$2),BASE_DATOS[Reporte NSK],BASE_DATOS[NSK],,0),"")</f>
        <v>10</v>
      </c>
      <c r="S50" s="463">
        <f>IFERROR(_xlfn.XLOOKUP(CONCATENATE($K50,S$5,$L$2),BASE_DATOS[Reporte NSK],BASE_DATOS[NSK],,0),"")</f>
        <v>16</v>
      </c>
      <c r="T50" s="464">
        <f>IFERROR(_xlfn.XLOOKUP(CONCATENATE($K50,T$5,$L$2),BASE_DATOS[Reporte NSK],BASE_DATOS[NSK],,0),"")</f>
        <v>20</v>
      </c>
      <c r="U50" s="418">
        <f t="shared" si="2"/>
        <v>8</v>
      </c>
    </row>
    <row r="51" spans="11:21" x14ac:dyDescent="0.2">
      <c r="K51" s="412" t="s">
        <v>409</v>
      </c>
      <c r="L51" s="415" t="s">
        <v>350</v>
      </c>
      <c r="M51" s="419">
        <f>IFERROR(_xlfn.XLOOKUP(CONCATENATE($K51,M$5,$L$2),BASE_DATOS[Reporte NSK],BASE_DATOS[NSK],,0),"")</f>
        <v>14</v>
      </c>
      <c r="N51" s="420">
        <f>IFERROR(_xlfn.XLOOKUP(CONCATENATE($K51,N$5,$L$2),BASE_DATOS[Reporte NSK],BASE_DATOS[NSK],,0),"")</f>
        <v>14</v>
      </c>
      <c r="O51" s="420">
        <f>IFERROR(_xlfn.XLOOKUP(CONCATENATE($K51,O$5,$L$2),BASE_DATOS[Reporte NSK],BASE_DATOS[NSK],,0),"")</f>
        <v>12</v>
      </c>
      <c r="P51" s="420">
        <f>IFERROR(_xlfn.XLOOKUP(CONCATENATE($K51,P$5,$L$2),BASE_DATOS[Reporte NSK],BASE_DATOS[NSK],,0),"")</f>
        <v>14</v>
      </c>
      <c r="Q51" s="420">
        <f>IFERROR(_xlfn.XLOOKUP(CONCATENATE($K51,Q$5,$L$2),BASE_DATOS[Reporte NSK],BASE_DATOS[NSK],,0),"")</f>
        <v>11</v>
      </c>
      <c r="R51" s="420">
        <f>IFERROR(_xlfn.XLOOKUP(CONCATENATE($K51,R$5,$L$2),BASE_DATOS[Reporte NSK],BASE_DATOS[NSK],,0),"")</f>
        <v>11</v>
      </c>
      <c r="S51" s="463">
        <f>IFERROR(_xlfn.XLOOKUP(CONCATENATE($K51,S$5,$L$2),BASE_DATOS[Reporte NSK],BASE_DATOS[NSK],,0),"")</f>
        <v>16</v>
      </c>
      <c r="T51" s="464">
        <f>IFERROR(_xlfn.XLOOKUP(CONCATENATE($K51,T$5,$L$2),BASE_DATOS[Reporte NSK],BASE_DATOS[NSK],,0),"")</f>
        <v>20</v>
      </c>
      <c r="U51" s="418">
        <f t="shared" si="2"/>
        <v>8</v>
      </c>
    </row>
    <row r="52" spans="11:21" x14ac:dyDescent="0.2">
      <c r="K52" s="413" t="s">
        <v>457</v>
      </c>
      <c r="L52" s="416" t="s">
        <v>348</v>
      </c>
      <c r="M52" s="419">
        <f>IFERROR(_xlfn.XLOOKUP(CONCATENATE($K52,M$5,$L$2),BASE_DATOS[Reporte NSK],BASE_DATOS[NSK],,0),"")</f>
        <v>14</v>
      </c>
      <c r="N52" s="420">
        <f>IFERROR(_xlfn.XLOOKUP(CONCATENATE($K52,N$5,$L$2),BASE_DATOS[Reporte NSK],BASE_DATOS[NSK],,0),"")</f>
        <v>14</v>
      </c>
      <c r="O52" s="420">
        <f>IFERROR(_xlfn.XLOOKUP(CONCATENATE($K52,O$5,$L$2),BASE_DATOS[Reporte NSK],BASE_DATOS[NSK],,0),"")</f>
        <v>14</v>
      </c>
      <c r="P52" s="420">
        <f>IFERROR(_xlfn.XLOOKUP(CONCATENATE($K52,P$5,$L$2),BASE_DATOS[Reporte NSK],BASE_DATOS[NSK],,0),"")</f>
        <v>14</v>
      </c>
      <c r="Q52" s="420">
        <f>IFERROR(_xlfn.XLOOKUP(CONCATENATE($K52,Q$5,$L$2),BASE_DATOS[Reporte NSK],BASE_DATOS[NSK],,0),"")</f>
        <v>12</v>
      </c>
      <c r="R52" s="420">
        <f>IFERROR(_xlfn.XLOOKUP(CONCATENATE($K52,R$5,$L$2),BASE_DATOS[Reporte NSK],BASE_DATOS[NSK],,0),"")</f>
        <v>11</v>
      </c>
      <c r="S52" s="463">
        <f>IFERROR(_xlfn.XLOOKUP(CONCATENATE($K52,S$5,$L$2),BASE_DATOS[Reporte NSK],BASE_DATOS[NSK],,0),"")</f>
        <v>16</v>
      </c>
      <c r="T52" s="464">
        <f>IFERROR(_xlfn.XLOOKUP(CONCATENATE($K52,T$5,$L$2),BASE_DATOS[Reporte NSK],BASE_DATOS[NSK],,0),"")</f>
        <v>21</v>
      </c>
      <c r="U52" s="418">
        <f t="shared" si="2"/>
        <v>8</v>
      </c>
    </row>
    <row r="53" spans="11:21" x14ac:dyDescent="0.2">
      <c r="K53" s="412"/>
      <c r="L53" s="415"/>
      <c r="M53" s="419" t="str">
        <f>IFERROR(_xlfn.XLOOKUP(CONCATENATE($K53,M$5,$L$2),BASE_DATOS[Reporte NSK],BASE_DATOS[NSK],,0),"")</f>
        <v/>
      </c>
      <c r="N53" s="420" t="str">
        <f>IFERROR(_xlfn.XLOOKUP(CONCATENATE($K53,N$5,$L$2),BASE_DATOS[Reporte NSK],BASE_DATOS[NSK],,0),"")</f>
        <v/>
      </c>
      <c r="O53" s="420" t="str">
        <f>IFERROR(_xlfn.XLOOKUP(CONCATENATE($K53,O$5,$L$2),BASE_DATOS[Reporte NSK],BASE_DATOS[NSK],,0),"")</f>
        <v/>
      </c>
      <c r="P53" s="420" t="str">
        <f>IFERROR(_xlfn.XLOOKUP(CONCATENATE($K53,P$5,$L$2),BASE_DATOS[Reporte NSK],BASE_DATOS[NSK],,0),"")</f>
        <v/>
      </c>
      <c r="Q53" s="420" t="str">
        <f>IFERROR(_xlfn.XLOOKUP(CONCATENATE($K53,Q$5,$L$2),BASE_DATOS[Reporte NSK],BASE_DATOS[NSK],,0),"")</f>
        <v/>
      </c>
      <c r="R53" s="420" t="str">
        <f>IFERROR(_xlfn.XLOOKUP(CONCATENATE($K53,R$5,$L$2),BASE_DATOS[Reporte NSK],BASE_DATOS[NSK],,0),"")</f>
        <v/>
      </c>
      <c r="S53" s="463" t="str">
        <f>IFERROR(_xlfn.XLOOKUP(CONCATENATE($K53,S$5,$L$2),BASE_DATOS[Reporte NSK],BASE_DATOS[NSK],,0),"")</f>
        <v/>
      </c>
      <c r="T53" s="464" t="str">
        <f>IFERROR(_xlfn.XLOOKUP(CONCATENATE($K53,T$5,$L$2),BASE_DATOS[Reporte NSK],BASE_DATOS[NSK],,0),"")</f>
        <v/>
      </c>
      <c r="U53" s="418" t="str">
        <f t="shared" si="2"/>
        <v/>
      </c>
    </row>
    <row r="54" spans="11:21" x14ac:dyDescent="0.2">
      <c r="K54" s="412"/>
      <c r="L54" s="415"/>
      <c r="M54" s="419" t="str">
        <f>IFERROR(_xlfn.XLOOKUP(CONCATENATE($K54,M$5,$L$2),BASE_DATOS[Reporte NSK],BASE_DATOS[NSK],,0),"")</f>
        <v/>
      </c>
      <c r="N54" s="420" t="str">
        <f>IFERROR(_xlfn.XLOOKUP(CONCATENATE($K54,N$5,$L$2),BASE_DATOS[Reporte NSK],BASE_DATOS[NSK],,0),"")</f>
        <v/>
      </c>
      <c r="O54" s="420" t="str">
        <f>IFERROR(_xlfn.XLOOKUP(CONCATENATE($K54,O$5,$L$2),BASE_DATOS[Reporte NSK],BASE_DATOS[NSK],,0),"")</f>
        <v/>
      </c>
      <c r="P54" s="420" t="str">
        <f>IFERROR(_xlfn.XLOOKUP(CONCATENATE($K54,P$5,$L$2),BASE_DATOS[Reporte NSK],BASE_DATOS[NSK],,0),"")</f>
        <v/>
      </c>
      <c r="Q54" s="420" t="str">
        <f>IFERROR(_xlfn.XLOOKUP(CONCATENATE($K54,Q$5,$L$2),BASE_DATOS[Reporte NSK],BASE_DATOS[NSK],,0),"")</f>
        <v/>
      </c>
      <c r="R54" s="420" t="str">
        <f>IFERROR(_xlfn.XLOOKUP(CONCATENATE($K54,R$5,$L$2),BASE_DATOS[Reporte NSK],BASE_DATOS[NSK],,0),"")</f>
        <v/>
      </c>
      <c r="S54" s="463" t="str">
        <f>IFERROR(_xlfn.XLOOKUP(CONCATENATE($K54,S$5,$L$2),BASE_DATOS[Reporte NSK],BASE_DATOS[NSK],,0),"")</f>
        <v/>
      </c>
      <c r="T54" s="464" t="str">
        <f>IFERROR(_xlfn.XLOOKUP(CONCATENATE($K54,T$5,$L$2),BASE_DATOS[Reporte NSK],BASE_DATOS[NSK],,0),"")</f>
        <v/>
      </c>
      <c r="U54" s="418" t="str">
        <f t="shared" si="2"/>
        <v/>
      </c>
    </row>
    <row r="55" spans="11:21" x14ac:dyDescent="0.2">
      <c r="K55" s="412"/>
      <c r="L55" s="415"/>
      <c r="M55" s="419" t="str">
        <f>IFERROR(_xlfn.XLOOKUP(CONCATENATE($K55,M$5,$L$2),BASE_DATOS[Reporte NSK],BASE_DATOS[NSK],,0),"")</f>
        <v/>
      </c>
      <c r="N55" s="420" t="str">
        <f>IFERROR(_xlfn.XLOOKUP(CONCATENATE($K55,N$5,$L$2),BASE_DATOS[Reporte NSK],BASE_DATOS[NSK],,0),"")</f>
        <v/>
      </c>
      <c r="O55" s="420" t="str">
        <f>IFERROR(_xlfn.XLOOKUP(CONCATENATE($K55,O$5,$L$2),BASE_DATOS[Reporte NSK],BASE_DATOS[NSK],,0),"")</f>
        <v/>
      </c>
      <c r="P55" s="420" t="str">
        <f>IFERROR(_xlfn.XLOOKUP(CONCATENATE($K55,P$5,$L$2),BASE_DATOS[Reporte NSK],BASE_DATOS[NSK],,0),"")</f>
        <v/>
      </c>
      <c r="Q55" s="420" t="str">
        <f>IFERROR(_xlfn.XLOOKUP(CONCATENATE($K55,Q$5,$L$2),BASE_DATOS[Reporte NSK],BASE_DATOS[NSK],,0),"")</f>
        <v/>
      </c>
      <c r="R55" s="420" t="str">
        <f>IFERROR(_xlfn.XLOOKUP(CONCATENATE($K55,R$5,$L$2),BASE_DATOS[Reporte NSK],BASE_DATOS[NSK],,0),"")</f>
        <v/>
      </c>
      <c r="S55" s="463" t="str">
        <f>IFERROR(_xlfn.XLOOKUP(CONCATENATE($K55,S$5,$L$2),BASE_DATOS[Reporte NSK],BASE_DATOS[NSK],,0),"")</f>
        <v/>
      </c>
      <c r="T55" s="464" t="str">
        <f>IFERROR(_xlfn.XLOOKUP(CONCATENATE($K55,T$5,$L$2),BASE_DATOS[Reporte NSK],BASE_DATOS[NSK],,0),"")</f>
        <v/>
      </c>
      <c r="U55" s="418" t="str">
        <f t="shared" si="2"/>
        <v/>
      </c>
    </row>
    <row r="56" spans="11:21" ht="10.199999999999999" customHeight="1" x14ac:dyDescent="0.2">
      <c r="K56" s="412"/>
      <c r="L56" s="415"/>
      <c r="M56" s="419" t="str">
        <f>IFERROR(_xlfn.XLOOKUP(CONCATENATE($K56,M$5,$L$2),BASE_DATOS[Reporte NSK],BASE_DATOS[NSK],,0),"")</f>
        <v/>
      </c>
      <c r="N56" s="420" t="str">
        <f>IFERROR(_xlfn.XLOOKUP(CONCATENATE($K56,N$5,$L$2),BASE_DATOS[Reporte NSK],BASE_DATOS[NSK],,0),"")</f>
        <v/>
      </c>
      <c r="O56" s="420" t="str">
        <f>IFERROR(_xlfn.XLOOKUP(CONCATENATE($K56,O$5,$L$2),BASE_DATOS[Reporte NSK],BASE_DATOS[NSK],,0),"")</f>
        <v/>
      </c>
      <c r="P56" s="420" t="str">
        <f>IFERROR(_xlfn.XLOOKUP(CONCATENATE($K56,P$5,$L$2),BASE_DATOS[Reporte NSK],BASE_DATOS[NSK],,0),"")</f>
        <v/>
      </c>
      <c r="Q56" s="420" t="str">
        <f>IFERROR(_xlfn.XLOOKUP(CONCATENATE($K56,Q$5,$L$2),BASE_DATOS[Reporte NSK],BASE_DATOS[NSK],,0),"")</f>
        <v/>
      </c>
      <c r="R56" s="420" t="str">
        <f>IFERROR(_xlfn.XLOOKUP(CONCATENATE($K56,R$5,$L$2),BASE_DATOS[Reporte NSK],BASE_DATOS[NSK],,0),"")</f>
        <v/>
      </c>
      <c r="S56" s="463" t="str">
        <f>IFERROR(_xlfn.XLOOKUP(CONCATENATE($K56,S$5,$L$2),BASE_DATOS[Reporte NSK],BASE_DATOS[NSK],,0),"")</f>
        <v/>
      </c>
      <c r="T56" s="464" t="str">
        <f>IFERROR(_xlfn.XLOOKUP(CONCATENATE($K56,T$5,$L$2),BASE_DATOS[Reporte NSK],BASE_DATOS[NSK],,0),"")</f>
        <v/>
      </c>
      <c r="U56" s="418" t="str">
        <f t="shared" si="2"/>
        <v/>
      </c>
    </row>
    <row r="57" spans="11:21" ht="10.199999999999999" customHeight="1" x14ac:dyDescent="0.2">
      <c r="K57" s="412"/>
      <c r="L57" s="415"/>
      <c r="M57" s="419" t="str">
        <f>IFERROR(_xlfn.XLOOKUP(CONCATENATE($K57,M$5,$L$2),BASE_DATOS[Reporte NSK],BASE_DATOS[NSK],,0),"")</f>
        <v/>
      </c>
      <c r="N57" s="420" t="str">
        <f>IFERROR(_xlfn.XLOOKUP(CONCATENATE($K57,N$5,$L$2),BASE_DATOS[Reporte NSK],BASE_DATOS[NSK],,0),"")</f>
        <v/>
      </c>
      <c r="O57" s="420" t="str">
        <f>IFERROR(_xlfn.XLOOKUP(CONCATENATE($K57,O$5,$L$2),BASE_DATOS[Reporte NSK],BASE_DATOS[NSK],,0),"")</f>
        <v/>
      </c>
      <c r="P57" s="420" t="str">
        <f>IFERROR(_xlfn.XLOOKUP(CONCATENATE($K57,P$5,$L$2),BASE_DATOS[Reporte NSK],BASE_DATOS[NSK],,0),"")</f>
        <v/>
      </c>
      <c r="Q57" s="420" t="str">
        <f>IFERROR(_xlfn.XLOOKUP(CONCATENATE($K57,Q$5,$L$2),BASE_DATOS[Reporte NSK],BASE_DATOS[NSK],,0),"")</f>
        <v/>
      </c>
      <c r="R57" s="420" t="str">
        <f>IFERROR(_xlfn.XLOOKUP(CONCATENATE($K57,R$5,$L$2),BASE_DATOS[Reporte NSK],BASE_DATOS[NSK],,0),"")</f>
        <v/>
      </c>
      <c r="S57" s="463" t="str">
        <f>IFERROR(_xlfn.XLOOKUP(CONCATENATE($K57,S$5,$L$2),BASE_DATOS[Reporte NSK],BASE_DATOS[NSK],,0),"")</f>
        <v/>
      </c>
      <c r="T57" s="464" t="str">
        <f>IFERROR(_xlfn.XLOOKUP(CONCATENATE($K57,T$5,$L$2),BASE_DATOS[Reporte NSK],BASE_DATOS[NSK],,0),"")</f>
        <v/>
      </c>
      <c r="U57" s="418" t="str">
        <f t="shared" si="2"/>
        <v/>
      </c>
    </row>
    <row r="58" spans="11:21" ht="10.199999999999999" customHeight="1" x14ac:dyDescent="0.2">
      <c r="K58" s="412"/>
      <c r="L58" s="415"/>
      <c r="M58" s="419" t="str">
        <f>IFERROR(_xlfn.XLOOKUP(CONCATENATE($K58,M$5,$L$2),BASE_DATOS[Reporte NSK],BASE_DATOS[NSK],,0),"")</f>
        <v/>
      </c>
      <c r="N58" s="420" t="str">
        <f>IFERROR(_xlfn.XLOOKUP(CONCATENATE($K58,N$5,$L$2),BASE_DATOS[Reporte NSK],BASE_DATOS[NSK],,0),"")</f>
        <v/>
      </c>
      <c r="O58" s="420" t="str">
        <f>IFERROR(_xlfn.XLOOKUP(CONCATENATE($K58,O$5,$L$2),BASE_DATOS[Reporte NSK],BASE_DATOS[NSK],,0),"")</f>
        <v/>
      </c>
      <c r="P58" s="420" t="str">
        <f>IFERROR(_xlfn.XLOOKUP(CONCATENATE($K58,P$5,$L$2),BASE_DATOS[Reporte NSK],BASE_DATOS[NSK],,0),"")</f>
        <v/>
      </c>
      <c r="Q58" s="420" t="str">
        <f>IFERROR(_xlfn.XLOOKUP(CONCATENATE($K58,Q$5,$L$2),BASE_DATOS[Reporte NSK],BASE_DATOS[NSK],,0),"")</f>
        <v/>
      </c>
      <c r="R58" s="420" t="str">
        <f>IFERROR(_xlfn.XLOOKUP(CONCATENATE($K58,R$5,$L$2),BASE_DATOS[Reporte NSK],BASE_DATOS[NSK],,0),"")</f>
        <v/>
      </c>
      <c r="S58" s="463" t="str">
        <f>IFERROR(_xlfn.XLOOKUP(CONCATENATE($K58,S$5,$L$2),BASE_DATOS[Reporte NSK],BASE_DATOS[NSK],,0),"")</f>
        <v/>
      </c>
      <c r="T58" s="464" t="str">
        <f>IFERROR(_xlfn.XLOOKUP(CONCATENATE($K58,T$5,$L$2),BASE_DATOS[Reporte NSK],BASE_DATOS[NSK],,0),"")</f>
        <v/>
      </c>
      <c r="U58" s="418" t="str">
        <f t="shared" si="2"/>
        <v/>
      </c>
    </row>
    <row r="59" spans="11:21" ht="10.199999999999999" customHeight="1" x14ac:dyDescent="0.2">
      <c r="K59" s="412"/>
      <c r="L59" s="415"/>
      <c r="M59" s="419" t="str">
        <f>IFERROR(_xlfn.XLOOKUP(CONCATENATE($K59,M$5,$L$2),BASE_DATOS[Reporte NSK],BASE_DATOS[NSK],,0),"")</f>
        <v/>
      </c>
      <c r="N59" s="420" t="str">
        <f>IFERROR(_xlfn.XLOOKUP(CONCATENATE($K59,N$5,$L$2),BASE_DATOS[Reporte NSK],BASE_DATOS[NSK],,0),"")</f>
        <v/>
      </c>
      <c r="O59" s="420" t="str">
        <f>IFERROR(_xlfn.XLOOKUP(CONCATENATE($K59,O$5,$L$2),BASE_DATOS[Reporte NSK],BASE_DATOS[NSK],,0),"")</f>
        <v/>
      </c>
      <c r="P59" s="420" t="str">
        <f>IFERROR(_xlfn.XLOOKUP(CONCATENATE($K59,P$5,$L$2),BASE_DATOS[Reporte NSK],BASE_DATOS[NSK],,0),"")</f>
        <v/>
      </c>
      <c r="Q59" s="420" t="str">
        <f>IFERROR(_xlfn.XLOOKUP(CONCATENATE($K59,Q$5,$L$2),BASE_DATOS[Reporte NSK],BASE_DATOS[NSK],,0),"")</f>
        <v/>
      </c>
      <c r="R59" s="420" t="str">
        <f>IFERROR(_xlfn.XLOOKUP(CONCATENATE($K59,R$5,$L$2),BASE_DATOS[Reporte NSK],BASE_DATOS[NSK],,0),"")</f>
        <v/>
      </c>
      <c r="S59" s="463" t="str">
        <f>IFERROR(_xlfn.XLOOKUP(CONCATENATE($K59,S$5,$L$2),BASE_DATOS[Reporte NSK],BASE_DATOS[NSK],,0),"")</f>
        <v/>
      </c>
      <c r="T59" s="464" t="str">
        <f>IFERROR(_xlfn.XLOOKUP(CONCATENATE($K59,T$5,$L$2),BASE_DATOS[Reporte NSK],BASE_DATOS[NSK],,0),"")</f>
        <v/>
      </c>
      <c r="U59" s="418" t="str">
        <f t="shared" si="2"/>
        <v/>
      </c>
    </row>
    <row r="60" spans="11:21" ht="10.199999999999999" customHeight="1" x14ac:dyDescent="0.2">
      <c r="K60" s="412"/>
      <c r="L60" s="415"/>
      <c r="M60" s="419" t="str">
        <f>IFERROR(_xlfn.XLOOKUP(CONCATENATE($K60,M$5,$L$2),BASE_DATOS[Reporte NSK],BASE_DATOS[NSK],,0),"")</f>
        <v/>
      </c>
      <c r="N60" s="420" t="str">
        <f>IFERROR(_xlfn.XLOOKUP(CONCATENATE($K60,N$5,$L$2),BASE_DATOS[Reporte NSK],BASE_DATOS[NSK],,0),"")</f>
        <v/>
      </c>
      <c r="O60" s="420" t="str">
        <f>IFERROR(_xlfn.XLOOKUP(CONCATENATE($K60,O$5,$L$2),BASE_DATOS[Reporte NSK],BASE_DATOS[NSK],,0),"")</f>
        <v/>
      </c>
      <c r="P60" s="420" t="str">
        <f>IFERROR(_xlfn.XLOOKUP(CONCATENATE($K60,P$5,$L$2),BASE_DATOS[Reporte NSK],BASE_DATOS[NSK],,0),"")</f>
        <v/>
      </c>
      <c r="Q60" s="420" t="str">
        <f>IFERROR(_xlfn.XLOOKUP(CONCATENATE($K60,Q$5,$L$2),BASE_DATOS[Reporte NSK],BASE_DATOS[NSK],,0),"")</f>
        <v/>
      </c>
      <c r="R60" s="420" t="str">
        <f>IFERROR(_xlfn.XLOOKUP(CONCATENATE($K60,R$5,$L$2),BASE_DATOS[Reporte NSK],BASE_DATOS[NSK],,0),"")</f>
        <v/>
      </c>
      <c r="S60" s="463" t="str">
        <f>IFERROR(_xlfn.XLOOKUP(CONCATENATE($K60,S$5,$L$2),BASE_DATOS[Reporte NSK],BASE_DATOS[NSK],,0),"")</f>
        <v/>
      </c>
      <c r="T60" s="464" t="str">
        <f>IFERROR(_xlfn.XLOOKUP(CONCATENATE($K60,T$5,$L$2),BASE_DATOS[Reporte NSK],BASE_DATOS[NSK],,0),"")</f>
        <v/>
      </c>
      <c r="U60" s="418" t="str">
        <f t="shared" si="2"/>
        <v/>
      </c>
    </row>
    <row r="61" spans="11:21" ht="10.199999999999999" customHeight="1" x14ac:dyDescent="0.2">
      <c r="K61" s="412"/>
      <c r="L61" s="415"/>
      <c r="M61" s="419" t="str">
        <f>IFERROR(_xlfn.XLOOKUP(CONCATENATE($K61,M$5,$L$2),BASE_DATOS[Reporte NSK],BASE_DATOS[NSK],,0),"")</f>
        <v/>
      </c>
      <c r="N61" s="420" t="str">
        <f>IFERROR(_xlfn.XLOOKUP(CONCATENATE($K61,N$5,$L$2),BASE_DATOS[Reporte NSK],BASE_DATOS[NSK],,0),"")</f>
        <v/>
      </c>
      <c r="O61" s="420" t="str">
        <f>IFERROR(_xlfn.XLOOKUP(CONCATENATE($K61,O$5,$L$2),BASE_DATOS[Reporte NSK],BASE_DATOS[NSK],,0),"")</f>
        <v/>
      </c>
      <c r="P61" s="420" t="str">
        <f>IFERROR(_xlfn.XLOOKUP(CONCATENATE($K61,P$5,$L$2),BASE_DATOS[Reporte NSK],BASE_DATOS[NSK],,0),"")</f>
        <v/>
      </c>
      <c r="Q61" s="420" t="str">
        <f>IFERROR(_xlfn.XLOOKUP(CONCATENATE($K61,Q$5,$L$2),BASE_DATOS[Reporte NSK],BASE_DATOS[NSK],,0),"")</f>
        <v/>
      </c>
      <c r="R61" s="420" t="str">
        <f>IFERROR(_xlfn.XLOOKUP(CONCATENATE($K61,R$5,$L$2),BASE_DATOS[Reporte NSK],BASE_DATOS[NSK],,0),"")</f>
        <v/>
      </c>
      <c r="S61" s="463" t="str">
        <f>IFERROR(_xlfn.XLOOKUP(CONCATENATE($K61,S$5,$L$2),BASE_DATOS[Reporte NSK],BASE_DATOS[NSK],,0),"")</f>
        <v/>
      </c>
      <c r="T61" s="464" t="str">
        <f>IFERROR(_xlfn.XLOOKUP(CONCATENATE($K61,T$5,$L$2),BASE_DATOS[Reporte NSK],BASE_DATOS[NSK],,0),"")</f>
        <v/>
      </c>
      <c r="U61" s="418" t="str">
        <f t="shared" si="2"/>
        <v/>
      </c>
    </row>
    <row r="62" spans="11:21" ht="10.199999999999999" customHeight="1" x14ac:dyDescent="0.2">
      <c r="K62" s="412"/>
      <c r="L62" s="415"/>
      <c r="M62" s="419" t="str">
        <f>IFERROR(_xlfn.XLOOKUP(CONCATENATE($K62,M$5,$L$2),BASE_DATOS[Reporte NSK],BASE_DATOS[NSK],,0),"")</f>
        <v/>
      </c>
      <c r="N62" s="420" t="str">
        <f>IFERROR(_xlfn.XLOOKUP(CONCATENATE($K62,N$5,$L$2),BASE_DATOS[Reporte NSK],BASE_DATOS[NSK],,0),"")</f>
        <v/>
      </c>
      <c r="O62" s="420" t="str">
        <f>IFERROR(_xlfn.XLOOKUP(CONCATENATE($K62,O$5,$L$2),BASE_DATOS[Reporte NSK],BASE_DATOS[NSK],,0),"")</f>
        <v/>
      </c>
      <c r="P62" s="420" t="str">
        <f>IFERROR(_xlfn.XLOOKUP(CONCATENATE($K62,P$5,$L$2),BASE_DATOS[Reporte NSK],BASE_DATOS[NSK],,0),"")</f>
        <v/>
      </c>
      <c r="Q62" s="420" t="str">
        <f>IFERROR(_xlfn.XLOOKUP(CONCATENATE($K62,Q$5,$L$2),BASE_DATOS[Reporte NSK],BASE_DATOS[NSK],,0),"")</f>
        <v/>
      </c>
      <c r="R62" s="420" t="str">
        <f>IFERROR(_xlfn.XLOOKUP(CONCATENATE($K62,R$5,$L$2),BASE_DATOS[Reporte NSK],BASE_DATOS[NSK],,0),"")</f>
        <v/>
      </c>
      <c r="S62" s="463" t="str">
        <f>IFERROR(_xlfn.XLOOKUP(CONCATENATE($K62,S$5,$L$2),BASE_DATOS[Reporte NSK],BASE_DATOS[NSK],,0),"")</f>
        <v/>
      </c>
      <c r="T62" s="464" t="str">
        <f>IFERROR(_xlfn.XLOOKUP(CONCATENATE($K62,T$5,$L$2),BASE_DATOS[Reporte NSK],BASE_DATOS[NSK],,0),"")</f>
        <v/>
      </c>
      <c r="U62" s="418" t="str">
        <f t="shared" si="2"/>
        <v/>
      </c>
    </row>
    <row r="63" spans="11:21" ht="10.199999999999999" customHeight="1" x14ac:dyDescent="0.2">
      <c r="K63" s="412"/>
      <c r="L63" s="415"/>
      <c r="M63" s="419" t="str">
        <f>IFERROR(_xlfn.XLOOKUP(CONCATENATE($K63,M$5,$L$2),BASE_DATOS[Reporte NSK],BASE_DATOS[NSK],,0),"")</f>
        <v/>
      </c>
      <c r="N63" s="420" t="str">
        <f>IFERROR(_xlfn.XLOOKUP(CONCATENATE($K63,N$5,$L$2),BASE_DATOS[Reporte NSK],BASE_DATOS[NSK],,0),"")</f>
        <v/>
      </c>
      <c r="O63" s="420" t="str">
        <f>IFERROR(_xlfn.XLOOKUP(CONCATENATE($K63,O$5,$L$2),BASE_DATOS[Reporte NSK],BASE_DATOS[NSK],,0),"")</f>
        <v/>
      </c>
      <c r="P63" s="420" t="str">
        <f>IFERROR(_xlfn.XLOOKUP(CONCATENATE($K63,P$5,$L$2),BASE_DATOS[Reporte NSK],BASE_DATOS[NSK],,0),"")</f>
        <v/>
      </c>
      <c r="Q63" s="420" t="str">
        <f>IFERROR(_xlfn.XLOOKUP(CONCATENATE($K63,Q$5,$L$2),BASE_DATOS[Reporte NSK],BASE_DATOS[NSK],,0),"")</f>
        <v/>
      </c>
      <c r="R63" s="420" t="str">
        <f>IFERROR(_xlfn.XLOOKUP(CONCATENATE($K63,R$5,$L$2),BASE_DATOS[Reporte NSK],BASE_DATOS[NSK],,0),"")</f>
        <v/>
      </c>
      <c r="S63" s="463" t="str">
        <f>IFERROR(_xlfn.XLOOKUP(CONCATENATE($K63,S$5,$L$2),BASE_DATOS[Reporte NSK],BASE_DATOS[NSK],,0),"")</f>
        <v/>
      </c>
      <c r="T63" s="464" t="str">
        <f>IFERROR(_xlfn.XLOOKUP(CONCATENATE($K63,T$5,$L$2),BASE_DATOS[Reporte NSK],BASE_DATOS[NSK],,0),"")</f>
        <v/>
      </c>
      <c r="U63" s="418" t="str">
        <f t="shared" si="2"/>
        <v/>
      </c>
    </row>
    <row r="64" spans="11:21" ht="10.199999999999999" customHeight="1" x14ac:dyDescent="0.2">
      <c r="K64" s="412"/>
      <c r="L64" s="415"/>
      <c r="M64" s="419" t="str">
        <f>IFERROR(_xlfn.XLOOKUP(CONCATENATE($K64,M$5,$L$2),BASE_DATOS[Reporte NSK],BASE_DATOS[NSK],,0),"")</f>
        <v/>
      </c>
      <c r="N64" s="420" t="str">
        <f>IFERROR(_xlfn.XLOOKUP(CONCATENATE($K64,N$5,$L$2),BASE_DATOS[Reporte NSK],BASE_DATOS[NSK],,0),"")</f>
        <v/>
      </c>
      <c r="O64" s="420" t="str">
        <f>IFERROR(_xlfn.XLOOKUP(CONCATENATE($K64,O$5,$L$2),BASE_DATOS[Reporte NSK],BASE_DATOS[NSK],,0),"")</f>
        <v/>
      </c>
      <c r="P64" s="420" t="str">
        <f>IFERROR(_xlfn.XLOOKUP(CONCATENATE($K64,P$5,$L$2),BASE_DATOS[Reporte NSK],BASE_DATOS[NSK],,0),"")</f>
        <v/>
      </c>
      <c r="Q64" s="420" t="str">
        <f>IFERROR(_xlfn.XLOOKUP(CONCATENATE($K64,Q$5,$L$2),BASE_DATOS[Reporte NSK],BASE_DATOS[NSK],,0),"")</f>
        <v/>
      </c>
      <c r="R64" s="420" t="str">
        <f>IFERROR(_xlfn.XLOOKUP(CONCATENATE($K64,R$5,$L$2),BASE_DATOS[Reporte NSK],BASE_DATOS[NSK],,0),"")</f>
        <v/>
      </c>
      <c r="S64" s="463" t="str">
        <f>IFERROR(_xlfn.XLOOKUP(CONCATENATE($K64,S$5,$L$2),BASE_DATOS[Reporte NSK],BASE_DATOS[NSK],,0),"")</f>
        <v/>
      </c>
      <c r="T64" s="464" t="str">
        <f>IFERROR(_xlfn.XLOOKUP(CONCATENATE($K64,T$5,$L$2),BASE_DATOS[Reporte NSK],BASE_DATOS[NSK],,0),"")</f>
        <v/>
      </c>
      <c r="U64" s="418" t="str">
        <f t="shared" si="2"/>
        <v/>
      </c>
    </row>
    <row r="65" spans="11:71" ht="10.199999999999999" customHeight="1" x14ac:dyDescent="0.2">
      <c r="K65" s="412"/>
      <c r="L65" s="415"/>
      <c r="M65" s="419" t="str">
        <f>IFERROR(_xlfn.XLOOKUP(CONCATENATE($K65,M$5,$L$2),BASE_DATOS[Reporte NSK],BASE_DATOS[NSK],,0),"")</f>
        <v/>
      </c>
      <c r="N65" s="420" t="str">
        <f>IFERROR(_xlfn.XLOOKUP(CONCATENATE($K65,N$5,$L$2),BASE_DATOS[Reporte NSK],BASE_DATOS[NSK],,0),"")</f>
        <v/>
      </c>
      <c r="O65" s="420" t="str">
        <f>IFERROR(_xlfn.XLOOKUP(CONCATENATE($K65,O$5,$L$2),BASE_DATOS[Reporte NSK],BASE_DATOS[NSK],,0),"")</f>
        <v/>
      </c>
      <c r="P65" s="420" t="str">
        <f>IFERROR(_xlfn.XLOOKUP(CONCATENATE($K65,P$5,$L$2),BASE_DATOS[Reporte NSK],BASE_DATOS[NSK],,0),"")</f>
        <v/>
      </c>
      <c r="Q65" s="420" t="str">
        <f>IFERROR(_xlfn.XLOOKUP(CONCATENATE($K65,Q$5,$L$2),BASE_DATOS[Reporte NSK],BASE_DATOS[NSK],,0),"")</f>
        <v/>
      </c>
      <c r="R65" s="420" t="str">
        <f>IFERROR(_xlfn.XLOOKUP(CONCATENATE($K65,R$5,$L$2),BASE_DATOS[Reporte NSK],BASE_DATOS[NSK],,0),"")</f>
        <v/>
      </c>
      <c r="S65" s="463" t="str">
        <f>IFERROR(_xlfn.XLOOKUP(CONCATENATE($K65,S$5,$L$2),BASE_DATOS[Reporte NSK],BASE_DATOS[NSK],,0),"")</f>
        <v/>
      </c>
      <c r="T65" s="464" t="str">
        <f>IFERROR(_xlfn.XLOOKUP(CONCATENATE($K65,T$5,$L$2),BASE_DATOS[Reporte NSK],BASE_DATOS[NSK],,0),"")</f>
        <v/>
      </c>
      <c r="U65" s="418" t="str">
        <f t="shared" si="2"/>
        <v/>
      </c>
    </row>
    <row r="66" spans="11:71" ht="10.199999999999999" customHeight="1" x14ac:dyDescent="0.2">
      <c r="K66" s="412"/>
      <c r="L66" s="415"/>
      <c r="M66" s="419" t="str">
        <f>IFERROR(_xlfn.XLOOKUP(CONCATENATE($K66,M$5,$L$2),BASE_DATOS[Reporte NSK],BASE_DATOS[NSK],,0),"")</f>
        <v/>
      </c>
      <c r="N66" s="420" t="str">
        <f>IFERROR(_xlfn.XLOOKUP(CONCATENATE($K66,N$5,$L$2),BASE_DATOS[Reporte NSK],BASE_DATOS[NSK],,0),"")</f>
        <v/>
      </c>
      <c r="O66" s="420" t="str">
        <f>IFERROR(_xlfn.XLOOKUP(CONCATENATE($K66,O$5,$L$2),BASE_DATOS[Reporte NSK],BASE_DATOS[NSK],,0),"")</f>
        <v/>
      </c>
      <c r="P66" s="420" t="str">
        <f>IFERROR(_xlfn.XLOOKUP(CONCATENATE($K66,P$5,$L$2),BASE_DATOS[Reporte NSK],BASE_DATOS[NSK],,0),"")</f>
        <v/>
      </c>
      <c r="Q66" s="420" t="str">
        <f>IFERROR(_xlfn.XLOOKUP(CONCATENATE($K66,Q$5,$L$2),BASE_DATOS[Reporte NSK],BASE_DATOS[NSK],,0),"")</f>
        <v/>
      </c>
      <c r="R66" s="420" t="str">
        <f>IFERROR(_xlfn.XLOOKUP(CONCATENATE($K66,R$5,$L$2),BASE_DATOS[Reporte NSK],BASE_DATOS[NSK],,0),"")</f>
        <v/>
      </c>
      <c r="S66" s="463" t="str">
        <f>IFERROR(_xlfn.XLOOKUP(CONCATENATE($K66,S$5,$L$2),BASE_DATOS[Reporte NSK],BASE_DATOS[NSK],,0),"")</f>
        <v/>
      </c>
      <c r="T66" s="464" t="str">
        <f>IFERROR(_xlfn.XLOOKUP(CONCATENATE($K66,T$5,$L$2),BASE_DATOS[Reporte NSK],BASE_DATOS[NSK],,0),"")</f>
        <v/>
      </c>
      <c r="U66" s="418" t="str">
        <f t="shared" si="2"/>
        <v/>
      </c>
    </row>
    <row r="67" spans="11:71" ht="10.199999999999999" customHeight="1" x14ac:dyDescent="0.2">
      <c r="K67" s="412"/>
      <c r="L67" s="415"/>
      <c r="M67" s="419" t="str">
        <f>IFERROR(_xlfn.XLOOKUP(CONCATENATE($K67,M$5,$L$2),BASE_DATOS[Reporte NSK],BASE_DATOS[NSK],,0),"")</f>
        <v/>
      </c>
      <c r="N67" s="420" t="str">
        <f>IFERROR(_xlfn.XLOOKUP(CONCATENATE($K67,N$5,$L$2),BASE_DATOS[Reporte NSK],BASE_DATOS[NSK],,0),"")</f>
        <v/>
      </c>
      <c r="O67" s="420" t="str">
        <f>IFERROR(_xlfn.XLOOKUP(CONCATENATE($K67,O$5,$L$2),BASE_DATOS[Reporte NSK],BASE_DATOS[NSK],,0),"")</f>
        <v/>
      </c>
      <c r="P67" s="420" t="str">
        <f>IFERROR(_xlfn.XLOOKUP(CONCATENATE($K67,P$5,$L$2),BASE_DATOS[Reporte NSK],BASE_DATOS[NSK],,0),"")</f>
        <v/>
      </c>
      <c r="Q67" s="420" t="str">
        <f>IFERROR(_xlfn.XLOOKUP(CONCATENATE($K67,Q$5,$L$2),BASE_DATOS[Reporte NSK],BASE_DATOS[NSK],,0),"")</f>
        <v/>
      </c>
      <c r="R67" s="420" t="str">
        <f>IFERROR(_xlfn.XLOOKUP(CONCATENATE($K67,R$5,$L$2),BASE_DATOS[Reporte NSK],BASE_DATOS[NSK],,0),"")</f>
        <v/>
      </c>
      <c r="S67" s="463" t="str">
        <f>IFERROR(_xlfn.XLOOKUP(CONCATENATE($K67,S$5,$L$2),BASE_DATOS[Reporte NSK],BASE_DATOS[NSK],,0),"")</f>
        <v/>
      </c>
      <c r="T67" s="464" t="str">
        <f>IFERROR(_xlfn.XLOOKUP(CONCATENATE($K67,T$5,$L$2),BASE_DATOS[Reporte NSK],BASE_DATOS[NSK],,0),"")</f>
        <v/>
      </c>
      <c r="U67" s="418" t="str">
        <f t="shared" si="2"/>
        <v/>
      </c>
    </row>
    <row r="68" spans="11:71" ht="10.199999999999999" customHeight="1" x14ac:dyDescent="0.2">
      <c r="K68" s="412"/>
      <c r="L68" s="415"/>
      <c r="M68" s="419" t="str">
        <f>IFERROR(_xlfn.XLOOKUP(CONCATENATE($K68,M$5,$L$2),BASE_DATOS[Reporte NSK],BASE_DATOS[NSK],,0),"")</f>
        <v/>
      </c>
      <c r="N68" s="420" t="str">
        <f>IFERROR(_xlfn.XLOOKUP(CONCATENATE($K68,N$5,$L$2),BASE_DATOS[Reporte NSK],BASE_DATOS[NSK],,0),"")</f>
        <v/>
      </c>
      <c r="O68" s="420" t="str">
        <f>IFERROR(_xlfn.XLOOKUP(CONCATENATE($K68,O$5,$L$2),BASE_DATOS[Reporte NSK],BASE_DATOS[NSK],,0),"")</f>
        <v/>
      </c>
      <c r="P68" s="420" t="str">
        <f>IFERROR(_xlfn.XLOOKUP(CONCATENATE($K68,P$5,$L$2),BASE_DATOS[Reporte NSK],BASE_DATOS[NSK],,0),"")</f>
        <v/>
      </c>
      <c r="Q68" s="420" t="str">
        <f>IFERROR(_xlfn.XLOOKUP(CONCATENATE($K68,Q$5,$L$2),BASE_DATOS[Reporte NSK],BASE_DATOS[NSK],,0),"")</f>
        <v/>
      </c>
      <c r="R68" s="420" t="str">
        <f>IFERROR(_xlfn.XLOOKUP(CONCATENATE($K68,R$5,$L$2),BASE_DATOS[Reporte NSK],BASE_DATOS[NSK],,0),"")</f>
        <v/>
      </c>
      <c r="S68" s="463" t="str">
        <f>IFERROR(_xlfn.XLOOKUP(CONCATENATE($K68,S$5,$L$2),BASE_DATOS[Reporte NSK],BASE_DATOS[NSK],,0),"")</f>
        <v/>
      </c>
      <c r="T68" s="464" t="str">
        <f>IFERROR(_xlfn.XLOOKUP(CONCATENATE($K68,T$5,$L$2),BASE_DATOS[Reporte NSK],BASE_DATOS[NSK],,0),"")</f>
        <v/>
      </c>
      <c r="U68" s="418" t="str">
        <f t="shared" si="2"/>
        <v/>
      </c>
    </row>
    <row r="69" spans="11:71" ht="10.199999999999999" customHeight="1" x14ac:dyDescent="0.2">
      <c r="K69" s="412"/>
      <c r="L69" s="415"/>
      <c r="M69" s="421" t="str">
        <f>IFERROR(_xlfn.XLOOKUP(CONCATENATE($K69,M$5,$L$2),BASE_DATOS[Reporte NSK],BASE_DATOS[NSK],,0),"")</f>
        <v/>
      </c>
      <c r="N69" s="422" t="str">
        <f>IFERROR(_xlfn.XLOOKUP(CONCATENATE($K69,N$5,$L$2),BASE_DATOS[Reporte NSK],BASE_DATOS[NSK],,0),"")</f>
        <v/>
      </c>
      <c r="O69" s="422" t="str">
        <f>IFERROR(_xlfn.XLOOKUP(CONCATENATE($K69,O$5,$L$2),BASE_DATOS[Reporte NSK],BASE_DATOS[NSK],,0),"")</f>
        <v/>
      </c>
      <c r="P69" s="422" t="str">
        <f>IFERROR(_xlfn.XLOOKUP(CONCATENATE($K69,P$5,$L$2),BASE_DATOS[Reporte NSK],BASE_DATOS[NSK],,0),"")</f>
        <v/>
      </c>
      <c r="Q69" s="422" t="str">
        <f>IFERROR(_xlfn.XLOOKUP(CONCATENATE($K69,Q$5,$L$2),BASE_DATOS[Reporte NSK],BASE_DATOS[NSK],,0),"")</f>
        <v/>
      </c>
      <c r="R69" s="422" t="str">
        <f>IFERROR(_xlfn.XLOOKUP(CONCATENATE($K69,R$5,$L$2),BASE_DATOS[Reporte NSK],BASE_DATOS[NSK],,0),"")</f>
        <v/>
      </c>
      <c r="S69" s="465" t="str">
        <f>IFERROR(_xlfn.XLOOKUP(CONCATENATE($K69,S$5,$L$2),BASE_DATOS[Reporte NSK],BASE_DATOS[NSK],,0),"")</f>
        <v/>
      </c>
      <c r="T69" s="466" t="str">
        <f>IFERROR(_xlfn.XLOOKUP(CONCATENATE($K69,T$5,$L$2),BASE_DATOS[Reporte NSK],BASE_DATOS[NSK],,0),"")</f>
        <v/>
      </c>
      <c r="U69" s="418" t="str">
        <f t="shared" si="2"/>
        <v/>
      </c>
    </row>
    <row r="70" spans="11:71" ht="10.199999999999999" customHeight="1" x14ac:dyDescent="0.2">
      <c r="K70" s="412"/>
      <c r="L70" s="415"/>
      <c r="M70" s="421" t="str">
        <f>IFERROR(_xlfn.XLOOKUP(CONCATENATE($K70,M$5,$L$2),BASE_DATOS[Reporte NSK],BASE_DATOS[NSK],,0),"")</f>
        <v/>
      </c>
      <c r="N70" s="422" t="str">
        <f>IFERROR(_xlfn.XLOOKUP(CONCATENATE($K70,N$5,$L$2),BASE_DATOS[Reporte NSK],BASE_DATOS[NSK],,0),"")</f>
        <v/>
      </c>
      <c r="O70" s="422" t="str">
        <f>IFERROR(_xlfn.XLOOKUP(CONCATENATE($K70,O$5,$L$2),BASE_DATOS[Reporte NSK],BASE_DATOS[NSK],,0),"")</f>
        <v/>
      </c>
      <c r="P70" s="422" t="str">
        <f>IFERROR(_xlfn.XLOOKUP(CONCATENATE($K70,P$5,$L$2),BASE_DATOS[Reporte NSK],BASE_DATOS[NSK],,0),"")</f>
        <v/>
      </c>
      <c r="Q70" s="422" t="str">
        <f>IFERROR(_xlfn.XLOOKUP(CONCATENATE($K70,Q$5,$L$2),BASE_DATOS[Reporte NSK],BASE_DATOS[NSK],,0),"")</f>
        <v/>
      </c>
      <c r="R70" s="422" t="str">
        <f>IFERROR(_xlfn.XLOOKUP(CONCATENATE($K70,R$5,$L$2),BASE_DATOS[Reporte NSK],BASE_DATOS[NSK],,0),"")</f>
        <v/>
      </c>
      <c r="S70" s="465" t="str">
        <f>IFERROR(_xlfn.XLOOKUP(CONCATENATE($K70,S$5,$L$2),BASE_DATOS[Reporte NSK],BASE_DATOS[NSK],,0),"")</f>
        <v/>
      </c>
      <c r="T70" s="466" t="str">
        <f>IFERROR(_xlfn.XLOOKUP(CONCATENATE($K70,T$5,$L$2),BASE_DATOS[Reporte NSK],BASE_DATOS[NSK],,0),"")</f>
        <v/>
      </c>
      <c r="U70" s="418" t="str">
        <f t="shared" ref="U70:U101" si="3">IF(COUNT(M70:T70)&gt;0,COUNT(M70:T70),"")</f>
        <v/>
      </c>
    </row>
    <row r="71" spans="11:71" ht="10.199999999999999" customHeight="1" x14ac:dyDescent="0.2">
      <c r="K71" s="412"/>
      <c r="L71" s="415"/>
      <c r="M71" s="421" t="str">
        <f>IFERROR(_xlfn.XLOOKUP(CONCATENATE($K71,M$5,$L$2),BASE_DATOS[Reporte NSK],BASE_DATOS[NSK],,0),"")</f>
        <v/>
      </c>
      <c r="N71" s="422" t="str">
        <f>IFERROR(_xlfn.XLOOKUP(CONCATENATE($K71,N$5,$L$2),BASE_DATOS[Reporte NSK],BASE_DATOS[NSK],,0),"")</f>
        <v/>
      </c>
      <c r="O71" s="422" t="str">
        <f>IFERROR(_xlfn.XLOOKUP(CONCATENATE($K71,O$5,$L$2),BASE_DATOS[Reporte NSK],BASE_DATOS[NSK],,0),"")</f>
        <v/>
      </c>
      <c r="P71" s="422" t="str">
        <f>IFERROR(_xlfn.XLOOKUP(CONCATENATE($K71,P$5,$L$2),BASE_DATOS[Reporte NSK],BASE_DATOS[NSK],,0),"")</f>
        <v/>
      </c>
      <c r="Q71" s="422" t="str">
        <f>IFERROR(_xlfn.XLOOKUP(CONCATENATE($K71,Q$5,$L$2),BASE_DATOS[Reporte NSK],BASE_DATOS[NSK],,0),"")</f>
        <v/>
      </c>
      <c r="R71" s="422" t="str">
        <f>IFERROR(_xlfn.XLOOKUP(CONCATENATE($K71,R$5,$L$2),BASE_DATOS[Reporte NSK],BASE_DATOS[NSK],,0),"")</f>
        <v/>
      </c>
      <c r="S71" s="465" t="str">
        <f>IFERROR(_xlfn.XLOOKUP(CONCATENATE($K71,S$5,$L$2),BASE_DATOS[Reporte NSK],BASE_DATOS[NSK],,0),"")</f>
        <v/>
      </c>
      <c r="T71" s="466" t="str">
        <f>IFERROR(_xlfn.XLOOKUP(CONCATENATE($K71,T$5,$L$2),BASE_DATOS[Reporte NSK],BASE_DATOS[NSK],,0),"")</f>
        <v/>
      </c>
      <c r="U71" s="418" t="str">
        <f t="shared" si="3"/>
        <v/>
      </c>
    </row>
    <row r="72" spans="11:71" ht="10.199999999999999" customHeight="1" x14ac:dyDescent="0.2">
      <c r="K72" s="412"/>
      <c r="L72" s="415"/>
      <c r="M72" s="421" t="str">
        <f>IFERROR(_xlfn.XLOOKUP(CONCATENATE($K72,M$5,$L$2),BASE_DATOS[Reporte NSK],BASE_DATOS[NSK],,0),"")</f>
        <v/>
      </c>
      <c r="N72" s="422" t="str">
        <f>IFERROR(_xlfn.XLOOKUP(CONCATENATE($K72,N$5,$L$2),BASE_DATOS[Reporte NSK],BASE_DATOS[NSK],,0),"")</f>
        <v/>
      </c>
      <c r="O72" s="422" t="str">
        <f>IFERROR(_xlfn.XLOOKUP(CONCATENATE($K72,O$5,$L$2),BASE_DATOS[Reporte NSK],BASE_DATOS[NSK],,0),"")</f>
        <v/>
      </c>
      <c r="P72" s="422" t="str">
        <f>IFERROR(_xlfn.XLOOKUP(CONCATENATE($K72,P$5,$L$2),BASE_DATOS[Reporte NSK],BASE_DATOS[NSK],,0),"")</f>
        <v/>
      </c>
      <c r="Q72" s="422" t="str">
        <f>IFERROR(_xlfn.XLOOKUP(CONCATENATE($K72,Q$5,$L$2),BASE_DATOS[Reporte NSK],BASE_DATOS[NSK],,0),"")</f>
        <v/>
      </c>
      <c r="R72" s="422" t="str">
        <f>IFERROR(_xlfn.XLOOKUP(CONCATENATE($K72,R$5,$L$2),BASE_DATOS[Reporte NSK],BASE_DATOS[NSK],,0),"")</f>
        <v/>
      </c>
      <c r="S72" s="465" t="str">
        <f>IFERROR(_xlfn.XLOOKUP(CONCATENATE($K72,S$5,$L$2),BASE_DATOS[Reporte NSK],BASE_DATOS[NSK],,0),"")</f>
        <v/>
      </c>
      <c r="T72" s="466" t="str">
        <f>IFERROR(_xlfn.XLOOKUP(CONCATENATE($K72,T$5,$L$2),BASE_DATOS[Reporte NSK],BASE_DATOS[NSK],,0),"")</f>
        <v/>
      </c>
      <c r="U72" s="418" t="str">
        <f t="shared" si="3"/>
        <v/>
      </c>
    </row>
    <row r="73" spans="11:71" ht="10.199999999999999" customHeight="1" x14ac:dyDescent="0.2">
      <c r="K73" s="412"/>
      <c r="L73" s="415"/>
      <c r="M73" s="421" t="str">
        <f>IFERROR(_xlfn.XLOOKUP(CONCATENATE($K73,M$5,$L$2),BASE_DATOS[Reporte NSK],BASE_DATOS[NSK],,0),"")</f>
        <v/>
      </c>
      <c r="N73" s="422" t="str">
        <f>IFERROR(_xlfn.XLOOKUP(CONCATENATE($K73,N$5,$L$2),BASE_DATOS[Reporte NSK],BASE_DATOS[NSK],,0),"")</f>
        <v/>
      </c>
      <c r="O73" s="422" t="str">
        <f>IFERROR(_xlfn.XLOOKUP(CONCATENATE($K73,O$5,$L$2),BASE_DATOS[Reporte NSK],BASE_DATOS[NSK],,0),"")</f>
        <v/>
      </c>
      <c r="P73" s="422" t="str">
        <f>IFERROR(_xlfn.XLOOKUP(CONCATENATE($K73,P$5,$L$2),BASE_DATOS[Reporte NSK],BASE_DATOS[NSK],,0),"")</f>
        <v/>
      </c>
      <c r="Q73" s="422" t="str">
        <f>IFERROR(_xlfn.XLOOKUP(CONCATENATE($K73,Q$5,$L$2),BASE_DATOS[Reporte NSK],BASE_DATOS[NSK],,0),"")</f>
        <v/>
      </c>
      <c r="R73" s="422" t="str">
        <f>IFERROR(_xlfn.XLOOKUP(CONCATENATE($K73,R$5,$L$2),BASE_DATOS[Reporte NSK],BASE_DATOS[NSK],,0),"")</f>
        <v/>
      </c>
      <c r="S73" s="465" t="str">
        <f>IFERROR(_xlfn.XLOOKUP(CONCATENATE($K73,S$5,$L$2),BASE_DATOS[Reporte NSK],BASE_DATOS[NSK],,0),"")</f>
        <v/>
      </c>
      <c r="T73" s="466" t="str">
        <f>IFERROR(_xlfn.XLOOKUP(CONCATENATE($K73,T$5,$L$2),BASE_DATOS[Reporte NSK],BASE_DATOS[NSK],,0),"")</f>
        <v/>
      </c>
      <c r="U73" s="418" t="str">
        <f t="shared" si="3"/>
        <v/>
      </c>
    </row>
    <row r="74" spans="11:71" ht="10.199999999999999" customHeight="1" x14ac:dyDescent="0.2">
      <c r="K74" s="412"/>
      <c r="L74" s="415"/>
      <c r="M74" s="421" t="str">
        <f>IFERROR(_xlfn.XLOOKUP(CONCATENATE($K74,M$5,$L$2),BASE_DATOS[Reporte NSK],BASE_DATOS[NSK],,0),"")</f>
        <v/>
      </c>
      <c r="N74" s="422" t="str">
        <f>IFERROR(_xlfn.XLOOKUP(CONCATENATE($K74,N$5,$L$2),BASE_DATOS[Reporte NSK],BASE_DATOS[NSK],,0),"")</f>
        <v/>
      </c>
      <c r="O74" s="422" t="str">
        <f>IFERROR(_xlfn.XLOOKUP(CONCATENATE($K74,O$5,$L$2),BASE_DATOS[Reporte NSK],BASE_DATOS[NSK],,0),"")</f>
        <v/>
      </c>
      <c r="P74" s="422" t="str">
        <f>IFERROR(_xlfn.XLOOKUP(CONCATENATE($K74,P$5,$L$2),BASE_DATOS[Reporte NSK],BASE_DATOS[NSK],,0),"")</f>
        <v/>
      </c>
      <c r="Q74" s="422" t="str">
        <f>IFERROR(_xlfn.XLOOKUP(CONCATENATE($K74,Q$5,$L$2),BASE_DATOS[Reporte NSK],BASE_DATOS[NSK],,0),"")</f>
        <v/>
      </c>
      <c r="R74" s="422" t="str">
        <f>IFERROR(_xlfn.XLOOKUP(CONCATENATE($K74,R$5,$L$2),BASE_DATOS[Reporte NSK],BASE_DATOS[NSK],,0),"")</f>
        <v/>
      </c>
      <c r="S74" s="465" t="str">
        <f>IFERROR(_xlfn.XLOOKUP(CONCATENATE($K74,S$5,$L$2),BASE_DATOS[Reporte NSK],BASE_DATOS[NSK],,0),"")</f>
        <v/>
      </c>
      <c r="T74" s="466" t="str">
        <f>IFERROR(_xlfn.XLOOKUP(CONCATENATE($K74,T$5,$L$2),BASE_DATOS[Reporte NSK],BASE_DATOS[NSK],,0),"")</f>
        <v/>
      </c>
      <c r="U74" s="418" t="str">
        <f t="shared" si="3"/>
        <v/>
      </c>
    </row>
    <row r="75" spans="11:71" ht="10.199999999999999" customHeight="1" x14ac:dyDescent="0.2">
      <c r="K75" s="412"/>
      <c r="L75" s="415"/>
      <c r="M75" s="421" t="str">
        <f>IFERROR(_xlfn.XLOOKUP(CONCATENATE($K75,M$5,$L$2),BASE_DATOS[Reporte NSK],BASE_DATOS[NSK],,0),"")</f>
        <v/>
      </c>
      <c r="N75" s="422" t="str">
        <f>IFERROR(_xlfn.XLOOKUP(CONCATENATE($K75,N$5,$L$2),BASE_DATOS[Reporte NSK],BASE_DATOS[NSK],,0),"")</f>
        <v/>
      </c>
      <c r="O75" s="422" t="str">
        <f>IFERROR(_xlfn.XLOOKUP(CONCATENATE($K75,O$5,$L$2),BASE_DATOS[Reporte NSK],BASE_DATOS[NSK],,0),"")</f>
        <v/>
      </c>
      <c r="P75" s="422" t="str">
        <f>IFERROR(_xlfn.XLOOKUP(CONCATENATE($K75,P$5,$L$2),BASE_DATOS[Reporte NSK],BASE_DATOS[NSK],,0),"")</f>
        <v/>
      </c>
      <c r="Q75" s="422" t="str">
        <f>IFERROR(_xlfn.XLOOKUP(CONCATENATE($K75,Q$5,$L$2),BASE_DATOS[Reporte NSK],BASE_DATOS[NSK],,0),"")</f>
        <v/>
      </c>
      <c r="R75" s="422" t="str">
        <f>IFERROR(_xlfn.XLOOKUP(CONCATENATE($K75,R$5,$L$2),BASE_DATOS[Reporte NSK],BASE_DATOS[NSK],,0),"")</f>
        <v/>
      </c>
      <c r="S75" s="465" t="str">
        <f>IFERROR(_xlfn.XLOOKUP(CONCATENATE($K75,S$5,$L$2),BASE_DATOS[Reporte NSK],BASE_DATOS[NSK],,0),"")</f>
        <v/>
      </c>
      <c r="T75" s="466" t="str">
        <f>IFERROR(_xlfn.XLOOKUP(CONCATENATE($K75,T$5,$L$2),BASE_DATOS[Reporte NSK],BASE_DATOS[NSK],,0),"")</f>
        <v/>
      </c>
      <c r="U75" s="418" t="str">
        <f t="shared" si="3"/>
        <v/>
      </c>
    </row>
    <row r="76" spans="11:71" ht="10.199999999999999" customHeight="1" x14ac:dyDescent="0.2">
      <c r="K76" s="412"/>
      <c r="L76" s="415"/>
      <c r="M76" s="421" t="str">
        <f>IFERROR(_xlfn.XLOOKUP(CONCATENATE($K76,M$5,$L$2),BASE_DATOS[Reporte NSK],BASE_DATOS[NSK],,0),"")</f>
        <v/>
      </c>
      <c r="N76" s="422" t="str">
        <f>IFERROR(_xlfn.XLOOKUP(CONCATENATE($K76,N$5,$L$2),BASE_DATOS[Reporte NSK],BASE_DATOS[NSK],,0),"")</f>
        <v/>
      </c>
      <c r="O76" s="422" t="str">
        <f>IFERROR(_xlfn.XLOOKUP(CONCATENATE($K76,O$5,$L$2),BASE_DATOS[Reporte NSK],BASE_DATOS[NSK],,0),"")</f>
        <v/>
      </c>
      <c r="P76" s="422" t="str">
        <f>IFERROR(_xlfn.XLOOKUP(CONCATENATE($K76,P$5,$L$2),BASE_DATOS[Reporte NSK],BASE_DATOS[NSK],,0),"")</f>
        <v/>
      </c>
      <c r="Q76" s="422" t="str">
        <f>IFERROR(_xlfn.XLOOKUP(CONCATENATE($K76,Q$5,$L$2),BASE_DATOS[Reporte NSK],BASE_DATOS[NSK],,0),"")</f>
        <v/>
      </c>
      <c r="R76" s="422" t="str">
        <f>IFERROR(_xlfn.XLOOKUP(CONCATENATE($K76,R$5,$L$2),BASE_DATOS[Reporte NSK],BASE_DATOS[NSK],,0),"")</f>
        <v/>
      </c>
      <c r="S76" s="465" t="str">
        <f>IFERROR(_xlfn.XLOOKUP(CONCATENATE($K76,S$5,$L$2),BASE_DATOS[Reporte NSK],BASE_DATOS[NSK],,0),"")</f>
        <v/>
      </c>
      <c r="T76" s="466" t="str">
        <f>IFERROR(_xlfn.XLOOKUP(CONCATENATE($K76,T$5,$L$2),BASE_DATOS[Reporte NSK],BASE_DATOS[NSK],,0),"")</f>
        <v/>
      </c>
      <c r="U76" s="418" t="str">
        <f t="shared" si="3"/>
        <v/>
      </c>
    </row>
    <row r="77" spans="11:71" s="152" customFormat="1" ht="10.199999999999999" customHeight="1" x14ac:dyDescent="0.2">
      <c r="K77" s="412"/>
      <c r="L77" s="415"/>
      <c r="M77" s="421" t="str">
        <f>IFERROR(_xlfn.XLOOKUP(CONCATENATE($K77,M$5,$L$2),BASE_DATOS[Reporte NSK],BASE_DATOS[NSK],,0),"")</f>
        <v/>
      </c>
      <c r="N77" s="422" t="str">
        <f>IFERROR(_xlfn.XLOOKUP(CONCATENATE($K77,N$5,$L$2),BASE_DATOS[Reporte NSK],BASE_DATOS[NSK],,0),"")</f>
        <v/>
      </c>
      <c r="O77" s="422" t="str">
        <f>IFERROR(_xlfn.XLOOKUP(CONCATENATE($K77,O$5,$L$2),BASE_DATOS[Reporte NSK],BASE_DATOS[NSK],,0),"")</f>
        <v/>
      </c>
      <c r="P77" s="422" t="str">
        <f>IFERROR(_xlfn.XLOOKUP(CONCATENATE($K77,P$5,$L$2),BASE_DATOS[Reporte NSK],BASE_DATOS[NSK],,0),"")</f>
        <v/>
      </c>
      <c r="Q77" s="422" t="str">
        <f>IFERROR(_xlfn.XLOOKUP(CONCATENATE($K77,Q$5,$L$2),BASE_DATOS[Reporte NSK],BASE_DATOS[NSK],,0),"")</f>
        <v/>
      </c>
      <c r="R77" s="422" t="str">
        <f>IFERROR(_xlfn.XLOOKUP(CONCATENATE($K77,R$5,$L$2),BASE_DATOS[Reporte NSK],BASE_DATOS[NSK],,0),"")</f>
        <v/>
      </c>
      <c r="S77" s="465" t="str">
        <f>IFERROR(_xlfn.XLOOKUP(CONCATENATE($K77,S$5,$L$2),BASE_DATOS[Reporte NSK],BASE_DATOS[NSK],,0),"")</f>
        <v/>
      </c>
      <c r="T77" s="466" t="str">
        <f>IFERROR(_xlfn.XLOOKUP(CONCATENATE($K77,T$5,$L$2),BASE_DATOS[Reporte NSK],BASE_DATOS[NSK],,0),"")</f>
        <v/>
      </c>
      <c r="U77" s="418" t="str">
        <f t="shared" si="3"/>
        <v/>
      </c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8"/>
      <c r="BJ77" s="108"/>
      <c r="BK77" s="108"/>
      <c r="BL77" s="108"/>
      <c r="BM77" s="108"/>
      <c r="BN77" s="108"/>
      <c r="BO77" s="108"/>
      <c r="BP77" s="108"/>
      <c r="BQ77" s="108"/>
      <c r="BR77" s="108"/>
      <c r="BS77" s="108"/>
    </row>
    <row r="78" spans="11:71" s="152" customFormat="1" ht="10.199999999999999" customHeight="1" x14ac:dyDescent="0.2">
      <c r="K78" s="412"/>
      <c r="L78" s="415"/>
      <c r="M78" s="421" t="str">
        <f>IFERROR(_xlfn.XLOOKUP(CONCATENATE($K78,M$5,$L$2),BASE_DATOS[Reporte NSK],BASE_DATOS[NSK],,0),"")</f>
        <v/>
      </c>
      <c r="N78" s="422" t="str">
        <f>IFERROR(_xlfn.XLOOKUP(CONCATENATE($K78,N$5,$L$2),BASE_DATOS[Reporte NSK],BASE_DATOS[NSK],,0),"")</f>
        <v/>
      </c>
      <c r="O78" s="422" t="str">
        <f>IFERROR(_xlfn.XLOOKUP(CONCATENATE($K78,O$5,$L$2),BASE_DATOS[Reporte NSK],BASE_DATOS[NSK],,0),"")</f>
        <v/>
      </c>
      <c r="P78" s="422" t="str">
        <f>IFERROR(_xlfn.XLOOKUP(CONCATENATE($K78,P$5,$L$2),BASE_DATOS[Reporte NSK],BASE_DATOS[NSK],,0),"")</f>
        <v/>
      </c>
      <c r="Q78" s="422" t="str">
        <f>IFERROR(_xlfn.XLOOKUP(CONCATENATE($K78,Q$5,$L$2),BASE_DATOS[Reporte NSK],BASE_DATOS[NSK],,0),"")</f>
        <v/>
      </c>
      <c r="R78" s="422" t="str">
        <f>IFERROR(_xlfn.XLOOKUP(CONCATENATE($K78,R$5,$L$2),BASE_DATOS[Reporte NSK],BASE_DATOS[NSK],,0),"")</f>
        <v/>
      </c>
      <c r="S78" s="465" t="str">
        <f>IFERROR(_xlfn.XLOOKUP(CONCATENATE($K78,S$5,$L$2),BASE_DATOS[Reporte NSK],BASE_DATOS[NSK],,0),"")</f>
        <v/>
      </c>
      <c r="T78" s="466" t="str">
        <f>IFERROR(_xlfn.XLOOKUP(CONCATENATE($K78,T$5,$L$2),BASE_DATOS[Reporte NSK],BASE_DATOS[NSK],,0),"")</f>
        <v/>
      </c>
      <c r="U78" s="418" t="str">
        <f t="shared" si="3"/>
        <v/>
      </c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8"/>
      <c r="BJ78" s="108"/>
      <c r="BK78" s="108"/>
      <c r="BL78" s="108"/>
      <c r="BM78" s="108"/>
      <c r="BN78" s="108"/>
      <c r="BO78" s="108"/>
      <c r="BP78" s="108"/>
      <c r="BQ78" s="108"/>
      <c r="BR78" s="108"/>
      <c r="BS78" s="108"/>
    </row>
    <row r="79" spans="11:71" s="152" customFormat="1" ht="10.199999999999999" customHeight="1" x14ac:dyDescent="0.2">
      <c r="K79" s="412"/>
      <c r="L79" s="415"/>
      <c r="M79" s="421" t="str">
        <f>IFERROR(_xlfn.XLOOKUP(CONCATENATE($K79,M$5,$L$2),BASE_DATOS[Reporte NSK],BASE_DATOS[NSK],,0),"")</f>
        <v/>
      </c>
      <c r="N79" s="422" t="str">
        <f>IFERROR(_xlfn.XLOOKUP(CONCATENATE($K79,N$5,$L$2),BASE_DATOS[Reporte NSK],BASE_DATOS[NSK],,0),"")</f>
        <v/>
      </c>
      <c r="O79" s="422" t="str">
        <f>IFERROR(_xlfn.XLOOKUP(CONCATENATE($K79,O$5,$L$2),BASE_DATOS[Reporte NSK],BASE_DATOS[NSK],,0),"")</f>
        <v/>
      </c>
      <c r="P79" s="422" t="str">
        <f>IFERROR(_xlfn.XLOOKUP(CONCATENATE($K79,P$5,$L$2),BASE_DATOS[Reporte NSK],BASE_DATOS[NSK],,0),"")</f>
        <v/>
      </c>
      <c r="Q79" s="422" t="str">
        <f>IFERROR(_xlfn.XLOOKUP(CONCATENATE($K79,Q$5,$L$2),BASE_DATOS[Reporte NSK],BASE_DATOS[NSK],,0),"")</f>
        <v/>
      </c>
      <c r="R79" s="422" t="str">
        <f>IFERROR(_xlfn.XLOOKUP(CONCATENATE($K79,R$5,$L$2),BASE_DATOS[Reporte NSK],BASE_DATOS[NSK],,0),"")</f>
        <v/>
      </c>
      <c r="S79" s="465" t="str">
        <f>IFERROR(_xlfn.XLOOKUP(CONCATENATE($K79,S$5,$L$2),BASE_DATOS[Reporte NSK],BASE_DATOS[NSK],,0),"")</f>
        <v/>
      </c>
      <c r="T79" s="466" t="str">
        <f>IFERROR(_xlfn.XLOOKUP(CONCATENATE($K79,T$5,$L$2),BASE_DATOS[Reporte NSK],BASE_DATOS[NSK],,0),"")</f>
        <v/>
      </c>
      <c r="U79" s="418" t="str">
        <f t="shared" si="3"/>
        <v/>
      </c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8"/>
      <c r="BJ79" s="108"/>
      <c r="BK79" s="108"/>
      <c r="BL79" s="108"/>
      <c r="BM79" s="108"/>
      <c r="BN79" s="108"/>
      <c r="BO79" s="108"/>
      <c r="BP79" s="108"/>
      <c r="BQ79" s="108"/>
      <c r="BR79" s="108"/>
      <c r="BS79" s="108"/>
    </row>
    <row r="80" spans="11:71" s="152" customFormat="1" ht="10.199999999999999" customHeight="1" x14ac:dyDescent="0.2">
      <c r="K80" s="412"/>
      <c r="L80" s="415"/>
      <c r="M80" s="421" t="str">
        <f>IFERROR(_xlfn.XLOOKUP(CONCATENATE($K80,M$5,$L$2),BASE_DATOS[Reporte NSK],BASE_DATOS[NSK],,0),"")</f>
        <v/>
      </c>
      <c r="N80" s="422" t="str">
        <f>IFERROR(_xlfn.XLOOKUP(CONCATENATE($K80,N$5,$L$2),BASE_DATOS[Reporte NSK],BASE_DATOS[NSK],,0),"")</f>
        <v/>
      </c>
      <c r="O80" s="422" t="str">
        <f>IFERROR(_xlfn.XLOOKUP(CONCATENATE($K80,O$5,$L$2),BASE_DATOS[Reporte NSK],BASE_DATOS[NSK],,0),"")</f>
        <v/>
      </c>
      <c r="P80" s="422" t="str">
        <f>IFERROR(_xlfn.XLOOKUP(CONCATENATE($K80,P$5,$L$2),BASE_DATOS[Reporte NSK],BASE_DATOS[NSK],,0),"")</f>
        <v/>
      </c>
      <c r="Q80" s="422" t="str">
        <f>IFERROR(_xlfn.XLOOKUP(CONCATENATE($K80,Q$5,$L$2),BASE_DATOS[Reporte NSK],BASE_DATOS[NSK],,0),"")</f>
        <v/>
      </c>
      <c r="R80" s="422" t="str">
        <f>IFERROR(_xlfn.XLOOKUP(CONCATENATE($K80,R$5,$L$2),BASE_DATOS[Reporte NSK],BASE_DATOS[NSK],,0),"")</f>
        <v/>
      </c>
      <c r="S80" s="465" t="str">
        <f>IFERROR(_xlfn.XLOOKUP(CONCATENATE($K80,S$5,$L$2),BASE_DATOS[Reporte NSK],BASE_DATOS[NSK],,0),"")</f>
        <v/>
      </c>
      <c r="T80" s="466" t="str">
        <f>IFERROR(_xlfn.XLOOKUP(CONCATENATE($K80,T$5,$L$2),BASE_DATOS[Reporte NSK],BASE_DATOS[NSK],,0),"")</f>
        <v/>
      </c>
      <c r="U80" s="418" t="str">
        <f t="shared" si="3"/>
        <v/>
      </c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08"/>
      <c r="BH80" s="108"/>
      <c r="BI80" s="108"/>
      <c r="BJ80" s="108"/>
      <c r="BK80" s="108"/>
      <c r="BL80" s="108"/>
      <c r="BM80" s="108"/>
      <c r="BN80" s="108"/>
      <c r="BO80" s="108"/>
      <c r="BP80" s="108"/>
      <c r="BQ80" s="108"/>
      <c r="BR80" s="108"/>
      <c r="BS80" s="108"/>
    </row>
    <row r="81" spans="11:71" s="152" customFormat="1" ht="10.199999999999999" customHeight="1" x14ac:dyDescent="0.2">
      <c r="K81" s="412"/>
      <c r="L81" s="415"/>
      <c r="M81" s="421" t="str">
        <f>IFERROR(_xlfn.XLOOKUP(CONCATENATE($K81,M$5,$L$2),BASE_DATOS[Reporte NSK],BASE_DATOS[NSK],,0),"")</f>
        <v/>
      </c>
      <c r="N81" s="422" t="str">
        <f>IFERROR(_xlfn.XLOOKUP(CONCATENATE($K81,N$5,$L$2),BASE_DATOS[Reporte NSK],BASE_DATOS[NSK],,0),"")</f>
        <v/>
      </c>
      <c r="O81" s="422" t="str">
        <f>IFERROR(_xlfn.XLOOKUP(CONCATENATE($K81,O$5,$L$2),BASE_DATOS[Reporte NSK],BASE_DATOS[NSK],,0),"")</f>
        <v/>
      </c>
      <c r="P81" s="422" t="str">
        <f>IFERROR(_xlfn.XLOOKUP(CONCATENATE($K81,P$5,$L$2),BASE_DATOS[Reporte NSK],BASE_DATOS[NSK],,0),"")</f>
        <v/>
      </c>
      <c r="Q81" s="422" t="str">
        <f>IFERROR(_xlfn.XLOOKUP(CONCATENATE($K81,Q$5,$L$2),BASE_DATOS[Reporte NSK],BASE_DATOS[NSK],,0),"")</f>
        <v/>
      </c>
      <c r="R81" s="422" t="str">
        <f>IFERROR(_xlfn.XLOOKUP(CONCATENATE($K81,R$5,$L$2),BASE_DATOS[Reporte NSK],BASE_DATOS[NSK],,0),"")</f>
        <v/>
      </c>
      <c r="S81" s="465" t="str">
        <f>IFERROR(_xlfn.XLOOKUP(CONCATENATE($K81,S$5,$L$2),BASE_DATOS[Reporte NSK],BASE_DATOS[NSK],,0),"")</f>
        <v/>
      </c>
      <c r="T81" s="466" t="str">
        <f>IFERROR(_xlfn.XLOOKUP(CONCATENATE($K81,T$5,$L$2),BASE_DATOS[Reporte NSK],BASE_DATOS[NSK],,0),"")</f>
        <v/>
      </c>
      <c r="U81" s="418" t="str">
        <f t="shared" si="3"/>
        <v/>
      </c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108"/>
      <c r="BF81" s="108"/>
      <c r="BG81" s="108"/>
      <c r="BH81" s="108"/>
      <c r="BI81" s="108"/>
      <c r="BJ81" s="108"/>
      <c r="BK81" s="108"/>
      <c r="BL81" s="108"/>
      <c r="BM81" s="108"/>
      <c r="BN81" s="108"/>
      <c r="BO81" s="108"/>
      <c r="BP81" s="108"/>
      <c r="BQ81" s="108"/>
      <c r="BR81" s="108"/>
      <c r="BS81" s="108"/>
    </row>
    <row r="82" spans="11:71" s="152" customFormat="1" ht="10.199999999999999" customHeight="1" x14ac:dyDescent="0.2">
      <c r="K82" s="412"/>
      <c r="L82" s="415"/>
      <c r="M82" s="421" t="str">
        <f>IFERROR(_xlfn.XLOOKUP(CONCATENATE($K82,M$5,$L$2),BASE_DATOS[Reporte NSK],BASE_DATOS[NSK],,0),"")</f>
        <v/>
      </c>
      <c r="N82" s="422" t="str">
        <f>IFERROR(_xlfn.XLOOKUP(CONCATENATE($K82,N$5,$L$2),BASE_DATOS[Reporte NSK],BASE_DATOS[NSK],,0),"")</f>
        <v/>
      </c>
      <c r="O82" s="422" t="str">
        <f>IFERROR(_xlfn.XLOOKUP(CONCATENATE($K82,O$5,$L$2),BASE_DATOS[Reporte NSK],BASE_DATOS[NSK],,0),"")</f>
        <v/>
      </c>
      <c r="P82" s="422" t="str">
        <f>IFERROR(_xlfn.XLOOKUP(CONCATENATE($K82,P$5,$L$2),BASE_DATOS[Reporte NSK],BASE_DATOS[NSK],,0),"")</f>
        <v/>
      </c>
      <c r="Q82" s="422" t="str">
        <f>IFERROR(_xlfn.XLOOKUP(CONCATENATE($K82,Q$5,$L$2),BASE_DATOS[Reporte NSK],BASE_DATOS[NSK],,0),"")</f>
        <v/>
      </c>
      <c r="R82" s="422" t="str">
        <f>IFERROR(_xlfn.XLOOKUP(CONCATENATE($K82,R$5,$L$2),BASE_DATOS[Reporte NSK],BASE_DATOS[NSK],,0),"")</f>
        <v/>
      </c>
      <c r="S82" s="465" t="str">
        <f>IFERROR(_xlfn.XLOOKUP(CONCATENATE($K82,S$5,$L$2),BASE_DATOS[Reporte NSK],BASE_DATOS[NSK],,0),"")</f>
        <v/>
      </c>
      <c r="T82" s="466" t="str">
        <f>IFERROR(_xlfn.XLOOKUP(CONCATENATE($K82,T$5,$L$2),BASE_DATOS[Reporte NSK],BASE_DATOS[NSK],,0),"")</f>
        <v/>
      </c>
      <c r="U82" s="418" t="str">
        <f t="shared" si="3"/>
        <v/>
      </c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  <c r="AK82" s="108"/>
      <c r="AL82" s="108"/>
      <c r="AM82" s="108"/>
      <c r="AN82" s="108"/>
      <c r="AO82" s="108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08"/>
      <c r="BC82" s="108"/>
      <c r="BD82" s="108"/>
      <c r="BE82" s="108"/>
      <c r="BF82" s="108"/>
      <c r="BG82" s="108"/>
      <c r="BH82" s="108"/>
      <c r="BI82" s="108"/>
      <c r="BJ82" s="108"/>
      <c r="BK82" s="108"/>
      <c r="BL82" s="108"/>
      <c r="BM82" s="108"/>
      <c r="BN82" s="108"/>
      <c r="BO82" s="108"/>
      <c r="BP82" s="108"/>
      <c r="BQ82" s="108"/>
      <c r="BR82" s="108"/>
      <c r="BS82" s="108"/>
    </row>
    <row r="83" spans="11:71" s="152" customFormat="1" ht="10.199999999999999" customHeight="1" x14ac:dyDescent="0.2">
      <c r="K83" s="412"/>
      <c r="L83" s="415"/>
      <c r="M83" s="421" t="str">
        <f>IFERROR(_xlfn.XLOOKUP(CONCATENATE($K83,M$5,$L$2),BASE_DATOS[Reporte NSK],BASE_DATOS[NSK],,0),"")</f>
        <v/>
      </c>
      <c r="N83" s="422" t="str">
        <f>IFERROR(_xlfn.XLOOKUP(CONCATENATE($K83,N$5,$L$2),BASE_DATOS[Reporte NSK],BASE_DATOS[NSK],,0),"")</f>
        <v/>
      </c>
      <c r="O83" s="422" t="str">
        <f>IFERROR(_xlfn.XLOOKUP(CONCATENATE($K83,O$5,$L$2),BASE_DATOS[Reporte NSK],BASE_DATOS[NSK],,0),"")</f>
        <v/>
      </c>
      <c r="P83" s="422" t="str">
        <f>IFERROR(_xlfn.XLOOKUP(CONCATENATE($K83,P$5,$L$2),BASE_DATOS[Reporte NSK],BASE_DATOS[NSK],,0),"")</f>
        <v/>
      </c>
      <c r="Q83" s="422" t="str">
        <f>IFERROR(_xlfn.XLOOKUP(CONCATENATE($K83,Q$5,$L$2),BASE_DATOS[Reporte NSK],BASE_DATOS[NSK],,0),"")</f>
        <v/>
      </c>
      <c r="R83" s="422" t="str">
        <f>IFERROR(_xlfn.XLOOKUP(CONCATENATE($K83,R$5,$L$2),BASE_DATOS[Reporte NSK],BASE_DATOS[NSK],,0),"")</f>
        <v/>
      </c>
      <c r="S83" s="465" t="str">
        <f>IFERROR(_xlfn.XLOOKUP(CONCATENATE($K83,S$5,$L$2),BASE_DATOS[Reporte NSK],BASE_DATOS[NSK],,0),"")</f>
        <v/>
      </c>
      <c r="T83" s="466" t="str">
        <f>IFERROR(_xlfn.XLOOKUP(CONCATENATE($K83,T$5,$L$2),BASE_DATOS[Reporte NSK],BASE_DATOS[NSK],,0),"")</f>
        <v/>
      </c>
      <c r="U83" s="418" t="str">
        <f t="shared" si="3"/>
        <v/>
      </c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G83" s="108"/>
      <c r="BH83" s="108"/>
      <c r="BI83" s="108"/>
      <c r="BJ83" s="108"/>
      <c r="BK83" s="108"/>
      <c r="BL83" s="108"/>
      <c r="BM83" s="108"/>
      <c r="BN83" s="108"/>
      <c r="BO83" s="108"/>
      <c r="BP83" s="108"/>
      <c r="BQ83" s="108"/>
      <c r="BR83" s="108"/>
      <c r="BS83" s="108"/>
    </row>
    <row r="84" spans="11:71" s="152" customFormat="1" ht="10.199999999999999" customHeight="1" x14ac:dyDescent="0.2">
      <c r="K84" s="412"/>
      <c r="L84" s="415"/>
      <c r="M84" s="421" t="str">
        <f>IFERROR(_xlfn.XLOOKUP(CONCATENATE($K84,M$5,$L$2),BASE_DATOS[Reporte NSK],BASE_DATOS[NSK],,0),"")</f>
        <v/>
      </c>
      <c r="N84" s="422" t="str">
        <f>IFERROR(_xlfn.XLOOKUP(CONCATENATE($K84,N$5,$L$2),BASE_DATOS[Reporte NSK],BASE_DATOS[NSK],,0),"")</f>
        <v/>
      </c>
      <c r="O84" s="422" t="str">
        <f>IFERROR(_xlfn.XLOOKUP(CONCATENATE($K84,O$5,$L$2),BASE_DATOS[Reporte NSK],BASE_DATOS[NSK],,0),"")</f>
        <v/>
      </c>
      <c r="P84" s="422" t="str">
        <f>IFERROR(_xlfn.XLOOKUP(CONCATENATE($K84,P$5,$L$2),BASE_DATOS[Reporte NSK],BASE_DATOS[NSK],,0),"")</f>
        <v/>
      </c>
      <c r="Q84" s="422" t="str">
        <f>IFERROR(_xlfn.XLOOKUP(CONCATENATE($K84,Q$5,$L$2),BASE_DATOS[Reporte NSK],BASE_DATOS[NSK],,0),"")</f>
        <v/>
      </c>
      <c r="R84" s="422" t="str">
        <f>IFERROR(_xlfn.XLOOKUP(CONCATENATE($K84,R$5,$L$2),BASE_DATOS[Reporte NSK],BASE_DATOS[NSK],,0),"")</f>
        <v/>
      </c>
      <c r="S84" s="465" t="str">
        <f>IFERROR(_xlfn.XLOOKUP(CONCATENATE($K84,S$5,$L$2),BASE_DATOS[Reporte NSK],BASE_DATOS[NSK],,0),"")</f>
        <v/>
      </c>
      <c r="T84" s="466" t="str">
        <f>IFERROR(_xlfn.XLOOKUP(CONCATENATE($K84,T$5,$L$2),BASE_DATOS[Reporte NSK],BASE_DATOS[NSK],,0),"")</f>
        <v/>
      </c>
      <c r="U84" s="418" t="str">
        <f t="shared" si="3"/>
        <v/>
      </c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08"/>
      <c r="BC84" s="108"/>
      <c r="BD84" s="108"/>
      <c r="BE84" s="108"/>
      <c r="BF84" s="108"/>
      <c r="BG84" s="108"/>
      <c r="BH84" s="108"/>
      <c r="BI84" s="108"/>
      <c r="BJ84" s="108"/>
      <c r="BK84" s="108"/>
      <c r="BL84" s="108"/>
      <c r="BM84" s="108"/>
      <c r="BN84" s="108"/>
      <c r="BO84" s="108"/>
      <c r="BP84" s="108"/>
      <c r="BQ84" s="108"/>
      <c r="BR84" s="108"/>
      <c r="BS84" s="108"/>
    </row>
    <row r="85" spans="11:71" s="152" customFormat="1" ht="10.199999999999999" customHeight="1" x14ac:dyDescent="0.2">
      <c r="K85" s="412"/>
      <c r="L85" s="415"/>
      <c r="M85" s="421" t="str">
        <f>IFERROR(_xlfn.XLOOKUP(CONCATENATE($K85,M$5,$L$2),BASE_DATOS[Reporte NSK],BASE_DATOS[NSK],,0),"")</f>
        <v/>
      </c>
      <c r="N85" s="422" t="str">
        <f>IFERROR(_xlfn.XLOOKUP(CONCATENATE($K85,N$5,$L$2),BASE_DATOS[Reporte NSK],BASE_DATOS[NSK],,0),"")</f>
        <v/>
      </c>
      <c r="O85" s="422" t="str">
        <f>IFERROR(_xlfn.XLOOKUP(CONCATENATE($K85,O$5,$L$2),BASE_DATOS[Reporte NSK],BASE_DATOS[NSK],,0),"")</f>
        <v/>
      </c>
      <c r="P85" s="422" t="str">
        <f>IFERROR(_xlfn.XLOOKUP(CONCATENATE($K85,P$5,$L$2),BASE_DATOS[Reporte NSK],BASE_DATOS[NSK],,0),"")</f>
        <v/>
      </c>
      <c r="Q85" s="422" t="str">
        <f>IFERROR(_xlfn.XLOOKUP(CONCATENATE($K85,Q$5,$L$2),BASE_DATOS[Reporte NSK],BASE_DATOS[NSK],,0),"")</f>
        <v/>
      </c>
      <c r="R85" s="422" t="str">
        <f>IFERROR(_xlfn.XLOOKUP(CONCATENATE($K85,R$5,$L$2),BASE_DATOS[Reporte NSK],BASE_DATOS[NSK],,0),"")</f>
        <v/>
      </c>
      <c r="S85" s="465" t="str">
        <f>IFERROR(_xlfn.XLOOKUP(CONCATENATE($K85,S$5,$L$2),BASE_DATOS[Reporte NSK],BASE_DATOS[NSK],,0),"")</f>
        <v/>
      </c>
      <c r="T85" s="466" t="str">
        <f>IFERROR(_xlfn.XLOOKUP(CONCATENATE($K85,T$5,$L$2),BASE_DATOS[Reporte NSK],BASE_DATOS[NSK],,0),"")</f>
        <v/>
      </c>
      <c r="U85" s="418" t="str">
        <f t="shared" si="3"/>
        <v/>
      </c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8"/>
      <c r="BJ85" s="108"/>
      <c r="BK85" s="108"/>
      <c r="BL85" s="108"/>
      <c r="BM85" s="108"/>
      <c r="BN85" s="108"/>
      <c r="BO85" s="108"/>
      <c r="BP85" s="108"/>
      <c r="BQ85" s="108"/>
      <c r="BR85" s="108"/>
      <c r="BS85" s="108"/>
    </row>
    <row r="86" spans="11:71" s="152" customFormat="1" ht="10.199999999999999" customHeight="1" x14ac:dyDescent="0.2">
      <c r="K86" s="412"/>
      <c r="L86" s="415"/>
      <c r="M86" s="421" t="str">
        <f>IFERROR(_xlfn.XLOOKUP(CONCATENATE($K86,M$5,$L$2),BASE_DATOS[Reporte NSK],BASE_DATOS[NSK],,0),"")</f>
        <v/>
      </c>
      <c r="N86" s="422" t="str">
        <f>IFERROR(_xlfn.XLOOKUP(CONCATENATE($K86,N$5,$L$2),BASE_DATOS[Reporte NSK],BASE_DATOS[NSK],,0),"")</f>
        <v/>
      </c>
      <c r="O86" s="422" t="str">
        <f>IFERROR(_xlfn.XLOOKUP(CONCATENATE($K86,O$5,$L$2),BASE_DATOS[Reporte NSK],BASE_DATOS[NSK],,0),"")</f>
        <v/>
      </c>
      <c r="P86" s="422" t="str">
        <f>IFERROR(_xlfn.XLOOKUP(CONCATENATE($K86,P$5,$L$2),BASE_DATOS[Reporte NSK],BASE_DATOS[NSK],,0),"")</f>
        <v/>
      </c>
      <c r="Q86" s="422" t="str">
        <f>IFERROR(_xlfn.XLOOKUP(CONCATENATE($K86,Q$5,$L$2),BASE_DATOS[Reporte NSK],BASE_DATOS[NSK],,0),"")</f>
        <v/>
      </c>
      <c r="R86" s="422" t="str">
        <f>IFERROR(_xlfn.XLOOKUP(CONCATENATE($K86,R$5,$L$2),BASE_DATOS[Reporte NSK],BASE_DATOS[NSK],,0),"")</f>
        <v/>
      </c>
      <c r="S86" s="465" t="str">
        <f>IFERROR(_xlfn.XLOOKUP(CONCATENATE($K86,S$5,$L$2),BASE_DATOS[Reporte NSK],BASE_DATOS[NSK],,0),"")</f>
        <v/>
      </c>
      <c r="T86" s="466" t="str">
        <f>IFERROR(_xlfn.XLOOKUP(CONCATENATE($K86,T$5,$L$2),BASE_DATOS[Reporte NSK],BASE_DATOS[NSK],,0),"")</f>
        <v/>
      </c>
      <c r="U86" s="418" t="str">
        <f t="shared" si="3"/>
        <v/>
      </c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8"/>
      <c r="BI86" s="108"/>
      <c r="BJ86" s="108"/>
      <c r="BK86" s="108"/>
      <c r="BL86" s="108"/>
      <c r="BM86" s="108"/>
      <c r="BN86" s="108"/>
      <c r="BO86" s="108"/>
      <c r="BP86" s="108"/>
      <c r="BQ86" s="108"/>
      <c r="BR86" s="108"/>
      <c r="BS86" s="108"/>
    </row>
    <row r="87" spans="11:71" s="152" customFormat="1" ht="10.199999999999999" customHeight="1" x14ac:dyDescent="0.2">
      <c r="K87" s="412"/>
      <c r="L87" s="415"/>
      <c r="M87" s="421" t="str">
        <f>IFERROR(_xlfn.XLOOKUP(CONCATENATE($K87,M$5,$L$2),BASE_DATOS[Reporte NSK],BASE_DATOS[NSK],,0),"")</f>
        <v/>
      </c>
      <c r="N87" s="422" t="str">
        <f>IFERROR(_xlfn.XLOOKUP(CONCATENATE($K87,N$5,$L$2),BASE_DATOS[Reporte NSK],BASE_DATOS[NSK],,0),"")</f>
        <v/>
      </c>
      <c r="O87" s="422" t="str">
        <f>IFERROR(_xlfn.XLOOKUP(CONCATENATE($K87,O$5,$L$2),BASE_DATOS[Reporte NSK],BASE_DATOS[NSK],,0),"")</f>
        <v/>
      </c>
      <c r="P87" s="422" t="str">
        <f>IFERROR(_xlfn.XLOOKUP(CONCATENATE($K87,P$5,$L$2),BASE_DATOS[Reporte NSK],BASE_DATOS[NSK],,0),"")</f>
        <v/>
      </c>
      <c r="Q87" s="422" t="str">
        <f>IFERROR(_xlfn.XLOOKUP(CONCATENATE($K87,Q$5,$L$2),BASE_DATOS[Reporte NSK],BASE_DATOS[NSK],,0),"")</f>
        <v/>
      </c>
      <c r="R87" s="422" t="str">
        <f>IFERROR(_xlfn.XLOOKUP(CONCATENATE($K87,R$5,$L$2),BASE_DATOS[Reporte NSK],BASE_DATOS[NSK],,0),"")</f>
        <v/>
      </c>
      <c r="S87" s="465" t="str">
        <f>IFERROR(_xlfn.XLOOKUP(CONCATENATE($K87,S$5,$L$2),BASE_DATOS[Reporte NSK],BASE_DATOS[NSK],,0),"")</f>
        <v/>
      </c>
      <c r="T87" s="466" t="str">
        <f>IFERROR(_xlfn.XLOOKUP(CONCATENATE($K87,T$5,$L$2),BASE_DATOS[Reporte NSK],BASE_DATOS[NSK],,0),"")</f>
        <v/>
      </c>
      <c r="U87" s="418" t="str">
        <f t="shared" si="3"/>
        <v/>
      </c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08"/>
      <c r="BI87" s="108"/>
      <c r="BJ87" s="108"/>
      <c r="BK87" s="108"/>
      <c r="BL87" s="108"/>
      <c r="BM87" s="108"/>
      <c r="BN87" s="108"/>
      <c r="BO87" s="108"/>
      <c r="BP87" s="108"/>
      <c r="BQ87" s="108"/>
      <c r="BR87" s="108"/>
      <c r="BS87" s="108"/>
    </row>
    <row r="88" spans="11:71" s="152" customFormat="1" ht="10.199999999999999" customHeight="1" x14ac:dyDescent="0.2">
      <c r="K88" s="412"/>
      <c r="L88" s="415"/>
      <c r="M88" s="421" t="str">
        <f>IFERROR(_xlfn.XLOOKUP(CONCATENATE($K88,M$5,$L$2),BASE_DATOS[Reporte NSK],BASE_DATOS[NSK],,0),"")</f>
        <v/>
      </c>
      <c r="N88" s="422" t="str">
        <f>IFERROR(_xlfn.XLOOKUP(CONCATENATE($K88,N$5,$L$2),BASE_DATOS[Reporte NSK],BASE_DATOS[NSK],,0),"")</f>
        <v/>
      </c>
      <c r="O88" s="422" t="str">
        <f>IFERROR(_xlfn.XLOOKUP(CONCATENATE($K88,O$5,$L$2),BASE_DATOS[Reporte NSK],BASE_DATOS[NSK],,0),"")</f>
        <v/>
      </c>
      <c r="P88" s="422" t="str">
        <f>IFERROR(_xlfn.XLOOKUP(CONCATENATE($K88,P$5,$L$2),BASE_DATOS[Reporte NSK],BASE_DATOS[NSK],,0),"")</f>
        <v/>
      </c>
      <c r="Q88" s="422" t="str">
        <f>IFERROR(_xlfn.XLOOKUP(CONCATENATE($K88,Q$5,$L$2),BASE_DATOS[Reporte NSK],BASE_DATOS[NSK],,0),"")</f>
        <v/>
      </c>
      <c r="R88" s="422" t="str">
        <f>IFERROR(_xlfn.XLOOKUP(CONCATENATE($K88,R$5,$L$2),BASE_DATOS[Reporte NSK],BASE_DATOS[NSK],,0),"")</f>
        <v/>
      </c>
      <c r="S88" s="465" t="str">
        <f>IFERROR(_xlfn.XLOOKUP(CONCATENATE($K88,S$5,$L$2),BASE_DATOS[Reporte NSK],BASE_DATOS[NSK],,0),"")</f>
        <v/>
      </c>
      <c r="T88" s="466" t="str">
        <f>IFERROR(_xlfn.XLOOKUP(CONCATENATE($K88,T$5,$L$2),BASE_DATOS[Reporte NSK],BASE_DATOS[NSK],,0),"")</f>
        <v/>
      </c>
      <c r="U88" s="418" t="str">
        <f t="shared" si="3"/>
        <v/>
      </c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8"/>
      <c r="BI88" s="108"/>
      <c r="BJ88" s="108"/>
      <c r="BK88" s="108"/>
      <c r="BL88" s="108"/>
      <c r="BM88" s="108"/>
      <c r="BN88" s="108"/>
      <c r="BO88" s="108"/>
      <c r="BP88" s="108"/>
      <c r="BQ88" s="108"/>
      <c r="BR88" s="108"/>
      <c r="BS88" s="108"/>
    </row>
    <row r="89" spans="11:71" s="152" customFormat="1" ht="10.199999999999999" customHeight="1" x14ac:dyDescent="0.2">
      <c r="K89" s="412"/>
      <c r="L89" s="415"/>
      <c r="M89" s="421" t="str">
        <f>IFERROR(_xlfn.XLOOKUP(CONCATENATE($K89,M$5,$L$2),BASE_DATOS[Reporte NSK],BASE_DATOS[NSK],,0),"")</f>
        <v/>
      </c>
      <c r="N89" s="422" t="str">
        <f>IFERROR(_xlfn.XLOOKUP(CONCATENATE($K89,N$5,$L$2),BASE_DATOS[Reporte NSK],BASE_DATOS[NSK],,0),"")</f>
        <v/>
      </c>
      <c r="O89" s="422" t="str">
        <f>IFERROR(_xlfn.XLOOKUP(CONCATENATE($K89,O$5,$L$2),BASE_DATOS[Reporte NSK],BASE_DATOS[NSK],,0),"")</f>
        <v/>
      </c>
      <c r="P89" s="422" t="str">
        <f>IFERROR(_xlfn.XLOOKUP(CONCATENATE($K89,P$5,$L$2),BASE_DATOS[Reporte NSK],BASE_DATOS[NSK],,0),"")</f>
        <v/>
      </c>
      <c r="Q89" s="422" t="str">
        <f>IFERROR(_xlfn.XLOOKUP(CONCATENATE($K89,Q$5,$L$2),BASE_DATOS[Reporte NSK],BASE_DATOS[NSK],,0),"")</f>
        <v/>
      </c>
      <c r="R89" s="422" t="str">
        <f>IFERROR(_xlfn.XLOOKUP(CONCATENATE($K89,R$5,$L$2),BASE_DATOS[Reporte NSK],BASE_DATOS[NSK],,0),"")</f>
        <v/>
      </c>
      <c r="S89" s="465" t="str">
        <f>IFERROR(_xlfn.XLOOKUP(CONCATENATE($K89,S$5,$L$2),BASE_DATOS[Reporte NSK],BASE_DATOS[NSK],,0),"")</f>
        <v/>
      </c>
      <c r="T89" s="466" t="str">
        <f>IFERROR(_xlfn.XLOOKUP(CONCATENATE($K89,T$5,$L$2),BASE_DATOS[Reporte NSK],BASE_DATOS[NSK],,0),"")</f>
        <v/>
      </c>
      <c r="U89" s="418" t="str">
        <f t="shared" si="3"/>
        <v/>
      </c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8"/>
      <c r="BJ89" s="108"/>
      <c r="BK89" s="108"/>
      <c r="BL89" s="108"/>
      <c r="BM89" s="108"/>
      <c r="BN89" s="108"/>
      <c r="BO89" s="108"/>
      <c r="BP89" s="108"/>
      <c r="BQ89" s="108"/>
      <c r="BR89" s="108"/>
      <c r="BS89" s="108"/>
    </row>
    <row r="90" spans="11:71" s="152" customFormat="1" ht="10.199999999999999" customHeight="1" x14ac:dyDescent="0.2">
      <c r="K90" s="412"/>
      <c r="L90" s="415"/>
      <c r="M90" s="421" t="str">
        <f>IFERROR(_xlfn.XLOOKUP(CONCATENATE($K90,M$5,$L$2),BASE_DATOS[Reporte NSK],BASE_DATOS[NSK],,0),"")</f>
        <v/>
      </c>
      <c r="N90" s="422" t="str">
        <f>IFERROR(_xlfn.XLOOKUP(CONCATENATE($K90,N$5,$L$2),BASE_DATOS[Reporte NSK],BASE_DATOS[NSK],,0),"")</f>
        <v/>
      </c>
      <c r="O90" s="422" t="str">
        <f>IFERROR(_xlfn.XLOOKUP(CONCATENATE($K90,O$5,$L$2),BASE_DATOS[Reporte NSK],BASE_DATOS[NSK],,0),"")</f>
        <v/>
      </c>
      <c r="P90" s="422" t="str">
        <f>IFERROR(_xlfn.XLOOKUP(CONCATENATE($K90,P$5,$L$2),BASE_DATOS[Reporte NSK],BASE_DATOS[NSK],,0),"")</f>
        <v/>
      </c>
      <c r="Q90" s="422" t="str">
        <f>IFERROR(_xlfn.XLOOKUP(CONCATENATE($K90,Q$5,$L$2),BASE_DATOS[Reporte NSK],BASE_DATOS[NSK],,0),"")</f>
        <v/>
      </c>
      <c r="R90" s="422" t="str">
        <f>IFERROR(_xlfn.XLOOKUP(CONCATENATE($K90,R$5,$L$2),BASE_DATOS[Reporte NSK],BASE_DATOS[NSK],,0),"")</f>
        <v/>
      </c>
      <c r="S90" s="465" t="str">
        <f>IFERROR(_xlfn.XLOOKUP(CONCATENATE($K90,S$5,$L$2),BASE_DATOS[Reporte NSK],BASE_DATOS[NSK],,0),"")</f>
        <v/>
      </c>
      <c r="T90" s="466" t="str">
        <f>IFERROR(_xlfn.XLOOKUP(CONCATENATE($K90,T$5,$L$2),BASE_DATOS[Reporte NSK],BASE_DATOS[NSK],,0),"")</f>
        <v/>
      </c>
      <c r="U90" s="418" t="str">
        <f t="shared" si="3"/>
        <v/>
      </c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08"/>
      <c r="BH90" s="108"/>
      <c r="BI90" s="108"/>
      <c r="BJ90" s="108"/>
      <c r="BK90" s="108"/>
      <c r="BL90" s="108"/>
      <c r="BM90" s="108"/>
      <c r="BN90" s="108"/>
      <c r="BO90" s="108"/>
      <c r="BP90" s="108"/>
      <c r="BQ90" s="108"/>
      <c r="BR90" s="108"/>
      <c r="BS90" s="108"/>
    </row>
    <row r="91" spans="11:71" s="152" customFormat="1" ht="10.199999999999999" customHeight="1" x14ac:dyDescent="0.2">
      <c r="K91" s="412"/>
      <c r="L91" s="415"/>
      <c r="M91" s="421" t="str">
        <f>IFERROR(_xlfn.XLOOKUP(CONCATENATE($K91,M$5,$L$2),BASE_DATOS[Reporte NSK],BASE_DATOS[NSK],,0),"")</f>
        <v/>
      </c>
      <c r="N91" s="422" t="str">
        <f>IFERROR(_xlfn.XLOOKUP(CONCATENATE($K91,N$5,$L$2),BASE_DATOS[Reporte NSK],BASE_DATOS[NSK],,0),"")</f>
        <v/>
      </c>
      <c r="O91" s="422" t="str">
        <f>IFERROR(_xlfn.XLOOKUP(CONCATENATE($K91,O$5,$L$2),BASE_DATOS[Reporte NSK],BASE_DATOS[NSK],,0),"")</f>
        <v/>
      </c>
      <c r="P91" s="422" t="str">
        <f>IFERROR(_xlfn.XLOOKUP(CONCATENATE($K91,P$5,$L$2),BASE_DATOS[Reporte NSK],BASE_DATOS[NSK],,0),"")</f>
        <v/>
      </c>
      <c r="Q91" s="422" t="str">
        <f>IFERROR(_xlfn.XLOOKUP(CONCATENATE($K91,Q$5,$L$2),BASE_DATOS[Reporte NSK],BASE_DATOS[NSK],,0),"")</f>
        <v/>
      </c>
      <c r="R91" s="422" t="str">
        <f>IFERROR(_xlfn.XLOOKUP(CONCATENATE($K91,R$5,$L$2),BASE_DATOS[Reporte NSK],BASE_DATOS[NSK],,0),"")</f>
        <v/>
      </c>
      <c r="S91" s="465" t="str">
        <f>IFERROR(_xlfn.XLOOKUP(CONCATENATE($K91,S$5,$L$2),BASE_DATOS[Reporte NSK],BASE_DATOS[NSK],,0),"")</f>
        <v/>
      </c>
      <c r="T91" s="466" t="str">
        <f>IFERROR(_xlfn.XLOOKUP(CONCATENATE($K91,T$5,$L$2),BASE_DATOS[Reporte NSK],BASE_DATOS[NSK],,0),"")</f>
        <v/>
      </c>
      <c r="U91" s="418" t="str">
        <f t="shared" si="3"/>
        <v/>
      </c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8"/>
      <c r="BJ91" s="108"/>
      <c r="BK91" s="108"/>
      <c r="BL91" s="108"/>
      <c r="BM91" s="108"/>
      <c r="BN91" s="108"/>
      <c r="BO91" s="108"/>
      <c r="BP91" s="108"/>
      <c r="BQ91" s="108"/>
      <c r="BR91" s="108"/>
      <c r="BS91" s="108"/>
    </row>
    <row r="92" spans="11:71" s="152" customFormat="1" ht="10.199999999999999" customHeight="1" x14ac:dyDescent="0.2">
      <c r="K92" s="412"/>
      <c r="L92" s="415"/>
      <c r="M92" s="421" t="str">
        <f>IFERROR(_xlfn.XLOOKUP(CONCATENATE($K92,M$5,$L$2),BASE_DATOS[Reporte NSK],BASE_DATOS[NSK],,0),"")</f>
        <v/>
      </c>
      <c r="N92" s="422" t="str">
        <f>IFERROR(_xlfn.XLOOKUP(CONCATENATE($K92,N$5,$L$2),BASE_DATOS[Reporte NSK],BASE_DATOS[NSK],,0),"")</f>
        <v/>
      </c>
      <c r="O92" s="422" t="str">
        <f>IFERROR(_xlfn.XLOOKUP(CONCATENATE($K92,O$5,$L$2),BASE_DATOS[Reporte NSK],BASE_DATOS[NSK],,0),"")</f>
        <v/>
      </c>
      <c r="P92" s="422" t="str">
        <f>IFERROR(_xlfn.XLOOKUP(CONCATENATE($K92,P$5,$L$2),BASE_DATOS[Reporte NSK],BASE_DATOS[NSK],,0),"")</f>
        <v/>
      </c>
      <c r="Q92" s="422" t="str">
        <f>IFERROR(_xlfn.XLOOKUP(CONCATENATE($K92,Q$5,$L$2),BASE_DATOS[Reporte NSK],BASE_DATOS[NSK],,0),"")</f>
        <v/>
      </c>
      <c r="R92" s="422" t="str">
        <f>IFERROR(_xlfn.XLOOKUP(CONCATENATE($K92,R$5,$L$2),BASE_DATOS[Reporte NSK],BASE_DATOS[NSK],,0),"")</f>
        <v/>
      </c>
      <c r="S92" s="465" t="str">
        <f>IFERROR(_xlfn.XLOOKUP(CONCATENATE($K92,S$5,$L$2),BASE_DATOS[Reporte NSK],BASE_DATOS[NSK],,0),"")</f>
        <v/>
      </c>
      <c r="T92" s="466" t="str">
        <f>IFERROR(_xlfn.XLOOKUP(CONCATENATE($K92,T$5,$L$2),BASE_DATOS[Reporte NSK],BASE_DATOS[NSK],,0),"")</f>
        <v/>
      </c>
      <c r="U92" s="418" t="str">
        <f t="shared" si="3"/>
        <v/>
      </c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  <c r="BD92" s="108"/>
      <c r="BE92" s="108"/>
      <c r="BF92" s="108"/>
      <c r="BG92" s="108"/>
      <c r="BH92" s="108"/>
      <c r="BI92" s="108"/>
      <c r="BJ92" s="108"/>
      <c r="BK92" s="108"/>
      <c r="BL92" s="108"/>
      <c r="BM92" s="108"/>
      <c r="BN92" s="108"/>
      <c r="BO92" s="108"/>
      <c r="BP92" s="108"/>
      <c r="BQ92" s="108"/>
      <c r="BR92" s="108"/>
      <c r="BS92" s="108"/>
    </row>
    <row r="93" spans="11:71" s="152" customFormat="1" ht="10.199999999999999" customHeight="1" x14ac:dyDescent="0.2">
      <c r="K93" s="412"/>
      <c r="L93" s="415"/>
      <c r="M93" s="421" t="str">
        <f>IFERROR(_xlfn.XLOOKUP(CONCATENATE($K93,M$5,$L$2),BASE_DATOS[Reporte NSK],BASE_DATOS[NSK],,0),"")</f>
        <v/>
      </c>
      <c r="N93" s="422" t="str">
        <f>IFERROR(_xlfn.XLOOKUP(CONCATENATE($K93,N$5,$L$2),BASE_DATOS[Reporte NSK],BASE_DATOS[NSK],,0),"")</f>
        <v/>
      </c>
      <c r="O93" s="422" t="str">
        <f>IFERROR(_xlfn.XLOOKUP(CONCATENATE($K93,O$5,$L$2),BASE_DATOS[Reporte NSK],BASE_DATOS[NSK],,0),"")</f>
        <v/>
      </c>
      <c r="P93" s="422" t="str">
        <f>IFERROR(_xlfn.XLOOKUP(CONCATENATE($K93,P$5,$L$2),BASE_DATOS[Reporte NSK],BASE_DATOS[NSK],,0),"")</f>
        <v/>
      </c>
      <c r="Q93" s="422" t="str">
        <f>IFERROR(_xlfn.XLOOKUP(CONCATENATE($K93,Q$5,$L$2),BASE_DATOS[Reporte NSK],BASE_DATOS[NSK],,0),"")</f>
        <v/>
      </c>
      <c r="R93" s="422" t="str">
        <f>IFERROR(_xlfn.XLOOKUP(CONCATENATE($K93,R$5,$L$2),BASE_DATOS[Reporte NSK],BASE_DATOS[NSK],,0),"")</f>
        <v/>
      </c>
      <c r="S93" s="465" t="str">
        <f>IFERROR(_xlfn.XLOOKUP(CONCATENATE($K93,S$5,$L$2),BASE_DATOS[Reporte NSK],BASE_DATOS[NSK],,0),"")</f>
        <v/>
      </c>
      <c r="T93" s="466" t="str">
        <f>IFERROR(_xlfn.XLOOKUP(CONCATENATE($K93,T$5,$L$2),BASE_DATOS[Reporte NSK],BASE_DATOS[NSK],,0),"")</f>
        <v/>
      </c>
      <c r="U93" s="418" t="str">
        <f t="shared" si="3"/>
        <v/>
      </c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  <c r="BH93" s="108"/>
      <c r="BI93" s="108"/>
      <c r="BJ93" s="108"/>
      <c r="BK93" s="108"/>
      <c r="BL93" s="108"/>
      <c r="BM93" s="108"/>
      <c r="BN93" s="108"/>
      <c r="BO93" s="108"/>
      <c r="BP93" s="108"/>
      <c r="BQ93" s="108"/>
      <c r="BR93" s="108"/>
      <c r="BS93" s="108"/>
    </row>
    <row r="94" spans="11:71" s="152" customFormat="1" ht="10.199999999999999" customHeight="1" x14ac:dyDescent="0.2">
      <c r="K94" s="412"/>
      <c r="L94" s="415"/>
      <c r="M94" s="421" t="str">
        <f>IFERROR(_xlfn.XLOOKUP(CONCATENATE($K94,M$5,$L$2),BASE_DATOS[Reporte NSK],BASE_DATOS[NSK],,0),"")</f>
        <v/>
      </c>
      <c r="N94" s="422" t="str">
        <f>IFERROR(_xlfn.XLOOKUP(CONCATENATE($K94,N$5,$L$2),BASE_DATOS[Reporte NSK],BASE_DATOS[NSK],,0),"")</f>
        <v/>
      </c>
      <c r="O94" s="422" t="str">
        <f>IFERROR(_xlfn.XLOOKUP(CONCATENATE($K94,O$5,$L$2),BASE_DATOS[Reporte NSK],BASE_DATOS[NSK],,0),"")</f>
        <v/>
      </c>
      <c r="P94" s="422" t="str">
        <f>IFERROR(_xlfn.XLOOKUP(CONCATENATE($K94,P$5,$L$2),BASE_DATOS[Reporte NSK],BASE_DATOS[NSK],,0),"")</f>
        <v/>
      </c>
      <c r="Q94" s="422" t="str">
        <f>IFERROR(_xlfn.XLOOKUP(CONCATENATE($K94,Q$5,$L$2),BASE_DATOS[Reporte NSK],BASE_DATOS[NSK],,0),"")</f>
        <v/>
      </c>
      <c r="R94" s="422" t="str">
        <f>IFERROR(_xlfn.XLOOKUP(CONCATENATE($K94,R$5,$L$2),BASE_DATOS[Reporte NSK],BASE_DATOS[NSK],,0),"")</f>
        <v/>
      </c>
      <c r="S94" s="465" t="str">
        <f>IFERROR(_xlfn.XLOOKUP(CONCATENATE($K94,S$5,$L$2),BASE_DATOS[Reporte NSK],BASE_DATOS[NSK],,0),"")</f>
        <v/>
      </c>
      <c r="T94" s="466" t="str">
        <f>IFERROR(_xlfn.XLOOKUP(CONCATENATE($K94,T$5,$L$2),BASE_DATOS[Reporte NSK],BASE_DATOS[NSK],,0),"")</f>
        <v/>
      </c>
      <c r="U94" s="418" t="str">
        <f t="shared" si="3"/>
        <v/>
      </c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  <c r="BH94" s="108"/>
      <c r="BI94" s="108"/>
      <c r="BJ94" s="108"/>
      <c r="BK94" s="108"/>
      <c r="BL94" s="108"/>
      <c r="BM94" s="108"/>
      <c r="BN94" s="108"/>
      <c r="BO94" s="108"/>
      <c r="BP94" s="108"/>
      <c r="BQ94" s="108"/>
      <c r="BR94" s="108"/>
      <c r="BS94" s="108"/>
    </row>
    <row r="95" spans="11:71" s="152" customFormat="1" ht="10.199999999999999" customHeight="1" x14ac:dyDescent="0.2">
      <c r="K95" s="412"/>
      <c r="L95" s="415"/>
      <c r="M95" s="421" t="str">
        <f>IFERROR(_xlfn.XLOOKUP(CONCATENATE($K95,M$5,$L$2),BASE_DATOS[Reporte NSK],BASE_DATOS[NSK],,0),"")</f>
        <v/>
      </c>
      <c r="N95" s="422" t="str">
        <f>IFERROR(_xlfn.XLOOKUP(CONCATENATE($K95,N$5,$L$2),BASE_DATOS[Reporte NSK],BASE_DATOS[NSK],,0),"")</f>
        <v/>
      </c>
      <c r="O95" s="422" t="str">
        <f>IFERROR(_xlfn.XLOOKUP(CONCATENATE($K95,O$5,$L$2),BASE_DATOS[Reporte NSK],BASE_DATOS[NSK],,0),"")</f>
        <v/>
      </c>
      <c r="P95" s="422" t="str">
        <f>IFERROR(_xlfn.XLOOKUP(CONCATENATE($K95,P$5,$L$2),BASE_DATOS[Reporte NSK],BASE_DATOS[NSK],,0),"")</f>
        <v/>
      </c>
      <c r="Q95" s="422" t="str">
        <f>IFERROR(_xlfn.XLOOKUP(CONCATENATE($K95,Q$5,$L$2),BASE_DATOS[Reporte NSK],BASE_DATOS[NSK],,0),"")</f>
        <v/>
      </c>
      <c r="R95" s="422" t="str">
        <f>IFERROR(_xlfn.XLOOKUP(CONCATENATE($K95,R$5,$L$2),BASE_DATOS[Reporte NSK],BASE_DATOS[NSK],,0),"")</f>
        <v/>
      </c>
      <c r="S95" s="465" t="str">
        <f>IFERROR(_xlfn.XLOOKUP(CONCATENATE($K95,S$5,$L$2),BASE_DATOS[Reporte NSK],BASE_DATOS[NSK],,0),"")</f>
        <v/>
      </c>
      <c r="T95" s="466" t="str">
        <f>IFERROR(_xlfn.XLOOKUP(CONCATENATE($K95,T$5,$L$2),BASE_DATOS[Reporte NSK],BASE_DATOS[NSK],,0),"")</f>
        <v/>
      </c>
      <c r="U95" s="418" t="str">
        <f t="shared" si="3"/>
        <v/>
      </c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8"/>
      <c r="BJ95" s="108"/>
      <c r="BK95" s="108"/>
      <c r="BL95" s="108"/>
      <c r="BM95" s="108"/>
      <c r="BN95" s="108"/>
      <c r="BO95" s="108"/>
      <c r="BP95" s="108"/>
      <c r="BQ95" s="108"/>
      <c r="BR95" s="108"/>
      <c r="BS95" s="108"/>
    </row>
    <row r="96" spans="11:71" s="152" customFormat="1" ht="10.199999999999999" customHeight="1" x14ac:dyDescent="0.2">
      <c r="K96" s="412"/>
      <c r="L96" s="415"/>
      <c r="M96" s="421" t="str">
        <f>IFERROR(_xlfn.XLOOKUP(CONCATENATE($K96,M$5,$L$2),BASE_DATOS[Reporte NSK],BASE_DATOS[NSK],,0),"")</f>
        <v/>
      </c>
      <c r="N96" s="422" t="str">
        <f>IFERROR(_xlfn.XLOOKUP(CONCATENATE($K96,N$5,$L$2),BASE_DATOS[Reporte NSK],BASE_DATOS[NSK],,0),"")</f>
        <v/>
      </c>
      <c r="O96" s="422" t="str">
        <f>IFERROR(_xlfn.XLOOKUP(CONCATENATE($K96,O$5,$L$2),BASE_DATOS[Reporte NSK],BASE_DATOS[NSK],,0),"")</f>
        <v/>
      </c>
      <c r="P96" s="422" t="str">
        <f>IFERROR(_xlfn.XLOOKUP(CONCATENATE($K96,P$5,$L$2),BASE_DATOS[Reporte NSK],BASE_DATOS[NSK],,0),"")</f>
        <v/>
      </c>
      <c r="Q96" s="422" t="str">
        <f>IFERROR(_xlfn.XLOOKUP(CONCATENATE($K96,Q$5,$L$2),BASE_DATOS[Reporte NSK],BASE_DATOS[NSK],,0),"")</f>
        <v/>
      </c>
      <c r="R96" s="422" t="str">
        <f>IFERROR(_xlfn.XLOOKUP(CONCATENATE($K96,R$5,$L$2),BASE_DATOS[Reporte NSK],BASE_DATOS[NSK],,0),"")</f>
        <v/>
      </c>
      <c r="S96" s="465" t="str">
        <f>IFERROR(_xlfn.XLOOKUP(CONCATENATE($K96,S$5,$L$2),BASE_DATOS[Reporte NSK],BASE_DATOS[NSK],,0),"")</f>
        <v/>
      </c>
      <c r="T96" s="466" t="str">
        <f>IFERROR(_xlfn.XLOOKUP(CONCATENATE($K96,T$5,$L$2),BASE_DATOS[Reporte NSK],BASE_DATOS[NSK],,0),"")</f>
        <v/>
      </c>
      <c r="U96" s="418" t="str">
        <f t="shared" si="3"/>
        <v/>
      </c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8"/>
      <c r="BJ96" s="108"/>
      <c r="BK96" s="108"/>
      <c r="BL96" s="108"/>
      <c r="BM96" s="108"/>
      <c r="BN96" s="108"/>
      <c r="BO96" s="108"/>
      <c r="BP96" s="108"/>
      <c r="BQ96" s="108"/>
      <c r="BR96" s="108"/>
      <c r="BS96" s="108"/>
    </row>
    <row r="97" spans="11:71" s="152" customFormat="1" ht="10.199999999999999" customHeight="1" x14ac:dyDescent="0.2">
      <c r="K97" s="412"/>
      <c r="L97" s="415"/>
      <c r="M97" s="421" t="str">
        <f>IFERROR(_xlfn.XLOOKUP(CONCATENATE($K97,M$5,$L$2),BASE_DATOS[Reporte NSK],BASE_DATOS[NSK],,0),"")</f>
        <v/>
      </c>
      <c r="N97" s="422" t="str">
        <f>IFERROR(_xlfn.XLOOKUP(CONCATENATE($K97,N$5,$L$2),BASE_DATOS[Reporte NSK],BASE_DATOS[NSK],,0),"")</f>
        <v/>
      </c>
      <c r="O97" s="422" t="str">
        <f>IFERROR(_xlfn.XLOOKUP(CONCATENATE($K97,O$5,$L$2),BASE_DATOS[Reporte NSK],BASE_DATOS[NSK],,0),"")</f>
        <v/>
      </c>
      <c r="P97" s="422" t="str">
        <f>IFERROR(_xlfn.XLOOKUP(CONCATENATE($K97,P$5,$L$2),BASE_DATOS[Reporte NSK],BASE_DATOS[NSK],,0),"")</f>
        <v/>
      </c>
      <c r="Q97" s="422" t="str">
        <f>IFERROR(_xlfn.XLOOKUP(CONCATENATE($K97,Q$5,$L$2),BASE_DATOS[Reporte NSK],BASE_DATOS[NSK],,0),"")</f>
        <v/>
      </c>
      <c r="R97" s="422" t="str">
        <f>IFERROR(_xlfn.XLOOKUP(CONCATENATE($K97,R$5,$L$2),BASE_DATOS[Reporte NSK],BASE_DATOS[NSK],,0),"")</f>
        <v/>
      </c>
      <c r="S97" s="465" t="str">
        <f>IFERROR(_xlfn.XLOOKUP(CONCATENATE($K97,S$5,$L$2),BASE_DATOS[Reporte NSK],BASE_DATOS[NSK],,0),"")</f>
        <v/>
      </c>
      <c r="T97" s="466" t="str">
        <f>IFERROR(_xlfn.XLOOKUP(CONCATENATE($K97,T$5,$L$2),BASE_DATOS[Reporte NSK],BASE_DATOS[NSK],,0),"")</f>
        <v/>
      </c>
      <c r="U97" s="418" t="str">
        <f t="shared" si="3"/>
        <v/>
      </c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08"/>
      <c r="BI97" s="108"/>
      <c r="BJ97" s="108"/>
      <c r="BK97" s="108"/>
      <c r="BL97" s="108"/>
      <c r="BM97" s="108"/>
      <c r="BN97" s="108"/>
      <c r="BO97" s="108"/>
      <c r="BP97" s="108"/>
      <c r="BQ97" s="108"/>
      <c r="BR97" s="108"/>
      <c r="BS97" s="108"/>
    </row>
    <row r="98" spans="11:71" s="152" customFormat="1" ht="10.199999999999999" customHeight="1" x14ac:dyDescent="0.2">
      <c r="K98" s="412"/>
      <c r="L98" s="415"/>
      <c r="M98" s="421" t="str">
        <f>IFERROR(_xlfn.XLOOKUP(CONCATENATE($K98,M$5,$L$2),BASE_DATOS[Reporte NSK],BASE_DATOS[NSK],,0),"")</f>
        <v/>
      </c>
      <c r="N98" s="422" t="str">
        <f>IFERROR(_xlfn.XLOOKUP(CONCATENATE($K98,N$5,$L$2),BASE_DATOS[Reporte NSK],BASE_DATOS[NSK],,0),"")</f>
        <v/>
      </c>
      <c r="O98" s="422" t="str">
        <f>IFERROR(_xlfn.XLOOKUP(CONCATENATE($K98,O$5,$L$2),BASE_DATOS[Reporte NSK],BASE_DATOS[NSK],,0),"")</f>
        <v/>
      </c>
      <c r="P98" s="422" t="str">
        <f>IFERROR(_xlfn.XLOOKUP(CONCATENATE($K98,P$5,$L$2),BASE_DATOS[Reporte NSK],BASE_DATOS[NSK],,0),"")</f>
        <v/>
      </c>
      <c r="Q98" s="422" t="str">
        <f>IFERROR(_xlfn.XLOOKUP(CONCATENATE($K98,Q$5,$L$2),BASE_DATOS[Reporte NSK],BASE_DATOS[NSK],,0),"")</f>
        <v/>
      </c>
      <c r="R98" s="422" t="str">
        <f>IFERROR(_xlfn.XLOOKUP(CONCATENATE($K98,R$5,$L$2),BASE_DATOS[Reporte NSK],BASE_DATOS[NSK],,0),"")</f>
        <v/>
      </c>
      <c r="S98" s="465" t="str">
        <f>IFERROR(_xlfn.XLOOKUP(CONCATENATE($K98,S$5,$L$2),BASE_DATOS[Reporte NSK],BASE_DATOS[NSK],,0),"")</f>
        <v/>
      </c>
      <c r="T98" s="466" t="str">
        <f>IFERROR(_xlfn.XLOOKUP(CONCATENATE($K98,T$5,$L$2),BASE_DATOS[Reporte NSK],BASE_DATOS[NSK],,0),"")</f>
        <v/>
      </c>
      <c r="U98" s="418" t="str">
        <f t="shared" si="3"/>
        <v/>
      </c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08"/>
      <c r="BH98" s="108"/>
      <c r="BI98" s="108"/>
      <c r="BJ98" s="108"/>
      <c r="BK98" s="108"/>
      <c r="BL98" s="108"/>
      <c r="BM98" s="108"/>
      <c r="BN98" s="108"/>
      <c r="BO98" s="108"/>
      <c r="BP98" s="108"/>
      <c r="BQ98" s="108"/>
      <c r="BR98" s="108"/>
      <c r="BS98" s="108"/>
    </row>
    <row r="99" spans="11:71" s="152" customFormat="1" ht="10.199999999999999" customHeight="1" x14ac:dyDescent="0.2">
      <c r="K99" s="412"/>
      <c r="L99" s="415"/>
      <c r="M99" s="421" t="str">
        <f>IFERROR(_xlfn.XLOOKUP(CONCATENATE($K99,M$5,$L$2),BASE_DATOS[Reporte NSK],BASE_DATOS[NSK],,0),"")</f>
        <v/>
      </c>
      <c r="N99" s="422" t="str">
        <f>IFERROR(_xlfn.XLOOKUP(CONCATENATE($K99,N$5,$L$2),BASE_DATOS[Reporte NSK],BASE_DATOS[NSK],,0),"")</f>
        <v/>
      </c>
      <c r="O99" s="422" t="str">
        <f>IFERROR(_xlfn.XLOOKUP(CONCATENATE($K99,O$5,$L$2),BASE_DATOS[Reporte NSK],BASE_DATOS[NSK],,0),"")</f>
        <v/>
      </c>
      <c r="P99" s="422" t="str">
        <f>IFERROR(_xlfn.XLOOKUP(CONCATENATE($K99,P$5,$L$2),BASE_DATOS[Reporte NSK],BASE_DATOS[NSK],,0),"")</f>
        <v/>
      </c>
      <c r="Q99" s="422" t="str">
        <f>IFERROR(_xlfn.XLOOKUP(CONCATENATE($K99,Q$5,$L$2),BASE_DATOS[Reporte NSK],BASE_DATOS[NSK],,0),"")</f>
        <v/>
      </c>
      <c r="R99" s="422" t="str">
        <f>IFERROR(_xlfn.XLOOKUP(CONCATENATE($K99,R$5,$L$2),BASE_DATOS[Reporte NSK],BASE_DATOS[NSK],,0),"")</f>
        <v/>
      </c>
      <c r="S99" s="465" t="str">
        <f>IFERROR(_xlfn.XLOOKUP(CONCATENATE($K99,S$5,$L$2),BASE_DATOS[Reporte NSK],BASE_DATOS[NSK],,0),"")</f>
        <v/>
      </c>
      <c r="T99" s="466" t="str">
        <f>IFERROR(_xlfn.XLOOKUP(CONCATENATE($K99,T$5,$L$2),BASE_DATOS[Reporte NSK],BASE_DATOS[NSK],,0),"")</f>
        <v/>
      </c>
      <c r="U99" s="418" t="str">
        <f t="shared" si="3"/>
        <v/>
      </c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/>
      <c r="BP99" s="108"/>
      <c r="BQ99" s="108"/>
      <c r="BR99" s="108"/>
      <c r="BS99" s="108"/>
    </row>
    <row r="100" spans="11:71" s="152" customFormat="1" ht="10.199999999999999" customHeight="1" x14ac:dyDescent="0.2">
      <c r="K100" s="412"/>
      <c r="L100" s="415"/>
      <c r="M100" s="421" t="str">
        <f>IFERROR(_xlfn.XLOOKUP(CONCATENATE($K100,M$5,$L$2),BASE_DATOS[Reporte NSK],BASE_DATOS[NSK],,0),"")</f>
        <v/>
      </c>
      <c r="N100" s="422" t="str">
        <f>IFERROR(_xlfn.XLOOKUP(CONCATENATE($K100,N$5,$L$2),BASE_DATOS[Reporte NSK],BASE_DATOS[NSK],,0),"")</f>
        <v/>
      </c>
      <c r="O100" s="422" t="str">
        <f>IFERROR(_xlfn.XLOOKUP(CONCATENATE($K100,O$5,$L$2),BASE_DATOS[Reporte NSK],BASE_DATOS[NSK],,0),"")</f>
        <v/>
      </c>
      <c r="P100" s="422" t="str">
        <f>IFERROR(_xlfn.XLOOKUP(CONCATENATE($K100,P$5,$L$2),BASE_DATOS[Reporte NSK],BASE_DATOS[NSK],,0),"")</f>
        <v/>
      </c>
      <c r="Q100" s="422" t="str">
        <f>IFERROR(_xlfn.XLOOKUP(CONCATENATE($K100,Q$5,$L$2),BASE_DATOS[Reporte NSK],BASE_DATOS[NSK],,0),"")</f>
        <v/>
      </c>
      <c r="R100" s="422" t="str">
        <f>IFERROR(_xlfn.XLOOKUP(CONCATENATE($K100,R$5,$L$2),BASE_DATOS[Reporte NSK],BASE_DATOS[NSK],,0),"")</f>
        <v/>
      </c>
      <c r="S100" s="465" t="str">
        <f>IFERROR(_xlfn.XLOOKUP(CONCATENATE($K100,S$5,$L$2),BASE_DATOS[Reporte NSK],BASE_DATOS[NSK],,0),"")</f>
        <v/>
      </c>
      <c r="T100" s="466" t="str">
        <f>IFERROR(_xlfn.XLOOKUP(CONCATENATE($K100,T$5,$L$2),BASE_DATOS[Reporte NSK],BASE_DATOS[NSK],,0),"")</f>
        <v/>
      </c>
      <c r="U100" s="418" t="str">
        <f t="shared" si="3"/>
        <v/>
      </c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8"/>
      <c r="BJ100" s="108"/>
      <c r="BK100" s="108"/>
      <c r="BL100" s="108"/>
      <c r="BM100" s="108"/>
      <c r="BN100" s="108"/>
      <c r="BO100" s="108"/>
      <c r="BP100" s="108"/>
      <c r="BQ100" s="108"/>
      <c r="BR100" s="108"/>
      <c r="BS100" s="108"/>
    </row>
    <row r="101" spans="11:71" s="152" customFormat="1" ht="10.199999999999999" customHeight="1" x14ac:dyDescent="0.2">
      <c r="K101" s="412"/>
      <c r="L101" s="415"/>
      <c r="M101" s="421" t="str">
        <f>IFERROR(_xlfn.XLOOKUP(CONCATENATE($K101,M$5,$L$2),BASE_DATOS[Reporte NSK],BASE_DATOS[NSK],,0),"")</f>
        <v/>
      </c>
      <c r="N101" s="422" t="str">
        <f>IFERROR(_xlfn.XLOOKUP(CONCATENATE($K101,N$5,$L$2),BASE_DATOS[Reporte NSK],BASE_DATOS[NSK],,0),"")</f>
        <v/>
      </c>
      <c r="O101" s="422" t="str">
        <f>IFERROR(_xlfn.XLOOKUP(CONCATENATE($K101,O$5,$L$2),BASE_DATOS[Reporte NSK],BASE_DATOS[NSK],,0),"")</f>
        <v/>
      </c>
      <c r="P101" s="422" t="str">
        <f>IFERROR(_xlfn.XLOOKUP(CONCATENATE($K101,P$5,$L$2),BASE_DATOS[Reporte NSK],BASE_DATOS[NSK],,0),"")</f>
        <v/>
      </c>
      <c r="Q101" s="422" t="str">
        <f>IFERROR(_xlfn.XLOOKUP(CONCATENATE($K101,Q$5,$L$2),BASE_DATOS[Reporte NSK],BASE_DATOS[NSK],,0),"")</f>
        <v/>
      </c>
      <c r="R101" s="422" t="str">
        <f>IFERROR(_xlfn.XLOOKUP(CONCATENATE($K101,R$5,$L$2),BASE_DATOS[Reporte NSK],BASE_DATOS[NSK],,0),"")</f>
        <v/>
      </c>
      <c r="S101" s="465" t="str">
        <f>IFERROR(_xlfn.XLOOKUP(CONCATENATE($K101,S$5,$L$2),BASE_DATOS[Reporte NSK],BASE_DATOS[NSK],,0),"")</f>
        <v/>
      </c>
      <c r="T101" s="466" t="str">
        <f>IFERROR(_xlfn.XLOOKUP(CONCATENATE($K101,T$5,$L$2),BASE_DATOS[Reporte NSK],BASE_DATOS[NSK],,0),"")</f>
        <v/>
      </c>
      <c r="U101" s="418" t="str">
        <f t="shared" si="3"/>
        <v/>
      </c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8"/>
      <c r="BJ101" s="108"/>
      <c r="BK101" s="108"/>
      <c r="BL101" s="108"/>
      <c r="BM101" s="108"/>
      <c r="BN101" s="108"/>
      <c r="BO101" s="108"/>
      <c r="BP101" s="108"/>
      <c r="BQ101" s="108"/>
      <c r="BR101" s="108"/>
      <c r="BS101" s="108"/>
    </row>
    <row r="102" spans="11:71" s="152" customFormat="1" ht="10.199999999999999" customHeight="1" x14ac:dyDescent="0.2">
      <c r="K102" s="412"/>
      <c r="L102" s="415"/>
      <c r="M102" s="421" t="str">
        <f>IFERROR(_xlfn.XLOOKUP(CONCATENATE($K102,M$5,$L$2),BASE_DATOS[Reporte NSK],BASE_DATOS[NSK],,0),"")</f>
        <v/>
      </c>
      <c r="N102" s="422" t="str">
        <f>IFERROR(_xlfn.XLOOKUP(CONCATENATE($K102,N$5,$L$2),BASE_DATOS[Reporte NSK],BASE_DATOS[NSK],,0),"")</f>
        <v/>
      </c>
      <c r="O102" s="422" t="str">
        <f>IFERROR(_xlfn.XLOOKUP(CONCATENATE($K102,O$5,$L$2),BASE_DATOS[Reporte NSK],BASE_DATOS[NSK],,0),"")</f>
        <v/>
      </c>
      <c r="P102" s="422" t="str">
        <f>IFERROR(_xlfn.XLOOKUP(CONCATENATE($K102,P$5,$L$2),BASE_DATOS[Reporte NSK],BASE_DATOS[NSK],,0),"")</f>
        <v/>
      </c>
      <c r="Q102" s="422" t="str">
        <f>IFERROR(_xlfn.XLOOKUP(CONCATENATE($K102,Q$5,$L$2),BASE_DATOS[Reporte NSK],BASE_DATOS[NSK],,0),"")</f>
        <v/>
      </c>
      <c r="R102" s="422" t="str">
        <f>IFERROR(_xlfn.XLOOKUP(CONCATENATE($K102,R$5,$L$2),BASE_DATOS[Reporte NSK],BASE_DATOS[NSK],,0),"")</f>
        <v/>
      </c>
      <c r="S102" s="465" t="str">
        <f>IFERROR(_xlfn.XLOOKUP(CONCATENATE($K102,S$5,$L$2),BASE_DATOS[Reporte NSK],BASE_DATOS[NSK],,0),"")</f>
        <v/>
      </c>
      <c r="T102" s="466" t="str">
        <f>IFERROR(_xlfn.XLOOKUP(CONCATENATE($K102,T$5,$L$2),BASE_DATOS[Reporte NSK],BASE_DATOS[NSK],,0),"")</f>
        <v/>
      </c>
      <c r="U102" s="418" t="str">
        <f t="shared" ref="U102:U133" si="4">IF(COUNT(M102:T102)&gt;0,COUNT(M102:T102),"")</f>
        <v/>
      </c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/>
      <c r="BP102" s="108"/>
      <c r="BQ102" s="108"/>
      <c r="BR102" s="108"/>
      <c r="BS102" s="108"/>
    </row>
    <row r="103" spans="11:71" s="152" customFormat="1" ht="10.199999999999999" customHeight="1" x14ac:dyDescent="0.2">
      <c r="K103" s="412"/>
      <c r="L103" s="415"/>
      <c r="M103" s="421" t="str">
        <f>IFERROR(_xlfn.XLOOKUP(CONCATENATE($K103,M$5,$L$2),BASE_DATOS[Reporte NSK],BASE_DATOS[NSK],,0),"")</f>
        <v/>
      </c>
      <c r="N103" s="422" t="str">
        <f>IFERROR(_xlfn.XLOOKUP(CONCATENATE($K103,N$5,$L$2),BASE_DATOS[Reporte NSK],BASE_DATOS[NSK],,0),"")</f>
        <v/>
      </c>
      <c r="O103" s="422" t="str">
        <f>IFERROR(_xlfn.XLOOKUP(CONCATENATE($K103,O$5,$L$2),BASE_DATOS[Reporte NSK],BASE_DATOS[NSK],,0),"")</f>
        <v/>
      </c>
      <c r="P103" s="422" t="str">
        <f>IFERROR(_xlfn.XLOOKUP(CONCATENATE($K103,P$5,$L$2),BASE_DATOS[Reporte NSK],BASE_DATOS[NSK],,0),"")</f>
        <v/>
      </c>
      <c r="Q103" s="422" t="str">
        <f>IFERROR(_xlfn.XLOOKUP(CONCATENATE($K103,Q$5,$L$2),BASE_DATOS[Reporte NSK],BASE_DATOS[NSK],,0),"")</f>
        <v/>
      </c>
      <c r="R103" s="422" t="str">
        <f>IFERROR(_xlfn.XLOOKUP(CONCATENATE($K103,R$5,$L$2),BASE_DATOS[Reporte NSK],BASE_DATOS[NSK],,0),"")</f>
        <v/>
      </c>
      <c r="S103" s="465" t="str">
        <f>IFERROR(_xlfn.XLOOKUP(CONCATENATE($K103,S$5,$L$2),BASE_DATOS[Reporte NSK],BASE_DATOS[NSK],,0),"")</f>
        <v/>
      </c>
      <c r="T103" s="466" t="str">
        <f>IFERROR(_xlfn.XLOOKUP(CONCATENATE($K103,T$5,$L$2),BASE_DATOS[Reporte NSK],BASE_DATOS[NSK],,0),"")</f>
        <v/>
      </c>
      <c r="U103" s="418" t="str">
        <f t="shared" si="4"/>
        <v/>
      </c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8"/>
      <c r="BJ103" s="108"/>
      <c r="BK103" s="108"/>
      <c r="BL103" s="108"/>
      <c r="BM103" s="108"/>
      <c r="BN103" s="108"/>
      <c r="BO103" s="108"/>
      <c r="BP103" s="108"/>
      <c r="BQ103" s="108"/>
      <c r="BR103" s="108"/>
      <c r="BS103" s="108"/>
    </row>
    <row r="104" spans="11:71" s="152" customFormat="1" ht="10.199999999999999" customHeight="1" x14ac:dyDescent="0.2">
      <c r="K104" s="412"/>
      <c r="L104" s="415"/>
      <c r="M104" s="421" t="str">
        <f>IFERROR(_xlfn.XLOOKUP(CONCATENATE($K104,M$5,$L$2),BASE_DATOS[Reporte NSK],BASE_DATOS[NSK],,0),"")</f>
        <v/>
      </c>
      <c r="N104" s="422" t="str">
        <f>IFERROR(_xlfn.XLOOKUP(CONCATENATE($K104,N$5,$L$2),BASE_DATOS[Reporte NSK],BASE_DATOS[NSK],,0),"")</f>
        <v/>
      </c>
      <c r="O104" s="422" t="str">
        <f>IFERROR(_xlfn.XLOOKUP(CONCATENATE($K104,O$5,$L$2),BASE_DATOS[Reporte NSK],BASE_DATOS[NSK],,0),"")</f>
        <v/>
      </c>
      <c r="P104" s="422" t="str">
        <f>IFERROR(_xlfn.XLOOKUP(CONCATENATE($K104,P$5,$L$2),BASE_DATOS[Reporte NSK],BASE_DATOS[NSK],,0),"")</f>
        <v/>
      </c>
      <c r="Q104" s="422" t="str">
        <f>IFERROR(_xlfn.XLOOKUP(CONCATENATE($K104,Q$5,$L$2),BASE_DATOS[Reporte NSK],BASE_DATOS[NSK],,0),"")</f>
        <v/>
      </c>
      <c r="R104" s="422" t="str">
        <f>IFERROR(_xlfn.XLOOKUP(CONCATENATE($K104,R$5,$L$2),BASE_DATOS[Reporte NSK],BASE_DATOS[NSK],,0),"")</f>
        <v/>
      </c>
      <c r="S104" s="465" t="str">
        <f>IFERROR(_xlfn.XLOOKUP(CONCATENATE($K104,S$5,$L$2),BASE_DATOS[Reporte NSK],BASE_DATOS[NSK],,0),"")</f>
        <v/>
      </c>
      <c r="T104" s="466" t="str">
        <f>IFERROR(_xlfn.XLOOKUP(CONCATENATE($K104,T$5,$L$2),BASE_DATOS[Reporte NSK],BASE_DATOS[NSK],,0),"")</f>
        <v/>
      </c>
      <c r="U104" s="418" t="str">
        <f t="shared" si="4"/>
        <v/>
      </c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8"/>
      <c r="BJ104" s="108"/>
      <c r="BK104" s="108"/>
      <c r="BL104" s="108"/>
      <c r="BM104" s="108"/>
      <c r="BN104" s="108"/>
      <c r="BO104" s="108"/>
      <c r="BP104" s="108"/>
      <c r="BQ104" s="108"/>
      <c r="BR104" s="108"/>
      <c r="BS104" s="108"/>
    </row>
    <row r="105" spans="11:71" s="152" customFormat="1" ht="10.199999999999999" customHeight="1" x14ac:dyDescent="0.2">
      <c r="K105" s="412"/>
      <c r="L105" s="415"/>
      <c r="M105" s="421" t="str">
        <f>IFERROR(_xlfn.XLOOKUP(CONCATENATE($K105,M$5,$L$2),BASE_DATOS[Reporte NSK],BASE_DATOS[NSK],,0),"")</f>
        <v/>
      </c>
      <c r="N105" s="422" t="str">
        <f>IFERROR(_xlfn.XLOOKUP(CONCATENATE($K105,N$5,$L$2),BASE_DATOS[Reporte NSK],BASE_DATOS[NSK],,0),"")</f>
        <v/>
      </c>
      <c r="O105" s="422" t="str">
        <f>IFERROR(_xlfn.XLOOKUP(CONCATENATE($K105,O$5,$L$2),BASE_DATOS[Reporte NSK],BASE_DATOS[NSK],,0),"")</f>
        <v/>
      </c>
      <c r="P105" s="422" t="str">
        <f>IFERROR(_xlfn.XLOOKUP(CONCATENATE($K105,P$5,$L$2),BASE_DATOS[Reporte NSK],BASE_DATOS[NSK],,0),"")</f>
        <v/>
      </c>
      <c r="Q105" s="422" t="str">
        <f>IFERROR(_xlfn.XLOOKUP(CONCATENATE($K105,Q$5,$L$2),BASE_DATOS[Reporte NSK],BASE_DATOS[NSK],,0),"")</f>
        <v/>
      </c>
      <c r="R105" s="422" t="str">
        <f>IFERROR(_xlfn.XLOOKUP(CONCATENATE($K105,R$5,$L$2),BASE_DATOS[Reporte NSK],BASE_DATOS[NSK],,0),"")</f>
        <v/>
      </c>
      <c r="S105" s="465" t="str">
        <f>IFERROR(_xlfn.XLOOKUP(CONCATENATE($K105,S$5,$L$2),BASE_DATOS[Reporte NSK],BASE_DATOS[NSK],,0),"")</f>
        <v/>
      </c>
      <c r="T105" s="466" t="str">
        <f>IFERROR(_xlfn.XLOOKUP(CONCATENATE($K105,T$5,$L$2),BASE_DATOS[Reporte NSK],BASE_DATOS[NSK],,0),"")</f>
        <v/>
      </c>
      <c r="U105" s="418" t="str">
        <f t="shared" si="4"/>
        <v/>
      </c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08"/>
      <c r="BC105" s="108"/>
      <c r="BD105" s="108"/>
      <c r="BE105" s="108"/>
      <c r="BF105" s="108"/>
      <c r="BG105" s="108"/>
      <c r="BH105" s="108"/>
      <c r="BI105" s="108"/>
      <c r="BJ105" s="108"/>
      <c r="BK105" s="108"/>
      <c r="BL105" s="108"/>
      <c r="BM105" s="108"/>
      <c r="BN105" s="108"/>
      <c r="BO105" s="108"/>
      <c r="BP105" s="108"/>
      <c r="BQ105" s="108"/>
      <c r="BR105" s="108"/>
      <c r="BS105" s="108"/>
    </row>
    <row r="106" spans="11:71" s="152" customFormat="1" ht="10.199999999999999" customHeight="1" x14ac:dyDescent="0.2">
      <c r="K106" s="412"/>
      <c r="L106" s="415"/>
      <c r="M106" s="421" t="str">
        <f>IFERROR(_xlfn.XLOOKUP(CONCATENATE($K106,M$5,$L$2),BASE_DATOS[Reporte NSK],BASE_DATOS[NSK],,0),"")</f>
        <v/>
      </c>
      <c r="N106" s="422" t="str">
        <f>IFERROR(_xlfn.XLOOKUP(CONCATENATE($K106,N$5,$L$2),BASE_DATOS[Reporte NSK],BASE_DATOS[NSK],,0),"")</f>
        <v/>
      </c>
      <c r="O106" s="422" t="str">
        <f>IFERROR(_xlfn.XLOOKUP(CONCATENATE($K106,O$5,$L$2),BASE_DATOS[Reporte NSK],BASE_DATOS[NSK],,0),"")</f>
        <v/>
      </c>
      <c r="P106" s="422" t="str">
        <f>IFERROR(_xlfn.XLOOKUP(CONCATENATE($K106,P$5,$L$2),BASE_DATOS[Reporte NSK],BASE_DATOS[NSK],,0),"")</f>
        <v/>
      </c>
      <c r="Q106" s="422" t="str">
        <f>IFERROR(_xlfn.XLOOKUP(CONCATENATE($K106,Q$5,$L$2),BASE_DATOS[Reporte NSK],BASE_DATOS[NSK],,0),"")</f>
        <v/>
      </c>
      <c r="R106" s="422" t="str">
        <f>IFERROR(_xlfn.XLOOKUP(CONCATENATE($K106,R$5,$L$2),BASE_DATOS[Reporte NSK],BASE_DATOS[NSK],,0),"")</f>
        <v/>
      </c>
      <c r="S106" s="465" t="str">
        <f>IFERROR(_xlfn.XLOOKUP(CONCATENATE($K106,S$5,$L$2),BASE_DATOS[Reporte NSK],BASE_DATOS[NSK],,0),"")</f>
        <v/>
      </c>
      <c r="T106" s="466" t="str">
        <f>IFERROR(_xlfn.XLOOKUP(CONCATENATE($K106,T$5,$L$2),BASE_DATOS[Reporte NSK],BASE_DATOS[NSK],,0),"")</f>
        <v/>
      </c>
      <c r="U106" s="418" t="str">
        <f t="shared" si="4"/>
        <v/>
      </c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8"/>
      <c r="BJ106" s="108"/>
      <c r="BK106" s="108"/>
      <c r="BL106" s="108"/>
      <c r="BM106" s="108"/>
      <c r="BN106" s="108"/>
      <c r="BO106" s="108"/>
      <c r="BP106" s="108"/>
      <c r="BQ106" s="108"/>
      <c r="BR106" s="108"/>
      <c r="BS106" s="108"/>
    </row>
    <row r="107" spans="11:71" s="152" customFormat="1" ht="10.199999999999999" customHeight="1" x14ac:dyDescent="0.2">
      <c r="K107" s="412"/>
      <c r="L107" s="415"/>
      <c r="M107" s="421" t="str">
        <f>IFERROR(_xlfn.XLOOKUP(CONCATENATE($K107,M$5,$L$2),BASE_DATOS[Reporte NSK],BASE_DATOS[NSK],,0),"")</f>
        <v/>
      </c>
      <c r="N107" s="422" t="str">
        <f>IFERROR(_xlfn.XLOOKUP(CONCATENATE($K107,N$5,$L$2),BASE_DATOS[Reporte NSK],BASE_DATOS[NSK],,0),"")</f>
        <v/>
      </c>
      <c r="O107" s="422" t="str">
        <f>IFERROR(_xlfn.XLOOKUP(CONCATENATE($K107,O$5,$L$2),BASE_DATOS[Reporte NSK],BASE_DATOS[NSK],,0),"")</f>
        <v/>
      </c>
      <c r="P107" s="422" t="str">
        <f>IFERROR(_xlfn.XLOOKUP(CONCATENATE($K107,P$5,$L$2),BASE_DATOS[Reporte NSK],BASE_DATOS[NSK],,0),"")</f>
        <v/>
      </c>
      <c r="Q107" s="422" t="str">
        <f>IFERROR(_xlfn.XLOOKUP(CONCATENATE($K107,Q$5,$L$2),BASE_DATOS[Reporte NSK],BASE_DATOS[NSK],,0),"")</f>
        <v/>
      </c>
      <c r="R107" s="422" t="str">
        <f>IFERROR(_xlfn.XLOOKUP(CONCATENATE($K107,R$5,$L$2),BASE_DATOS[Reporte NSK],BASE_DATOS[NSK],,0),"")</f>
        <v/>
      </c>
      <c r="S107" s="465" t="str">
        <f>IFERROR(_xlfn.XLOOKUP(CONCATENATE($K107,S$5,$L$2),BASE_DATOS[Reporte NSK],BASE_DATOS[NSK],,0),"")</f>
        <v/>
      </c>
      <c r="T107" s="466" t="str">
        <f>IFERROR(_xlfn.XLOOKUP(CONCATENATE($K107,T$5,$L$2),BASE_DATOS[Reporte NSK],BASE_DATOS[NSK],,0),"")</f>
        <v/>
      </c>
      <c r="U107" s="418" t="str">
        <f t="shared" si="4"/>
        <v/>
      </c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108"/>
      <c r="AU107" s="108"/>
      <c r="AV107" s="108"/>
      <c r="AW107" s="108"/>
      <c r="AX107" s="108"/>
      <c r="AY107" s="108"/>
      <c r="AZ107" s="108"/>
      <c r="BA107" s="108"/>
      <c r="BB107" s="108"/>
      <c r="BC107" s="108"/>
      <c r="BD107" s="108"/>
      <c r="BE107" s="108"/>
      <c r="BF107" s="108"/>
      <c r="BG107" s="108"/>
      <c r="BH107" s="108"/>
      <c r="BI107" s="108"/>
      <c r="BJ107" s="108"/>
      <c r="BK107" s="108"/>
      <c r="BL107" s="108"/>
      <c r="BM107" s="108"/>
      <c r="BN107" s="108"/>
      <c r="BO107" s="108"/>
      <c r="BP107" s="108"/>
      <c r="BQ107" s="108"/>
      <c r="BR107" s="108"/>
      <c r="BS107" s="108"/>
    </row>
    <row r="108" spans="11:71" s="152" customFormat="1" ht="10.199999999999999" customHeight="1" x14ac:dyDescent="0.2">
      <c r="K108" s="412"/>
      <c r="L108" s="415"/>
      <c r="M108" s="421" t="str">
        <f>IFERROR(_xlfn.XLOOKUP(CONCATENATE($K108,M$5,$L$2),BASE_DATOS[Reporte NSK],BASE_DATOS[NSK],,0),"")</f>
        <v/>
      </c>
      <c r="N108" s="422" t="str">
        <f>IFERROR(_xlfn.XLOOKUP(CONCATENATE($K108,N$5,$L$2),BASE_DATOS[Reporte NSK],BASE_DATOS[NSK],,0),"")</f>
        <v/>
      </c>
      <c r="O108" s="422" t="str">
        <f>IFERROR(_xlfn.XLOOKUP(CONCATENATE($K108,O$5,$L$2),BASE_DATOS[Reporte NSK],BASE_DATOS[NSK],,0),"")</f>
        <v/>
      </c>
      <c r="P108" s="422" t="str">
        <f>IFERROR(_xlfn.XLOOKUP(CONCATENATE($K108,P$5,$L$2),BASE_DATOS[Reporte NSK],BASE_DATOS[NSK],,0),"")</f>
        <v/>
      </c>
      <c r="Q108" s="422" t="str">
        <f>IFERROR(_xlfn.XLOOKUP(CONCATENATE($K108,Q$5,$L$2),BASE_DATOS[Reporte NSK],BASE_DATOS[NSK],,0),"")</f>
        <v/>
      </c>
      <c r="R108" s="422" t="str">
        <f>IFERROR(_xlfn.XLOOKUP(CONCATENATE($K108,R$5,$L$2),BASE_DATOS[Reporte NSK],BASE_DATOS[NSK],,0),"")</f>
        <v/>
      </c>
      <c r="S108" s="465" t="str">
        <f>IFERROR(_xlfn.XLOOKUP(CONCATENATE($K108,S$5,$L$2),BASE_DATOS[Reporte NSK],BASE_DATOS[NSK],,0),"")</f>
        <v/>
      </c>
      <c r="T108" s="466" t="str">
        <f>IFERROR(_xlfn.XLOOKUP(CONCATENATE($K108,T$5,$L$2),BASE_DATOS[Reporte NSK],BASE_DATOS[NSK],,0),"")</f>
        <v/>
      </c>
      <c r="U108" s="418" t="str">
        <f t="shared" si="4"/>
        <v/>
      </c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08"/>
      <c r="BC108" s="108"/>
      <c r="BD108" s="108"/>
      <c r="BE108" s="108"/>
      <c r="BF108" s="108"/>
      <c r="BG108" s="108"/>
      <c r="BH108" s="108"/>
      <c r="BI108" s="108"/>
      <c r="BJ108" s="108"/>
      <c r="BK108" s="108"/>
      <c r="BL108" s="108"/>
      <c r="BM108" s="108"/>
      <c r="BN108" s="108"/>
      <c r="BO108" s="108"/>
      <c r="BP108" s="108"/>
      <c r="BQ108" s="108"/>
      <c r="BR108" s="108"/>
      <c r="BS108" s="108"/>
    </row>
    <row r="109" spans="11:71" s="152" customFormat="1" ht="10.199999999999999" customHeight="1" x14ac:dyDescent="0.2">
      <c r="K109" s="412"/>
      <c r="L109" s="415"/>
      <c r="M109" s="421" t="str">
        <f>IFERROR(_xlfn.XLOOKUP(CONCATENATE($K109,M$5,$L$2),BASE_DATOS[Reporte NSK],BASE_DATOS[NSK],,0),"")</f>
        <v/>
      </c>
      <c r="N109" s="422" t="str">
        <f>IFERROR(_xlfn.XLOOKUP(CONCATENATE($K109,N$5,$L$2),BASE_DATOS[Reporte NSK],BASE_DATOS[NSK],,0),"")</f>
        <v/>
      </c>
      <c r="O109" s="422" t="str">
        <f>IFERROR(_xlfn.XLOOKUP(CONCATENATE($K109,O$5,$L$2),BASE_DATOS[Reporte NSK],BASE_DATOS[NSK],,0),"")</f>
        <v/>
      </c>
      <c r="P109" s="422" t="str">
        <f>IFERROR(_xlfn.XLOOKUP(CONCATENATE($K109,P$5,$L$2),BASE_DATOS[Reporte NSK],BASE_DATOS[NSK],,0),"")</f>
        <v/>
      </c>
      <c r="Q109" s="422" t="str">
        <f>IFERROR(_xlfn.XLOOKUP(CONCATENATE($K109,Q$5,$L$2),BASE_DATOS[Reporte NSK],BASE_DATOS[NSK],,0),"")</f>
        <v/>
      </c>
      <c r="R109" s="422" t="str">
        <f>IFERROR(_xlfn.XLOOKUP(CONCATENATE($K109,R$5,$L$2),BASE_DATOS[Reporte NSK],BASE_DATOS[NSK],,0),"")</f>
        <v/>
      </c>
      <c r="S109" s="465" t="str">
        <f>IFERROR(_xlfn.XLOOKUP(CONCATENATE($K109,S$5,$L$2),BASE_DATOS[Reporte NSK],BASE_DATOS[NSK],,0),"")</f>
        <v/>
      </c>
      <c r="T109" s="466" t="str">
        <f>IFERROR(_xlfn.XLOOKUP(CONCATENATE($K109,T$5,$L$2),BASE_DATOS[Reporte NSK],BASE_DATOS[NSK],,0),"")</f>
        <v/>
      </c>
      <c r="U109" s="418" t="str">
        <f t="shared" si="4"/>
        <v/>
      </c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8"/>
      <c r="BJ109" s="108"/>
      <c r="BK109" s="108"/>
      <c r="BL109" s="108"/>
      <c r="BM109" s="108"/>
      <c r="BN109" s="108"/>
      <c r="BO109" s="108"/>
      <c r="BP109" s="108"/>
      <c r="BQ109" s="108"/>
      <c r="BR109" s="108"/>
      <c r="BS109" s="108"/>
    </row>
    <row r="110" spans="11:71" s="152" customFormat="1" ht="10.199999999999999" customHeight="1" x14ac:dyDescent="0.2">
      <c r="K110" s="412"/>
      <c r="L110" s="415"/>
      <c r="M110" s="421" t="str">
        <f>IFERROR(_xlfn.XLOOKUP(CONCATENATE($K110,M$5,$L$2),BASE_DATOS[Reporte NSK],BASE_DATOS[NSK],,0),"")</f>
        <v/>
      </c>
      <c r="N110" s="422" t="str">
        <f>IFERROR(_xlfn.XLOOKUP(CONCATENATE($K110,N$5,$L$2),BASE_DATOS[Reporte NSK],BASE_DATOS[NSK],,0),"")</f>
        <v/>
      </c>
      <c r="O110" s="422" t="str">
        <f>IFERROR(_xlfn.XLOOKUP(CONCATENATE($K110,O$5,$L$2),BASE_DATOS[Reporte NSK],BASE_DATOS[NSK],,0),"")</f>
        <v/>
      </c>
      <c r="P110" s="422" t="str">
        <f>IFERROR(_xlfn.XLOOKUP(CONCATENATE($K110,P$5,$L$2),BASE_DATOS[Reporte NSK],BASE_DATOS[NSK],,0),"")</f>
        <v/>
      </c>
      <c r="Q110" s="422" t="str">
        <f>IFERROR(_xlfn.XLOOKUP(CONCATENATE($K110,Q$5,$L$2),BASE_DATOS[Reporte NSK],BASE_DATOS[NSK],,0),"")</f>
        <v/>
      </c>
      <c r="R110" s="422" t="str">
        <f>IFERROR(_xlfn.XLOOKUP(CONCATENATE($K110,R$5,$L$2),BASE_DATOS[Reporte NSK],BASE_DATOS[NSK],,0),"")</f>
        <v/>
      </c>
      <c r="S110" s="465" t="str">
        <f>IFERROR(_xlfn.XLOOKUP(CONCATENATE($K110,S$5,$L$2),BASE_DATOS[Reporte NSK],BASE_DATOS[NSK],,0),"")</f>
        <v/>
      </c>
      <c r="T110" s="466" t="str">
        <f>IFERROR(_xlfn.XLOOKUP(CONCATENATE($K110,T$5,$L$2),BASE_DATOS[Reporte NSK],BASE_DATOS[NSK],,0),"")</f>
        <v/>
      </c>
      <c r="U110" s="418" t="str">
        <f t="shared" si="4"/>
        <v/>
      </c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08"/>
      <c r="BH110" s="108"/>
      <c r="BI110" s="108"/>
      <c r="BJ110" s="108"/>
      <c r="BK110" s="108"/>
      <c r="BL110" s="108"/>
      <c r="BM110" s="108"/>
      <c r="BN110" s="108"/>
      <c r="BO110" s="108"/>
      <c r="BP110" s="108"/>
      <c r="BQ110" s="108"/>
      <c r="BR110" s="108"/>
      <c r="BS110" s="108"/>
    </row>
    <row r="111" spans="11:71" s="152" customFormat="1" ht="10.199999999999999" customHeight="1" x14ac:dyDescent="0.2">
      <c r="K111" s="412"/>
      <c r="L111" s="415"/>
      <c r="M111" s="421" t="str">
        <f>IFERROR(_xlfn.XLOOKUP(CONCATENATE($K111,M$5,$L$2),BASE_DATOS[Reporte NSK],BASE_DATOS[NSK],,0),"")</f>
        <v/>
      </c>
      <c r="N111" s="422" t="str">
        <f>IFERROR(_xlfn.XLOOKUP(CONCATENATE($K111,N$5,$L$2),BASE_DATOS[Reporte NSK],BASE_DATOS[NSK],,0),"")</f>
        <v/>
      </c>
      <c r="O111" s="422" t="str">
        <f>IFERROR(_xlfn.XLOOKUP(CONCATENATE($K111,O$5,$L$2),BASE_DATOS[Reporte NSK],BASE_DATOS[NSK],,0),"")</f>
        <v/>
      </c>
      <c r="P111" s="422" t="str">
        <f>IFERROR(_xlfn.XLOOKUP(CONCATENATE($K111,P$5,$L$2),BASE_DATOS[Reporte NSK],BASE_DATOS[NSK],,0),"")</f>
        <v/>
      </c>
      <c r="Q111" s="422" t="str">
        <f>IFERROR(_xlfn.XLOOKUP(CONCATENATE($K111,Q$5,$L$2),BASE_DATOS[Reporte NSK],BASE_DATOS[NSK],,0),"")</f>
        <v/>
      </c>
      <c r="R111" s="422" t="str">
        <f>IFERROR(_xlfn.XLOOKUP(CONCATENATE($K111,R$5,$L$2),BASE_DATOS[Reporte NSK],BASE_DATOS[NSK],,0),"")</f>
        <v/>
      </c>
      <c r="S111" s="465" t="str">
        <f>IFERROR(_xlfn.XLOOKUP(CONCATENATE($K111,S$5,$L$2),BASE_DATOS[Reporte NSK],BASE_DATOS[NSK],,0),"")</f>
        <v/>
      </c>
      <c r="T111" s="466" t="str">
        <f>IFERROR(_xlfn.XLOOKUP(CONCATENATE($K111,T$5,$L$2),BASE_DATOS[Reporte NSK],BASE_DATOS[NSK],,0),"")</f>
        <v/>
      </c>
      <c r="U111" s="418" t="str">
        <f t="shared" si="4"/>
        <v/>
      </c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08"/>
      <c r="BH111" s="108"/>
      <c r="BI111" s="108"/>
      <c r="BJ111" s="108"/>
      <c r="BK111" s="108"/>
      <c r="BL111" s="108"/>
      <c r="BM111" s="108"/>
      <c r="BN111" s="108"/>
      <c r="BO111" s="108"/>
      <c r="BP111" s="108"/>
      <c r="BQ111" s="108"/>
      <c r="BR111" s="108"/>
      <c r="BS111" s="108"/>
    </row>
    <row r="112" spans="11:71" s="152" customFormat="1" ht="10.199999999999999" customHeight="1" x14ac:dyDescent="0.2">
      <c r="K112" s="412"/>
      <c r="L112" s="415"/>
      <c r="M112" s="421" t="str">
        <f>IFERROR(_xlfn.XLOOKUP(CONCATENATE($K112,M$5,$L$2),BASE_DATOS[Reporte NSK],BASE_DATOS[NSK],,0),"")</f>
        <v/>
      </c>
      <c r="N112" s="422" t="str">
        <f>IFERROR(_xlfn.XLOOKUP(CONCATENATE($K112,N$5,$L$2),BASE_DATOS[Reporte NSK],BASE_DATOS[NSK],,0),"")</f>
        <v/>
      </c>
      <c r="O112" s="422" t="str">
        <f>IFERROR(_xlfn.XLOOKUP(CONCATENATE($K112,O$5,$L$2),BASE_DATOS[Reporte NSK],BASE_DATOS[NSK],,0),"")</f>
        <v/>
      </c>
      <c r="P112" s="422" t="str">
        <f>IFERROR(_xlfn.XLOOKUP(CONCATENATE($K112,P$5,$L$2),BASE_DATOS[Reporte NSK],BASE_DATOS[NSK],,0),"")</f>
        <v/>
      </c>
      <c r="Q112" s="422" t="str">
        <f>IFERROR(_xlfn.XLOOKUP(CONCATENATE($K112,Q$5,$L$2),BASE_DATOS[Reporte NSK],BASE_DATOS[NSK],,0),"")</f>
        <v/>
      </c>
      <c r="R112" s="422" t="str">
        <f>IFERROR(_xlfn.XLOOKUP(CONCATENATE($K112,R$5,$L$2),BASE_DATOS[Reporte NSK],BASE_DATOS[NSK],,0),"")</f>
        <v/>
      </c>
      <c r="S112" s="465" t="str">
        <f>IFERROR(_xlfn.XLOOKUP(CONCATENATE($K112,S$5,$L$2),BASE_DATOS[Reporte NSK],BASE_DATOS[NSK],,0),"")</f>
        <v/>
      </c>
      <c r="T112" s="466" t="str">
        <f>IFERROR(_xlfn.XLOOKUP(CONCATENATE($K112,T$5,$L$2),BASE_DATOS[Reporte NSK],BASE_DATOS[NSK],,0),"")</f>
        <v/>
      </c>
      <c r="U112" s="418" t="str">
        <f t="shared" si="4"/>
        <v/>
      </c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  <c r="BD112" s="108"/>
      <c r="BE112" s="108"/>
      <c r="BF112" s="108"/>
      <c r="BG112" s="108"/>
      <c r="BH112" s="108"/>
      <c r="BI112" s="108"/>
      <c r="BJ112" s="108"/>
      <c r="BK112" s="108"/>
      <c r="BL112" s="108"/>
      <c r="BM112" s="108"/>
      <c r="BN112" s="108"/>
      <c r="BO112" s="108"/>
      <c r="BP112" s="108"/>
      <c r="BQ112" s="108"/>
      <c r="BR112" s="108"/>
      <c r="BS112" s="108"/>
    </row>
    <row r="113" spans="11:71" s="152" customFormat="1" ht="10.199999999999999" customHeight="1" x14ac:dyDescent="0.2">
      <c r="K113" s="412"/>
      <c r="L113" s="415"/>
      <c r="M113" s="421" t="str">
        <f>IFERROR(_xlfn.XLOOKUP(CONCATENATE($K113,M$5,$L$2),BASE_DATOS[Reporte NSK],BASE_DATOS[NSK],,0),"")</f>
        <v/>
      </c>
      <c r="N113" s="422" t="str">
        <f>IFERROR(_xlfn.XLOOKUP(CONCATENATE($K113,N$5,$L$2),BASE_DATOS[Reporte NSK],BASE_DATOS[NSK],,0),"")</f>
        <v/>
      </c>
      <c r="O113" s="422" t="str">
        <f>IFERROR(_xlfn.XLOOKUP(CONCATENATE($K113,O$5,$L$2),BASE_DATOS[Reporte NSK],BASE_DATOS[NSK],,0),"")</f>
        <v/>
      </c>
      <c r="P113" s="422" t="str">
        <f>IFERROR(_xlfn.XLOOKUP(CONCATENATE($K113,P$5,$L$2),BASE_DATOS[Reporte NSK],BASE_DATOS[NSK],,0),"")</f>
        <v/>
      </c>
      <c r="Q113" s="422" t="str">
        <f>IFERROR(_xlfn.XLOOKUP(CONCATENATE($K113,Q$5,$L$2),BASE_DATOS[Reporte NSK],BASE_DATOS[NSK],,0),"")</f>
        <v/>
      </c>
      <c r="R113" s="422" t="str">
        <f>IFERROR(_xlfn.XLOOKUP(CONCATENATE($K113,R$5,$L$2),BASE_DATOS[Reporte NSK],BASE_DATOS[NSK],,0),"")</f>
        <v/>
      </c>
      <c r="S113" s="465" t="str">
        <f>IFERROR(_xlfn.XLOOKUP(CONCATENATE($K113,S$5,$L$2),BASE_DATOS[Reporte NSK],BASE_DATOS[NSK],,0),"")</f>
        <v/>
      </c>
      <c r="T113" s="466" t="str">
        <f>IFERROR(_xlfn.XLOOKUP(CONCATENATE($K113,T$5,$L$2),BASE_DATOS[Reporte NSK],BASE_DATOS[NSK],,0),"")</f>
        <v/>
      </c>
      <c r="U113" s="418" t="str">
        <f t="shared" si="4"/>
        <v/>
      </c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08"/>
      <c r="BH113" s="108"/>
      <c r="BI113" s="108"/>
      <c r="BJ113" s="108"/>
      <c r="BK113" s="108"/>
      <c r="BL113" s="108"/>
      <c r="BM113" s="108"/>
      <c r="BN113" s="108"/>
      <c r="BO113" s="108"/>
      <c r="BP113" s="108"/>
      <c r="BQ113" s="108"/>
      <c r="BR113" s="108"/>
      <c r="BS113" s="108"/>
    </row>
    <row r="114" spans="11:71" s="152" customFormat="1" ht="10.199999999999999" customHeight="1" x14ac:dyDescent="0.2">
      <c r="K114" s="412"/>
      <c r="L114" s="415"/>
      <c r="M114" s="421" t="str">
        <f>IFERROR(_xlfn.XLOOKUP(CONCATENATE($K114,M$5,$L$2),BASE_DATOS[Reporte NSK],BASE_DATOS[NSK],,0),"")</f>
        <v/>
      </c>
      <c r="N114" s="422" t="str">
        <f>IFERROR(_xlfn.XLOOKUP(CONCATENATE($K114,N$5,$L$2),BASE_DATOS[Reporte NSK],BASE_DATOS[NSK],,0),"")</f>
        <v/>
      </c>
      <c r="O114" s="422" t="str">
        <f>IFERROR(_xlfn.XLOOKUP(CONCATENATE($K114,O$5,$L$2),BASE_DATOS[Reporte NSK],BASE_DATOS[NSK],,0),"")</f>
        <v/>
      </c>
      <c r="P114" s="422" t="str">
        <f>IFERROR(_xlfn.XLOOKUP(CONCATENATE($K114,P$5,$L$2),BASE_DATOS[Reporte NSK],BASE_DATOS[NSK],,0),"")</f>
        <v/>
      </c>
      <c r="Q114" s="422" t="str">
        <f>IFERROR(_xlfn.XLOOKUP(CONCATENATE($K114,Q$5,$L$2),BASE_DATOS[Reporte NSK],BASE_DATOS[NSK],,0),"")</f>
        <v/>
      </c>
      <c r="R114" s="422" t="str">
        <f>IFERROR(_xlfn.XLOOKUP(CONCATENATE($K114,R$5,$L$2),BASE_DATOS[Reporte NSK],BASE_DATOS[NSK],,0),"")</f>
        <v/>
      </c>
      <c r="S114" s="465" t="str">
        <f>IFERROR(_xlfn.XLOOKUP(CONCATENATE($K114,S$5,$L$2),BASE_DATOS[Reporte NSK],BASE_DATOS[NSK],,0),"")</f>
        <v/>
      </c>
      <c r="T114" s="466" t="str">
        <f>IFERROR(_xlfn.XLOOKUP(CONCATENATE($K114,T$5,$L$2),BASE_DATOS[Reporte NSK],BASE_DATOS[NSK],,0),"")</f>
        <v/>
      </c>
      <c r="U114" s="418" t="str">
        <f t="shared" si="4"/>
        <v/>
      </c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08"/>
      <c r="BH114" s="108"/>
      <c r="BI114" s="108"/>
      <c r="BJ114" s="108"/>
      <c r="BK114" s="108"/>
      <c r="BL114" s="108"/>
      <c r="BM114" s="108"/>
      <c r="BN114" s="108"/>
      <c r="BO114" s="108"/>
      <c r="BP114" s="108"/>
      <c r="BQ114" s="108"/>
      <c r="BR114" s="108"/>
      <c r="BS114" s="108"/>
    </row>
    <row r="115" spans="11:71" s="152" customFormat="1" ht="10.199999999999999" customHeight="1" x14ac:dyDescent="0.2">
      <c r="K115" s="412"/>
      <c r="L115" s="415"/>
      <c r="M115" s="421" t="str">
        <f>IFERROR(_xlfn.XLOOKUP(CONCATENATE($K115,M$5,$L$2),BASE_DATOS[Reporte NSK],BASE_DATOS[NSK],,0),"")</f>
        <v/>
      </c>
      <c r="N115" s="422" t="str">
        <f>IFERROR(_xlfn.XLOOKUP(CONCATENATE($K115,N$5,$L$2),BASE_DATOS[Reporte NSK],BASE_DATOS[NSK],,0),"")</f>
        <v/>
      </c>
      <c r="O115" s="422" t="str">
        <f>IFERROR(_xlfn.XLOOKUP(CONCATENATE($K115,O$5,$L$2),BASE_DATOS[Reporte NSK],BASE_DATOS[NSK],,0),"")</f>
        <v/>
      </c>
      <c r="P115" s="422" t="str">
        <f>IFERROR(_xlfn.XLOOKUP(CONCATENATE($K115,P$5,$L$2),BASE_DATOS[Reporte NSK],BASE_DATOS[NSK],,0),"")</f>
        <v/>
      </c>
      <c r="Q115" s="422" t="str">
        <f>IFERROR(_xlfn.XLOOKUP(CONCATENATE($K115,Q$5,$L$2),BASE_DATOS[Reporte NSK],BASE_DATOS[NSK],,0),"")</f>
        <v/>
      </c>
      <c r="R115" s="422" t="str">
        <f>IFERROR(_xlfn.XLOOKUP(CONCATENATE($K115,R$5,$L$2),BASE_DATOS[Reporte NSK],BASE_DATOS[NSK],,0),"")</f>
        <v/>
      </c>
      <c r="S115" s="465" t="str">
        <f>IFERROR(_xlfn.XLOOKUP(CONCATENATE($K115,S$5,$L$2),BASE_DATOS[Reporte NSK],BASE_DATOS[NSK],,0),"")</f>
        <v/>
      </c>
      <c r="T115" s="466" t="str">
        <f>IFERROR(_xlfn.XLOOKUP(CONCATENATE($K115,T$5,$L$2),BASE_DATOS[Reporte NSK],BASE_DATOS[NSK],,0),"")</f>
        <v/>
      </c>
      <c r="U115" s="418" t="str">
        <f t="shared" si="4"/>
        <v/>
      </c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08"/>
      <c r="BC115" s="108"/>
      <c r="BD115" s="108"/>
      <c r="BE115" s="108"/>
      <c r="BF115" s="108"/>
      <c r="BG115" s="108"/>
      <c r="BH115" s="108"/>
      <c r="BI115" s="108"/>
      <c r="BJ115" s="108"/>
      <c r="BK115" s="108"/>
      <c r="BL115" s="108"/>
      <c r="BM115" s="108"/>
      <c r="BN115" s="108"/>
      <c r="BO115" s="108"/>
      <c r="BP115" s="108"/>
      <c r="BQ115" s="108"/>
      <c r="BR115" s="108"/>
      <c r="BS115" s="108"/>
    </row>
    <row r="116" spans="11:71" s="152" customFormat="1" ht="10.199999999999999" customHeight="1" x14ac:dyDescent="0.2">
      <c r="K116" s="412"/>
      <c r="L116" s="415"/>
      <c r="M116" s="421" t="str">
        <f>IFERROR(_xlfn.XLOOKUP(CONCATENATE($K116,M$5,$L$2),BASE_DATOS[Reporte NSK],BASE_DATOS[NSK],,0),"")</f>
        <v/>
      </c>
      <c r="N116" s="422" t="str">
        <f>IFERROR(_xlfn.XLOOKUP(CONCATENATE($K116,N$5,$L$2),BASE_DATOS[Reporte NSK],BASE_DATOS[NSK],,0),"")</f>
        <v/>
      </c>
      <c r="O116" s="422" t="str">
        <f>IFERROR(_xlfn.XLOOKUP(CONCATENATE($K116,O$5,$L$2),BASE_DATOS[Reporte NSK],BASE_DATOS[NSK],,0),"")</f>
        <v/>
      </c>
      <c r="P116" s="422" t="str">
        <f>IFERROR(_xlfn.XLOOKUP(CONCATENATE($K116,P$5,$L$2),BASE_DATOS[Reporte NSK],BASE_DATOS[NSK],,0),"")</f>
        <v/>
      </c>
      <c r="Q116" s="422" t="str">
        <f>IFERROR(_xlfn.XLOOKUP(CONCATENATE($K116,Q$5,$L$2),BASE_DATOS[Reporte NSK],BASE_DATOS[NSK],,0),"")</f>
        <v/>
      </c>
      <c r="R116" s="422" t="str">
        <f>IFERROR(_xlfn.XLOOKUP(CONCATENATE($K116,R$5,$L$2),BASE_DATOS[Reporte NSK],BASE_DATOS[NSK],,0),"")</f>
        <v/>
      </c>
      <c r="S116" s="465" t="str">
        <f>IFERROR(_xlfn.XLOOKUP(CONCATENATE($K116,S$5,$L$2),BASE_DATOS[Reporte NSK],BASE_DATOS[NSK],,0),"")</f>
        <v/>
      </c>
      <c r="T116" s="466" t="str">
        <f>IFERROR(_xlfn.XLOOKUP(CONCATENATE($K116,T$5,$L$2),BASE_DATOS[Reporte NSK],BASE_DATOS[NSK],,0),"")</f>
        <v/>
      </c>
      <c r="U116" s="418" t="str">
        <f t="shared" si="4"/>
        <v/>
      </c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  <c r="BA116" s="108"/>
      <c r="BB116" s="108"/>
      <c r="BC116" s="108"/>
      <c r="BD116" s="108"/>
      <c r="BE116" s="108"/>
      <c r="BF116" s="108"/>
      <c r="BG116" s="108"/>
      <c r="BH116" s="108"/>
      <c r="BI116" s="108"/>
      <c r="BJ116" s="108"/>
      <c r="BK116" s="108"/>
      <c r="BL116" s="108"/>
      <c r="BM116" s="108"/>
      <c r="BN116" s="108"/>
      <c r="BO116" s="108"/>
      <c r="BP116" s="108"/>
      <c r="BQ116" s="108"/>
      <c r="BR116" s="108"/>
      <c r="BS116" s="108"/>
    </row>
    <row r="117" spans="11:71" s="152" customFormat="1" ht="10.199999999999999" customHeight="1" x14ac:dyDescent="0.2">
      <c r="K117" s="412"/>
      <c r="L117" s="415"/>
      <c r="M117" s="421" t="str">
        <f>IFERROR(_xlfn.XLOOKUP(CONCATENATE($K117,M$5,$L$2),BASE_DATOS[Reporte NSK],BASE_DATOS[NSK],,0),"")</f>
        <v/>
      </c>
      <c r="N117" s="422" t="str">
        <f>IFERROR(_xlfn.XLOOKUP(CONCATENATE($K117,N$5,$L$2),BASE_DATOS[Reporte NSK],BASE_DATOS[NSK],,0),"")</f>
        <v/>
      </c>
      <c r="O117" s="422" t="str">
        <f>IFERROR(_xlfn.XLOOKUP(CONCATENATE($K117,O$5,$L$2),BASE_DATOS[Reporte NSK],BASE_DATOS[NSK],,0),"")</f>
        <v/>
      </c>
      <c r="P117" s="422" t="str">
        <f>IFERROR(_xlfn.XLOOKUP(CONCATENATE($K117,P$5,$L$2),BASE_DATOS[Reporte NSK],BASE_DATOS[NSK],,0),"")</f>
        <v/>
      </c>
      <c r="Q117" s="422" t="str">
        <f>IFERROR(_xlfn.XLOOKUP(CONCATENATE($K117,Q$5,$L$2),BASE_DATOS[Reporte NSK],BASE_DATOS[NSK],,0),"")</f>
        <v/>
      </c>
      <c r="R117" s="422" t="str">
        <f>IFERROR(_xlfn.XLOOKUP(CONCATENATE($K117,R$5,$L$2),BASE_DATOS[Reporte NSK],BASE_DATOS[NSK],,0),"")</f>
        <v/>
      </c>
      <c r="S117" s="465" t="str">
        <f>IFERROR(_xlfn.XLOOKUP(CONCATENATE($K117,S$5,$L$2),BASE_DATOS[Reporte NSK],BASE_DATOS[NSK],,0),"")</f>
        <v/>
      </c>
      <c r="T117" s="466" t="str">
        <f>IFERROR(_xlfn.XLOOKUP(CONCATENATE($K117,T$5,$L$2),BASE_DATOS[Reporte NSK],BASE_DATOS[NSK],,0),"")</f>
        <v/>
      </c>
      <c r="U117" s="418" t="str">
        <f t="shared" si="4"/>
        <v/>
      </c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8"/>
      <c r="BJ117" s="108"/>
      <c r="BK117" s="108"/>
      <c r="BL117" s="108"/>
      <c r="BM117" s="108"/>
      <c r="BN117" s="108"/>
      <c r="BO117" s="108"/>
      <c r="BP117" s="108"/>
      <c r="BQ117" s="108"/>
      <c r="BR117" s="108"/>
      <c r="BS117" s="108"/>
    </row>
    <row r="118" spans="11:71" s="152" customFormat="1" ht="10.199999999999999" customHeight="1" x14ac:dyDescent="0.2">
      <c r="K118" s="412"/>
      <c r="L118" s="415"/>
      <c r="M118" s="421" t="str">
        <f>IFERROR(_xlfn.XLOOKUP(CONCATENATE($K118,M$5,$L$2),BASE_DATOS[Reporte NSK],BASE_DATOS[NSK],,0),"")</f>
        <v/>
      </c>
      <c r="N118" s="422" t="str">
        <f>IFERROR(_xlfn.XLOOKUP(CONCATENATE($K118,N$5,$L$2),BASE_DATOS[Reporte NSK],BASE_DATOS[NSK],,0),"")</f>
        <v/>
      </c>
      <c r="O118" s="422" t="str">
        <f>IFERROR(_xlfn.XLOOKUP(CONCATENATE($K118,O$5,$L$2),BASE_DATOS[Reporte NSK],BASE_DATOS[NSK],,0),"")</f>
        <v/>
      </c>
      <c r="P118" s="422" t="str">
        <f>IFERROR(_xlfn.XLOOKUP(CONCATENATE($K118,P$5,$L$2),BASE_DATOS[Reporte NSK],BASE_DATOS[NSK],,0),"")</f>
        <v/>
      </c>
      <c r="Q118" s="422" t="str">
        <f>IFERROR(_xlfn.XLOOKUP(CONCATENATE($K118,Q$5,$L$2),BASE_DATOS[Reporte NSK],BASE_DATOS[NSK],,0),"")</f>
        <v/>
      </c>
      <c r="R118" s="422" t="str">
        <f>IFERROR(_xlfn.XLOOKUP(CONCATENATE($K118,R$5,$L$2),BASE_DATOS[Reporte NSK],BASE_DATOS[NSK],,0),"")</f>
        <v/>
      </c>
      <c r="S118" s="465" t="str">
        <f>IFERROR(_xlfn.XLOOKUP(CONCATENATE($K118,S$5,$L$2),BASE_DATOS[Reporte NSK],BASE_DATOS[NSK],,0),"")</f>
        <v/>
      </c>
      <c r="T118" s="466" t="str">
        <f>IFERROR(_xlfn.XLOOKUP(CONCATENATE($K118,T$5,$L$2),BASE_DATOS[Reporte NSK],BASE_DATOS[NSK],,0),"")</f>
        <v/>
      </c>
      <c r="U118" s="418" t="str">
        <f t="shared" si="4"/>
        <v/>
      </c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  <c r="BA118" s="108"/>
      <c r="BB118" s="108"/>
      <c r="BC118" s="108"/>
      <c r="BD118" s="108"/>
      <c r="BE118" s="108"/>
      <c r="BF118" s="108"/>
      <c r="BG118" s="108"/>
      <c r="BH118" s="108"/>
      <c r="BI118" s="108"/>
      <c r="BJ118" s="108"/>
      <c r="BK118" s="108"/>
      <c r="BL118" s="108"/>
      <c r="BM118" s="108"/>
      <c r="BN118" s="108"/>
      <c r="BO118" s="108"/>
      <c r="BP118" s="108"/>
      <c r="BQ118" s="108"/>
      <c r="BR118" s="108"/>
      <c r="BS118" s="108"/>
    </row>
    <row r="119" spans="11:71" s="152" customFormat="1" ht="10.199999999999999" customHeight="1" x14ac:dyDescent="0.2">
      <c r="K119" s="412"/>
      <c r="L119" s="415"/>
      <c r="M119" s="421" t="str">
        <f>IFERROR(_xlfn.XLOOKUP(CONCATENATE($K119,M$5,$L$2),BASE_DATOS[Reporte NSK],BASE_DATOS[NSK],,0),"")</f>
        <v/>
      </c>
      <c r="N119" s="422" t="str">
        <f>IFERROR(_xlfn.XLOOKUP(CONCATENATE($K119,N$5,$L$2),BASE_DATOS[Reporte NSK],BASE_DATOS[NSK],,0),"")</f>
        <v/>
      </c>
      <c r="O119" s="422" t="str">
        <f>IFERROR(_xlfn.XLOOKUP(CONCATENATE($K119,O$5,$L$2),BASE_DATOS[Reporte NSK],BASE_DATOS[NSK],,0),"")</f>
        <v/>
      </c>
      <c r="P119" s="422" t="str">
        <f>IFERROR(_xlfn.XLOOKUP(CONCATENATE($K119,P$5,$L$2),BASE_DATOS[Reporte NSK],BASE_DATOS[NSK],,0),"")</f>
        <v/>
      </c>
      <c r="Q119" s="422" t="str">
        <f>IFERROR(_xlfn.XLOOKUP(CONCATENATE($K119,Q$5,$L$2),BASE_DATOS[Reporte NSK],BASE_DATOS[NSK],,0),"")</f>
        <v/>
      </c>
      <c r="R119" s="422" t="str">
        <f>IFERROR(_xlfn.XLOOKUP(CONCATENATE($K119,R$5,$L$2),BASE_DATOS[Reporte NSK],BASE_DATOS[NSK],,0),"")</f>
        <v/>
      </c>
      <c r="S119" s="465" t="str">
        <f>IFERROR(_xlfn.XLOOKUP(CONCATENATE($K119,S$5,$L$2),BASE_DATOS[Reporte NSK],BASE_DATOS[NSK],,0),"")</f>
        <v/>
      </c>
      <c r="T119" s="466" t="str">
        <f>IFERROR(_xlfn.XLOOKUP(CONCATENATE($K119,T$5,$L$2),BASE_DATOS[Reporte NSK],BASE_DATOS[NSK],,0),"")</f>
        <v/>
      </c>
      <c r="U119" s="418" t="str">
        <f t="shared" si="4"/>
        <v/>
      </c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  <c r="BD119" s="108"/>
      <c r="BE119" s="108"/>
      <c r="BF119" s="108"/>
      <c r="BG119" s="108"/>
      <c r="BH119" s="108"/>
      <c r="BI119" s="108"/>
      <c r="BJ119" s="108"/>
      <c r="BK119" s="108"/>
      <c r="BL119" s="108"/>
      <c r="BM119" s="108"/>
      <c r="BN119" s="108"/>
      <c r="BO119" s="108"/>
      <c r="BP119" s="108"/>
      <c r="BQ119" s="108"/>
      <c r="BR119" s="108"/>
      <c r="BS119" s="108"/>
    </row>
    <row r="120" spans="11:71" s="152" customFormat="1" ht="10.199999999999999" customHeight="1" x14ac:dyDescent="0.2">
      <c r="K120" s="412"/>
      <c r="L120" s="415"/>
      <c r="M120" s="421" t="str">
        <f>IFERROR(_xlfn.XLOOKUP(CONCATENATE($K120,M$5,$L$2),BASE_DATOS[Reporte NSK],BASE_DATOS[NSK],,0),"")</f>
        <v/>
      </c>
      <c r="N120" s="422" t="str">
        <f>IFERROR(_xlfn.XLOOKUP(CONCATENATE($K120,N$5,$L$2),BASE_DATOS[Reporte NSK],BASE_DATOS[NSK],,0),"")</f>
        <v/>
      </c>
      <c r="O120" s="422" t="str">
        <f>IFERROR(_xlfn.XLOOKUP(CONCATENATE($K120,O$5,$L$2),BASE_DATOS[Reporte NSK],BASE_DATOS[NSK],,0),"")</f>
        <v/>
      </c>
      <c r="P120" s="422" t="str">
        <f>IFERROR(_xlfn.XLOOKUP(CONCATENATE($K120,P$5,$L$2),BASE_DATOS[Reporte NSK],BASE_DATOS[NSK],,0),"")</f>
        <v/>
      </c>
      <c r="Q120" s="422" t="str">
        <f>IFERROR(_xlfn.XLOOKUP(CONCATENATE($K120,Q$5,$L$2),BASE_DATOS[Reporte NSK],BASE_DATOS[NSK],,0),"")</f>
        <v/>
      </c>
      <c r="R120" s="422" t="str">
        <f>IFERROR(_xlfn.XLOOKUP(CONCATENATE($K120,R$5,$L$2),BASE_DATOS[Reporte NSK],BASE_DATOS[NSK],,0),"")</f>
        <v/>
      </c>
      <c r="S120" s="465" t="str">
        <f>IFERROR(_xlfn.XLOOKUP(CONCATENATE($K120,S$5,$L$2),BASE_DATOS[Reporte NSK],BASE_DATOS[NSK],,0),"")</f>
        <v/>
      </c>
      <c r="T120" s="466" t="str">
        <f>IFERROR(_xlfn.XLOOKUP(CONCATENATE($K120,T$5,$L$2),BASE_DATOS[Reporte NSK],BASE_DATOS[NSK],,0),"")</f>
        <v/>
      </c>
      <c r="U120" s="418" t="str">
        <f t="shared" si="4"/>
        <v/>
      </c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  <c r="BA120" s="108"/>
      <c r="BB120" s="108"/>
      <c r="BC120" s="108"/>
      <c r="BD120" s="108"/>
      <c r="BE120" s="108"/>
      <c r="BF120" s="108"/>
      <c r="BG120" s="108"/>
      <c r="BH120" s="108"/>
      <c r="BI120" s="108"/>
      <c r="BJ120" s="108"/>
      <c r="BK120" s="108"/>
      <c r="BL120" s="108"/>
      <c r="BM120" s="108"/>
      <c r="BN120" s="108"/>
      <c r="BO120" s="108"/>
      <c r="BP120" s="108"/>
      <c r="BQ120" s="108"/>
      <c r="BR120" s="108"/>
      <c r="BS120" s="108"/>
    </row>
    <row r="121" spans="11:71" s="152" customFormat="1" ht="10.199999999999999" customHeight="1" x14ac:dyDescent="0.2">
      <c r="K121" s="412"/>
      <c r="L121" s="415"/>
      <c r="M121" s="421" t="str">
        <f>IFERROR(_xlfn.XLOOKUP(CONCATENATE($K121,M$5,$L$2),BASE_DATOS[Reporte NSK],BASE_DATOS[NSK],,0),"")</f>
        <v/>
      </c>
      <c r="N121" s="422" t="str">
        <f>IFERROR(_xlfn.XLOOKUP(CONCATENATE($K121,N$5,$L$2),BASE_DATOS[Reporte NSK],BASE_DATOS[NSK],,0),"")</f>
        <v/>
      </c>
      <c r="O121" s="422" t="str">
        <f>IFERROR(_xlfn.XLOOKUP(CONCATENATE($K121,O$5,$L$2),BASE_DATOS[Reporte NSK],BASE_DATOS[NSK],,0),"")</f>
        <v/>
      </c>
      <c r="P121" s="422" t="str">
        <f>IFERROR(_xlfn.XLOOKUP(CONCATENATE($K121,P$5,$L$2),BASE_DATOS[Reporte NSK],BASE_DATOS[NSK],,0),"")</f>
        <v/>
      </c>
      <c r="Q121" s="422" t="str">
        <f>IFERROR(_xlfn.XLOOKUP(CONCATENATE($K121,Q$5,$L$2),BASE_DATOS[Reporte NSK],BASE_DATOS[NSK],,0),"")</f>
        <v/>
      </c>
      <c r="R121" s="422" t="str">
        <f>IFERROR(_xlfn.XLOOKUP(CONCATENATE($K121,R$5,$L$2),BASE_DATOS[Reporte NSK],BASE_DATOS[NSK],,0),"")</f>
        <v/>
      </c>
      <c r="S121" s="465" t="str">
        <f>IFERROR(_xlfn.XLOOKUP(CONCATENATE($K121,S$5,$L$2),BASE_DATOS[Reporte NSK],BASE_DATOS[NSK],,0),"")</f>
        <v/>
      </c>
      <c r="T121" s="466" t="str">
        <f>IFERROR(_xlfn.XLOOKUP(CONCATENATE($K121,T$5,$L$2),BASE_DATOS[Reporte NSK],BASE_DATOS[NSK],,0),"")</f>
        <v/>
      </c>
      <c r="U121" s="418" t="str">
        <f t="shared" si="4"/>
        <v/>
      </c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08"/>
      <c r="BC121" s="108"/>
      <c r="BD121" s="108"/>
      <c r="BE121" s="108"/>
      <c r="BF121" s="108"/>
      <c r="BG121" s="108"/>
      <c r="BH121" s="108"/>
      <c r="BI121" s="108"/>
      <c r="BJ121" s="108"/>
      <c r="BK121" s="108"/>
      <c r="BL121" s="108"/>
      <c r="BM121" s="108"/>
      <c r="BN121" s="108"/>
      <c r="BO121" s="108"/>
      <c r="BP121" s="108"/>
      <c r="BQ121" s="108"/>
      <c r="BR121" s="108"/>
      <c r="BS121" s="108"/>
    </row>
    <row r="122" spans="11:71" s="152" customFormat="1" ht="10.199999999999999" customHeight="1" x14ac:dyDescent="0.2">
      <c r="K122" s="412"/>
      <c r="L122" s="415"/>
      <c r="M122" s="421" t="str">
        <f>IFERROR(_xlfn.XLOOKUP(CONCATENATE($K122,M$5,$L$2),BASE_DATOS[Reporte NSK],BASE_DATOS[NSK],,0),"")</f>
        <v/>
      </c>
      <c r="N122" s="422" t="str">
        <f>IFERROR(_xlfn.XLOOKUP(CONCATENATE($K122,N$5,$L$2),BASE_DATOS[Reporte NSK],BASE_DATOS[NSK],,0),"")</f>
        <v/>
      </c>
      <c r="O122" s="422" t="str">
        <f>IFERROR(_xlfn.XLOOKUP(CONCATENATE($K122,O$5,$L$2),BASE_DATOS[Reporte NSK],BASE_DATOS[NSK],,0),"")</f>
        <v/>
      </c>
      <c r="P122" s="422" t="str">
        <f>IFERROR(_xlfn.XLOOKUP(CONCATENATE($K122,P$5,$L$2),BASE_DATOS[Reporte NSK],BASE_DATOS[NSK],,0),"")</f>
        <v/>
      </c>
      <c r="Q122" s="422" t="str">
        <f>IFERROR(_xlfn.XLOOKUP(CONCATENATE($K122,Q$5,$L$2),BASE_DATOS[Reporte NSK],BASE_DATOS[NSK],,0),"")</f>
        <v/>
      </c>
      <c r="R122" s="422" t="str">
        <f>IFERROR(_xlfn.XLOOKUP(CONCATENATE($K122,R$5,$L$2),BASE_DATOS[Reporte NSK],BASE_DATOS[NSK],,0),"")</f>
        <v/>
      </c>
      <c r="S122" s="465" t="str">
        <f>IFERROR(_xlfn.XLOOKUP(CONCATENATE($K122,S$5,$L$2),BASE_DATOS[Reporte NSK],BASE_DATOS[NSK],,0),"")</f>
        <v/>
      </c>
      <c r="T122" s="466" t="str">
        <f>IFERROR(_xlfn.XLOOKUP(CONCATENATE($K122,T$5,$L$2),BASE_DATOS[Reporte NSK],BASE_DATOS[NSK],,0),"")</f>
        <v/>
      </c>
      <c r="U122" s="418" t="str">
        <f t="shared" si="4"/>
        <v/>
      </c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08"/>
      <c r="BH122" s="108"/>
      <c r="BI122" s="108"/>
      <c r="BJ122" s="108"/>
      <c r="BK122" s="108"/>
      <c r="BL122" s="108"/>
      <c r="BM122" s="108"/>
      <c r="BN122" s="108"/>
      <c r="BO122" s="108"/>
      <c r="BP122" s="108"/>
      <c r="BQ122" s="108"/>
      <c r="BR122" s="108"/>
      <c r="BS122" s="108"/>
    </row>
    <row r="123" spans="11:71" s="152" customFormat="1" ht="10.199999999999999" customHeight="1" x14ac:dyDescent="0.2">
      <c r="K123" s="412"/>
      <c r="L123" s="415"/>
      <c r="M123" s="421" t="str">
        <f>IFERROR(_xlfn.XLOOKUP(CONCATENATE($K123,M$5,$L$2),BASE_DATOS[Reporte NSK],BASE_DATOS[NSK],,0),"")</f>
        <v/>
      </c>
      <c r="N123" s="422" t="str">
        <f>IFERROR(_xlfn.XLOOKUP(CONCATENATE($K123,N$5,$L$2),BASE_DATOS[Reporte NSK],BASE_DATOS[NSK],,0),"")</f>
        <v/>
      </c>
      <c r="O123" s="422" t="str">
        <f>IFERROR(_xlfn.XLOOKUP(CONCATENATE($K123,O$5,$L$2),BASE_DATOS[Reporte NSK],BASE_DATOS[NSK],,0),"")</f>
        <v/>
      </c>
      <c r="P123" s="422" t="str">
        <f>IFERROR(_xlfn.XLOOKUP(CONCATENATE($K123,P$5,$L$2),BASE_DATOS[Reporte NSK],BASE_DATOS[NSK],,0),"")</f>
        <v/>
      </c>
      <c r="Q123" s="422" t="str">
        <f>IFERROR(_xlfn.XLOOKUP(CONCATENATE($K123,Q$5,$L$2),BASE_DATOS[Reporte NSK],BASE_DATOS[NSK],,0),"")</f>
        <v/>
      </c>
      <c r="R123" s="422" t="str">
        <f>IFERROR(_xlfn.XLOOKUP(CONCATENATE($K123,R$5,$L$2),BASE_DATOS[Reporte NSK],BASE_DATOS[NSK],,0),"")</f>
        <v/>
      </c>
      <c r="S123" s="465" t="str">
        <f>IFERROR(_xlfn.XLOOKUP(CONCATENATE($K123,S$5,$L$2),BASE_DATOS[Reporte NSK],BASE_DATOS[NSK],,0),"")</f>
        <v/>
      </c>
      <c r="T123" s="466" t="str">
        <f>IFERROR(_xlfn.XLOOKUP(CONCATENATE($K123,T$5,$L$2),BASE_DATOS[Reporte NSK],BASE_DATOS[NSK],,0),"")</f>
        <v/>
      </c>
      <c r="U123" s="418" t="str">
        <f t="shared" si="4"/>
        <v/>
      </c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8"/>
      <c r="BI123" s="108"/>
      <c r="BJ123" s="108"/>
      <c r="BK123" s="108"/>
      <c r="BL123" s="108"/>
      <c r="BM123" s="108"/>
      <c r="BN123" s="108"/>
      <c r="BO123" s="108"/>
      <c r="BP123" s="108"/>
      <c r="BQ123" s="108"/>
      <c r="BR123" s="108"/>
      <c r="BS123" s="108"/>
    </row>
    <row r="124" spans="11:71" s="152" customFormat="1" ht="10.199999999999999" customHeight="1" x14ac:dyDescent="0.2">
      <c r="K124" s="412"/>
      <c r="L124" s="415"/>
      <c r="M124" s="421" t="str">
        <f>IFERROR(_xlfn.XLOOKUP(CONCATENATE($K124,M$5,$L$2),BASE_DATOS[Reporte NSK],BASE_DATOS[NSK],,0),"")</f>
        <v/>
      </c>
      <c r="N124" s="422" t="str">
        <f>IFERROR(_xlfn.XLOOKUP(CONCATENATE($K124,N$5,$L$2),BASE_DATOS[Reporte NSK],BASE_DATOS[NSK],,0),"")</f>
        <v/>
      </c>
      <c r="O124" s="422" t="str">
        <f>IFERROR(_xlfn.XLOOKUP(CONCATENATE($K124,O$5,$L$2),BASE_DATOS[Reporte NSK],BASE_DATOS[NSK],,0),"")</f>
        <v/>
      </c>
      <c r="P124" s="422" t="str">
        <f>IFERROR(_xlfn.XLOOKUP(CONCATENATE($K124,P$5,$L$2),BASE_DATOS[Reporte NSK],BASE_DATOS[NSK],,0),"")</f>
        <v/>
      </c>
      <c r="Q124" s="422" t="str">
        <f>IFERROR(_xlfn.XLOOKUP(CONCATENATE($K124,Q$5,$L$2),BASE_DATOS[Reporte NSK],BASE_DATOS[NSK],,0),"")</f>
        <v/>
      </c>
      <c r="R124" s="422" t="str">
        <f>IFERROR(_xlfn.XLOOKUP(CONCATENATE($K124,R$5,$L$2),BASE_DATOS[Reporte NSK],BASE_DATOS[NSK],,0),"")</f>
        <v/>
      </c>
      <c r="S124" s="465" t="str">
        <f>IFERROR(_xlfn.XLOOKUP(CONCATENATE($K124,S$5,$L$2),BASE_DATOS[Reporte NSK],BASE_DATOS[NSK],,0),"")</f>
        <v/>
      </c>
      <c r="T124" s="466" t="str">
        <f>IFERROR(_xlfn.XLOOKUP(CONCATENATE($K124,T$5,$L$2),BASE_DATOS[Reporte NSK],BASE_DATOS[NSK],,0),"")</f>
        <v/>
      </c>
      <c r="U124" s="418" t="str">
        <f t="shared" si="4"/>
        <v/>
      </c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/>
      <c r="BB124" s="108"/>
      <c r="BC124" s="108"/>
      <c r="BD124" s="108"/>
      <c r="BE124" s="108"/>
      <c r="BF124" s="108"/>
      <c r="BG124" s="108"/>
      <c r="BH124" s="108"/>
      <c r="BI124" s="108"/>
      <c r="BJ124" s="108"/>
      <c r="BK124" s="108"/>
      <c r="BL124" s="108"/>
      <c r="BM124" s="108"/>
      <c r="BN124" s="108"/>
      <c r="BO124" s="108"/>
      <c r="BP124" s="108"/>
      <c r="BQ124" s="108"/>
      <c r="BR124" s="108"/>
      <c r="BS124" s="108"/>
    </row>
    <row r="125" spans="11:71" ht="10.199999999999999" customHeight="1" x14ac:dyDescent="0.2">
      <c r="K125" s="412"/>
      <c r="L125" s="415"/>
      <c r="M125" s="421" t="str">
        <f>IFERROR(_xlfn.XLOOKUP(CONCATENATE($K125,M$5,$L$2),BASE_DATOS[Reporte NSK],BASE_DATOS[NSK],,0),"")</f>
        <v/>
      </c>
      <c r="N125" s="422" t="str">
        <f>IFERROR(_xlfn.XLOOKUP(CONCATENATE($K125,N$5,$L$2),BASE_DATOS[Reporte NSK],BASE_DATOS[NSK],,0),"")</f>
        <v/>
      </c>
      <c r="O125" s="422" t="str">
        <f>IFERROR(_xlfn.XLOOKUP(CONCATENATE($K125,O$5,$L$2),BASE_DATOS[Reporte NSK],BASE_DATOS[NSK],,0),"")</f>
        <v/>
      </c>
      <c r="P125" s="422" t="str">
        <f>IFERROR(_xlfn.XLOOKUP(CONCATENATE($K125,P$5,$L$2),BASE_DATOS[Reporte NSK],BASE_DATOS[NSK],,0),"")</f>
        <v/>
      </c>
      <c r="Q125" s="422" t="str">
        <f>IFERROR(_xlfn.XLOOKUP(CONCATENATE($K125,Q$5,$L$2),BASE_DATOS[Reporte NSK],BASE_DATOS[NSK],,0),"")</f>
        <v/>
      </c>
      <c r="R125" s="422" t="str">
        <f>IFERROR(_xlfn.XLOOKUP(CONCATENATE($K125,R$5,$L$2),BASE_DATOS[Reporte NSK],BASE_DATOS[NSK],,0),"")</f>
        <v/>
      </c>
      <c r="S125" s="465" t="str">
        <f>IFERROR(_xlfn.XLOOKUP(CONCATENATE($K125,S$5,$L$2),BASE_DATOS[Reporte NSK],BASE_DATOS[NSK],,0),"")</f>
        <v/>
      </c>
      <c r="T125" s="466" t="str">
        <f>IFERROR(_xlfn.XLOOKUP(CONCATENATE($K125,T$5,$L$2),BASE_DATOS[Reporte NSK],BASE_DATOS[NSK],,0),"")</f>
        <v/>
      </c>
      <c r="U125" s="418" t="str">
        <f t="shared" si="4"/>
        <v/>
      </c>
    </row>
    <row r="126" spans="11:71" ht="10.199999999999999" customHeight="1" x14ac:dyDescent="0.2">
      <c r="K126" s="412"/>
      <c r="L126" s="415"/>
      <c r="M126" s="421" t="str">
        <f>IFERROR(_xlfn.XLOOKUP(CONCATENATE($K126,M$5,$L$2),BASE_DATOS[Reporte NSK],BASE_DATOS[NSK],,0),"")</f>
        <v/>
      </c>
      <c r="N126" s="422" t="str">
        <f>IFERROR(_xlfn.XLOOKUP(CONCATENATE($K126,N$5,$L$2),BASE_DATOS[Reporte NSK],BASE_DATOS[NSK],,0),"")</f>
        <v/>
      </c>
      <c r="O126" s="422" t="str">
        <f>IFERROR(_xlfn.XLOOKUP(CONCATENATE($K126,O$5,$L$2),BASE_DATOS[Reporte NSK],BASE_DATOS[NSK],,0),"")</f>
        <v/>
      </c>
      <c r="P126" s="422" t="str">
        <f>IFERROR(_xlfn.XLOOKUP(CONCATENATE($K126,P$5,$L$2),BASE_DATOS[Reporte NSK],BASE_DATOS[NSK],,0),"")</f>
        <v/>
      </c>
      <c r="Q126" s="422" t="str">
        <f>IFERROR(_xlfn.XLOOKUP(CONCATENATE($K126,Q$5,$L$2),BASE_DATOS[Reporte NSK],BASE_DATOS[NSK],,0),"")</f>
        <v/>
      </c>
      <c r="R126" s="422" t="str">
        <f>IFERROR(_xlfn.XLOOKUP(CONCATENATE($K126,R$5,$L$2),BASE_DATOS[Reporte NSK],BASE_DATOS[NSK],,0),"")</f>
        <v/>
      </c>
      <c r="S126" s="465" t="str">
        <f>IFERROR(_xlfn.XLOOKUP(CONCATENATE($K126,S$5,$L$2),BASE_DATOS[Reporte NSK],BASE_DATOS[NSK],,0),"")</f>
        <v/>
      </c>
      <c r="T126" s="466" t="str">
        <f>IFERROR(_xlfn.XLOOKUP(CONCATENATE($K126,T$5,$L$2),BASE_DATOS[Reporte NSK],BASE_DATOS[NSK],,0),"")</f>
        <v/>
      </c>
      <c r="U126" s="418" t="str">
        <f t="shared" si="4"/>
        <v/>
      </c>
    </row>
    <row r="127" spans="11:71" ht="10.199999999999999" customHeight="1" x14ac:dyDescent="0.2">
      <c r="K127" s="412"/>
      <c r="L127" s="415"/>
      <c r="M127" s="421" t="str">
        <f>IFERROR(_xlfn.XLOOKUP(CONCATENATE($K127,M$5,$L$2),BASE_DATOS[Reporte NSK],BASE_DATOS[NSK],,0),"")</f>
        <v/>
      </c>
      <c r="N127" s="422" t="str">
        <f>IFERROR(_xlfn.XLOOKUP(CONCATENATE($K127,N$5,$L$2),BASE_DATOS[Reporte NSK],BASE_DATOS[NSK],,0),"")</f>
        <v/>
      </c>
      <c r="O127" s="422" t="str">
        <f>IFERROR(_xlfn.XLOOKUP(CONCATENATE($K127,O$5,$L$2),BASE_DATOS[Reporte NSK],BASE_DATOS[NSK],,0),"")</f>
        <v/>
      </c>
      <c r="P127" s="422" t="str">
        <f>IFERROR(_xlfn.XLOOKUP(CONCATENATE($K127,P$5,$L$2),BASE_DATOS[Reporte NSK],BASE_DATOS[NSK],,0),"")</f>
        <v/>
      </c>
      <c r="Q127" s="422" t="str">
        <f>IFERROR(_xlfn.XLOOKUP(CONCATENATE($K127,Q$5,$L$2),BASE_DATOS[Reporte NSK],BASE_DATOS[NSK],,0),"")</f>
        <v/>
      </c>
      <c r="R127" s="422" t="str">
        <f>IFERROR(_xlfn.XLOOKUP(CONCATENATE($K127,R$5,$L$2),BASE_DATOS[Reporte NSK],BASE_DATOS[NSK],,0),"")</f>
        <v/>
      </c>
      <c r="S127" s="465" t="str">
        <f>IFERROR(_xlfn.XLOOKUP(CONCATENATE($K127,S$5,$L$2),BASE_DATOS[Reporte NSK],BASE_DATOS[NSK],,0),"")</f>
        <v/>
      </c>
      <c r="T127" s="466" t="str">
        <f>IFERROR(_xlfn.XLOOKUP(CONCATENATE($K127,T$5,$L$2),BASE_DATOS[Reporte NSK],BASE_DATOS[NSK],,0),"")</f>
        <v/>
      </c>
      <c r="U127" s="418" t="str">
        <f t="shared" si="4"/>
        <v/>
      </c>
    </row>
    <row r="128" spans="11:71" ht="10.199999999999999" customHeight="1" x14ac:dyDescent="0.2">
      <c r="K128" s="412"/>
      <c r="L128" s="415"/>
      <c r="M128" s="421" t="str">
        <f>IFERROR(_xlfn.XLOOKUP(CONCATENATE($K128,M$5,$L$2),BASE_DATOS[Reporte NSK],BASE_DATOS[NSK],,0),"")</f>
        <v/>
      </c>
      <c r="N128" s="422" t="str">
        <f>IFERROR(_xlfn.XLOOKUP(CONCATENATE($K128,N$5,$L$2),BASE_DATOS[Reporte NSK],BASE_DATOS[NSK],,0),"")</f>
        <v/>
      </c>
      <c r="O128" s="422" t="str">
        <f>IFERROR(_xlfn.XLOOKUP(CONCATENATE($K128,O$5,$L$2),BASE_DATOS[Reporte NSK],BASE_DATOS[NSK],,0),"")</f>
        <v/>
      </c>
      <c r="P128" s="422" t="str">
        <f>IFERROR(_xlfn.XLOOKUP(CONCATENATE($K128,P$5,$L$2),BASE_DATOS[Reporte NSK],BASE_DATOS[NSK],,0),"")</f>
        <v/>
      </c>
      <c r="Q128" s="422" t="str">
        <f>IFERROR(_xlfn.XLOOKUP(CONCATENATE($K128,Q$5,$L$2),BASE_DATOS[Reporte NSK],BASE_DATOS[NSK],,0),"")</f>
        <v/>
      </c>
      <c r="R128" s="422" t="str">
        <f>IFERROR(_xlfn.XLOOKUP(CONCATENATE($K128,R$5,$L$2),BASE_DATOS[Reporte NSK],BASE_DATOS[NSK],,0),"")</f>
        <v/>
      </c>
      <c r="S128" s="465" t="str">
        <f>IFERROR(_xlfn.XLOOKUP(CONCATENATE($K128,S$5,$L$2),BASE_DATOS[Reporte NSK],BASE_DATOS[NSK],,0),"")</f>
        <v/>
      </c>
      <c r="T128" s="466" t="str">
        <f>IFERROR(_xlfn.XLOOKUP(CONCATENATE($K128,T$5,$L$2),BASE_DATOS[Reporte NSK],BASE_DATOS[NSK],,0),"")</f>
        <v/>
      </c>
      <c r="U128" s="418" t="str">
        <f t="shared" si="4"/>
        <v/>
      </c>
    </row>
    <row r="129" spans="11:21" ht="10.199999999999999" customHeight="1" x14ac:dyDescent="0.2">
      <c r="K129" s="412"/>
      <c r="L129" s="415"/>
      <c r="M129" s="421" t="str">
        <f>IFERROR(_xlfn.XLOOKUP(CONCATENATE($K129,M$5,$L$2),BASE_DATOS[Reporte NSK],BASE_DATOS[NSK],,0),"")</f>
        <v/>
      </c>
      <c r="N129" s="422" t="str">
        <f>IFERROR(_xlfn.XLOOKUP(CONCATENATE($K129,N$5,$L$2),BASE_DATOS[Reporte NSK],BASE_DATOS[NSK],,0),"")</f>
        <v/>
      </c>
      <c r="O129" s="422" t="str">
        <f>IFERROR(_xlfn.XLOOKUP(CONCATENATE($K129,O$5,$L$2),BASE_DATOS[Reporte NSK],BASE_DATOS[NSK],,0),"")</f>
        <v/>
      </c>
      <c r="P129" s="422" t="str">
        <f>IFERROR(_xlfn.XLOOKUP(CONCATENATE($K129,P$5,$L$2),BASE_DATOS[Reporte NSK],BASE_DATOS[NSK],,0),"")</f>
        <v/>
      </c>
      <c r="Q129" s="422" t="str">
        <f>IFERROR(_xlfn.XLOOKUP(CONCATENATE($K129,Q$5,$L$2),BASE_DATOS[Reporte NSK],BASE_DATOS[NSK],,0),"")</f>
        <v/>
      </c>
      <c r="R129" s="422" t="str">
        <f>IFERROR(_xlfn.XLOOKUP(CONCATENATE($K129,R$5,$L$2),BASE_DATOS[Reporte NSK],BASE_DATOS[NSK],,0),"")</f>
        <v/>
      </c>
      <c r="S129" s="465" t="str">
        <f>IFERROR(_xlfn.XLOOKUP(CONCATENATE($K129,S$5,$L$2),BASE_DATOS[Reporte NSK],BASE_DATOS[NSK],,0),"")</f>
        <v/>
      </c>
      <c r="T129" s="466" t="str">
        <f>IFERROR(_xlfn.XLOOKUP(CONCATENATE($K129,T$5,$L$2),BASE_DATOS[Reporte NSK],BASE_DATOS[NSK],,0),"")</f>
        <v/>
      </c>
      <c r="U129" s="418" t="str">
        <f t="shared" si="4"/>
        <v/>
      </c>
    </row>
    <row r="130" spans="11:21" ht="10.199999999999999" customHeight="1" x14ac:dyDescent="0.2">
      <c r="K130" s="412"/>
      <c r="L130" s="415"/>
      <c r="M130" s="421" t="str">
        <f>IFERROR(_xlfn.XLOOKUP(CONCATENATE($K130,M$5,$L$2),BASE_DATOS[Reporte NSK],BASE_DATOS[NSK],,0),"")</f>
        <v/>
      </c>
      <c r="N130" s="422" t="str">
        <f>IFERROR(_xlfn.XLOOKUP(CONCATENATE($K130,N$5,$L$2),BASE_DATOS[Reporte NSK],BASE_DATOS[NSK],,0),"")</f>
        <v/>
      </c>
      <c r="O130" s="422" t="str">
        <f>IFERROR(_xlfn.XLOOKUP(CONCATENATE($K130,O$5,$L$2),BASE_DATOS[Reporte NSK],BASE_DATOS[NSK],,0),"")</f>
        <v/>
      </c>
      <c r="P130" s="422" t="str">
        <f>IFERROR(_xlfn.XLOOKUP(CONCATENATE($K130,P$5,$L$2),BASE_DATOS[Reporte NSK],BASE_DATOS[NSK],,0),"")</f>
        <v/>
      </c>
      <c r="Q130" s="422" t="str">
        <f>IFERROR(_xlfn.XLOOKUP(CONCATENATE($K130,Q$5,$L$2),BASE_DATOS[Reporte NSK],BASE_DATOS[NSK],,0),"")</f>
        <v/>
      </c>
      <c r="R130" s="422" t="str">
        <f>IFERROR(_xlfn.XLOOKUP(CONCATENATE($K130,R$5,$L$2),BASE_DATOS[Reporte NSK],BASE_DATOS[NSK],,0),"")</f>
        <v/>
      </c>
      <c r="S130" s="465" t="str">
        <f>IFERROR(_xlfn.XLOOKUP(CONCATENATE($K130,S$5,$L$2),BASE_DATOS[Reporte NSK],BASE_DATOS[NSK],,0),"")</f>
        <v/>
      </c>
      <c r="T130" s="466" t="str">
        <f>IFERROR(_xlfn.XLOOKUP(CONCATENATE($K130,T$5,$L$2),BASE_DATOS[Reporte NSK],BASE_DATOS[NSK],,0),"")</f>
        <v/>
      </c>
      <c r="U130" s="418" t="str">
        <f t="shared" si="4"/>
        <v/>
      </c>
    </row>
    <row r="131" spans="11:21" ht="10.199999999999999" customHeight="1" x14ac:dyDescent="0.2">
      <c r="K131" s="412"/>
      <c r="L131" s="415"/>
      <c r="M131" s="421" t="str">
        <f>IFERROR(_xlfn.XLOOKUP(CONCATENATE($K131,M$5,$L$2),BASE_DATOS[Reporte NSK],BASE_DATOS[NSK],,0),"")</f>
        <v/>
      </c>
      <c r="N131" s="422" t="str">
        <f>IFERROR(_xlfn.XLOOKUP(CONCATENATE($K131,N$5,$L$2),BASE_DATOS[Reporte NSK],BASE_DATOS[NSK],,0),"")</f>
        <v/>
      </c>
      <c r="O131" s="422" t="str">
        <f>IFERROR(_xlfn.XLOOKUP(CONCATENATE($K131,O$5,$L$2),BASE_DATOS[Reporte NSK],BASE_DATOS[NSK],,0),"")</f>
        <v/>
      </c>
      <c r="P131" s="422" t="str">
        <f>IFERROR(_xlfn.XLOOKUP(CONCATENATE($K131,P$5,$L$2),BASE_DATOS[Reporte NSK],BASE_DATOS[NSK],,0),"")</f>
        <v/>
      </c>
      <c r="Q131" s="422" t="str">
        <f>IFERROR(_xlfn.XLOOKUP(CONCATENATE($K131,Q$5,$L$2),BASE_DATOS[Reporte NSK],BASE_DATOS[NSK],,0),"")</f>
        <v/>
      </c>
      <c r="R131" s="422" t="str">
        <f>IFERROR(_xlfn.XLOOKUP(CONCATENATE($K131,R$5,$L$2),BASE_DATOS[Reporte NSK],BASE_DATOS[NSK],,0),"")</f>
        <v/>
      </c>
      <c r="S131" s="465" t="str">
        <f>IFERROR(_xlfn.XLOOKUP(CONCATENATE($K131,S$5,$L$2),BASE_DATOS[Reporte NSK],BASE_DATOS[NSK],,0),"")</f>
        <v/>
      </c>
      <c r="T131" s="466" t="str">
        <f>IFERROR(_xlfn.XLOOKUP(CONCATENATE($K131,T$5,$L$2),BASE_DATOS[Reporte NSK],BASE_DATOS[NSK],,0),"")</f>
        <v/>
      </c>
      <c r="U131" s="418" t="str">
        <f t="shared" si="4"/>
        <v/>
      </c>
    </row>
    <row r="132" spans="11:21" ht="10.199999999999999" customHeight="1" x14ac:dyDescent="0.2">
      <c r="K132" s="412"/>
      <c r="L132" s="415"/>
      <c r="M132" s="421" t="str">
        <f>IFERROR(_xlfn.XLOOKUP(CONCATENATE($K132,M$5,$L$2),BASE_DATOS[Reporte NSK],BASE_DATOS[NSK],,0),"")</f>
        <v/>
      </c>
      <c r="N132" s="422" t="str">
        <f>IFERROR(_xlfn.XLOOKUP(CONCATENATE($K132,N$5,$L$2),BASE_DATOS[Reporte NSK],BASE_DATOS[NSK],,0),"")</f>
        <v/>
      </c>
      <c r="O132" s="422" t="str">
        <f>IFERROR(_xlfn.XLOOKUP(CONCATENATE($K132,O$5,$L$2),BASE_DATOS[Reporte NSK],BASE_DATOS[NSK],,0),"")</f>
        <v/>
      </c>
      <c r="P132" s="422" t="str">
        <f>IFERROR(_xlfn.XLOOKUP(CONCATENATE($K132,P$5,$L$2),BASE_DATOS[Reporte NSK],BASE_DATOS[NSK],,0),"")</f>
        <v/>
      </c>
      <c r="Q132" s="422" t="str">
        <f>IFERROR(_xlfn.XLOOKUP(CONCATENATE($K132,Q$5,$L$2),BASE_DATOS[Reporte NSK],BASE_DATOS[NSK],,0),"")</f>
        <v/>
      </c>
      <c r="R132" s="422" t="str">
        <f>IFERROR(_xlfn.XLOOKUP(CONCATENATE($K132,R$5,$L$2),BASE_DATOS[Reporte NSK],BASE_DATOS[NSK],,0),"")</f>
        <v/>
      </c>
      <c r="S132" s="465" t="str">
        <f>IFERROR(_xlfn.XLOOKUP(CONCATENATE($K132,S$5,$L$2),BASE_DATOS[Reporte NSK],BASE_DATOS[NSK],,0),"")</f>
        <v/>
      </c>
      <c r="T132" s="466" t="str">
        <f>IFERROR(_xlfn.XLOOKUP(CONCATENATE($K132,T$5,$L$2),BASE_DATOS[Reporte NSK],BASE_DATOS[NSK],,0),"")</f>
        <v/>
      </c>
      <c r="U132" s="418" t="str">
        <f t="shared" si="4"/>
        <v/>
      </c>
    </row>
    <row r="133" spans="11:21" ht="10.199999999999999" customHeight="1" x14ac:dyDescent="0.2">
      <c r="K133" s="412"/>
      <c r="L133" s="415"/>
      <c r="M133" s="421" t="str">
        <f>IFERROR(_xlfn.XLOOKUP(CONCATENATE($K133,M$5,$L$2),BASE_DATOS[Reporte NSK],BASE_DATOS[NSK],,0),"")</f>
        <v/>
      </c>
      <c r="N133" s="422" t="str">
        <f>IFERROR(_xlfn.XLOOKUP(CONCATENATE($K133,N$5,$L$2),BASE_DATOS[Reporte NSK],BASE_DATOS[NSK],,0),"")</f>
        <v/>
      </c>
      <c r="O133" s="422" t="str">
        <f>IFERROR(_xlfn.XLOOKUP(CONCATENATE($K133,O$5,$L$2),BASE_DATOS[Reporte NSK],BASE_DATOS[NSK],,0),"")</f>
        <v/>
      </c>
      <c r="P133" s="422" t="str">
        <f>IFERROR(_xlfn.XLOOKUP(CONCATENATE($K133,P$5,$L$2),BASE_DATOS[Reporte NSK],BASE_DATOS[NSK],,0),"")</f>
        <v/>
      </c>
      <c r="Q133" s="422" t="str">
        <f>IFERROR(_xlfn.XLOOKUP(CONCATENATE($K133,Q$5,$L$2),BASE_DATOS[Reporte NSK],BASE_DATOS[NSK],,0),"")</f>
        <v/>
      </c>
      <c r="R133" s="422" t="str">
        <f>IFERROR(_xlfn.XLOOKUP(CONCATENATE($K133,R$5,$L$2),BASE_DATOS[Reporte NSK],BASE_DATOS[NSK],,0),"")</f>
        <v/>
      </c>
      <c r="S133" s="465" t="str">
        <f>IFERROR(_xlfn.XLOOKUP(CONCATENATE($K133,S$5,$L$2),BASE_DATOS[Reporte NSK],BASE_DATOS[NSK],,0),"")</f>
        <v/>
      </c>
      <c r="T133" s="466" t="str">
        <f>IFERROR(_xlfn.XLOOKUP(CONCATENATE($K133,T$5,$L$2),BASE_DATOS[Reporte NSK],BASE_DATOS[NSK],,0),"")</f>
        <v/>
      </c>
      <c r="U133" s="418" t="str">
        <f t="shared" si="4"/>
        <v/>
      </c>
    </row>
    <row r="134" spans="11:21" ht="10.199999999999999" customHeight="1" x14ac:dyDescent="0.2">
      <c r="K134" s="412"/>
      <c r="L134" s="415"/>
      <c r="M134" s="421" t="str">
        <f>IFERROR(_xlfn.XLOOKUP(CONCATENATE($K134,M$5,$L$2),BASE_DATOS[Reporte NSK],BASE_DATOS[NSK],,0),"")</f>
        <v/>
      </c>
      <c r="N134" s="422" t="str">
        <f>IFERROR(_xlfn.XLOOKUP(CONCATENATE($K134,N$5,$L$2),BASE_DATOS[Reporte NSK],BASE_DATOS[NSK],,0),"")</f>
        <v/>
      </c>
      <c r="O134" s="422" t="str">
        <f>IFERROR(_xlfn.XLOOKUP(CONCATENATE($K134,O$5,$L$2),BASE_DATOS[Reporte NSK],BASE_DATOS[NSK],,0),"")</f>
        <v/>
      </c>
      <c r="P134" s="422" t="str">
        <f>IFERROR(_xlfn.XLOOKUP(CONCATENATE($K134,P$5,$L$2),BASE_DATOS[Reporte NSK],BASE_DATOS[NSK],,0),"")</f>
        <v/>
      </c>
      <c r="Q134" s="422" t="str">
        <f>IFERROR(_xlfn.XLOOKUP(CONCATENATE($K134,Q$5,$L$2),BASE_DATOS[Reporte NSK],BASE_DATOS[NSK],,0),"")</f>
        <v/>
      </c>
      <c r="R134" s="422" t="str">
        <f>IFERROR(_xlfn.XLOOKUP(CONCATENATE($K134,R$5,$L$2),BASE_DATOS[Reporte NSK],BASE_DATOS[NSK],,0),"")</f>
        <v/>
      </c>
      <c r="S134" s="465" t="str">
        <f>IFERROR(_xlfn.XLOOKUP(CONCATENATE($K134,S$5,$L$2),BASE_DATOS[Reporte NSK],BASE_DATOS[NSK],,0),"")</f>
        <v/>
      </c>
      <c r="T134" s="466" t="str">
        <f>IFERROR(_xlfn.XLOOKUP(CONCATENATE($K134,T$5,$L$2),BASE_DATOS[Reporte NSK],BASE_DATOS[NSK],,0),"")</f>
        <v/>
      </c>
      <c r="U134" s="418" t="str">
        <f t="shared" ref="U134:U165" si="5">IF(COUNT(M134:T134)&gt;0,COUNT(M134:T134),"")</f>
        <v/>
      </c>
    </row>
    <row r="135" spans="11:21" ht="10.199999999999999" customHeight="1" x14ac:dyDescent="0.2">
      <c r="K135" s="412"/>
      <c r="L135" s="415"/>
      <c r="M135" s="421" t="str">
        <f>IFERROR(_xlfn.XLOOKUP(CONCATENATE($K135,M$5,$L$2),BASE_DATOS[Reporte NSK],BASE_DATOS[NSK],,0),"")</f>
        <v/>
      </c>
      <c r="N135" s="422" t="str">
        <f>IFERROR(_xlfn.XLOOKUP(CONCATENATE($K135,N$5,$L$2),BASE_DATOS[Reporte NSK],BASE_DATOS[NSK],,0),"")</f>
        <v/>
      </c>
      <c r="O135" s="422" t="str">
        <f>IFERROR(_xlfn.XLOOKUP(CONCATENATE($K135,O$5,$L$2),BASE_DATOS[Reporte NSK],BASE_DATOS[NSK],,0),"")</f>
        <v/>
      </c>
      <c r="P135" s="422" t="str">
        <f>IFERROR(_xlfn.XLOOKUP(CONCATENATE($K135,P$5,$L$2),BASE_DATOS[Reporte NSK],BASE_DATOS[NSK],,0),"")</f>
        <v/>
      </c>
      <c r="Q135" s="422" t="str">
        <f>IFERROR(_xlfn.XLOOKUP(CONCATENATE($K135,Q$5,$L$2),BASE_DATOS[Reporte NSK],BASE_DATOS[NSK],,0),"")</f>
        <v/>
      </c>
      <c r="R135" s="422" t="str">
        <f>IFERROR(_xlfn.XLOOKUP(CONCATENATE($K135,R$5,$L$2),BASE_DATOS[Reporte NSK],BASE_DATOS[NSK],,0),"")</f>
        <v/>
      </c>
      <c r="S135" s="465" t="str">
        <f>IFERROR(_xlfn.XLOOKUP(CONCATENATE($K135,S$5,$L$2),BASE_DATOS[Reporte NSK],BASE_DATOS[NSK],,0),"")</f>
        <v/>
      </c>
      <c r="T135" s="466" t="str">
        <f>IFERROR(_xlfn.XLOOKUP(CONCATENATE($K135,T$5,$L$2),BASE_DATOS[Reporte NSK],BASE_DATOS[NSK],,0),"")</f>
        <v/>
      </c>
      <c r="U135" s="418" t="str">
        <f t="shared" si="5"/>
        <v/>
      </c>
    </row>
    <row r="136" spans="11:21" ht="10.199999999999999" customHeight="1" x14ac:dyDescent="0.2">
      <c r="K136" s="412"/>
      <c r="L136" s="415"/>
      <c r="M136" s="421" t="str">
        <f>IFERROR(_xlfn.XLOOKUP(CONCATENATE($K136,M$5,$L$2),BASE_DATOS[Reporte NSK],BASE_DATOS[NSK],,0),"")</f>
        <v/>
      </c>
      <c r="N136" s="422" t="str">
        <f>IFERROR(_xlfn.XLOOKUP(CONCATENATE($K136,N$5,$L$2),BASE_DATOS[Reporte NSK],BASE_DATOS[NSK],,0),"")</f>
        <v/>
      </c>
      <c r="O136" s="422" t="str">
        <f>IFERROR(_xlfn.XLOOKUP(CONCATENATE($K136,O$5,$L$2),BASE_DATOS[Reporte NSK],BASE_DATOS[NSK],,0),"")</f>
        <v/>
      </c>
      <c r="P136" s="422" t="str">
        <f>IFERROR(_xlfn.XLOOKUP(CONCATENATE($K136,P$5,$L$2),BASE_DATOS[Reporte NSK],BASE_DATOS[NSK],,0),"")</f>
        <v/>
      </c>
      <c r="Q136" s="422" t="str">
        <f>IFERROR(_xlfn.XLOOKUP(CONCATENATE($K136,Q$5,$L$2),BASE_DATOS[Reporte NSK],BASE_DATOS[NSK],,0),"")</f>
        <v/>
      </c>
      <c r="R136" s="422" t="str">
        <f>IFERROR(_xlfn.XLOOKUP(CONCATENATE($K136,R$5,$L$2),BASE_DATOS[Reporte NSK],BASE_DATOS[NSK],,0),"")</f>
        <v/>
      </c>
      <c r="S136" s="465" t="str">
        <f>IFERROR(_xlfn.XLOOKUP(CONCATENATE($K136,S$5,$L$2),BASE_DATOS[Reporte NSK],BASE_DATOS[NSK],,0),"")</f>
        <v/>
      </c>
      <c r="T136" s="466" t="str">
        <f>IFERROR(_xlfn.XLOOKUP(CONCATENATE($K136,T$5,$L$2),BASE_DATOS[Reporte NSK],BASE_DATOS[NSK],,0),"")</f>
        <v/>
      </c>
      <c r="U136" s="418" t="str">
        <f t="shared" si="5"/>
        <v/>
      </c>
    </row>
    <row r="137" spans="11:21" ht="10.199999999999999" customHeight="1" x14ac:dyDescent="0.2">
      <c r="K137" s="412"/>
      <c r="L137" s="415"/>
      <c r="M137" s="421" t="str">
        <f>IFERROR(_xlfn.XLOOKUP(CONCATENATE($K137,M$5,$L$2),BASE_DATOS[Reporte NSK],BASE_DATOS[NSK],,0),"")</f>
        <v/>
      </c>
      <c r="N137" s="422" t="str">
        <f>IFERROR(_xlfn.XLOOKUP(CONCATENATE($K137,N$5,$L$2),BASE_DATOS[Reporte NSK],BASE_DATOS[NSK],,0),"")</f>
        <v/>
      </c>
      <c r="O137" s="422" t="str">
        <f>IFERROR(_xlfn.XLOOKUP(CONCATENATE($K137,O$5,$L$2),BASE_DATOS[Reporte NSK],BASE_DATOS[NSK],,0),"")</f>
        <v/>
      </c>
      <c r="P137" s="422" t="str">
        <f>IFERROR(_xlfn.XLOOKUP(CONCATENATE($K137,P$5,$L$2),BASE_DATOS[Reporte NSK],BASE_DATOS[NSK],,0),"")</f>
        <v/>
      </c>
      <c r="Q137" s="422" t="str">
        <f>IFERROR(_xlfn.XLOOKUP(CONCATENATE($K137,Q$5,$L$2),BASE_DATOS[Reporte NSK],BASE_DATOS[NSK],,0),"")</f>
        <v/>
      </c>
      <c r="R137" s="422" t="str">
        <f>IFERROR(_xlfn.XLOOKUP(CONCATENATE($K137,R$5,$L$2),BASE_DATOS[Reporte NSK],BASE_DATOS[NSK],,0),"")</f>
        <v/>
      </c>
      <c r="S137" s="465" t="str">
        <f>IFERROR(_xlfn.XLOOKUP(CONCATENATE($K137,S$5,$L$2),BASE_DATOS[Reporte NSK],BASE_DATOS[NSK],,0),"")</f>
        <v/>
      </c>
      <c r="T137" s="466" t="str">
        <f>IFERROR(_xlfn.XLOOKUP(CONCATENATE($K137,T$5,$L$2),BASE_DATOS[Reporte NSK],BASE_DATOS[NSK],,0),"")</f>
        <v/>
      </c>
      <c r="U137" s="418" t="str">
        <f t="shared" si="5"/>
        <v/>
      </c>
    </row>
    <row r="138" spans="11:21" ht="10.199999999999999" customHeight="1" x14ac:dyDescent="0.2">
      <c r="K138" s="412"/>
      <c r="L138" s="415"/>
      <c r="M138" s="421" t="str">
        <f>IFERROR(_xlfn.XLOOKUP(CONCATENATE($K138,M$5,$L$2),BASE_DATOS[Reporte NSK],BASE_DATOS[NSK],,0),"")</f>
        <v/>
      </c>
      <c r="N138" s="422" t="str">
        <f>IFERROR(_xlfn.XLOOKUP(CONCATENATE($K138,N$5,$L$2),BASE_DATOS[Reporte NSK],BASE_DATOS[NSK],,0),"")</f>
        <v/>
      </c>
      <c r="O138" s="422" t="str">
        <f>IFERROR(_xlfn.XLOOKUP(CONCATENATE($K138,O$5,$L$2),BASE_DATOS[Reporte NSK],BASE_DATOS[NSK],,0),"")</f>
        <v/>
      </c>
      <c r="P138" s="422" t="str">
        <f>IFERROR(_xlfn.XLOOKUP(CONCATENATE($K138,P$5,$L$2),BASE_DATOS[Reporte NSK],BASE_DATOS[NSK],,0),"")</f>
        <v/>
      </c>
      <c r="Q138" s="422" t="str">
        <f>IFERROR(_xlfn.XLOOKUP(CONCATENATE($K138,Q$5,$L$2),BASE_DATOS[Reporte NSK],BASE_DATOS[NSK],,0),"")</f>
        <v/>
      </c>
      <c r="R138" s="422" t="str">
        <f>IFERROR(_xlfn.XLOOKUP(CONCATENATE($K138,R$5,$L$2),BASE_DATOS[Reporte NSK],BASE_DATOS[NSK],,0),"")</f>
        <v/>
      </c>
      <c r="S138" s="465" t="str">
        <f>IFERROR(_xlfn.XLOOKUP(CONCATENATE($K138,S$5,$L$2),BASE_DATOS[Reporte NSK],BASE_DATOS[NSK],,0),"")</f>
        <v/>
      </c>
      <c r="T138" s="466" t="str">
        <f>IFERROR(_xlfn.XLOOKUP(CONCATENATE($K138,T$5,$L$2),BASE_DATOS[Reporte NSK],BASE_DATOS[NSK],,0),"")</f>
        <v/>
      </c>
      <c r="U138" s="418" t="str">
        <f t="shared" si="5"/>
        <v/>
      </c>
    </row>
    <row r="139" spans="11:21" ht="10.199999999999999" customHeight="1" x14ac:dyDescent="0.2">
      <c r="K139" s="412"/>
      <c r="L139" s="415"/>
      <c r="M139" s="421" t="str">
        <f>IFERROR(_xlfn.XLOOKUP(CONCATENATE($K139,M$5,$L$2),BASE_DATOS[Reporte NSK],BASE_DATOS[NSK],,0),"")</f>
        <v/>
      </c>
      <c r="N139" s="422" t="str">
        <f>IFERROR(_xlfn.XLOOKUP(CONCATENATE($K139,N$5,$L$2),BASE_DATOS[Reporte NSK],BASE_DATOS[NSK],,0),"")</f>
        <v/>
      </c>
      <c r="O139" s="422" t="str">
        <f>IFERROR(_xlfn.XLOOKUP(CONCATENATE($K139,O$5,$L$2),BASE_DATOS[Reporte NSK],BASE_DATOS[NSK],,0),"")</f>
        <v/>
      </c>
      <c r="P139" s="422" t="str">
        <f>IFERROR(_xlfn.XLOOKUP(CONCATENATE($K139,P$5,$L$2),BASE_DATOS[Reporte NSK],BASE_DATOS[NSK],,0),"")</f>
        <v/>
      </c>
      <c r="Q139" s="422" t="str">
        <f>IFERROR(_xlfn.XLOOKUP(CONCATENATE($K139,Q$5,$L$2),BASE_DATOS[Reporte NSK],BASE_DATOS[NSK],,0),"")</f>
        <v/>
      </c>
      <c r="R139" s="422" t="str">
        <f>IFERROR(_xlfn.XLOOKUP(CONCATENATE($K139,R$5,$L$2),BASE_DATOS[Reporte NSK],BASE_DATOS[NSK],,0),"")</f>
        <v/>
      </c>
      <c r="S139" s="465" t="str">
        <f>IFERROR(_xlfn.XLOOKUP(CONCATENATE($K139,S$5,$L$2),BASE_DATOS[Reporte NSK],BASE_DATOS[NSK],,0),"")</f>
        <v/>
      </c>
      <c r="T139" s="466" t="str">
        <f>IFERROR(_xlfn.XLOOKUP(CONCATENATE($K139,T$5,$L$2),BASE_DATOS[Reporte NSK],BASE_DATOS[NSK],,0),"")</f>
        <v/>
      </c>
      <c r="U139" s="418" t="str">
        <f t="shared" si="5"/>
        <v/>
      </c>
    </row>
    <row r="140" spans="11:21" ht="10.199999999999999" customHeight="1" x14ac:dyDescent="0.2">
      <c r="K140" s="412"/>
      <c r="L140" s="415"/>
      <c r="M140" s="421" t="str">
        <f>IFERROR(_xlfn.XLOOKUP(CONCATENATE($K140,M$5,$L$2),BASE_DATOS[Reporte NSK],BASE_DATOS[NSK],,0),"")</f>
        <v/>
      </c>
      <c r="N140" s="422" t="str">
        <f>IFERROR(_xlfn.XLOOKUP(CONCATENATE($K140,N$5,$L$2),BASE_DATOS[Reporte NSK],BASE_DATOS[NSK],,0),"")</f>
        <v/>
      </c>
      <c r="O140" s="422" t="str">
        <f>IFERROR(_xlfn.XLOOKUP(CONCATENATE($K140,O$5,$L$2),BASE_DATOS[Reporte NSK],BASE_DATOS[NSK],,0),"")</f>
        <v/>
      </c>
      <c r="P140" s="422" t="str">
        <f>IFERROR(_xlfn.XLOOKUP(CONCATENATE($K140,P$5,$L$2),BASE_DATOS[Reporte NSK],BASE_DATOS[NSK],,0),"")</f>
        <v/>
      </c>
      <c r="Q140" s="422" t="str">
        <f>IFERROR(_xlfn.XLOOKUP(CONCATENATE($K140,Q$5,$L$2),BASE_DATOS[Reporte NSK],BASE_DATOS[NSK],,0),"")</f>
        <v/>
      </c>
      <c r="R140" s="422" t="str">
        <f>IFERROR(_xlfn.XLOOKUP(CONCATENATE($K140,R$5,$L$2),BASE_DATOS[Reporte NSK],BASE_DATOS[NSK],,0),"")</f>
        <v/>
      </c>
      <c r="S140" s="465" t="str">
        <f>IFERROR(_xlfn.XLOOKUP(CONCATENATE($K140,S$5,$L$2),BASE_DATOS[Reporte NSK],BASE_DATOS[NSK],,0),"")</f>
        <v/>
      </c>
      <c r="T140" s="466" t="str">
        <f>IFERROR(_xlfn.XLOOKUP(CONCATENATE($K140,T$5,$L$2),BASE_DATOS[Reporte NSK],BASE_DATOS[NSK],,0),"")</f>
        <v/>
      </c>
      <c r="U140" s="418" t="str">
        <f t="shared" si="5"/>
        <v/>
      </c>
    </row>
    <row r="141" spans="11:21" ht="10.199999999999999" customHeight="1" x14ac:dyDescent="0.2">
      <c r="K141" s="412"/>
      <c r="L141" s="415"/>
      <c r="M141" s="421" t="str">
        <f>IFERROR(_xlfn.XLOOKUP(CONCATENATE($K141,M$5,$L$2),BASE_DATOS[Reporte NSK],BASE_DATOS[NSK],,0),"")</f>
        <v/>
      </c>
      <c r="N141" s="422" t="str">
        <f>IFERROR(_xlfn.XLOOKUP(CONCATENATE($K141,N$5,$L$2),BASE_DATOS[Reporte NSK],BASE_DATOS[NSK],,0),"")</f>
        <v/>
      </c>
      <c r="O141" s="422" t="str">
        <f>IFERROR(_xlfn.XLOOKUP(CONCATENATE($K141,O$5,$L$2),BASE_DATOS[Reporte NSK],BASE_DATOS[NSK],,0),"")</f>
        <v/>
      </c>
      <c r="P141" s="422" t="str">
        <f>IFERROR(_xlfn.XLOOKUP(CONCATENATE($K141,P$5,$L$2),BASE_DATOS[Reporte NSK],BASE_DATOS[NSK],,0),"")</f>
        <v/>
      </c>
      <c r="Q141" s="422" t="str">
        <f>IFERROR(_xlfn.XLOOKUP(CONCATENATE($K141,Q$5,$L$2),BASE_DATOS[Reporte NSK],BASE_DATOS[NSK],,0),"")</f>
        <v/>
      </c>
      <c r="R141" s="422" t="str">
        <f>IFERROR(_xlfn.XLOOKUP(CONCATENATE($K141,R$5,$L$2),BASE_DATOS[Reporte NSK],BASE_DATOS[NSK],,0),"")</f>
        <v/>
      </c>
      <c r="S141" s="465" t="str">
        <f>IFERROR(_xlfn.XLOOKUP(CONCATENATE($K141,S$5,$L$2),BASE_DATOS[Reporte NSK],BASE_DATOS[NSK],,0),"")</f>
        <v/>
      </c>
      <c r="T141" s="466" t="str">
        <f>IFERROR(_xlfn.XLOOKUP(CONCATENATE($K141,T$5,$L$2),BASE_DATOS[Reporte NSK],BASE_DATOS[NSK],,0),"")</f>
        <v/>
      </c>
      <c r="U141" s="418" t="str">
        <f t="shared" si="5"/>
        <v/>
      </c>
    </row>
    <row r="142" spans="11:21" ht="10.199999999999999" customHeight="1" x14ac:dyDescent="0.2">
      <c r="K142" s="412"/>
      <c r="L142" s="415"/>
      <c r="M142" s="421" t="str">
        <f>IFERROR(_xlfn.XLOOKUP(CONCATENATE($K142,M$5,$L$2),BASE_DATOS[Reporte NSK],BASE_DATOS[NSK],,0),"")</f>
        <v/>
      </c>
      <c r="N142" s="422" t="str">
        <f>IFERROR(_xlfn.XLOOKUP(CONCATENATE($K142,N$5,$L$2),BASE_DATOS[Reporte NSK],BASE_DATOS[NSK],,0),"")</f>
        <v/>
      </c>
      <c r="O142" s="422" t="str">
        <f>IFERROR(_xlfn.XLOOKUP(CONCATENATE($K142,O$5,$L$2),BASE_DATOS[Reporte NSK],BASE_DATOS[NSK],,0),"")</f>
        <v/>
      </c>
      <c r="P142" s="422" t="str">
        <f>IFERROR(_xlfn.XLOOKUP(CONCATENATE($K142,P$5,$L$2),BASE_DATOS[Reporte NSK],BASE_DATOS[NSK],,0),"")</f>
        <v/>
      </c>
      <c r="Q142" s="422" t="str">
        <f>IFERROR(_xlfn.XLOOKUP(CONCATENATE($K142,Q$5,$L$2),BASE_DATOS[Reporte NSK],BASE_DATOS[NSK],,0),"")</f>
        <v/>
      </c>
      <c r="R142" s="422" t="str">
        <f>IFERROR(_xlfn.XLOOKUP(CONCATENATE($K142,R$5,$L$2),BASE_DATOS[Reporte NSK],BASE_DATOS[NSK],,0),"")</f>
        <v/>
      </c>
      <c r="S142" s="465" t="str">
        <f>IFERROR(_xlfn.XLOOKUP(CONCATENATE($K142,S$5,$L$2),BASE_DATOS[Reporte NSK],BASE_DATOS[NSK],,0),"")</f>
        <v/>
      </c>
      <c r="T142" s="466" t="str">
        <f>IFERROR(_xlfn.XLOOKUP(CONCATENATE($K142,T$5,$L$2),BASE_DATOS[Reporte NSK],BASE_DATOS[NSK],,0),"")</f>
        <v/>
      </c>
      <c r="U142" s="418" t="str">
        <f t="shared" si="5"/>
        <v/>
      </c>
    </row>
    <row r="143" spans="11:21" ht="10.199999999999999" customHeight="1" x14ac:dyDescent="0.2">
      <c r="K143" s="412"/>
      <c r="L143" s="415"/>
      <c r="M143" s="421" t="str">
        <f>IFERROR(_xlfn.XLOOKUP(CONCATENATE($K143,M$5,$L$2),BASE_DATOS[Reporte NSK],BASE_DATOS[NSK],,0),"")</f>
        <v/>
      </c>
      <c r="N143" s="422" t="str">
        <f>IFERROR(_xlfn.XLOOKUP(CONCATENATE($K143,N$5,$L$2),BASE_DATOS[Reporte NSK],BASE_DATOS[NSK],,0),"")</f>
        <v/>
      </c>
      <c r="O143" s="422" t="str">
        <f>IFERROR(_xlfn.XLOOKUP(CONCATENATE($K143,O$5,$L$2),BASE_DATOS[Reporte NSK],BASE_DATOS[NSK],,0),"")</f>
        <v/>
      </c>
      <c r="P143" s="422" t="str">
        <f>IFERROR(_xlfn.XLOOKUP(CONCATENATE($K143,P$5,$L$2),BASE_DATOS[Reporte NSK],BASE_DATOS[NSK],,0),"")</f>
        <v/>
      </c>
      <c r="Q143" s="422" t="str">
        <f>IFERROR(_xlfn.XLOOKUP(CONCATENATE($K143,Q$5,$L$2),BASE_DATOS[Reporte NSK],BASE_DATOS[NSK],,0),"")</f>
        <v/>
      </c>
      <c r="R143" s="422" t="str">
        <f>IFERROR(_xlfn.XLOOKUP(CONCATENATE($K143,R$5,$L$2),BASE_DATOS[Reporte NSK],BASE_DATOS[NSK],,0),"")</f>
        <v/>
      </c>
      <c r="S143" s="465" t="str">
        <f>IFERROR(_xlfn.XLOOKUP(CONCATENATE($K143,S$5,$L$2),BASE_DATOS[Reporte NSK],BASE_DATOS[NSK],,0),"")</f>
        <v/>
      </c>
      <c r="T143" s="466" t="str">
        <f>IFERROR(_xlfn.XLOOKUP(CONCATENATE($K143,T$5,$L$2),BASE_DATOS[Reporte NSK],BASE_DATOS[NSK],,0),"")</f>
        <v/>
      </c>
      <c r="U143" s="418" t="str">
        <f t="shared" si="5"/>
        <v/>
      </c>
    </row>
    <row r="144" spans="11:21" ht="10.199999999999999" customHeight="1" x14ac:dyDescent="0.2">
      <c r="K144" s="412"/>
      <c r="L144" s="415"/>
      <c r="M144" s="421" t="str">
        <f>IFERROR(_xlfn.XLOOKUP(CONCATENATE($K144,M$5,$L$2),BASE_DATOS[Reporte NSK],BASE_DATOS[NSK],,0),"")</f>
        <v/>
      </c>
      <c r="N144" s="422" t="str">
        <f>IFERROR(_xlfn.XLOOKUP(CONCATENATE($K144,N$5,$L$2),BASE_DATOS[Reporte NSK],BASE_DATOS[NSK],,0),"")</f>
        <v/>
      </c>
      <c r="O144" s="422" t="str">
        <f>IFERROR(_xlfn.XLOOKUP(CONCATENATE($K144,O$5,$L$2),BASE_DATOS[Reporte NSK],BASE_DATOS[NSK],,0),"")</f>
        <v/>
      </c>
      <c r="P144" s="422" t="str">
        <f>IFERROR(_xlfn.XLOOKUP(CONCATENATE($K144,P$5,$L$2),BASE_DATOS[Reporte NSK],BASE_DATOS[NSK],,0),"")</f>
        <v/>
      </c>
      <c r="Q144" s="422" t="str">
        <f>IFERROR(_xlfn.XLOOKUP(CONCATENATE($K144,Q$5,$L$2),BASE_DATOS[Reporte NSK],BASE_DATOS[NSK],,0),"")</f>
        <v/>
      </c>
      <c r="R144" s="422" t="str">
        <f>IFERROR(_xlfn.XLOOKUP(CONCATENATE($K144,R$5,$L$2),BASE_DATOS[Reporte NSK],BASE_DATOS[NSK],,0),"")</f>
        <v/>
      </c>
      <c r="S144" s="465" t="str">
        <f>IFERROR(_xlfn.XLOOKUP(CONCATENATE($K144,S$5,$L$2),BASE_DATOS[Reporte NSK],BASE_DATOS[NSK],,0),"")</f>
        <v/>
      </c>
      <c r="T144" s="466" t="str">
        <f>IFERROR(_xlfn.XLOOKUP(CONCATENATE($K144,T$5,$L$2),BASE_DATOS[Reporte NSK],BASE_DATOS[NSK],,0),"")</f>
        <v/>
      </c>
      <c r="U144" s="418" t="str">
        <f t="shared" si="5"/>
        <v/>
      </c>
    </row>
    <row r="145" spans="11:21" ht="10.199999999999999" customHeight="1" x14ac:dyDescent="0.2">
      <c r="K145" s="412"/>
      <c r="L145" s="415"/>
      <c r="M145" s="421" t="str">
        <f>IFERROR(_xlfn.XLOOKUP(CONCATENATE($K145,M$5,$L$2),BASE_DATOS[Reporte NSK],BASE_DATOS[NSK],,0),"")</f>
        <v/>
      </c>
      <c r="N145" s="422" t="str">
        <f>IFERROR(_xlfn.XLOOKUP(CONCATENATE($K145,N$5,$L$2),BASE_DATOS[Reporte NSK],BASE_DATOS[NSK],,0),"")</f>
        <v/>
      </c>
      <c r="O145" s="422" t="str">
        <f>IFERROR(_xlfn.XLOOKUP(CONCATENATE($K145,O$5,$L$2),BASE_DATOS[Reporte NSK],BASE_DATOS[NSK],,0),"")</f>
        <v/>
      </c>
      <c r="P145" s="422" t="str">
        <f>IFERROR(_xlfn.XLOOKUP(CONCATENATE($K145,P$5,$L$2),BASE_DATOS[Reporte NSK],BASE_DATOS[NSK],,0),"")</f>
        <v/>
      </c>
      <c r="Q145" s="422" t="str">
        <f>IFERROR(_xlfn.XLOOKUP(CONCATENATE($K145,Q$5,$L$2),BASE_DATOS[Reporte NSK],BASE_DATOS[NSK],,0),"")</f>
        <v/>
      </c>
      <c r="R145" s="422" t="str">
        <f>IFERROR(_xlfn.XLOOKUP(CONCATENATE($K145,R$5,$L$2),BASE_DATOS[Reporte NSK],BASE_DATOS[NSK],,0),"")</f>
        <v/>
      </c>
      <c r="S145" s="465" t="str">
        <f>IFERROR(_xlfn.XLOOKUP(CONCATENATE($K145,S$5,$L$2),BASE_DATOS[Reporte NSK],BASE_DATOS[NSK],,0),"")</f>
        <v/>
      </c>
      <c r="T145" s="466" t="str">
        <f>IFERROR(_xlfn.XLOOKUP(CONCATENATE($K145,T$5,$L$2),BASE_DATOS[Reporte NSK],BASE_DATOS[NSK],,0),"")</f>
        <v/>
      </c>
      <c r="U145" s="418" t="str">
        <f t="shared" si="5"/>
        <v/>
      </c>
    </row>
    <row r="146" spans="11:21" ht="10.199999999999999" customHeight="1" x14ac:dyDescent="0.2">
      <c r="K146" s="412"/>
      <c r="L146" s="415"/>
      <c r="M146" s="421" t="str">
        <f>IFERROR(_xlfn.XLOOKUP(CONCATENATE($K146,M$5,$L$2),BASE_DATOS[Reporte NSK],BASE_DATOS[NSK],,0),"")</f>
        <v/>
      </c>
      <c r="N146" s="422" t="str">
        <f>IFERROR(_xlfn.XLOOKUP(CONCATENATE($K146,N$5,$L$2),BASE_DATOS[Reporte NSK],BASE_DATOS[NSK],,0),"")</f>
        <v/>
      </c>
      <c r="O146" s="422" t="str">
        <f>IFERROR(_xlfn.XLOOKUP(CONCATENATE($K146,O$5,$L$2),BASE_DATOS[Reporte NSK],BASE_DATOS[NSK],,0),"")</f>
        <v/>
      </c>
      <c r="P146" s="422" t="str">
        <f>IFERROR(_xlfn.XLOOKUP(CONCATENATE($K146,P$5,$L$2),BASE_DATOS[Reporte NSK],BASE_DATOS[NSK],,0),"")</f>
        <v/>
      </c>
      <c r="Q146" s="422" t="str">
        <f>IFERROR(_xlfn.XLOOKUP(CONCATENATE($K146,Q$5,$L$2),BASE_DATOS[Reporte NSK],BASE_DATOS[NSK],,0),"")</f>
        <v/>
      </c>
      <c r="R146" s="422" t="str">
        <f>IFERROR(_xlfn.XLOOKUP(CONCATENATE($K146,R$5,$L$2),BASE_DATOS[Reporte NSK],BASE_DATOS[NSK],,0),"")</f>
        <v/>
      </c>
      <c r="S146" s="465" t="str">
        <f>IFERROR(_xlfn.XLOOKUP(CONCATENATE($K146,S$5,$L$2),BASE_DATOS[Reporte NSK],BASE_DATOS[NSK],,0),"")</f>
        <v/>
      </c>
      <c r="T146" s="466" t="str">
        <f>IFERROR(_xlfn.XLOOKUP(CONCATENATE($K146,T$5,$L$2),BASE_DATOS[Reporte NSK],BASE_DATOS[NSK],,0),"")</f>
        <v/>
      </c>
      <c r="U146" s="418" t="str">
        <f t="shared" si="5"/>
        <v/>
      </c>
    </row>
    <row r="147" spans="11:21" ht="10.199999999999999" customHeight="1" x14ac:dyDescent="0.2">
      <c r="K147" s="412"/>
      <c r="L147" s="415"/>
      <c r="M147" s="421" t="str">
        <f>IFERROR(_xlfn.XLOOKUP(CONCATENATE($K147,M$5,$L$2),BASE_DATOS[Reporte NSK],BASE_DATOS[NSK],,0),"")</f>
        <v/>
      </c>
      <c r="N147" s="422" t="str">
        <f>IFERROR(_xlfn.XLOOKUP(CONCATENATE($K147,N$5,$L$2),BASE_DATOS[Reporte NSK],BASE_DATOS[NSK],,0),"")</f>
        <v/>
      </c>
      <c r="O147" s="422" t="str">
        <f>IFERROR(_xlfn.XLOOKUP(CONCATENATE($K147,O$5,$L$2),BASE_DATOS[Reporte NSK],BASE_DATOS[NSK],,0),"")</f>
        <v/>
      </c>
      <c r="P147" s="422" t="str">
        <f>IFERROR(_xlfn.XLOOKUP(CONCATENATE($K147,P$5,$L$2),BASE_DATOS[Reporte NSK],BASE_DATOS[NSK],,0),"")</f>
        <v/>
      </c>
      <c r="Q147" s="422" t="str">
        <f>IFERROR(_xlfn.XLOOKUP(CONCATENATE($K147,Q$5,$L$2),BASE_DATOS[Reporte NSK],BASE_DATOS[NSK],,0),"")</f>
        <v/>
      </c>
      <c r="R147" s="422" t="str">
        <f>IFERROR(_xlfn.XLOOKUP(CONCATENATE($K147,R$5,$L$2),BASE_DATOS[Reporte NSK],BASE_DATOS[NSK],,0),"")</f>
        <v/>
      </c>
      <c r="S147" s="465" t="str">
        <f>IFERROR(_xlfn.XLOOKUP(CONCATENATE($K147,S$5,$L$2),BASE_DATOS[Reporte NSK],BASE_DATOS[NSK],,0),"")</f>
        <v/>
      </c>
      <c r="T147" s="466" t="str">
        <f>IFERROR(_xlfn.XLOOKUP(CONCATENATE($K147,T$5,$L$2),BASE_DATOS[Reporte NSK],BASE_DATOS[NSK],,0),"")</f>
        <v/>
      </c>
      <c r="U147" s="418" t="str">
        <f t="shared" si="5"/>
        <v/>
      </c>
    </row>
    <row r="148" spans="11:21" ht="10.199999999999999" customHeight="1" x14ac:dyDescent="0.2">
      <c r="K148" s="412"/>
      <c r="L148" s="415"/>
      <c r="M148" s="421" t="str">
        <f>IFERROR(_xlfn.XLOOKUP(CONCATENATE($K148,M$5,$L$2),BASE_DATOS[Reporte NSK],BASE_DATOS[NSK],,0),"")</f>
        <v/>
      </c>
      <c r="N148" s="422" t="str">
        <f>IFERROR(_xlfn.XLOOKUP(CONCATENATE($K148,N$5,$L$2),BASE_DATOS[Reporte NSK],BASE_DATOS[NSK],,0),"")</f>
        <v/>
      </c>
      <c r="O148" s="422" t="str">
        <f>IFERROR(_xlfn.XLOOKUP(CONCATENATE($K148,O$5,$L$2),BASE_DATOS[Reporte NSK],BASE_DATOS[NSK],,0),"")</f>
        <v/>
      </c>
      <c r="P148" s="422" t="str">
        <f>IFERROR(_xlfn.XLOOKUP(CONCATENATE($K148,P$5,$L$2),BASE_DATOS[Reporte NSK],BASE_DATOS[NSK],,0),"")</f>
        <v/>
      </c>
      <c r="Q148" s="422" t="str">
        <f>IFERROR(_xlfn.XLOOKUP(CONCATENATE($K148,Q$5,$L$2),BASE_DATOS[Reporte NSK],BASE_DATOS[NSK],,0),"")</f>
        <v/>
      </c>
      <c r="R148" s="422" t="str">
        <f>IFERROR(_xlfn.XLOOKUP(CONCATENATE($K148,R$5,$L$2),BASE_DATOS[Reporte NSK],BASE_DATOS[NSK],,0),"")</f>
        <v/>
      </c>
      <c r="S148" s="465" t="str">
        <f>IFERROR(_xlfn.XLOOKUP(CONCATENATE($K148,S$5,$L$2),BASE_DATOS[Reporte NSK],BASE_DATOS[NSK],,0),"")</f>
        <v/>
      </c>
      <c r="T148" s="466" t="str">
        <f>IFERROR(_xlfn.XLOOKUP(CONCATENATE($K148,T$5,$L$2),BASE_DATOS[Reporte NSK],BASE_DATOS[NSK],,0),"")</f>
        <v/>
      </c>
      <c r="U148" s="418" t="str">
        <f t="shared" si="5"/>
        <v/>
      </c>
    </row>
    <row r="149" spans="11:21" ht="10.199999999999999" customHeight="1" x14ac:dyDescent="0.2">
      <c r="K149" s="412"/>
      <c r="L149" s="415"/>
      <c r="M149" s="421" t="str">
        <f>IFERROR(_xlfn.XLOOKUP(CONCATENATE($K149,M$5,$L$2),BASE_DATOS[Reporte NSK],BASE_DATOS[NSK],,0),"")</f>
        <v/>
      </c>
      <c r="N149" s="422" t="str">
        <f>IFERROR(_xlfn.XLOOKUP(CONCATENATE($K149,N$5,$L$2),BASE_DATOS[Reporte NSK],BASE_DATOS[NSK],,0),"")</f>
        <v/>
      </c>
      <c r="O149" s="422" t="str">
        <f>IFERROR(_xlfn.XLOOKUP(CONCATENATE($K149,O$5,$L$2),BASE_DATOS[Reporte NSK],BASE_DATOS[NSK],,0),"")</f>
        <v/>
      </c>
      <c r="P149" s="422" t="str">
        <f>IFERROR(_xlfn.XLOOKUP(CONCATENATE($K149,P$5,$L$2),BASE_DATOS[Reporte NSK],BASE_DATOS[NSK],,0),"")</f>
        <v/>
      </c>
      <c r="Q149" s="422" t="str">
        <f>IFERROR(_xlfn.XLOOKUP(CONCATENATE($K149,Q$5,$L$2),BASE_DATOS[Reporte NSK],BASE_DATOS[NSK],,0),"")</f>
        <v/>
      </c>
      <c r="R149" s="422" t="str">
        <f>IFERROR(_xlfn.XLOOKUP(CONCATENATE($K149,R$5,$L$2),BASE_DATOS[Reporte NSK],BASE_DATOS[NSK],,0),"")</f>
        <v/>
      </c>
      <c r="S149" s="465" t="str">
        <f>IFERROR(_xlfn.XLOOKUP(CONCATENATE($K149,S$5,$L$2),BASE_DATOS[Reporte NSK],BASE_DATOS[NSK],,0),"")</f>
        <v/>
      </c>
      <c r="T149" s="466" t="str">
        <f>IFERROR(_xlfn.XLOOKUP(CONCATENATE($K149,T$5,$L$2),BASE_DATOS[Reporte NSK],BASE_DATOS[NSK],,0),"")</f>
        <v/>
      </c>
      <c r="U149" s="418" t="str">
        <f t="shared" si="5"/>
        <v/>
      </c>
    </row>
    <row r="150" spans="11:21" ht="10.199999999999999" customHeight="1" x14ac:dyDescent="0.2">
      <c r="K150" s="412"/>
      <c r="L150" s="415"/>
      <c r="M150" s="421" t="str">
        <f>IFERROR(_xlfn.XLOOKUP(CONCATENATE($K150,M$5,$L$2),BASE_DATOS[Reporte NSK],BASE_DATOS[NSK],,0),"")</f>
        <v/>
      </c>
      <c r="N150" s="422" t="str">
        <f>IFERROR(_xlfn.XLOOKUP(CONCATENATE($K150,N$5,$L$2),BASE_DATOS[Reporte NSK],BASE_DATOS[NSK],,0),"")</f>
        <v/>
      </c>
      <c r="O150" s="422" t="str">
        <f>IFERROR(_xlfn.XLOOKUP(CONCATENATE($K150,O$5,$L$2),BASE_DATOS[Reporte NSK],BASE_DATOS[NSK],,0),"")</f>
        <v/>
      </c>
      <c r="P150" s="422" t="str">
        <f>IFERROR(_xlfn.XLOOKUP(CONCATENATE($K150,P$5,$L$2),BASE_DATOS[Reporte NSK],BASE_DATOS[NSK],,0),"")</f>
        <v/>
      </c>
      <c r="Q150" s="422" t="str">
        <f>IFERROR(_xlfn.XLOOKUP(CONCATENATE($K150,Q$5,$L$2),BASE_DATOS[Reporte NSK],BASE_DATOS[NSK],,0),"")</f>
        <v/>
      </c>
      <c r="R150" s="422" t="str">
        <f>IFERROR(_xlfn.XLOOKUP(CONCATENATE($K150,R$5,$L$2),BASE_DATOS[Reporte NSK],BASE_DATOS[NSK],,0),"")</f>
        <v/>
      </c>
      <c r="S150" s="465" t="str">
        <f>IFERROR(_xlfn.XLOOKUP(CONCATENATE($K150,S$5,$L$2),BASE_DATOS[Reporte NSK],BASE_DATOS[NSK],,0),"")</f>
        <v/>
      </c>
      <c r="T150" s="466" t="str">
        <f>IFERROR(_xlfn.XLOOKUP(CONCATENATE($K150,T$5,$L$2),BASE_DATOS[Reporte NSK],BASE_DATOS[NSK],,0),"")</f>
        <v/>
      </c>
      <c r="U150" s="418" t="str">
        <f t="shared" si="5"/>
        <v/>
      </c>
    </row>
    <row r="151" spans="11:21" ht="10.199999999999999" customHeight="1" x14ac:dyDescent="0.2">
      <c r="K151" s="412"/>
      <c r="L151" s="415"/>
      <c r="M151" s="421" t="str">
        <f>IFERROR(_xlfn.XLOOKUP(CONCATENATE($K151,M$5,$L$2),BASE_DATOS[Reporte NSK],BASE_DATOS[NSK],,0),"")</f>
        <v/>
      </c>
      <c r="N151" s="422" t="str">
        <f>IFERROR(_xlfn.XLOOKUP(CONCATENATE($K151,N$5,$L$2),BASE_DATOS[Reporte NSK],BASE_DATOS[NSK],,0),"")</f>
        <v/>
      </c>
      <c r="O151" s="422" t="str">
        <f>IFERROR(_xlfn.XLOOKUP(CONCATENATE($K151,O$5,$L$2),BASE_DATOS[Reporte NSK],BASE_DATOS[NSK],,0),"")</f>
        <v/>
      </c>
      <c r="P151" s="422" t="str">
        <f>IFERROR(_xlfn.XLOOKUP(CONCATENATE($K151,P$5,$L$2),BASE_DATOS[Reporte NSK],BASE_DATOS[NSK],,0),"")</f>
        <v/>
      </c>
      <c r="Q151" s="422" t="str">
        <f>IFERROR(_xlfn.XLOOKUP(CONCATENATE($K151,Q$5,$L$2),BASE_DATOS[Reporte NSK],BASE_DATOS[NSK],,0),"")</f>
        <v/>
      </c>
      <c r="R151" s="422" t="str">
        <f>IFERROR(_xlfn.XLOOKUP(CONCATENATE($K151,R$5,$L$2),BASE_DATOS[Reporte NSK],BASE_DATOS[NSK],,0),"")</f>
        <v/>
      </c>
      <c r="S151" s="465" t="str">
        <f>IFERROR(_xlfn.XLOOKUP(CONCATENATE($K151,S$5,$L$2),BASE_DATOS[Reporte NSK],BASE_DATOS[NSK],,0),"")</f>
        <v/>
      </c>
      <c r="T151" s="466" t="str">
        <f>IFERROR(_xlfn.XLOOKUP(CONCATENATE($K151,T$5,$L$2),BASE_DATOS[Reporte NSK],BASE_DATOS[NSK],,0),"")</f>
        <v/>
      </c>
      <c r="U151" s="418" t="str">
        <f t="shared" si="5"/>
        <v/>
      </c>
    </row>
    <row r="152" spans="11:21" ht="10.199999999999999" customHeight="1" x14ac:dyDescent="0.2">
      <c r="K152" s="412"/>
      <c r="L152" s="415"/>
      <c r="M152" s="421" t="str">
        <f>IFERROR(_xlfn.XLOOKUP(CONCATENATE($K152,M$5,$L$2),BASE_DATOS[Reporte NSK],BASE_DATOS[NSK],,0),"")</f>
        <v/>
      </c>
      <c r="N152" s="422" t="str">
        <f>IFERROR(_xlfn.XLOOKUP(CONCATENATE($K152,N$5,$L$2),BASE_DATOS[Reporte NSK],BASE_DATOS[NSK],,0),"")</f>
        <v/>
      </c>
      <c r="O152" s="422" t="str">
        <f>IFERROR(_xlfn.XLOOKUP(CONCATENATE($K152,O$5,$L$2),BASE_DATOS[Reporte NSK],BASE_DATOS[NSK],,0),"")</f>
        <v/>
      </c>
      <c r="P152" s="422" t="str">
        <f>IFERROR(_xlfn.XLOOKUP(CONCATENATE($K152,P$5,$L$2),BASE_DATOS[Reporte NSK],BASE_DATOS[NSK],,0),"")</f>
        <v/>
      </c>
      <c r="Q152" s="422" t="str">
        <f>IFERROR(_xlfn.XLOOKUP(CONCATENATE($K152,Q$5,$L$2),BASE_DATOS[Reporte NSK],BASE_DATOS[NSK],,0),"")</f>
        <v/>
      </c>
      <c r="R152" s="422" t="str">
        <f>IFERROR(_xlfn.XLOOKUP(CONCATENATE($K152,R$5,$L$2),BASE_DATOS[Reporte NSK],BASE_DATOS[NSK],,0),"")</f>
        <v/>
      </c>
      <c r="S152" s="465" t="str">
        <f>IFERROR(_xlfn.XLOOKUP(CONCATENATE($K152,S$5,$L$2),BASE_DATOS[Reporte NSK],BASE_DATOS[NSK],,0),"")</f>
        <v/>
      </c>
      <c r="T152" s="466" t="str">
        <f>IFERROR(_xlfn.XLOOKUP(CONCATENATE($K152,T$5,$L$2),BASE_DATOS[Reporte NSK],BASE_DATOS[NSK],,0),"")</f>
        <v/>
      </c>
      <c r="U152" s="418" t="str">
        <f t="shared" si="5"/>
        <v/>
      </c>
    </row>
    <row r="153" spans="11:21" ht="10.199999999999999" customHeight="1" x14ac:dyDescent="0.2">
      <c r="K153" s="412"/>
      <c r="L153" s="415"/>
      <c r="M153" s="421" t="str">
        <f>IFERROR(_xlfn.XLOOKUP(CONCATENATE($K153,M$5,$L$2),BASE_DATOS[Reporte NSK],BASE_DATOS[NSK],,0),"")</f>
        <v/>
      </c>
      <c r="N153" s="422" t="str">
        <f>IFERROR(_xlfn.XLOOKUP(CONCATENATE($K153,N$5,$L$2),BASE_DATOS[Reporte NSK],BASE_DATOS[NSK],,0),"")</f>
        <v/>
      </c>
      <c r="O153" s="422" t="str">
        <f>IFERROR(_xlfn.XLOOKUP(CONCATENATE($K153,O$5,$L$2),BASE_DATOS[Reporte NSK],BASE_DATOS[NSK],,0),"")</f>
        <v/>
      </c>
      <c r="P153" s="422" t="str">
        <f>IFERROR(_xlfn.XLOOKUP(CONCATENATE($K153,P$5,$L$2),BASE_DATOS[Reporte NSK],BASE_DATOS[NSK],,0),"")</f>
        <v/>
      </c>
      <c r="Q153" s="422" t="str">
        <f>IFERROR(_xlfn.XLOOKUP(CONCATENATE($K153,Q$5,$L$2),BASE_DATOS[Reporte NSK],BASE_DATOS[NSK],,0),"")</f>
        <v/>
      </c>
      <c r="R153" s="422" t="str">
        <f>IFERROR(_xlfn.XLOOKUP(CONCATENATE($K153,R$5,$L$2),BASE_DATOS[Reporte NSK],BASE_DATOS[NSK],,0),"")</f>
        <v/>
      </c>
      <c r="S153" s="465" t="str">
        <f>IFERROR(_xlfn.XLOOKUP(CONCATENATE($K153,S$5,$L$2),BASE_DATOS[Reporte NSK],BASE_DATOS[NSK],,0),"")</f>
        <v/>
      </c>
      <c r="T153" s="466" t="str">
        <f>IFERROR(_xlfn.XLOOKUP(CONCATENATE($K153,T$5,$L$2),BASE_DATOS[Reporte NSK],BASE_DATOS[NSK],,0),"")</f>
        <v/>
      </c>
      <c r="U153" s="418" t="str">
        <f t="shared" si="5"/>
        <v/>
      </c>
    </row>
    <row r="154" spans="11:21" ht="10.199999999999999" customHeight="1" x14ac:dyDescent="0.2">
      <c r="K154" s="412"/>
      <c r="L154" s="415"/>
      <c r="M154" s="421" t="str">
        <f>IFERROR(_xlfn.XLOOKUP(CONCATENATE($K154,M$5,$L$2),BASE_DATOS[Reporte NSK],BASE_DATOS[NSK],,0),"")</f>
        <v/>
      </c>
      <c r="N154" s="422" t="str">
        <f>IFERROR(_xlfn.XLOOKUP(CONCATENATE($K154,N$5,$L$2),BASE_DATOS[Reporte NSK],BASE_DATOS[NSK],,0),"")</f>
        <v/>
      </c>
      <c r="O154" s="422" t="str">
        <f>IFERROR(_xlfn.XLOOKUP(CONCATENATE($K154,O$5,$L$2),BASE_DATOS[Reporte NSK],BASE_DATOS[NSK],,0),"")</f>
        <v/>
      </c>
      <c r="P154" s="422" t="str">
        <f>IFERROR(_xlfn.XLOOKUP(CONCATENATE($K154,P$5,$L$2),BASE_DATOS[Reporte NSK],BASE_DATOS[NSK],,0),"")</f>
        <v/>
      </c>
      <c r="Q154" s="422" t="str">
        <f>IFERROR(_xlfn.XLOOKUP(CONCATENATE($K154,Q$5,$L$2),BASE_DATOS[Reporte NSK],BASE_DATOS[NSK],,0),"")</f>
        <v/>
      </c>
      <c r="R154" s="422" t="str">
        <f>IFERROR(_xlfn.XLOOKUP(CONCATENATE($K154,R$5,$L$2),BASE_DATOS[Reporte NSK],BASE_DATOS[NSK],,0),"")</f>
        <v/>
      </c>
      <c r="S154" s="465" t="str">
        <f>IFERROR(_xlfn.XLOOKUP(CONCATENATE($K154,S$5,$L$2),BASE_DATOS[Reporte NSK],BASE_DATOS[NSK],,0),"")</f>
        <v/>
      </c>
      <c r="T154" s="466" t="str">
        <f>IFERROR(_xlfn.XLOOKUP(CONCATENATE($K154,T$5,$L$2),BASE_DATOS[Reporte NSK],BASE_DATOS[NSK],,0),"")</f>
        <v/>
      </c>
      <c r="U154" s="418" t="str">
        <f t="shared" si="5"/>
        <v/>
      </c>
    </row>
    <row r="155" spans="11:21" ht="10.199999999999999" customHeight="1" x14ac:dyDescent="0.2">
      <c r="K155" s="412"/>
      <c r="L155" s="415"/>
      <c r="M155" s="421" t="str">
        <f>IFERROR(_xlfn.XLOOKUP(CONCATENATE($K155,M$5,$L$2),BASE_DATOS[Reporte NSK],BASE_DATOS[NSK],,0),"")</f>
        <v/>
      </c>
      <c r="N155" s="422" t="str">
        <f>IFERROR(_xlfn.XLOOKUP(CONCATENATE($K155,N$5,$L$2),BASE_DATOS[Reporte NSK],BASE_DATOS[NSK],,0),"")</f>
        <v/>
      </c>
      <c r="O155" s="422" t="str">
        <f>IFERROR(_xlfn.XLOOKUP(CONCATENATE($K155,O$5,$L$2),BASE_DATOS[Reporte NSK],BASE_DATOS[NSK],,0),"")</f>
        <v/>
      </c>
      <c r="P155" s="422" t="str">
        <f>IFERROR(_xlfn.XLOOKUP(CONCATENATE($K155,P$5,$L$2),BASE_DATOS[Reporte NSK],BASE_DATOS[NSK],,0),"")</f>
        <v/>
      </c>
      <c r="Q155" s="422" t="str">
        <f>IFERROR(_xlfn.XLOOKUP(CONCATENATE($K155,Q$5,$L$2),BASE_DATOS[Reporte NSK],BASE_DATOS[NSK],,0),"")</f>
        <v/>
      </c>
      <c r="R155" s="422" t="str">
        <f>IFERROR(_xlfn.XLOOKUP(CONCATENATE($K155,R$5,$L$2),BASE_DATOS[Reporte NSK],BASE_DATOS[NSK],,0),"")</f>
        <v/>
      </c>
      <c r="S155" s="465" t="str">
        <f>IFERROR(_xlfn.XLOOKUP(CONCATENATE($K155,S$5,$L$2),BASE_DATOS[Reporte NSK],BASE_DATOS[NSK],,0),"")</f>
        <v/>
      </c>
      <c r="T155" s="466" t="str">
        <f>IFERROR(_xlfn.XLOOKUP(CONCATENATE($K155,T$5,$L$2),BASE_DATOS[Reporte NSK],BASE_DATOS[NSK],,0),"")</f>
        <v/>
      </c>
      <c r="U155" s="418" t="str">
        <f t="shared" si="5"/>
        <v/>
      </c>
    </row>
    <row r="156" spans="11:21" ht="10.199999999999999" customHeight="1" x14ac:dyDescent="0.2">
      <c r="K156" s="412"/>
      <c r="L156" s="415"/>
      <c r="M156" s="421" t="str">
        <f>IFERROR(_xlfn.XLOOKUP(CONCATENATE($K156,M$5,$L$2),BASE_DATOS[Reporte NSK],BASE_DATOS[NSK],,0),"")</f>
        <v/>
      </c>
      <c r="N156" s="422" t="str">
        <f>IFERROR(_xlfn.XLOOKUP(CONCATENATE($K156,N$5,$L$2),BASE_DATOS[Reporte NSK],BASE_DATOS[NSK],,0),"")</f>
        <v/>
      </c>
      <c r="O156" s="422" t="str">
        <f>IFERROR(_xlfn.XLOOKUP(CONCATENATE($K156,O$5,$L$2),BASE_DATOS[Reporte NSK],BASE_DATOS[NSK],,0),"")</f>
        <v/>
      </c>
      <c r="P156" s="422" t="str">
        <f>IFERROR(_xlfn.XLOOKUP(CONCATENATE($K156,P$5,$L$2),BASE_DATOS[Reporte NSK],BASE_DATOS[NSK],,0),"")</f>
        <v/>
      </c>
      <c r="Q156" s="422" t="str">
        <f>IFERROR(_xlfn.XLOOKUP(CONCATENATE($K156,Q$5,$L$2),BASE_DATOS[Reporte NSK],BASE_DATOS[NSK],,0),"")</f>
        <v/>
      </c>
      <c r="R156" s="422" t="str">
        <f>IFERROR(_xlfn.XLOOKUP(CONCATENATE($K156,R$5,$L$2),BASE_DATOS[Reporte NSK],BASE_DATOS[NSK],,0),"")</f>
        <v/>
      </c>
      <c r="S156" s="465" t="str">
        <f>IFERROR(_xlfn.XLOOKUP(CONCATENATE($K156,S$5,$L$2),BASE_DATOS[Reporte NSK],BASE_DATOS[NSK],,0),"")</f>
        <v/>
      </c>
      <c r="T156" s="466" t="str">
        <f>IFERROR(_xlfn.XLOOKUP(CONCATENATE($K156,T$5,$L$2),BASE_DATOS[Reporte NSK],BASE_DATOS[NSK],,0),"")</f>
        <v/>
      </c>
      <c r="U156" s="418" t="str">
        <f t="shared" si="5"/>
        <v/>
      </c>
    </row>
    <row r="157" spans="11:21" ht="10.199999999999999" customHeight="1" x14ac:dyDescent="0.2">
      <c r="K157" s="412"/>
      <c r="L157" s="415"/>
      <c r="M157" s="421" t="str">
        <f>IFERROR(_xlfn.XLOOKUP(CONCATENATE($K157,M$5,$L$2),BASE_DATOS[Reporte NSK],BASE_DATOS[NSK],,0),"")</f>
        <v/>
      </c>
      <c r="N157" s="422" t="str">
        <f>IFERROR(_xlfn.XLOOKUP(CONCATENATE($K157,N$5,$L$2),BASE_DATOS[Reporte NSK],BASE_DATOS[NSK],,0),"")</f>
        <v/>
      </c>
      <c r="O157" s="422" t="str">
        <f>IFERROR(_xlfn.XLOOKUP(CONCATENATE($K157,O$5,$L$2),BASE_DATOS[Reporte NSK],BASE_DATOS[NSK],,0),"")</f>
        <v/>
      </c>
      <c r="P157" s="422" t="str">
        <f>IFERROR(_xlfn.XLOOKUP(CONCATENATE($K157,P$5,$L$2),BASE_DATOS[Reporte NSK],BASE_DATOS[NSK],,0),"")</f>
        <v/>
      </c>
      <c r="Q157" s="422" t="str">
        <f>IFERROR(_xlfn.XLOOKUP(CONCATENATE($K157,Q$5,$L$2),BASE_DATOS[Reporte NSK],BASE_DATOS[NSK],,0),"")</f>
        <v/>
      </c>
      <c r="R157" s="422" t="str">
        <f>IFERROR(_xlfn.XLOOKUP(CONCATENATE($K157,R$5,$L$2),BASE_DATOS[Reporte NSK],BASE_DATOS[NSK],,0),"")</f>
        <v/>
      </c>
      <c r="S157" s="465" t="str">
        <f>IFERROR(_xlfn.XLOOKUP(CONCATENATE($K157,S$5,$L$2),BASE_DATOS[Reporte NSK],BASE_DATOS[NSK],,0),"")</f>
        <v/>
      </c>
      <c r="T157" s="466" t="str">
        <f>IFERROR(_xlfn.XLOOKUP(CONCATENATE($K157,T$5,$L$2),BASE_DATOS[Reporte NSK],BASE_DATOS[NSK],,0),"")</f>
        <v/>
      </c>
      <c r="U157" s="418" t="str">
        <f t="shared" si="5"/>
        <v/>
      </c>
    </row>
    <row r="158" spans="11:21" ht="10.199999999999999" customHeight="1" x14ac:dyDescent="0.2">
      <c r="K158" s="412"/>
      <c r="L158" s="415"/>
      <c r="M158" s="421" t="str">
        <f>IFERROR(_xlfn.XLOOKUP(CONCATENATE($K158,M$5,$L$2),BASE_DATOS[Reporte NSK],BASE_DATOS[NSK],,0),"")</f>
        <v/>
      </c>
      <c r="N158" s="422" t="str">
        <f>IFERROR(_xlfn.XLOOKUP(CONCATENATE($K158,N$5,$L$2),BASE_DATOS[Reporte NSK],BASE_DATOS[NSK],,0),"")</f>
        <v/>
      </c>
      <c r="O158" s="422" t="str">
        <f>IFERROR(_xlfn.XLOOKUP(CONCATENATE($K158,O$5,$L$2),BASE_DATOS[Reporte NSK],BASE_DATOS[NSK],,0),"")</f>
        <v/>
      </c>
      <c r="P158" s="422" t="str">
        <f>IFERROR(_xlfn.XLOOKUP(CONCATENATE($K158,P$5,$L$2),BASE_DATOS[Reporte NSK],BASE_DATOS[NSK],,0),"")</f>
        <v/>
      </c>
      <c r="Q158" s="422" t="str">
        <f>IFERROR(_xlfn.XLOOKUP(CONCATENATE($K158,Q$5,$L$2),BASE_DATOS[Reporte NSK],BASE_DATOS[NSK],,0),"")</f>
        <v/>
      </c>
      <c r="R158" s="422" t="str">
        <f>IFERROR(_xlfn.XLOOKUP(CONCATENATE($K158,R$5,$L$2),BASE_DATOS[Reporte NSK],BASE_DATOS[NSK],,0),"")</f>
        <v/>
      </c>
      <c r="S158" s="465" t="str">
        <f>IFERROR(_xlfn.XLOOKUP(CONCATENATE($K158,S$5,$L$2),BASE_DATOS[Reporte NSK],BASE_DATOS[NSK],,0),"")</f>
        <v/>
      </c>
      <c r="T158" s="466" t="str">
        <f>IFERROR(_xlfn.XLOOKUP(CONCATENATE($K158,T$5,$L$2),BASE_DATOS[Reporte NSK],BASE_DATOS[NSK],,0),"")</f>
        <v/>
      </c>
      <c r="U158" s="418" t="str">
        <f t="shared" si="5"/>
        <v/>
      </c>
    </row>
    <row r="159" spans="11:21" ht="10.199999999999999" customHeight="1" x14ac:dyDescent="0.2">
      <c r="K159" s="412"/>
      <c r="L159" s="415"/>
      <c r="M159" s="421" t="str">
        <f>IFERROR(_xlfn.XLOOKUP(CONCATENATE($K159,M$5,$L$2),BASE_DATOS[Reporte NSK],BASE_DATOS[NSK],,0),"")</f>
        <v/>
      </c>
      <c r="N159" s="422" t="str">
        <f>IFERROR(_xlfn.XLOOKUP(CONCATENATE($K159,N$5,$L$2),BASE_DATOS[Reporte NSK],BASE_DATOS[NSK],,0),"")</f>
        <v/>
      </c>
      <c r="O159" s="422" t="str">
        <f>IFERROR(_xlfn.XLOOKUP(CONCATENATE($K159,O$5,$L$2),BASE_DATOS[Reporte NSK],BASE_DATOS[NSK],,0),"")</f>
        <v/>
      </c>
      <c r="P159" s="422" t="str">
        <f>IFERROR(_xlfn.XLOOKUP(CONCATENATE($K159,P$5,$L$2),BASE_DATOS[Reporte NSK],BASE_DATOS[NSK],,0),"")</f>
        <v/>
      </c>
      <c r="Q159" s="422" t="str">
        <f>IFERROR(_xlfn.XLOOKUP(CONCATENATE($K159,Q$5,$L$2),BASE_DATOS[Reporte NSK],BASE_DATOS[NSK],,0),"")</f>
        <v/>
      </c>
      <c r="R159" s="422" t="str">
        <f>IFERROR(_xlfn.XLOOKUP(CONCATENATE($K159,R$5,$L$2),BASE_DATOS[Reporte NSK],BASE_DATOS[NSK],,0),"")</f>
        <v/>
      </c>
      <c r="S159" s="465" t="str">
        <f>IFERROR(_xlfn.XLOOKUP(CONCATENATE($K159,S$5,$L$2),BASE_DATOS[Reporte NSK],BASE_DATOS[NSK],,0),"")</f>
        <v/>
      </c>
      <c r="T159" s="466" t="str">
        <f>IFERROR(_xlfn.XLOOKUP(CONCATENATE($K159,T$5,$L$2),BASE_DATOS[Reporte NSK],BASE_DATOS[NSK],,0),"")</f>
        <v/>
      </c>
      <c r="U159" s="418" t="str">
        <f t="shared" si="5"/>
        <v/>
      </c>
    </row>
    <row r="160" spans="11:21" ht="10.199999999999999" customHeight="1" x14ac:dyDescent="0.2">
      <c r="K160" s="412"/>
      <c r="L160" s="415"/>
      <c r="M160" s="421" t="str">
        <f>IFERROR(_xlfn.XLOOKUP(CONCATENATE($K160,M$5,$L$2),BASE_DATOS[Reporte NSK],BASE_DATOS[NSK],,0),"")</f>
        <v/>
      </c>
      <c r="N160" s="422" t="str">
        <f>IFERROR(_xlfn.XLOOKUP(CONCATENATE($K160,N$5,$L$2),BASE_DATOS[Reporte NSK],BASE_DATOS[NSK],,0),"")</f>
        <v/>
      </c>
      <c r="O160" s="422" t="str">
        <f>IFERROR(_xlfn.XLOOKUP(CONCATENATE($K160,O$5,$L$2),BASE_DATOS[Reporte NSK],BASE_DATOS[NSK],,0),"")</f>
        <v/>
      </c>
      <c r="P160" s="422" t="str">
        <f>IFERROR(_xlfn.XLOOKUP(CONCATENATE($K160,P$5,$L$2),BASE_DATOS[Reporte NSK],BASE_DATOS[NSK],,0),"")</f>
        <v/>
      </c>
      <c r="Q160" s="422" t="str">
        <f>IFERROR(_xlfn.XLOOKUP(CONCATENATE($K160,Q$5,$L$2),BASE_DATOS[Reporte NSK],BASE_DATOS[NSK],,0),"")</f>
        <v/>
      </c>
      <c r="R160" s="422" t="str">
        <f>IFERROR(_xlfn.XLOOKUP(CONCATENATE($K160,R$5,$L$2),BASE_DATOS[Reporte NSK],BASE_DATOS[NSK],,0),"")</f>
        <v/>
      </c>
      <c r="S160" s="465" t="str">
        <f>IFERROR(_xlfn.XLOOKUP(CONCATENATE($K160,S$5,$L$2),BASE_DATOS[Reporte NSK],BASE_DATOS[NSK],,0),"")</f>
        <v/>
      </c>
      <c r="T160" s="466" t="str">
        <f>IFERROR(_xlfn.XLOOKUP(CONCATENATE($K160,T$5,$L$2),BASE_DATOS[Reporte NSK],BASE_DATOS[NSK],,0),"")</f>
        <v/>
      </c>
      <c r="U160" s="418" t="str">
        <f t="shared" si="5"/>
        <v/>
      </c>
    </row>
    <row r="161" spans="11:21" ht="10.199999999999999" customHeight="1" x14ac:dyDescent="0.2">
      <c r="K161" s="412"/>
      <c r="L161" s="415"/>
      <c r="M161" s="421" t="str">
        <f>IFERROR(_xlfn.XLOOKUP(CONCATENATE($K161,M$5,$L$2),BASE_DATOS[Reporte NSK],BASE_DATOS[NSK],,0),"")</f>
        <v/>
      </c>
      <c r="N161" s="422" t="str">
        <f>IFERROR(_xlfn.XLOOKUP(CONCATENATE($K161,N$5,$L$2),BASE_DATOS[Reporte NSK],BASE_DATOS[NSK],,0),"")</f>
        <v/>
      </c>
      <c r="O161" s="422" t="str">
        <f>IFERROR(_xlfn.XLOOKUP(CONCATENATE($K161,O$5,$L$2),BASE_DATOS[Reporte NSK],BASE_DATOS[NSK],,0),"")</f>
        <v/>
      </c>
      <c r="P161" s="422" t="str">
        <f>IFERROR(_xlfn.XLOOKUP(CONCATENATE($K161,P$5,$L$2),BASE_DATOS[Reporte NSK],BASE_DATOS[NSK],,0),"")</f>
        <v/>
      </c>
      <c r="Q161" s="422" t="str">
        <f>IFERROR(_xlfn.XLOOKUP(CONCATENATE($K161,Q$5,$L$2),BASE_DATOS[Reporte NSK],BASE_DATOS[NSK],,0),"")</f>
        <v/>
      </c>
      <c r="R161" s="422" t="str">
        <f>IFERROR(_xlfn.XLOOKUP(CONCATENATE($K161,R$5,$L$2),BASE_DATOS[Reporte NSK],BASE_DATOS[NSK],,0),"")</f>
        <v/>
      </c>
      <c r="S161" s="465" t="str">
        <f>IFERROR(_xlfn.XLOOKUP(CONCATENATE($K161,S$5,$L$2),BASE_DATOS[Reporte NSK],BASE_DATOS[NSK],,0),"")</f>
        <v/>
      </c>
      <c r="T161" s="466" t="str">
        <f>IFERROR(_xlfn.XLOOKUP(CONCATENATE($K161,T$5,$L$2),BASE_DATOS[Reporte NSK],BASE_DATOS[NSK],,0),"")</f>
        <v/>
      </c>
      <c r="U161" s="418" t="str">
        <f t="shared" si="5"/>
        <v/>
      </c>
    </row>
    <row r="162" spans="11:21" ht="10.199999999999999" customHeight="1" x14ac:dyDescent="0.2">
      <c r="K162" s="412"/>
      <c r="L162" s="415"/>
      <c r="M162" s="421" t="str">
        <f>IFERROR(_xlfn.XLOOKUP(CONCATENATE($K162,M$5,$L$2),BASE_DATOS[Reporte NSK],BASE_DATOS[NSK],,0),"")</f>
        <v/>
      </c>
      <c r="N162" s="422" t="str">
        <f>IFERROR(_xlfn.XLOOKUP(CONCATENATE($K162,N$5,$L$2),BASE_DATOS[Reporte NSK],BASE_DATOS[NSK],,0),"")</f>
        <v/>
      </c>
      <c r="O162" s="422" t="str">
        <f>IFERROR(_xlfn.XLOOKUP(CONCATENATE($K162,O$5,$L$2),BASE_DATOS[Reporte NSK],BASE_DATOS[NSK],,0),"")</f>
        <v/>
      </c>
      <c r="P162" s="422" t="str">
        <f>IFERROR(_xlfn.XLOOKUP(CONCATENATE($K162,P$5,$L$2),BASE_DATOS[Reporte NSK],BASE_DATOS[NSK],,0),"")</f>
        <v/>
      </c>
      <c r="Q162" s="422" t="str">
        <f>IFERROR(_xlfn.XLOOKUP(CONCATENATE($K162,Q$5,$L$2),BASE_DATOS[Reporte NSK],BASE_DATOS[NSK],,0),"")</f>
        <v/>
      </c>
      <c r="R162" s="422" t="str">
        <f>IFERROR(_xlfn.XLOOKUP(CONCATENATE($K162,R$5,$L$2),BASE_DATOS[Reporte NSK],BASE_DATOS[NSK],,0),"")</f>
        <v/>
      </c>
      <c r="S162" s="465" t="str">
        <f>IFERROR(_xlfn.XLOOKUP(CONCATENATE($K162,S$5,$L$2),BASE_DATOS[Reporte NSK],BASE_DATOS[NSK],,0),"")</f>
        <v/>
      </c>
      <c r="T162" s="466" t="str">
        <f>IFERROR(_xlfn.XLOOKUP(CONCATENATE($K162,T$5,$L$2),BASE_DATOS[Reporte NSK],BASE_DATOS[NSK],,0),"")</f>
        <v/>
      </c>
      <c r="U162" s="418" t="str">
        <f t="shared" si="5"/>
        <v/>
      </c>
    </row>
    <row r="163" spans="11:21" ht="10.199999999999999" customHeight="1" x14ac:dyDescent="0.2">
      <c r="K163" s="412"/>
      <c r="L163" s="415"/>
      <c r="M163" s="421" t="str">
        <f>IFERROR(_xlfn.XLOOKUP(CONCATENATE($K163,M$5,$L$2),BASE_DATOS[Reporte NSK],BASE_DATOS[NSK],,0),"")</f>
        <v/>
      </c>
      <c r="N163" s="422" t="str">
        <f>IFERROR(_xlfn.XLOOKUP(CONCATENATE($K163,N$5,$L$2),BASE_DATOS[Reporte NSK],BASE_DATOS[NSK],,0),"")</f>
        <v/>
      </c>
      <c r="O163" s="422" t="str">
        <f>IFERROR(_xlfn.XLOOKUP(CONCATENATE($K163,O$5,$L$2),BASE_DATOS[Reporte NSK],BASE_DATOS[NSK],,0),"")</f>
        <v/>
      </c>
      <c r="P163" s="422" t="str">
        <f>IFERROR(_xlfn.XLOOKUP(CONCATENATE($K163,P$5,$L$2),BASE_DATOS[Reporte NSK],BASE_DATOS[NSK],,0),"")</f>
        <v/>
      </c>
      <c r="Q163" s="422" t="str">
        <f>IFERROR(_xlfn.XLOOKUP(CONCATENATE($K163,Q$5,$L$2),BASE_DATOS[Reporte NSK],BASE_DATOS[NSK],,0),"")</f>
        <v/>
      </c>
      <c r="R163" s="422" t="str">
        <f>IFERROR(_xlfn.XLOOKUP(CONCATENATE($K163,R$5,$L$2),BASE_DATOS[Reporte NSK],BASE_DATOS[NSK],,0),"")</f>
        <v/>
      </c>
      <c r="S163" s="465" t="str">
        <f>IFERROR(_xlfn.XLOOKUP(CONCATENATE($K163,S$5,$L$2),BASE_DATOS[Reporte NSK],BASE_DATOS[NSK],,0),"")</f>
        <v/>
      </c>
      <c r="T163" s="466" t="str">
        <f>IFERROR(_xlfn.XLOOKUP(CONCATENATE($K163,T$5,$L$2),BASE_DATOS[Reporte NSK],BASE_DATOS[NSK],,0),"")</f>
        <v/>
      </c>
      <c r="U163" s="418" t="str">
        <f t="shared" si="5"/>
        <v/>
      </c>
    </row>
    <row r="164" spans="11:21" ht="10.199999999999999" customHeight="1" x14ac:dyDescent="0.2">
      <c r="K164" s="412"/>
      <c r="L164" s="415"/>
      <c r="M164" s="421" t="str">
        <f>IFERROR(_xlfn.XLOOKUP(CONCATENATE($K164,M$5,$L$2),BASE_DATOS[Reporte NSK],BASE_DATOS[NSK],,0),"")</f>
        <v/>
      </c>
      <c r="N164" s="422" t="str">
        <f>IFERROR(_xlfn.XLOOKUP(CONCATENATE($K164,N$5,$L$2),BASE_DATOS[Reporte NSK],BASE_DATOS[NSK],,0),"")</f>
        <v/>
      </c>
      <c r="O164" s="422" t="str">
        <f>IFERROR(_xlfn.XLOOKUP(CONCATENATE($K164,O$5,$L$2),BASE_DATOS[Reporte NSK],BASE_DATOS[NSK],,0),"")</f>
        <v/>
      </c>
      <c r="P164" s="422" t="str">
        <f>IFERROR(_xlfn.XLOOKUP(CONCATENATE($K164,P$5,$L$2),BASE_DATOS[Reporte NSK],BASE_DATOS[NSK],,0),"")</f>
        <v/>
      </c>
      <c r="Q164" s="422" t="str">
        <f>IFERROR(_xlfn.XLOOKUP(CONCATENATE($K164,Q$5,$L$2),BASE_DATOS[Reporte NSK],BASE_DATOS[NSK],,0),"")</f>
        <v/>
      </c>
      <c r="R164" s="422" t="str">
        <f>IFERROR(_xlfn.XLOOKUP(CONCATENATE($K164,R$5,$L$2),BASE_DATOS[Reporte NSK],BASE_DATOS[NSK],,0),"")</f>
        <v/>
      </c>
      <c r="S164" s="465" t="str">
        <f>IFERROR(_xlfn.XLOOKUP(CONCATENATE($K164,S$5,$L$2),BASE_DATOS[Reporte NSK],BASE_DATOS[NSK],,0),"")</f>
        <v/>
      </c>
      <c r="T164" s="466" t="str">
        <f>IFERROR(_xlfn.XLOOKUP(CONCATENATE($K164,T$5,$L$2),BASE_DATOS[Reporte NSK],BASE_DATOS[NSK],,0),"")</f>
        <v/>
      </c>
      <c r="U164" s="418" t="str">
        <f t="shared" si="5"/>
        <v/>
      </c>
    </row>
    <row r="165" spans="11:21" ht="10.199999999999999" customHeight="1" x14ac:dyDescent="0.2">
      <c r="K165" s="412"/>
      <c r="L165" s="415"/>
      <c r="M165" s="421" t="str">
        <f>IFERROR(_xlfn.XLOOKUP(CONCATENATE($K165,M$5,$L$2),BASE_DATOS[Reporte NSK],BASE_DATOS[NSK],,0),"")</f>
        <v/>
      </c>
      <c r="N165" s="422" t="str">
        <f>IFERROR(_xlfn.XLOOKUP(CONCATENATE($K165,N$5,$L$2),BASE_DATOS[Reporte NSK],BASE_DATOS[NSK],,0),"")</f>
        <v/>
      </c>
      <c r="O165" s="422" t="str">
        <f>IFERROR(_xlfn.XLOOKUP(CONCATENATE($K165,O$5,$L$2),BASE_DATOS[Reporte NSK],BASE_DATOS[NSK],,0),"")</f>
        <v/>
      </c>
      <c r="P165" s="422" t="str">
        <f>IFERROR(_xlfn.XLOOKUP(CONCATENATE($K165,P$5,$L$2),BASE_DATOS[Reporte NSK],BASE_DATOS[NSK],,0),"")</f>
        <v/>
      </c>
      <c r="Q165" s="422" t="str">
        <f>IFERROR(_xlfn.XLOOKUP(CONCATENATE($K165,Q$5,$L$2),BASE_DATOS[Reporte NSK],BASE_DATOS[NSK],,0),"")</f>
        <v/>
      </c>
      <c r="R165" s="422" t="str">
        <f>IFERROR(_xlfn.XLOOKUP(CONCATENATE($K165,R$5,$L$2),BASE_DATOS[Reporte NSK],BASE_DATOS[NSK],,0),"")</f>
        <v/>
      </c>
      <c r="S165" s="465" t="str">
        <f>IFERROR(_xlfn.XLOOKUP(CONCATENATE($K165,S$5,$L$2),BASE_DATOS[Reporte NSK],BASE_DATOS[NSK],,0),"")</f>
        <v/>
      </c>
      <c r="T165" s="466" t="str">
        <f>IFERROR(_xlfn.XLOOKUP(CONCATENATE($K165,T$5,$L$2),BASE_DATOS[Reporte NSK],BASE_DATOS[NSK],,0),"")</f>
        <v/>
      </c>
      <c r="U165" s="418" t="str">
        <f t="shared" si="5"/>
        <v/>
      </c>
    </row>
    <row r="166" spans="11:21" ht="10.199999999999999" customHeight="1" x14ac:dyDescent="0.2">
      <c r="K166" s="412"/>
      <c r="L166" s="415"/>
      <c r="M166" s="421" t="str">
        <f>IFERROR(_xlfn.XLOOKUP(CONCATENATE($K166,M$5,$L$2),BASE_DATOS[Reporte NSK],BASE_DATOS[NSK],,0),"")</f>
        <v/>
      </c>
      <c r="N166" s="422" t="str">
        <f>IFERROR(_xlfn.XLOOKUP(CONCATENATE($K166,N$5,$L$2),BASE_DATOS[Reporte NSK],BASE_DATOS[NSK],,0),"")</f>
        <v/>
      </c>
      <c r="O166" s="422" t="str">
        <f>IFERROR(_xlfn.XLOOKUP(CONCATENATE($K166,O$5,$L$2),BASE_DATOS[Reporte NSK],BASE_DATOS[NSK],,0),"")</f>
        <v/>
      </c>
      <c r="P166" s="422" t="str">
        <f>IFERROR(_xlfn.XLOOKUP(CONCATENATE($K166,P$5,$L$2),BASE_DATOS[Reporte NSK],BASE_DATOS[NSK],,0),"")</f>
        <v/>
      </c>
      <c r="Q166" s="422" t="str">
        <f>IFERROR(_xlfn.XLOOKUP(CONCATENATE($K166,Q$5,$L$2),BASE_DATOS[Reporte NSK],BASE_DATOS[NSK],,0),"")</f>
        <v/>
      </c>
      <c r="R166" s="422" t="str">
        <f>IFERROR(_xlfn.XLOOKUP(CONCATENATE($K166,R$5,$L$2),BASE_DATOS[Reporte NSK],BASE_DATOS[NSK],,0),"")</f>
        <v/>
      </c>
      <c r="S166" s="465" t="str">
        <f>IFERROR(_xlfn.XLOOKUP(CONCATENATE($K166,S$5,$L$2),BASE_DATOS[Reporte NSK],BASE_DATOS[NSK],,0),"")</f>
        <v/>
      </c>
      <c r="T166" s="466" t="str">
        <f>IFERROR(_xlfn.XLOOKUP(CONCATENATE($K166,T$5,$L$2),BASE_DATOS[Reporte NSK],BASE_DATOS[NSK],,0),"")</f>
        <v/>
      </c>
      <c r="U166" s="418" t="str">
        <f t="shared" ref="U166:U197" si="6">IF(COUNT(M166:T166)&gt;0,COUNT(M166:T166),"")</f>
        <v/>
      </c>
    </row>
    <row r="167" spans="11:21" ht="10.199999999999999" customHeight="1" x14ac:dyDescent="0.2">
      <c r="K167" s="412"/>
      <c r="L167" s="415"/>
      <c r="M167" s="421" t="str">
        <f>IFERROR(_xlfn.XLOOKUP(CONCATENATE($K167,M$5,$L$2),BASE_DATOS[Reporte NSK],BASE_DATOS[NSK],,0),"")</f>
        <v/>
      </c>
      <c r="N167" s="422" t="str">
        <f>IFERROR(_xlfn.XLOOKUP(CONCATENATE($K167,N$5,$L$2),BASE_DATOS[Reporte NSK],BASE_DATOS[NSK],,0),"")</f>
        <v/>
      </c>
      <c r="O167" s="422" t="str">
        <f>IFERROR(_xlfn.XLOOKUP(CONCATENATE($K167,O$5,$L$2),BASE_DATOS[Reporte NSK],BASE_DATOS[NSK],,0),"")</f>
        <v/>
      </c>
      <c r="P167" s="422" t="str">
        <f>IFERROR(_xlfn.XLOOKUP(CONCATENATE($K167,P$5,$L$2),BASE_DATOS[Reporte NSK],BASE_DATOS[NSK],,0),"")</f>
        <v/>
      </c>
      <c r="Q167" s="422" t="str">
        <f>IFERROR(_xlfn.XLOOKUP(CONCATENATE($K167,Q$5,$L$2),BASE_DATOS[Reporte NSK],BASE_DATOS[NSK],,0),"")</f>
        <v/>
      </c>
      <c r="R167" s="422" t="str">
        <f>IFERROR(_xlfn.XLOOKUP(CONCATENATE($K167,R$5,$L$2),BASE_DATOS[Reporte NSK],BASE_DATOS[NSK],,0),"")</f>
        <v/>
      </c>
      <c r="S167" s="465" t="str">
        <f>IFERROR(_xlfn.XLOOKUP(CONCATENATE($K167,S$5,$L$2),BASE_DATOS[Reporte NSK],BASE_DATOS[NSK],,0),"")</f>
        <v/>
      </c>
      <c r="T167" s="466" t="str">
        <f>IFERROR(_xlfn.XLOOKUP(CONCATENATE($K167,T$5,$L$2),BASE_DATOS[Reporte NSK],BASE_DATOS[NSK],,0),"")</f>
        <v/>
      </c>
      <c r="U167" s="418" t="str">
        <f t="shared" si="6"/>
        <v/>
      </c>
    </row>
    <row r="168" spans="11:21" ht="10.199999999999999" customHeight="1" x14ac:dyDescent="0.2">
      <c r="K168" s="412"/>
      <c r="L168" s="415"/>
      <c r="M168" s="421" t="str">
        <f>IFERROR(_xlfn.XLOOKUP(CONCATENATE($K168,M$5,$L$2),BASE_DATOS[Reporte NSK],BASE_DATOS[NSK],,0),"")</f>
        <v/>
      </c>
      <c r="N168" s="422" t="str">
        <f>IFERROR(_xlfn.XLOOKUP(CONCATENATE($K168,N$5,$L$2),BASE_DATOS[Reporte NSK],BASE_DATOS[NSK],,0),"")</f>
        <v/>
      </c>
      <c r="O168" s="422" t="str">
        <f>IFERROR(_xlfn.XLOOKUP(CONCATENATE($K168,O$5,$L$2),BASE_DATOS[Reporte NSK],BASE_DATOS[NSK],,0),"")</f>
        <v/>
      </c>
      <c r="P168" s="422" t="str">
        <f>IFERROR(_xlfn.XLOOKUP(CONCATENATE($K168,P$5,$L$2),BASE_DATOS[Reporte NSK],BASE_DATOS[NSK],,0),"")</f>
        <v/>
      </c>
      <c r="Q168" s="422" t="str">
        <f>IFERROR(_xlfn.XLOOKUP(CONCATENATE($K168,Q$5,$L$2),BASE_DATOS[Reporte NSK],BASE_DATOS[NSK],,0),"")</f>
        <v/>
      </c>
      <c r="R168" s="422" t="str">
        <f>IFERROR(_xlfn.XLOOKUP(CONCATENATE($K168,R$5,$L$2),BASE_DATOS[Reporte NSK],BASE_DATOS[NSK],,0),"")</f>
        <v/>
      </c>
      <c r="S168" s="465" t="str">
        <f>IFERROR(_xlfn.XLOOKUP(CONCATENATE($K168,S$5,$L$2),BASE_DATOS[Reporte NSK],BASE_DATOS[NSK],,0),"")</f>
        <v/>
      </c>
      <c r="T168" s="466" t="str">
        <f>IFERROR(_xlfn.XLOOKUP(CONCATENATE($K168,T$5,$L$2),BASE_DATOS[Reporte NSK],BASE_DATOS[NSK],,0),"")</f>
        <v/>
      </c>
      <c r="U168" s="418" t="str">
        <f t="shared" si="6"/>
        <v/>
      </c>
    </row>
    <row r="169" spans="11:21" ht="10.199999999999999" customHeight="1" x14ac:dyDescent="0.2">
      <c r="K169" s="412"/>
      <c r="L169" s="415"/>
      <c r="M169" s="421" t="str">
        <f>IFERROR(_xlfn.XLOOKUP(CONCATENATE($K169,M$5,$L$2),BASE_DATOS[Reporte NSK],BASE_DATOS[NSK],,0),"")</f>
        <v/>
      </c>
      <c r="N169" s="422" t="str">
        <f>IFERROR(_xlfn.XLOOKUP(CONCATENATE($K169,N$5,$L$2),BASE_DATOS[Reporte NSK],BASE_DATOS[NSK],,0),"")</f>
        <v/>
      </c>
      <c r="O169" s="422" t="str">
        <f>IFERROR(_xlfn.XLOOKUP(CONCATENATE($K169,O$5,$L$2),BASE_DATOS[Reporte NSK],BASE_DATOS[NSK],,0),"")</f>
        <v/>
      </c>
      <c r="P169" s="422" t="str">
        <f>IFERROR(_xlfn.XLOOKUP(CONCATENATE($K169,P$5,$L$2),BASE_DATOS[Reporte NSK],BASE_DATOS[NSK],,0),"")</f>
        <v/>
      </c>
      <c r="Q169" s="422" t="str">
        <f>IFERROR(_xlfn.XLOOKUP(CONCATENATE($K169,Q$5,$L$2),BASE_DATOS[Reporte NSK],BASE_DATOS[NSK],,0),"")</f>
        <v/>
      </c>
      <c r="R169" s="422" t="str">
        <f>IFERROR(_xlfn.XLOOKUP(CONCATENATE($K169,R$5,$L$2),BASE_DATOS[Reporte NSK],BASE_DATOS[NSK],,0),"")</f>
        <v/>
      </c>
      <c r="S169" s="465" t="str">
        <f>IFERROR(_xlfn.XLOOKUP(CONCATENATE($K169,S$5,$L$2),BASE_DATOS[Reporte NSK],BASE_DATOS[NSK],,0),"")</f>
        <v/>
      </c>
      <c r="T169" s="466" t="str">
        <f>IFERROR(_xlfn.XLOOKUP(CONCATENATE($K169,T$5,$L$2),BASE_DATOS[Reporte NSK],BASE_DATOS[NSK],,0),"")</f>
        <v/>
      </c>
      <c r="U169" s="418" t="str">
        <f t="shared" si="6"/>
        <v/>
      </c>
    </row>
    <row r="170" spans="11:21" ht="10.199999999999999" customHeight="1" x14ac:dyDescent="0.2">
      <c r="K170" s="412"/>
      <c r="L170" s="415"/>
      <c r="M170" s="421" t="str">
        <f>IFERROR(_xlfn.XLOOKUP(CONCATENATE($K170,M$5,$L$2),BASE_DATOS[Reporte NSK],BASE_DATOS[NSK],,0),"")</f>
        <v/>
      </c>
      <c r="N170" s="422" t="str">
        <f>IFERROR(_xlfn.XLOOKUP(CONCATENATE($K170,N$5,$L$2),BASE_DATOS[Reporte NSK],BASE_DATOS[NSK],,0),"")</f>
        <v/>
      </c>
      <c r="O170" s="422" t="str">
        <f>IFERROR(_xlfn.XLOOKUP(CONCATENATE($K170,O$5,$L$2),BASE_DATOS[Reporte NSK],BASE_DATOS[NSK],,0),"")</f>
        <v/>
      </c>
      <c r="P170" s="422" t="str">
        <f>IFERROR(_xlfn.XLOOKUP(CONCATENATE($K170,P$5,$L$2),BASE_DATOS[Reporte NSK],BASE_DATOS[NSK],,0),"")</f>
        <v/>
      </c>
      <c r="Q170" s="422" t="str">
        <f>IFERROR(_xlfn.XLOOKUP(CONCATENATE($K170,Q$5,$L$2),BASE_DATOS[Reporte NSK],BASE_DATOS[NSK],,0),"")</f>
        <v/>
      </c>
      <c r="R170" s="422" t="str">
        <f>IFERROR(_xlfn.XLOOKUP(CONCATENATE($K170,R$5,$L$2),BASE_DATOS[Reporte NSK],BASE_DATOS[NSK],,0),"")</f>
        <v/>
      </c>
      <c r="S170" s="465" t="str">
        <f>IFERROR(_xlfn.XLOOKUP(CONCATENATE($K170,S$5,$L$2),BASE_DATOS[Reporte NSK],BASE_DATOS[NSK],,0),"")</f>
        <v/>
      </c>
      <c r="T170" s="466" t="str">
        <f>IFERROR(_xlfn.XLOOKUP(CONCATENATE($K170,T$5,$L$2),BASE_DATOS[Reporte NSK],BASE_DATOS[NSK],,0),"")</f>
        <v/>
      </c>
      <c r="U170" s="418" t="str">
        <f t="shared" si="6"/>
        <v/>
      </c>
    </row>
    <row r="171" spans="11:21" ht="10.199999999999999" customHeight="1" x14ac:dyDescent="0.2">
      <c r="K171" s="412"/>
      <c r="L171" s="415"/>
      <c r="M171" s="421" t="str">
        <f>IFERROR(_xlfn.XLOOKUP(CONCATENATE($K171,M$5,$L$2),BASE_DATOS[Reporte NSK],BASE_DATOS[NSK],,0),"")</f>
        <v/>
      </c>
      <c r="N171" s="422" t="str">
        <f>IFERROR(_xlfn.XLOOKUP(CONCATENATE($K171,N$5,$L$2),BASE_DATOS[Reporte NSK],BASE_DATOS[NSK],,0),"")</f>
        <v/>
      </c>
      <c r="O171" s="422" t="str">
        <f>IFERROR(_xlfn.XLOOKUP(CONCATENATE($K171,O$5,$L$2),BASE_DATOS[Reporte NSK],BASE_DATOS[NSK],,0),"")</f>
        <v/>
      </c>
      <c r="P171" s="422" t="str">
        <f>IFERROR(_xlfn.XLOOKUP(CONCATENATE($K171,P$5,$L$2),BASE_DATOS[Reporte NSK],BASE_DATOS[NSK],,0),"")</f>
        <v/>
      </c>
      <c r="Q171" s="422" t="str">
        <f>IFERROR(_xlfn.XLOOKUP(CONCATENATE($K171,Q$5,$L$2),BASE_DATOS[Reporte NSK],BASE_DATOS[NSK],,0),"")</f>
        <v/>
      </c>
      <c r="R171" s="422" t="str">
        <f>IFERROR(_xlfn.XLOOKUP(CONCATENATE($K171,R$5,$L$2),BASE_DATOS[Reporte NSK],BASE_DATOS[NSK],,0),"")</f>
        <v/>
      </c>
      <c r="S171" s="465" t="str">
        <f>IFERROR(_xlfn.XLOOKUP(CONCATENATE($K171,S$5,$L$2),BASE_DATOS[Reporte NSK],BASE_DATOS[NSK],,0),"")</f>
        <v/>
      </c>
      <c r="T171" s="466" t="str">
        <f>IFERROR(_xlfn.XLOOKUP(CONCATENATE($K171,T$5,$L$2),BASE_DATOS[Reporte NSK],BASE_DATOS[NSK],,0),"")</f>
        <v/>
      </c>
      <c r="U171" s="418" t="str">
        <f t="shared" si="6"/>
        <v/>
      </c>
    </row>
    <row r="172" spans="11:21" ht="10.199999999999999" customHeight="1" x14ac:dyDescent="0.2">
      <c r="K172" s="412"/>
      <c r="L172" s="415"/>
      <c r="M172" s="421" t="str">
        <f>IFERROR(_xlfn.XLOOKUP(CONCATENATE($K172,M$5,$L$2),BASE_DATOS[Reporte NSK],BASE_DATOS[NSK],,0),"")</f>
        <v/>
      </c>
      <c r="N172" s="422" t="str">
        <f>IFERROR(_xlfn.XLOOKUP(CONCATENATE($K172,N$5,$L$2),BASE_DATOS[Reporte NSK],BASE_DATOS[NSK],,0),"")</f>
        <v/>
      </c>
      <c r="O172" s="422" t="str">
        <f>IFERROR(_xlfn.XLOOKUP(CONCATENATE($K172,O$5,$L$2),BASE_DATOS[Reporte NSK],BASE_DATOS[NSK],,0),"")</f>
        <v/>
      </c>
      <c r="P172" s="422" t="str">
        <f>IFERROR(_xlfn.XLOOKUP(CONCATENATE($K172,P$5,$L$2),BASE_DATOS[Reporte NSK],BASE_DATOS[NSK],,0),"")</f>
        <v/>
      </c>
      <c r="Q172" s="422" t="str">
        <f>IFERROR(_xlfn.XLOOKUP(CONCATENATE($K172,Q$5,$L$2),BASE_DATOS[Reporte NSK],BASE_DATOS[NSK],,0),"")</f>
        <v/>
      </c>
      <c r="R172" s="422" t="str">
        <f>IFERROR(_xlfn.XLOOKUP(CONCATENATE($K172,R$5,$L$2),BASE_DATOS[Reporte NSK],BASE_DATOS[NSK],,0),"")</f>
        <v/>
      </c>
      <c r="S172" s="465" t="str">
        <f>IFERROR(_xlfn.XLOOKUP(CONCATENATE($K172,S$5,$L$2),BASE_DATOS[Reporte NSK],BASE_DATOS[NSK],,0),"")</f>
        <v/>
      </c>
      <c r="T172" s="466" t="str">
        <f>IFERROR(_xlfn.XLOOKUP(CONCATENATE($K172,T$5,$L$2),BASE_DATOS[Reporte NSK],BASE_DATOS[NSK],,0),"")</f>
        <v/>
      </c>
      <c r="U172" s="418" t="str">
        <f t="shared" si="6"/>
        <v/>
      </c>
    </row>
    <row r="173" spans="11:21" ht="10.199999999999999" customHeight="1" x14ac:dyDescent="0.2">
      <c r="K173" s="412"/>
      <c r="L173" s="415"/>
      <c r="M173" s="421" t="str">
        <f>IFERROR(_xlfn.XLOOKUP(CONCATENATE($K173,M$5,$L$2),BASE_DATOS[Reporte NSK],BASE_DATOS[NSK],,0),"")</f>
        <v/>
      </c>
      <c r="N173" s="422" t="str">
        <f>IFERROR(_xlfn.XLOOKUP(CONCATENATE($K173,N$5,$L$2),BASE_DATOS[Reporte NSK],BASE_DATOS[NSK],,0),"")</f>
        <v/>
      </c>
      <c r="O173" s="422" t="str">
        <f>IFERROR(_xlfn.XLOOKUP(CONCATENATE($K173,O$5,$L$2),BASE_DATOS[Reporte NSK],BASE_DATOS[NSK],,0),"")</f>
        <v/>
      </c>
      <c r="P173" s="422" t="str">
        <f>IFERROR(_xlfn.XLOOKUP(CONCATENATE($K173,P$5,$L$2),BASE_DATOS[Reporte NSK],BASE_DATOS[NSK],,0),"")</f>
        <v/>
      </c>
      <c r="Q173" s="422" t="str">
        <f>IFERROR(_xlfn.XLOOKUP(CONCATENATE($K173,Q$5,$L$2),BASE_DATOS[Reporte NSK],BASE_DATOS[NSK],,0),"")</f>
        <v/>
      </c>
      <c r="R173" s="422" t="str">
        <f>IFERROR(_xlfn.XLOOKUP(CONCATENATE($K173,R$5,$L$2),BASE_DATOS[Reporte NSK],BASE_DATOS[NSK],,0),"")</f>
        <v/>
      </c>
      <c r="S173" s="465" t="str">
        <f>IFERROR(_xlfn.XLOOKUP(CONCATENATE($K173,S$5,$L$2),BASE_DATOS[Reporte NSK],BASE_DATOS[NSK],,0),"")</f>
        <v/>
      </c>
      <c r="T173" s="466" t="str">
        <f>IFERROR(_xlfn.XLOOKUP(CONCATENATE($K173,T$5,$L$2),BASE_DATOS[Reporte NSK],BASE_DATOS[NSK],,0),"")</f>
        <v/>
      </c>
      <c r="U173" s="418" t="str">
        <f t="shared" si="6"/>
        <v/>
      </c>
    </row>
    <row r="174" spans="11:21" ht="10.199999999999999" customHeight="1" x14ac:dyDescent="0.2">
      <c r="K174" s="412"/>
      <c r="L174" s="415"/>
      <c r="M174" s="421" t="str">
        <f>IFERROR(_xlfn.XLOOKUP(CONCATENATE($K174,M$5,$L$2),BASE_DATOS[Reporte NSK],BASE_DATOS[NSK],,0),"")</f>
        <v/>
      </c>
      <c r="N174" s="422" t="str">
        <f>IFERROR(_xlfn.XLOOKUP(CONCATENATE($K174,N$5,$L$2),BASE_DATOS[Reporte NSK],BASE_DATOS[NSK],,0),"")</f>
        <v/>
      </c>
      <c r="O174" s="422" t="str">
        <f>IFERROR(_xlfn.XLOOKUP(CONCATENATE($K174,O$5,$L$2),BASE_DATOS[Reporte NSK],BASE_DATOS[NSK],,0),"")</f>
        <v/>
      </c>
      <c r="P174" s="422" t="str">
        <f>IFERROR(_xlfn.XLOOKUP(CONCATENATE($K174,P$5,$L$2),BASE_DATOS[Reporte NSK],BASE_DATOS[NSK],,0),"")</f>
        <v/>
      </c>
      <c r="Q174" s="422" t="str">
        <f>IFERROR(_xlfn.XLOOKUP(CONCATENATE($K174,Q$5,$L$2),BASE_DATOS[Reporte NSK],BASE_DATOS[NSK],,0),"")</f>
        <v/>
      </c>
      <c r="R174" s="422" t="str">
        <f>IFERROR(_xlfn.XLOOKUP(CONCATENATE($K174,R$5,$L$2),BASE_DATOS[Reporte NSK],BASE_DATOS[NSK],,0),"")</f>
        <v/>
      </c>
      <c r="S174" s="465" t="str">
        <f>IFERROR(_xlfn.XLOOKUP(CONCATENATE($K174,S$5,$L$2),BASE_DATOS[Reporte NSK],BASE_DATOS[NSK],,0),"")</f>
        <v/>
      </c>
      <c r="T174" s="466" t="str">
        <f>IFERROR(_xlfn.XLOOKUP(CONCATENATE($K174,T$5,$L$2),BASE_DATOS[Reporte NSK],BASE_DATOS[NSK],,0),"")</f>
        <v/>
      </c>
      <c r="U174" s="418" t="str">
        <f t="shared" si="6"/>
        <v/>
      </c>
    </row>
    <row r="175" spans="11:21" ht="10.199999999999999" customHeight="1" x14ac:dyDescent="0.2">
      <c r="K175" s="412"/>
      <c r="L175" s="415"/>
      <c r="M175" s="421" t="str">
        <f>IFERROR(_xlfn.XLOOKUP(CONCATENATE($K175,M$5,$L$2),BASE_DATOS[Reporte NSK],BASE_DATOS[NSK],,0),"")</f>
        <v/>
      </c>
      <c r="N175" s="422" t="str">
        <f>IFERROR(_xlfn.XLOOKUP(CONCATENATE($K175,N$5,$L$2),BASE_DATOS[Reporte NSK],BASE_DATOS[NSK],,0),"")</f>
        <v/>
      </c>
      <c r="O175" s="422" t="str">
        <f>IFERROR(_xlfn.XLOOKUP(CONCATENATE($K175,O$5,$L$2),BASE_DATOS[Reporte NSK],BASE_DATOS[NSK],,0),"")</f>
        <v/>
      </c>
      <c r="P175" s="422" t="str">
        <f>IFERROR(_xlfn.XLOOKUP(CONCATENATE($K175,P$5,$L$2),BASE_DATOS[Reporte NSK],BASE_DATOS[NSK],,0),"")</f>
        <v/>
      </c>
      <c r="Q175" s="422" t="str">
        <f>IFERROR(_xlfn.XLOOKUP(CONCATENATE($K175,Q$5,$L$2),BASE_DATOS[Reporte NSK],BASE_DATOS[NSK],,0),"")</f>
        <v/>
      </c>
      <c r="R175" s="422" t="str">
        <f>IFERROR(_xlfn.XLOOKUP(CONCATENATE($K175,R$5,$L$2),BASE_DATOS[Reporte NSK],BASE_DATOS[NSK],,0),"")</f>
        <v/>
      </c>
      <c r="S175" s="465" t="str">
        <f>IFERROR(_xlfn.XLOOKUP(CONCATENATE($K175,S$5,$L$2),BASE_DATOS[Reporte NSK],BASE_DATOS[NSK],,0),"")</f>
        <v/>
      </c>
      <c r="T175" s="466" t="str">
        <f>IFERROR(_xlfn.XLOOKUP(CONCATENATE($K175,T$5,$L$2),BASE_DATOS[Reporte NSK],BASE_DATOS[NSK],,0),"")</f>
        <v/>
      </c>
      <c r="U175" s="418" t="str">
        <f t="shared" si="6"/>
        <v/>
      </c>
    </row>
    <row r="176" spans="11:21" ht="10.199999999999999" customHeight="1" x14ac:dyDescent="0.2">
      <c r="K176" s="412"/>
      <c r="L176" s="415"/>
      <c r="M176" s="421" t="str">
        <f>IFERROR(_xlfn.XLOOKUP(CONCATENATE($K176,M$5,$L$2),BASE_DATOS[Reporte NSK],BASE_DATOS[NSK],,0),"")</f>
        <v/>
      </c>
      <c r="N176" s="422" t="str">
        <f>IFERROR(_xlfn.XLOOKUP(CONCATENATE($K176,N$5,$L$2),BASE_DATOS[Reporte NSK],BASE_DATOS[NSK],,0),"")</f>
        <v/>
      </c>
      <c r="O176" s="422" t="str">
        <f>IFERROR(_xlfn.XLOOKUP(CONCATENATE($K176,O$5,$L$2),BASE_DATOS[Reporte NSK],BASE_DATOS[NSK],,0),"")</f>
        <v/>
      </c>
      <c r="P176" s="422" t="str">
        <f>IFERROR(_xlfn.XLOOKUP(CONCATENATE($K176,P$5,$L$2),BASE_DATOS[Reporte NSK],BASE_DATOS[NSK],,0),"")</f>
        <v/>
      </c>
      <c r="Q176" s="422" t="str">
        <f>IFERROR(_xlfn.XLOOKUP(CONCATENATE($K176,Q$5,$L$2),BASE_DATOS[Reporte NSK],BASE_DATOS[NSK],,0),"")</f>
        <v/>
      </c>
      <c r="R176" s="422" t="str">
        <f>IFERROR(_xlfn.XLOOKUP(CONCATENATE($K176,R$5,$L$2),BASE_DATOS[Reporte NSK],BASE_DATOS[NSK],,0),"")</f>
        <v/>
      </c>
      <c r="S176" s="465" t="str">
        <f>IFERROR(_xlfn.XLOOKUP(CONCATENATE($K176,S$5,$L$2),BASE_DATOS[Reporte NSK],BASE_DATOS[NSK],,0),"")</f>
        <v/>
      </c>
      <c r="T176" s="466" t="str">
        <f>IFERROR(_xlfn.XLOOKUP(CONCATENATE($K176,T$5,$L$2),BASE_DATOS[Reporte NSK],BASE_DATOS[NSK],,0),"")</f>
        <v/>
      </c>
      <c r="U176" s="418" t="str">
        <f t="shared" si="6"/>
        <v/>
      </c>
    </row>
    <row r="177" spans="11:21" ht="10.199999999999999" customHeight="1" x14ac:dyDescent="0.2">
      <c r="K177" s="412"/>
      <c r="L177" s="415"/>
      <c r="M177" s="421" t="str">
        <f>IFERROR(_xlfn.XLOOKUP(CONCATENATE($K177,M$5,$L$2),BASE_DATOS[Reporte NSK],BASE_DATOS[NSK],,0),"")</f>
        <v/>
      </c>
      <c r="N177" s="422" t="str">
        <f>IFERROR(_xlfn.XLOOKUP(CONCATENATE($K177,N$5,$L$2),BASE_DATOS[Reporte NSK],BASE_DATOS[NSK],,0),"")</f>
        <v/>
      </c>
      <c r="O177" s="422" t="str">
        <f>IFERROR(_xlfn.XLOOKUP(CONCATENATE($K177,O$5,$L$2),BASE_DATOS[Reporte NSK],BASE_DATOS[NSK],,0),"")</f>
        <v/>
      </c>
      <c r="P177" s="422" t="str">
        <f>IFERROR(_xlfn.XLOOKUP(CONCATENATE($K177,P$5,$L$2),BASE_DATOS[Reporte NSK],BASE_DATOS[NSK],,0),"")</f>
        <v/>
      </c>
      <c r="Q177" s="422" t="str">
        <f>IFERROR(_xlfn.XLOOKUP(CONCATENATE($K177,Q$5,$L$2),BASE_DATOS[Reporte NSK],BASE_DATOS[NSK],,0),"")</f>
        <v/>
      </c>
      <c r="R177" s="422" t="str">
        <f>IFERROR(_xlfn.XLOOKUP(CONCATENATE($K177,R$5,$L$2),BASE_DATOS[Reporte NSK],BASE_DATOS[NSK],,0),"")</f>
        <v/>
      </c>
      <c r="S177" s="465" t="str">
        <f>IFERROR(_xlfn.XLOOKUP(CONCATENATE($K177,S$5,$L$2),BASE_DATOS[Reporte NSK],BASE_DATOS[NSK],,0),"")</f>
        <v/>
      </c>
      <c r="T177" s="466" t="str">
        <f>IFERROR(_xlfn.XLOOKUP(CONCATENATE($K177,T$5,$L$2),BASE_DATOS[Reporte NSK],BASE_DATOS[NSK],,0),"")</f>
        <v/>
      </c>
      <c r="U177" s="418" t="str">
        <f t="shared" si="6"/>
        <v/>
      </c>
    </row>
    <row r="178" spans="11:21" ht="10.199999999999999" customHeight="1" x14ac:dyDescent="0.2">
      <c r="K178" s="412"/>
      <c r="L178" s="415"/>
      <c r="M178" s="421" t="str">
        <f>IFERROR(_xlfn.XLOOKUP(CONCATENATE($K178,M$5,$L$2),BASE_DATOS[Reporte NSK],BASE_DATOS[NSK],,0),"")</f>
        <v/>
      </c>
      <c r="N178" s="422" t="str">
        <f>IFERROR(_xlfn.XLOOKUP(CONCATENATE($K178,N$5,$L$2),BASE_DATOS[Reporte NSK],BASE_DATOS[NSK],,0),"")</f>
        <v/>
      </c>
      <c r="O178" s="422" t="str">
        <f>IFERROR(_xlfn.XLOOKUP(CONCATENATE($K178,O$5,$L$2),BASE_DATOS[Reporte NSK],BASE_DATOS[NSK],,0),"")</f>
        <v/>
      </c>
      <c r="P178" s="422" t="str">
        <f>IFERROR(_xlfn.XLOOKUP(CONCATENATE($K178,P$5,$L$2),BASE_DATOS[Reporte NSK],BASE_DATOS[NSK],,0),"")</f>
        <v/>
      </c>
      <c r="Q178" s="422" t="str">
        <f>IFERROR(_xlfn.XLOOKUP(CONCATENATE($K178,Q$5,$L$2),BASE_DATOS[Reporte NSK],BASE_DATOS[NSK],,0),"")</f>
        <v/>
      </c>
      <c r="R178" s="422" t="str">
        <f>IFERROR(_xlfn.XLOOKUP(CONCATENATE($K178,R$5,$L$2),BASE_DATOS[Reporte NSK],BASE_DATOS[NSK],,0),"")</f>
        <v/>
      </c>
      <c r="S178" s="465" t="str">
        <f>IFERROR(_xlfn.XLOOKUP(CONCATENATE($K178,S$5,$L$2),BASE_DATOS[Reporte NSK],BASE_DATOS[NSK],,0),"")</f>
        <v/>
      </c>
      <c r="T178" s="466" t="str">
        <f>IFERROR(_xlfn.XLOOKUP(CONCATENATE($K178,T$5,$L$2),BASE_DATOS[Reporte NSK],BASE_DATOS[NSK],,0),"")</f>
        <v/>
      </c>
      <c r="U178" s="418" t="str">
        <f t="shared" si="6"/>
        <v/>
      </c>
    </row>
    <row r="179" spans="11:21" ht="10.199999999999999" customHeight="1" x14ac:dyDescent="0.2">
      <c r="K179" s="412"/>
      <c r="L179" s="415"/>
      <c r="M179" s="421" t="str">
        <f>IFERROR(_xlfn.XLOOKUP(CONCATENATE($K179,M$5,$L$2),BASE_DATOS[Reporte NSK],BASE_DATOS[NSK],,0),"")</f>
        <v/>
      </c>
      <c r="N179" s="422" t="str">
        <f>IFERROR(_xlfn.XLOOKUP(CONCATENATE($K179,N$5,$L$2),BASE_DATOS[Reporte NSK],BASE_DATOS[NSK],,0),"")</f>
        <v/>
      </c>
      <c r="O179" s="422" t="str">
        <f>IFERROR(_xlfn.XLOOKUP(CONCATENATE($K179,O$5,$L$2),BASE_DATOS[Reporte NSK],BASE_DATOS[NSK],,0),"")</f>
        <v/>
      </c>
      <c r="P179" s="422" t="str">
        <f>IFERROR(_xlfn.XLOOKUP(CONCATENATE($K179,P$5,$L$2),BASE_DATOS[Reporte NSK],BASE_DATOS[NSK],,0),"")</f>
        <v/>
      </c>
      <c r="Q179" s="422" t="str">
        <f>IFERROR(_xlfn.XLOOKUP(CONCATENATE($K179,Q$5,$L$2),BASE_DATOS[Reporte NSK],BASE_DATOS[NSK],,0),"")</f>
        <v/>
      </c>
      <c r="R179" s="422" t="str">
        <f>IFERROR(_xlfn.XLOOKUP(CONCATENATE($K179,R$5,$L$2),BASE_DATOS[Reporte NSK],BASE_DATOS[NSK],,0),"")</f>
        <v/>
      </c>
      <c r="S179" s="465" t="str">
        <f>IFERROR(_xlfn.XLOOKUP(CONCATENATE($K179,S$5,$L$2),BASE_DATOS[Reporte NSK],BASE_DATOS[NSK],,0),"")</f>
        <v/>
      </c>
      <c r="T179" s="466" t="str">
        <f>IFERROR(_xlfn.XLOOKUP(CONCATENATE($K179,T$5,$L$2),BASE_DATOS[Reporte NSK],BASE_DATOS[NSK],,0),"")</f>
        <v/>
      </c>
      <c r="U179" s="418" t="str">
        <f t="shared" si="6"/>
        <v/>
      </c>
    </row>
    <row r="180" spans="11:21" ht="10.199999999999999" customHeight="1" x14ac:dyDescent="0.2">
      <c r="K180" s="412"/>
      <c r="L180" s="415"/>
      <c r="M180" s="421" t="str">
        <f>IFERROR(_xlfn.XLOOKUP(CONCATENATE($K180,M$5,$L$2),BASE_DATOS[Reporte NSK],BASE_DATOS[NSK],,0),"")</f>
        <v/>
      </c>
      <c r="N180" s="422" t="str">
        <f>IFERROR(_xlfn.XLOOKUP(CONCATENATE($K180,N$5,$L$2),BASE_DATOS[Reporte NSK],BASE_DATOS[NSK],,0),"")</f>
        <v/>
      </c>
      <c r="O180" s="422" t="str">
        <f>IFERROR(_xlfn.XLOOKUP(CONCATENATE($K180,O$5,$L$2),BASE_DATOS[Reporte NSK],BASE_DATOS[NSK],,0),"")</f>
        <v/>
      </c>
      <c r="P180" s="422" t="str">
        <f>IFERROR(_xlfn.XLOOKUP(CONCATENATE($K180,P$5,$L$2),BASE_DATOS[Reporte NSK],BASE_DATOS[NSK],,0),"")</f>
        <v/>
      </c>
      <c r="Q180" s="422" t="str">
        <f>IFERROR(_xlfn.XLOOKUP(CONCATENATE($K180,Q$5,$L$2),BASE_DATOS[Reporte NSK],BASE_DATOS[NSK],,0),"")</f>
        <v/>
      </c>
      <c r="R180" s="422" t="str">
        <f>IFERROR(_xlfn.XLOOKUP(CONCATENATE($K180,R$5,$L$2),BASE_DATOS[Reporte NSK],BASE_DATOS[NSK],,0),"")</f>
        <v/>
      </c>
      <c r="S180" s="465" t="str">
        <f>IFERROR(_xlfn.XLOOKUP(CONCATENATE($K180,S$5,$L$2),BASE_DATOS[Reporte NSK],BASE_DATOS[NSK],,0),"")</f>
        <v/>
      </c>
      <c r="T180" s="466" t="str">
        <f>IFERROR(_xlfn.XLOOKUP(CONCATENATE($K180,T$5,$L$2),BASE_DATOS[Reporte NSK],BASE_DATOS[NSK],,0),"")</f>
        <v/>
      </c>
      <c r="U180" s="418" t="str">
        <f t="shared" si="6"/>
        <v/>
      </c>
    </row>
    <row r="181" spans="11:21" ht="10.199999999999999" customHeight="1" x14ac:dyDescent="0.2">
      <c r="K181" s="412"/>
      <c r="L181" s="415"/>
      <c r="M181" s="421" t="str">
        <f>IFERROR(_xlfn.XLOOKUP(CONCATENATE($K181,M$5,$L$2),BASE_DATOS[Reporte NSK],BASE_DATOS[NSK],,0),"")</f>
        <v/>
      </c>
      <c r="N181" s="422" t="str">
        <f>IFERROR(_xlfn.XLOOKUP(CONCATENATE($K181,N$5,$L$2),BASE_DATOS[Reporte NSK],BASE_DATOS[NSK],,0),"")</f>
        <v/>
      </c>
      <c r="O181" s="422" t="str">
        <f>IFERROR(_xlfn.XLOOKUP(CONCATENATE($K181,O$5,$L$2),BASE_DATOS[Reporte NSK],BASE_DATOS[NSK],,0),"")</f>
        <v/>
      </c>
      <c r="P181" s="422" t="str">
        <f>IFERROR(_xlfn.XLOOKUP(CONCATENATE($K181,P$5,$L$2),BASE_DATOS[Reporte NSK],BASE_DATOS[NSK],,0),"")</f>
        <v/>
      </c>
      <c r="Q181" s="422" t="str">
        <f>IFERROR(_xlfn.XLOOKUP(CONCATENATE($K181,Q$5,$L$2),BASE_DATOS[Reporte NSK],BASE_DATOS[NSK],,0),"")</f>
        <v/>
      </c>
      <c r="R181" s="422" t="str">
        <f>IFERROR(_xlfn.XLOOKUP(CONCATENATE($K181,R$5,$L$2),BASE_DATOS[Reporte NSK],BASE_DATOS[NSK],,0),"")</f>
        <v/>
      </c>
      <c r="S181" s="465" t="str">
        <f>IFERROR(_xlfn.XLOOKUP(CONCATENATE($K181,S$5,$L$2),BASE_DATOS[Reporte NSK],BASE_DATOS[NSK],,0),"")</f>
        <v/>
      </c>
      <c r="T181" s="466" t="str">
        <f>IFERROR(_xlfn.XLOOKUP(CONCATENATE($K181,T$5,$L$2),BASE_DATOS[Reporte NSK],BASE_DATOS[NSK],,0),"")</f>
        <v/>
      </c>
      <c r="U181" s="418" t="str">
        <f t="shared" si="6"/>
        <v/>
      </c>
    </row>
    <row r="182" spans="11:21" ht="10.199999999999999" customHeight="1" x14ac:dyDescent="0.2">
      <c r="K182" s="412"/>
      <c r="L182" s="415"/>
      <c r="M182" s="421" t="str">
        <f>IFERROR(_xlfn.XLOOKUP(CONCATENATE($K182,M$5,$L$2),BASE_DATOS[Reporte NSK],BASE_DATOS[NSK],,0),"")</f>
        <v/>
      </c>
      <c r="N182" s="422" t="str">
        <f>IFERROR(_xlfn.XLOOKUP(CONCATENATE($K182,N$5,$L$2),BASE_DATOS[Reporte NSK],BASE_DATOS[NSK],,0),"")</f>
        <v/>
      </c>
      <c r="O182" s="422" t="str">
        <f>IFERROR(_xlfn.XLOOKUP(CONCATENATE($K182,O$5,$L$2),BASE_DATOS[Reporte NSK],BASE_DATOS[NSK],,0),"")</f>
        <v/>
      </c>
      <c r="P182" s="422" t="str">
        <f>IFERROR(_xlfn.XLOOKUP(CONCATENATE($K182,P$5,$L$2),BASE_DATOS[Reporte NSK],BASE_DATOS[NSK],,0),"")</f>
        <v/>
      </c>
      <c r="Q182" s="422" t="str">
        <f>IFERROR(_xlfn.XLOOKUP(CONCATENATE($K182,Q$5,$L$2),BASE_DATOS[Reporte NSK],BASE_DATOS[NSK],,0),"")</f>
        <v/>
      </c>
      <c r="R182" s="422" t="str">
        <f>IFERROR(_xlfn.XLOOKUP(CONCATENATE($K182,R$5,$L$2),BASE_DATOS[Reporte NSK],BASE_DATOS[NSK],,0),"")</f>
        <v/>
      </c>
      <c r="S182" s="465" t="str">
        <f>IFERROR(_xlfn.XLOOKUP(CONCATENATE($K182,S$5,$L$2),BASE_DATOS[Reporte NSK],BASE_DATOS[NSK],,0),"")</f>
        <v/>
      </c>
      <c r="T182" s="466" t="str">
        <f>IFERROR(_xlfn.XLOOKUP(CONCATENATE($K182,T$5,$L$2),BASE_DATOS[Reporte NSK],BASE_DATOS[NSK],,0),"")</f>
        <v/>
      </c>
      <c r="U182" s="418" t="str">
        <f t="shared" si="6"/>
        <v/>
      </c>
    </row>
    <row r="183" spans="11:21" ht="10.199999999999999" customHeight="1" x14ac:dyDescent="0.2">
      <c r="K183" s="412"/>
      <c r="L183" s="415"/>
      <c r="M183" s="421" t="str">
        <f>IFERROR(_xlfn.XLOOKUP(CONCATENATE($K183,M$5,$L$2),BASE_DATOS[Reporte NSK],BASE_DATOS[NSK],,0),"")</f>
        <v/>
      </c>
      <c r="N183" s="422" t="str">
        <f>IFERROR(_xlfn.XLOOKUP(CONCATENATE($K183,N$5,$L$2),BASE_DATOS[Reporte NSK],BASE_DATOS[NSK],,0),"")</f>
        <v/>
      </c>
      <c r="O183" s="422" t="str">
        <f>IFERROR(_xlfn.XLOOKUP(CONCATENATE($K183,O$5,$L$2),BASE_DATOS[Reporte NSK],BASE_DATOS[NSK],,0),"")</f>
        <v/>
      </c>
      <c r="P183" s="422" t="str">
        <f>IFERROR(_xlfn.XLOOKUP(CONCATENATE($K183,P$5,$L$2),BASE_DATOS[Reporte NSK],BASE_DATOS[NSK],,0),"")</f>
        <v/>
      </c>
      <c r="Q183" s="422" t="str">
        <f>IFERROR(_xlfn.XLOOKUP(CONCATENATE($K183,Q$5,$L$2),BASE_DATOS[Reporte NSK],BASE_DATOS[NSK],,0),"")</f>
        <v/>
      </c>
      <c r="R183" s="422" t="str">
        <f>IFERROR(_xlfn.XLOOKUP(CONCATENATE($K183,R$5,$L$2),BASE_DATOS[Reporte NSK],BASE_DATOS[NSK],,0),"")</f>
        <v/>
      </c>
      <c r="S183" s="465" t="str">
        <f>IFERROR(_xlfn.XLOOKUP(CONCATENATE($K183,S$5,$L$2),BASE_DATOS[Reporte NSK],BASE_DATOS[NSK],,0),"")</f>
        <v/>
      </c>
      <c r="T183" s="466" t="str">
        <f>IFERROR(_xlfn.XLOOKUP(CONCATENATE($K183,T$5,$L$2),BASE_DATOS[Reporte NSK],BASE_DATOS[NSK],,0),"")</f>
        <v/>
      </c>
      <c r="U183" s="418" t="str">
        <f t="shared" si="6"/>
        <v/>
      </c>
    </row>
    <row r="184" spans="11:21" ht="10.199999999999999" customHeight="1" x14ac:dyDescent="0.2">
      <c r="K184" s="412"/>
      <c r="L184" s="415"/>
      <c r="M184" s="421" t="str">
        <f>IFERROR(_xlfn.XLOOKUP(CONCATENATE($K184,M$5,$L$2),BASE_DATOS[Reporte NSK],BASE_DATOS[NSK],,0),"")</f>
        <v/>
      </c>
      <c r="N184" s="422" t="str">
        <f>IFERROR(_xlfn.XLOOKUP(CONCATENATE($K184,N$5,$L$2),BASE_DATOS[Reporte NSK],BASE_DATOS[NSK],,0),"")</f>
        <v/>
      </c>
      <c r="O184" s="422" t="str">
        <f>IFERROR(_xlfn.XLOOKUP(CONCATENATE($K184,O$5,$L$2),BASE_DATOS[Reporte NSK],BASE_DATOS[NSK],,0),"")</f>
        <v/>
      </c>
      <c r="P184" s="422" t="str">
        <f>IFERROR(_xlfn.XLOOKUP(CONCATENATE($K184,P$5,$L$2),BASE_DATOS[Reporte NSK],BASE_DATOS[NSK],,0),"")</f>
        <v/>
      </c>
      <c r="Q184" s="422" t="str">
        <f>IFERROR(_xlfn.XLOOKUP(CONCATENATE($K184,Q$5,$L$2),BASE_DATOS[Reporte NSK],BASE_DATOS[NSK],,0),"")</f>
        <v/>
      </c>
      <c r="R184" s="422" t="str">
        <f>IFERROR(_xlfn.XLOOKUP(CONCATENATE($K184,R$5,$L$2),BASE_DATOS[Reporte NSK],BASE_DATOS[NSK],,0),"")</f>
        <v/>
      </c>
      <c r="S184" s="465" t="str">
        <f>IFERROR(_xlfn.XLOOKUP(CONCATENATE($K184,S$5,$L$2),BASE_DATOS[Reporte NSK],BASE_DATOS[NSK],,0),"")</f>
        <v/>
      </c>
      <c r="T184" s="466" t="str">
        <f>IFERROR(_xlfn.XLOOKUP(CONCATENATE($K184,T$5,$L$2),BASE_DATOS[Reporte NSK],BASE_DATOS[NSK],,0),"")</f>
        <v/>
      </c>
      <c r="U184" s="418" t="str">
        <f t="shared" si="6"/>
        <v/>
      </c>
    </row>
    <row r="185" spans="11:21" ht="10.199999999999999" customHeight="1" x14ac:dyDescent="0.2">
      <c r="K185" s="412"/>
      <c r="L185" s="415"/>
      <c r="M185" s="421" t="str">
        <f>IFERROR(_xlfn.XLOOKUP(CONCATENATE($K185,M$5,$L$2),BASE_DATOS[Reporte NSK],BASE_DATOS[NSK],,0),"")</f>
        <v/>
      </c>
      <c r="N185" s="422" t="str">
        <f>IFERROR(_xlfn.XLOOKUP(CONCATENATE($K185,N$5,$L$2),BASE_DATOS[Reporte NSK],BASE_DATOS[NSK],,0),"")</f>
        <v/>
      </c>
      <c r="O185" s="422" t="str">
        <f>IFERROR(_xlfn.XLOOKUP(CONCATENATE($K185,O$5,$L$2),BASE_DATOS[Reporte NSK],BASE_DATOS[NSK],,0),"")</f>
        <v/>
      </c>
      <c r="P185" s="422" t="str">
        <f>IFERROR(_xlfn.XLOOKUP(CONCATENATE($K185,P$5,$L$2),BASE_DATOS[Reporte NSK],BASE_DATOS[NSK],,0),"")</f>
        <v/>
      </c>
      <c r="Q185" s="422" t="str">
        <f>IFERROR(_xlfn.XLOOKUP(CONCATENATE($K185,Q$5,$L$2),BASE_DATOS[Reporte NSK],BASE_DATOS[NSK],,0),"")</f>
        <v/>
      </c>
      <c r="R185" s="422" t="str">
        <f>IFERROR(_xlfn.XLOOKUP(CONCATENATE($K185,R$5,$L$2),BASE_DATOS[Reporte NSK],BASE_DATOS[NSK],,0),"")</f>
        <v/>
      </c>
      <c r="S185" s="465" t="str">
        <f>IFERROR(_xlfn.XLOOKUP(CONCATENATE($K185,S$5,$L$2),BASE_DATOS[Reporte NSK],BASE_DATOS[NSK],,0),"")</f>
        <v/>
      </c>
      <c r="T185" s="466" t="str">
        <f>IFERROR(_xlfn.XLOOKUP(CONCATENATE($K185,T$5,$L$2),BASE_DATOS[Reporte NSK],BASE_DATOS[NSK],,0),"")</f>
        <v/>
      </c>
      <c r="U185" s="418" t="str">
        <f t="shared" si="6"/>
        <v/>
      </c>
    </row>
    <row r="186" spans="11:21" ht="10.199999999999999" customHeight="1" x14ac:dyDescent="0.2">
      <c r="K186" s="412"/>
      <c r="L186" s="415"/>
      <c r="M186" s="421" t="str">
        <f>IFERROR(_xlfn.XLOOKUP(CONCATENATE($K186,M$5,$L$2),BASE_DATOS[Reporte NSK],BASE_DATOS[NSK],,0),"")</f>
        <v/>
      </c>
      <c r="N186" s="422" t="str">
        <f>IFERROR(_xlfn.XLOOKUP(CONCATENATE($K186,N$5,$L$2),BASE_DATOS[Reporte NSK],BASE_DATOS[NSK],,0),"")</f>
        <v/>
      </c>
      <c r="O186" s="422" t="str">
        <f>IFERROR(_xlfn.XLOOKUP(CONCATENATE($K186,O$5,$L$2),BASE_DATOS[Reporte NSK],BASE_DATOS[NSK],,0),"")</f>
        <v/>
      </c>
      <c r="P186" s="422" t="str">
        <f>IFERROR(_xlfn.XLOOKUP(CONCATENATE($K186,P$5,$L$2),BASE_DATOS[Reporte NSK],BASE_DATOS[NSK],,0),"")</f>
        <v/>
      </c>
      <c r="Q186" s="422" t="str">
        <f>IFERROR(_xlfn.XLOOKUP(CONCATENATE($K186,Q$5,$L$2),BASE_DATOS[Reporte NSK],BASE_DATOS[NSK],,0),"")</f>
        <v/>
      </c>
      <c r="R186" s="422" t="str">
        <f>IFERROR(_xlfn.XLOOKUP(CONCATENATE($K186,R$5,$L$2),BASE_DATOS[Reporte NSK],BASE_DATOS[NSK],,0),"")</f>
        <v/>
      </c>
      <c r="S186" s="465" t="str">
        <f>IFERROR(_xlfn.XLOOKUP(CONCATENATE($K186,S$5,$L$2),BASE_DATOS[Reporte NSK],BASE_DATOS[NSK],,0),"")</f>
        <v/>
      </c>
      <c r="T186" s="466" t="str">
        <f>IFERROR(_xlfn.XLOOKUP(CONCATENATE($K186,T$5,$L$2),BASE_DATOS[Reporte NSK],BASE_DATOS[NSK],,0),"")</f>
        <v/>
      </c>
      <c r="U186" s="418" t="str">
        <f t="shared" si="6"/>
        <v/>
      </c>
    </row>
    <row r="187" spans="11:21" ht="10.199999999999999" customHeight="1" x14ac:dyDescent="0.2">
      <c r="K187" s="412"/>
      <c r="L187" s="415"/>
      <c r="M187" s="421" t="str">
        <f>IFERROR(_xlfn.XLOOKUP(CONCATENATE($K187,M$5,$L$2),BASE_DATOS[Reporte NSK],BASE_DATOS[NSK],,0),"")</f>
        <v/>
      </c>
      <c r="N187" s="422" t="str">
        <f>IFERROR(_xlfn.XLOOKUP(CONCATENATE($K187,N$5,$L$2),BASE_DATOS[Reporte NSK],BASE_DATOS[NSK],,0),"")</f>
        <v/>
      </c>
      <c r="O187" s="422" t="str">
        <f>IFERROR(_xlfn.XLOOKUP(CONCATENATE($K187,O$5,$L$2),BASE_DATOS[Reporte NSK],BASE_DATOS[NSK],,0),"")</f>
        <v/>
      </c>
      <c r="P187" s="422" t="str">
        <f>IFERROR(_xlfn.XLOOKUP(CONCATENATE($K187,P$5,$L$2),BASE_DATOS[Reporte NSK],BASE_DATOS[NSK],,0),"")</f>
        <v/>
      </c>
      <c r="Q187" s="422" t="str">
        <f>IFERROR(_xlfn.XLOOKUP(CONCATENATE($K187,Q$5,$L$2),BASE_DATOS[Reporte NSK],BASE_DATOS[NSK],,0),"")</f>
        <v/>
      </c>
      <c r="R187" s="422" t="str">
        <f>IFERROR(_xlfn.XLOOKUP(CONCATENATE($K187,R$5,$L$2),BASE_DATOS[Reporte NSK],BASE_DATOS[NSK],,0),"")</f>
        <v/>
      </c>
      <c r="S187" s="465" t="str">
        <f>IFERROR(_xlfn.XLOOKUP(CONCATENATE($K187,S$5,$L$2),BASE_DATOS[Reporte NSK],BASE_DATOS[NSK],,0),"")</f>
        <v/>
      </c>
      <c r="T187" s="466" t="str">
        <f>IFERROR(_xlfn.XLOOKUP(CONCATENATE($K187,T$5,$L$2),BASE_DATOS[Reporte NSK],BASE_DATOS[NSK],,0),"")</f>
        <v/>
      </c>
      <c r="U187" s="418" t="str">
        <f t="shared" si="6"/>
        <v/>
      </c>
    </row>
    <row r="188" spans="11:21" ht="10.199999999999999" customHeight="1" x14ac:dyDescent="0.2">
      <c r="K188" s="412"/>
      <c r="L188" s="415"/>
      <c r="M188" s="421" t="str">
        <f>IFERROR(_xlfn.XLOOKUP(CONCATENATE($K188,M$5,$L$2),BASE_DATOS[Reporte NSK],BASE_DATOS[NSK],,0),"")</f>
        <v/>
      </c>
      <c r="N188" s="422" t="str">
        <f>IFERROR(_xlfn.XLOOKUP(CONCATENATE($K188,N$5,$L$2),BASE_DATOS[Reporte NSK],BASE_DATOS[NSK],,0),"")</f>
        <v/>
      </c>
      <c r="O188" s="422" t="str">
        <f>IFERROR(_xlfn.XLOOKUP(CONCATENATE($K188,O$5,$L$2),BASE_DATOS[Reporte NSK],BASE_DATOS[NSK],,0),"")</f>
        <v/>
      </c>
      <c r="P188" s="422" t="str">
        <f>IFERROR(_xlfn.XLOOKUP(CONCATENATE($K188,P$5,$L$2),BASE_DATOS[Reporte NSK],BASE_DATOS[NSK],,0),"")</f>
        <v/>
      </c>
      <c r="Q188" s="422" t="str">
        <f>IFERROR(_xlfn.XLOOKUP(CONCATENATE($K188,Q$5,$L$2),BASE_DATOS[Reporte NSK],BASE_DATOS[NSK],,0),"")</f>
        <v/>
      </c>
      <c r="R188" s="422" t="str">
        <f>IFERROR(_xlfn.XLOOKUP(CONCATENATE($K188,R$5,$L$2),BASE_DATOS[Reporte NSK],BASE_DATOS[NSK],,0),"")</f>
        <v/>
      </c>
      <c r="S188" s="465" t="str">
        <f>IFERROR(_xlfn.XLOOKUP(CONCATENATE($K188,S$5,$L$2),BASE_DATOS[Reporte NSK],BASE_DATOS[NSK],,0),"")</f>
        <v/>
      </c>
      <c r="T188" s="466" t="str">
        <f>IFERROR(_xlfn.XLOOKUP(CONCATENATE($K188,T$5,$L$2),BASE_DATOS[Reporte NSK],BASE_DATOS[NSK],,0),"")</f>
        <v/>
      </c>
      <c r="U188" s="418" t="str">
        <f t="shared" si="6"/>
        <v/>
      </c>
    </row>
    <row r="189" spans="11:21" ht="10.199999999999999" customHeight="1" x14ac:dyDescent="0.2">
      <c r="K189" s="412"/>
      <c r="L189" s="415"/>
      <c r="M189" s="421" t="str">
        <f>IFERROR(_xlfn.XLOOKUP(CONCATENATE($K189,M$5,$L$2),BASE_DATOS[Reporte NSK],BASE_DATOS[NSK],,0),"")</f>
        <v/>
      </c>
      <c r="N189" s="422" t="str">
        <f>IFERROR(_xlfn.XLOOKUP(CONCATENATE($K189,N$5,$L$2),BASE_DATOS[Reporte NSK],BASE_DATOS[NSK],,0),"")</f>
        <v/>
      </c>
      <c r="O189" s="422" t="str">
        <f>IFERROR(_xlfn.XLOOKUP(CONCATENATE($K189,O$5,$L$2),BASE_DATOS[Reporte NSK],BASE_DATOS[NSK],,0),"")</f>
        <v/>
      </c>
      <c r="P189" s="422" t="str">
        <f>IFERROR(_xlfn.XLOOKUP(CONCATENATE($K189,P$5,$L$2),BASE_DATOS[Reporte NSK],BASE_DATOS[NSK],,0),"")</f>
        <v/>
      </c>
      <c r="Q189" s="422" t="str">
        <f>IFERROR(_xlfn.XLOOKUP(CONCATENATE($K189,Q$5,$L$2),BASE_DATOS[Reporte NSK],BASE_DATOS[NSK],,0),"")</f>
        <v/>
      </c>
      <c r="R189" s="422" t="str">
        <f>IFERROR(_xlfn.XLOOKUP(CONCATENATE($K189,R$5,$L$2),BASE_DATOS[Reporte NSK],BASE_DATOS[NSK],,0),"")</f>
        <v/>
      </c>
      <c r="S189" s="465" t="str">
        <f>IFERROR(_xlfn.XLOOKUP(CONCATENATE($K189,S$5,$L$2),BASE_DATOS[Reporte NSK],BASE_DATOS[NSK],,0),"")</f>
        <v/>
      </c>
      <c r="T189" s="466" t="str">
        <f>IFERROR(_xlfn.XLOOKUP(CONCATENATE($K189,T$5,$L$2),BASE_DATOS[Reporte NSK],BASE_DATOS[NSK],,0),"")</f>
        <v/>
      </c>
      <c r="U189" s="418" t="str">
        <f t="shared" si="6"/>
        <v/>
      </c>
    </row>
    <row r="190" spans="11:21" ht="10.199999999999999" customHeight="1" x14ac:dyDescent="0.2">
      <c r="K190" s="412"/>
      <c r="L190" s="415"/>
      <c r="M190" s="421" t="str">
        <f>IFERROR(_xlfn.XLOOKUP(CONCATENATE($K190,M$5,$L$2),BASE_DATOS[Reporte NSK],BASE_DATOS[NSK],,0),"")</f>
        <v/>
      </c>
      <c r="N190" s="422" t="str">
        <f>IFERROR(_xlfn.XLOOKUP(CONCATENATE($K190,N$5,$L$2),BASE_DATOS[Reporte NSK],BASE_DATOS[NSK],,0),"")</f>
        <v/>
      </c>
      <c r="O190" s="422" t="str">
        <f>IFERROR(_xlfn.XLOOKUP(CONCATENATE($K190,O$5,$L$2),BASE_DATOS[Reporte NSK],BASE_DATOS[NSK],,0),"")</f>
        <v/>
      </c>
      <c r="P190" s="422" t="str">
        <f>IFERROR(_xlfn.XLOOKUP(CONCATENATE($K190,P$5,$L$2),BASE_DATOS[Reporte NSK],BASE_DATOS[NSK],,0),"")</f>
        <v/>
      </c>
      <c r="Q190" s="422" t="str">
        <f>IFERROR(_xlfn.XLOOKUP(CONCATENATE($K190,Q$5,$L$2),BASE_DATOS[Reporte NSK],BASE_DATOS[NSK],,0),"")</f>
        <v/>
      </c>
      <c r="R190" s="422" t="str">
        <f>IFERROR(_xlfn.XLOOKUP(CONCATENATE($K190,R$5,$L$2),BASE_DATOS[Reporte NSK],BASE_DATOS[NSK],,0),"")</f>
        <v/>
      </c>
      <c r="S190" s="465" t="str">
        <f>IFERROR(_xlfn.XLOOKUP(CONCATENATE($K190,S$5,$L$2),BASE_DATOS[Reporte NSK],BASE_DATOS[NSK],,0),"")</f>
        <v/>
      </c>
      <c r="T190" s="466" t="str">
        <f>IFERROR(_xlfn.XLOOKUP(CONCATENATE($K190,T$5,$L$2),BASE_DATOS[Reporte NSK],BASE_DATOS[NSK],,0),"")</f>
        <v/>
      </c>
      <c r="U190" s="418" t="str">
        <f t="shared" si="6"/>
        <v/>
      </c>
    </row>
    <row r="191" spans="11:21" ht="10.199999999999999" customHeight="1" x14ac:dyDescent="0.2">
      <c r="K191" s="412"/>
      <c r="L191" s="415"/>
      <c r="M191" s="421" t="str">
        <f>IFERROR(_xlfn.XLOOKUP(CONCATENATE($K191,M$5,$L$2),BASE_DATOS[Reporte NSK],BASE_DATOS[NSK],,0),"")</f>
        <v/>
      </c>
      <c r="N191" s="422" t="str">
        <f>IFERROR(_xlfn.XLOOKUP(CONCATENATE($K191,N$5,$L$2),BASE_DATOS[Reporte NSK],BASE_DATOS[NSK],,0),"")</f>
        <v/>
      </c>
      <c r="O191" s="422" t="str">
        <f>IFERROR(_xlfn.XLOOKUP(CONCATENATE($K191,O$5,$L$2),BASE_DATOS[Reporte NSK],BASE_DATOS[NSK],,0),"")</f>
        <v/>
      </c>
      <c r="P191" s="422" t="str">
        <f>IFERROR(_xlfn.XLOOKUP(CONCATENATE($K191,P$5,$L$2),BASE_DATOS[Reporte NSK],BASE_DATOS[NSK],,0),"")</f>
        <v/>
      </c>
      <c r="Q191" s="422" t="str">
        <f>IFERROR(_xlfn.XLOOKUP(CONCATENATE($K191,Q$5,$L$2),BASE_DATOS[Reporte NSK],BASE_DATOS[NSK],,0),"")</f>
        <v/>
      </c>
      <c r="R191" s="422" t="str">
        <f>IFERROR(_xlfn.XLOOKUP(CONCATENATE($K191,R$5,$L$2),BASE_DATOS[Reporte NSK],BASE_DATOS[NSK],,0),"")</f>
        <v/>
      </c>
      <c r="S191" s="465" t="str">
        <f>IFERROR(_xlfn.XLOOKUP(CONCATENATE($K191,S$5,$L$2),BASE_DATOS[Reporte NSK],BASE_DATOS[NSK],,0),"")</f>
        <v/>
      </c>
      <c r="T191" s="466" t="str">
        <f>IFERROR(_xlfn.XLOOKUP(CONCATENATE($K191,T$5,$L$2),BASE_DATOS[Reporte NSK],BASE_DATOS[NSK],,0),"")</f>
        <v/>
      </c>
      <c r="U191" s="418" t="str">
        <f t="shared" si="6"/>
        <v/>
      </c>
    </row>
    <row r="192" spans="11:21" ht="10.199999999999999" customHeight="1" x14ac:dyDescent="0.2">
      <c r="K192" s="412"/>
      <c r="L192" s="415"/>
      <c r="M192" s="421" t="str">
        <f>IFERROR(_xlfn.XLOOKUP(CONCATENATE($K192,M$5,$L$2),BASE_DATOS[Reporte NSK],BASE_DATOS[NSK],,0),"")</f>
        <v/>
      </c>
      <c r="N192" s="422" t="str">
        <f>IFERROR(_xlfn.XLOOKUP(CONCATENATE($K192,N$5,$L$2),BASE_DATOS[Reporte NSK],BASE_DATOS[NSK],,0),"")</f>
        <v/>
      </c>
      <c r="O192" s="422" t="str">
        <f>IFERROR(_xlfn.XLOOKUP(CONCATENATE($K192,O$5,$L$2),BASE_DATOS[Reporte NSK],BASE_DATOS[NSK],,0),"")</f>
        <v/>
      </c>
      <c r="P192" s="422" t="str">
        <f>IFERROR(_xlfn.XLOOKUP(CONCATENATE($K192,P$5,$L$2),BASE_DATOS[Reporte NSK],BASE_DATOS[NSK],,0),"")</f>
        <v/>
      </c>
      <c r="Q192" s="422" t="str">
        <f>IFERROR(_xlfn.XLOOKUP(CONCATENATE($K192,Q$5,$L$2),BASE_DATOS[Reporte NSK],BASE_DATOS[NSK],,0),"")</f>
        <v/>
      </c>
      <c r="R192" s="422" t="str">
        <f>IFERROR(_xlfn.XLOOKUP(CONCATENATE($K192,R$5,$L$2),BASE_DATOS[Reporte NSK],BASE_DATOS[NSK],,0),"")</f>
        <v/>
      </c>
      <c r="S192" s="465" t="str">
        <f>IFERROR(_xlfn.XLOOKUP(CONCATENATE($K192,S$5,$L$2),BASE_DATOS[Reporte NSK],BASE_DATOS[NSK],,0),"")</f>
        <v/>
      </c>
      <c r="T192" s="466" t="str">
        <f>IFERROR(_xlfn.XLOOKUP(CONCATENATE($K192,T$5,$L$2),BASE_DATOS[Reporte NSK],BASE_DATOS[NSK],,0),"")</f>
        <v/>
      </c>
      <c r="U192" s="418" t="str">
        <f t="shared" si="6"/>
        <v/>
      </c>
    </row>
    <row r="193" spans="11:21" ht="10.199999999999999" customHeight="1" x14ac:dyDescent="0.2">
      <c r="K193" s="412"/>
      <c r="L193" s="415"/>
      <c r="M193" s="421" t="str">
        <f>IFERROR(_xlfn.XLOOKUP(CONCATENATE($K193,M$5,$L$2),BASE_DATOS[Reporte NSK],BASE_DATOS[NSK],,0),"")</f>
        <v/>
      </c>
      <c r="N193" s="422" t="str">
        <f>IFERROR(_xlfn.XLOOKUP(CONCATENATE($K193,N$5,$L$2),BASE_DATOS[Reporte NSK],BASE_DATOS[NSK],,0),"")</f>
        <v/>
      </c>
      <c r="O193" s="422" t="str">
        <f>IFERROR(_xlfn.XLOOKUP(CONCATENATE($K193,O$5,$L$2),BASE_DATOS[Reporte NSK],BASE_DATOS[NSK],,0),"")</f>
        <v/>
      </c>
      <c r="P193" s="422" t="str">
        <f>IFERROR(_xlfn.XLOOKUP(CONCATENATE($K193,P$5,$L$2),BASE_DATOS[Reporte NSK],BASE_DATOS[NSK],,0),"")</f>
        <v/>
      </c>
      <c r="Q193" s="422" t="str">
        <f>IFERROR(_xlfn.XLOOKUP(CONCATENATE($K193,Q$5,$L$2),BASE_DATOS[Reporte NSK],BASE_DATOS[NSK],,0),"")</f>
        <v/>
      </c>
      <c r="R193" s="422" t="str">
        <f>IFERROR(_xlfn.XLOOKUP(CONCATENATE($K193,R$5,$L$2),BASE_DATOS[Reporte NSK],BASE_DATOS[NSK],,0),"")</f>
        <v/>
      </c>
      <c r="S193" s="465" t="str">
        <f>IFERROR(_xlfn.XLOOKUP(CONCATENATE($K193,S$5,$L$2),BASE_DATOS[Reporte NSK],BASE_DATOS[NSK],,0),"")</f>
        <v/>
      </c>
      <c r="T193" s="466" t="str">
        <f>IFERROR(_xlfn.XLOOKUP(CONCATENATE($K193,T$5,$L$2),BASE_DATOS[Reporte NSK],BASE_DATOS[NSK],,0),"")</f>
        <v/>
      </c>
      <c r="U193" s="418" t="str">
        <f t="shared" si="6"/>
        <v/>
      </c>
    </row>
    <row r="194" spans="11:21" ht="10.199999999999999" customHeight="1" x14ac:dyDescent="0.2">
      <c r="K194" s="412"/>
      <c r="L194" s="415"/>
      <c r="M194" s="421" t="str">
        <f>IFERROR(_xlfn.XLOOKUP(CONCATENATE($K194,M$5,$L$2),BASE_DATOS[Reporte NSK],BASE_DATOS[NSK],,0),"")</f>
        <v/>
      </c>
      <c r="N194" s="422" t="str">
        <f>IFERROR(_xlfn.XLOOKUP(CONCATENATE($K194,N$5,$L$2),BASE_DATOS[Reporte NSK],BASE_DATOS[NSK],,0),"")</f>
        <v/>
      </c>
      <c r="O194" s="422" t="str">
        <f>IFERROR(_xlfn.XLOOKUP(CONCATENATE($K194,O$5,$L$2),BASE_DATOS[Reporte NSK],BASE_DATOS[NSK],,0),"")</f>
        <v/>
      </c>
      <c r="P194" s="422" t="str">
        <f>IFERROR(_xlfn.XLOOKUP(CONCATENATE($K194,P$5,$L$2),BASE_DATOS[Reporte NSK],BASE_DATOS[NSK],,0),"")</f>
        <v/>
      </c>
      <c r="Q194" s="422" t="str">
        <f>IFERROR(_xlfn.XLOOKUP(CONCATENATE($K194,Q$5,$L$2),BASE_DATOS[Reporte NSK],BASE_DATOS[NSK],,0),"")</f>
        <v/>
      </c>
      <c r="R194" s="422" t="str">
        <f>IFERROR(_xlfn.XLOOKUP(CONCATENATE($K194,R$5,$L$2),BASE_DATOS[Reporte NSK],BASE_DATOS[NSK],,0),"")</f>
        <v/>
      </c>
      <c r="S194" s="465" t="str">
        <f>IFERROR(_xlfn.XLOOKUP(CONCATENATE($K194,S$5,$L$2),BASE_DATOS[Reporte NSK],BASE_DATOS[NSK],,0),"")</f>
        <v/>
      </c>
      <c r="T194" s="466" t="str">
        <f>IFERROR(_xlfn.XLOOKUP(CONCATENATE($K194,T$5,$L$2),BASE_DATOS[Reporte NSK],BASE_DATOS[NSK],,0),"")</f>
        <v/>
      </c>
      <c r="U194" s="418" t="str">
        <f t="shared" si="6"/>
        <v/>
      </c>
    </row>
    <row r="195" spans="11:21" ht="10.199999999999999" customHeight="1" x14ac:dyDescent="0.2">
      <c r="K195" s="412"/>
      <c r="L195" s="415"/>
      <c r="M195" s="421" t="str">
        <f>IFERROR(_xlfn.XLOOKUP(CONCATENATE($K195,M$5,$L$2),BASE_DATOS[Reporte NSK],BASE_DATOS[NSK],,0),"")</f>
        <v/>
      </c>
      <c r="N195" s="422" t="str">
        <f>IFERROR(_xlfn.XLOOKUP(CONCATENATE($K195,N$5,$L$2),BASE_DATOS[Reporte NSK],BASE_DATOS[NSK],,0),"")</f>
        <v/>
      </c>
      <c r="O195" s="422" t="str">
        <f>IFERROR(_xlfn.XLOOKUP(CONCATENATE($K195,O$5,$L$2),BASE_DATOS[Reporte NSK],BASE_DATOS[NSK],,0),"")</f>
        <v/>
      </c>
      <c r="P195" s="422" t="str">
        <f>IFERROR(_xlfn.XLOOKUP(CONCATENATE($K195,P$5,$L$2),BASE_DATOS[Reporte NSK],BASE_DATOS[NSK],,0),"")</f>
        <v/>
      </c>
      <c r="Q195" s="422" t="str">
        <f>IFERROR(_xlfn.XLOOKUP(CONCATENATE($K195,Q$5,$L$2),BASE_DATOS[Reporte NSK],BASE_DATOS[NSK],,0),"")</f>
        <v/>
      </c>
      <c r="R195" s="422" t="str">
        <f>IFERROR(_xlfn.XLOOKUP(CONCATENATE($K195,R$5,$L$2),BASE_DATOS[Reporte NSK],BASE_DATOS[NSK],,0),"")</f>
        <v/>
      </c>
      <c r="S195" s="465" t="str">
        <f>IFERROR(_xlfn.XLOOKUP(CONCATENATE($K195,S$5,$L$2),BASE_DATOS[Reporte NSK],BASE_DATOS[NSK],,0),"")</f>
        <v/>
      </c>
      <c r="T195" s="466" t="str">
        <f>IFERROR(_xlfn.XLOOKUP(CONCATENATE($K195,T$5,$L$2),BASE_DATOS[Reporte NSK],BASE_DATOS[NSK],,0),"")</f>
        <v/>
      </c>
      <c r="U195" s="418" t="str">
        <f t="shared" si="6"/>
        <v/>
      </c>
    </row>
    <row r="196" spans="11:21" ht="10.199999999999999" customHeight="1" x14ac:dyDescent="0.2">
      <c r="K196" s="412"/>
      <c r="L196" s="415"/>
      <c r="M196" s="421" t="str">
        <f>IFERROR(_xlfn.XLOOKUP(CONCATENATE($K196,M$5,$L$2),BASE_DATOS[Reporte NSK],BASE_DATOS[NSK],,0),"")</f>
        <v/>
      </c>
      <c r="N196" s="422" t="str">
        <f>IFERROR(_xlfn.XLOOKUP(CONCATENATE($K196,N$5,$L$2),BASE_DATOS[Reporte NSK],BASE_DATOS[NSK],,0),"")</f>
        <v/>
      </c>
      <c r="O196" s="422" t="str">
        <f>IFERROR(_xlfn.XLOOKUP(CONCATENATE($K196,O$5,$L$2),BASE_DATOS[Reporte NSK],BASE_DATOS[NSK],,0),"")</f>
        <v/>
      </c>
      <c r="P196" s="422" t="str">
        <f>IFERROR(_xlfn.XLOOKUP(CONCATENATE($K196,P$5,$L$2),BASE_DATOS[Reporte NSK],BASE_DATOS[NSK],,0),"")</f>
        <v/>
      </c>
      <c r="Q196" s="422" t="str">
        <f>IFERROR(_xlfn.XLOOKUP(CONCATENATE($K196,Q$5,$L$2),BASE_DATOS[Reporte NSK],BASE_DATOS[NSK],,0),"")</f>
        <v/>
      </c>
      <c r="R196" s="422" t="str">
        <f>IFERROR(_xlfn.XLOOKUP(CONCATENATE($K196,R$5,$L$2),BASE_DATOS[Reporte NSK],BASE_DATOS[NSK],,0),"")</f>
        <v/>
      </c>
      <c r="S196" s="465" t="str">
        <f>IFERROR(_xlfn.XLOOKUP(CONCATENATE($K196,S$5,$L$2),BASE_DATOS[Reporte NSK],BASE_DATOS[NSK],,0),"")</f>
        <v/>
      </c>
      <c r="T196" s="466" t="str">
        <f>IFERROR(_xlfn.XLOOKUP(CONCATENATE($K196,T$5,$L$2),BASE_DATOS[Reporte NSK],BASE_DATOS[NSK],,0),"")</f>
        <v/>
      </c>
      <c r="U196" s="418" t="str">
        <f t="shared" si="6"/>
        <v/>
      </c>
    </row>
    <row r="197" spans="11:21" ht="10.199999999999999" customHeight="1" x14ac:dyDescent="0.2">
      <c r="K197" s="412"/>
      <c r="L197" s="415"/>
      <c r="M197" s="421" t="str">
        <f>IFERROR(_xlfn.XLOOKUP(CONCATENATE($K197,M$5,$L$2),BASE_DATOS[Reporte NSK],BASE_DATOS[NSK],,0),"")</f>
        <v/>
      </c>
      <c r="N197" s="422" t="str">
        <f>IFERROR(_xlfn.XLOOKUP(CONCATENATE($K197,N$5,$L$2),BASE_DATOS[Reporte NSK],BASE_DATOS[NSK],,0),"")</f>
        <v/>
      </c>
      <c r="O197" s="422" t="str">
        <f>IFERROR(_xlfn.XLOOKUP(CONCATENATE($K197,O$5,$L$2),BASE_DATOS[Reporte NSK],BASE_DATOS[NSK],,0),"")</f>
        <v/>
      </c>
      <c r="P197" s="422" t="str">
        <f>IFERROR(_xlfn.XLOOKUP(CONCATENATE($K197,P$5,$L$2),BASE_DATOS[Reporte NSK],BASE_DATOS[NSK],,0),"")</f>
        <v/>
      </c>
      <c r="Q197" s="422" t="str">
        <f>IFERROR(_xlfn.XLOOKUP(CONCATENATE($K197,Q$5,$L$2),BASE_DATOS[Reporte NSK],BASE_DATOS[NSK],,0),"")</f>
        <v/>
      </c>
      <c r="R197" s="422" t="str">
        <f>IFERROR(_xlfn.XLOOKUP(CONCATENATE($K197,R$5,$L$2),BASE_DATOS[Reporte NSK],BASE_DATOS[NSK],,0),"")</f>
        <v/>
      </c>
      <c r="S197" s="465" t="str">
        <f>IFERROR(_xlfn.XLOOKUP(CONCATENATE($K197,S$5,$L$2),BASE_DATOS[Reporte NSK],BASE_DATOS[NSK],,0),"")</f>
        <v/>
      </c>
      <c r="T197" s="466" t="str">
        <f>IFERROR(_xlfn.XLOOKUP(CONCATENATE($K197,T$5,$L$2),BASE_DATOS[Reporte NSK],BASE_DATOS[NSK],,0),"")</f>
        <v/>
      </c>
      <c r="U197" s="418" t="str">
        <f t="shared" si="6"/>
        <v/>
      </c>
    </row>
    <row r="198" spans="11:21" ht="10.199999999999999" customHeight="1" x14ac:dyDescent="0.2">
      <c r="K198" s="412"/>
      <c r="L198" s="415"/>
      <c r="M198" s="421" t="str">
        <f>IFERROR(_xlfn.XLOOKUP(CONCATENATE($K198,M$5,$L$2),BASE_DATOS[Reporte NSK],BASE_DATOS[NSK],,0),"")</f>
        <v/>
      </c>
      <c r="N198" s="422" t="str">
        <f>IFERROR(_xlfn.XLOOKUP(CONCATENATE($K198,N$5,$L$2),BASE_DATOS[Reporte NSK],BASE_DATOS[NSK],,0),"")</f>
        <v/>
      </c>
      <c r="O198" s="422" t="str">
        <f>IFERROR(_xlfn.XLOOKUP(CONCATENATE($K198,O$5,$L$2),BASE_DATOS[Reporte NSK],BASE_DATOS[NSK],,0),"")</f>
        <v/>
      </c>
      <c r="P198" s="422" t="str">
        <f>IFERROR(_xlfn.XLOOKUP(CONCATENATE($K198,P$5,$L$2),BASE_DATOS[Reporte NSK],BASE_DATOS[NSK],,0),"")</f>
        <v/>
      </c>
      <c r="Q198" s="422" t="str">
        <f>IFERROR(_xlfn.XLOOKUP(CONCATENATE($K198,Q$5,$L$2),BASE_DATOS[Reporte NSK],BASE_DATOS[NSK],,0),"")</f>
        <v/>
      </c>
      <c r="R198" s="422" t="str">
        <f>IFERROR(_xlfn.XLOOKUP(CONCATENATE($K198,R$5,$L$2),BASE_DATOS[Reporte NSK],BASE_DATOS[NSK],,0),"")</f>
        <v/>
      </c>
      <c r="S198" s="465" t="str">
        <f>IFERROR(_xlfn.XLOOKUP(CONCATENATE($K198,S$5,$L$2),BASE_DATOS[Reporte NSK],BASE_DATOS[NSK],,0),"")</f>
        <v/>
      </c>
      <c r="T198" s="466" t="str">
        <f>IFERROR(_xlfn.XLOOKUP(CONCATENATE($K198,T$5,$L$2),BASE_DATOS[Reporte NSK],BASE_DATOS[NSK],,0),"")</f>
        <v/>
      </c>
      <c r="U198" s="418" t="str">
        <f t="shared" ref="U198:U229" si="7">IF(COUNT(M198:T198)&gt;0,COUNT(M198:T198),"")</f>
        <v/>
      </c>
    </row>
    <row r="199" spans="11:21" ht="10.199999999999999" customHeight="1" x14ac:dyDescent="0.2">
      <c r="K199" s="412"/>
      <c r="L199" s="415"/>
      <c r="M199" s="421" t="str">
        <f>IFERROR(_xlfn.XLOOKUP(CONCATENATE($K199,M$5,$L$2),BASE_DATOS[Reporte NSK],BASE_DATOS[NSK],,0),"")</f>
        <v/>
      </c>
      <c r="N199" s="422" t="str">
        <f>IFERROR(_xlfn.XLOOKUP(CONCATENATE($K199,N$5,$L$2),BASE_DATOS[Reporte NSK],BASE_DATOS[NSK],,0),"")</f>
        <v/>
      </c>
      <c r="O199" s="422" t="str">
        <f>IFERROR(_xlfn.XLOOKUP(CONCATENATE($K199,O$5,$L$2),BASE_DATOS[Reporte NSK],BASE_DATOS[NSK],,0),"")</f>
        <v/>
      </c>
      <c r="P199" s="422" t="str">
        <f>IFERROR(_xlfn.XLOOKUP(CONCATENATE($K199,P$5,$L$2),BASE_DATOS[Reporte NSK],BASE_DATOS[NSK],,0),"")</f>
        <v/>
      </c>
      <c r="Q199" s="422" t="str">
        <f>IFERROR(_xlfn.XLOOKUP(CONCATENATE($K199,Q$5,$L$2),BASE_DATOS[Reporte NSK],BASE_DATOS[NSK],,0),"")</f>
        <v/>
      </c>
      <c r="R199" s="422" t="str">
        <f>IFERROR(_xlfn.XLOOKUP(CONCATENATE($K199,R$5,$L$2),BASE_DATOS[Reporte NSK],BASE_DATOS[NSK],,0),"")</f>
        <v/>
      </c>
      <c r="S199" s="465" t="str">
        <f>IFERROR(_xlfn.XLOOKUP(CONCATENATE($K199,S$5,$L$2),BASE_DATOS[Reporte NSK],BASE_DATOS[NSK],,0),"")</f>
        <v/>
      </c>
      <c r="T199" s="466" t="str">
        <f>IFERROR(_xlfn.XLOOKUP(CONCATENATE($K199,T$5,$L$2),BASE_DATOS[Reporte NSK],BASE_DATOS[NSK],,0),"")</f>
        <v/>
      </c>
      <c r="U199" s="418" t="str">
        <f t="shared" si="7"/>
        <v/>
      </c>
    </row>
    <row r="200" spans="11:21" ht="10.199999999999999" customHeight="1" x14ac:dyDescent="0.2">
      <c r="K200" s="412"/>
      <c r="L200" s="415"/>
      <c r="M200" s="421" t="str">
        <f>IFERROR(_xlfn.XLOOKUP(CONCATENATE($K200,M$5,$L$2),BASE_DATOS[Reporte NSK],BASE_DATOS[NSK],,0),"")</f>
        <v/>
      </c>
      <c r="N200" s="422" t="str">
        <f>IFERROR(_xlfn.XLOOKUP(CONCATENATE($K200,N$5,$L$2),BASE_DATOS[Reporte NSK],BASE_DATOS[NSK],,0),"")</f>
        <v/>
      </c>
      <c r="O200" s="422" t="str">
        <f>IFERROR(_xlfn.XLOOKUP(CONCATENATE($K200,O$5,$L$2),BASE_DATOS[Reporte NSK],BASE_DATOS[NSK],,0),"")</f>
        <v/>
      </c>
      <c r="P200" s="422" t="str">
        <f>IFERROR(_xlfn.XLOOKUP(CONCATENATE($K200,P$5,$L$2),BASE_DATOS[Reporte NSK],BASE_DATOS[NSK],,0),"")</f>
        <v/>
      </c>
      <c r="Q200" s="422" t="str">
        <f>IFERROR(_xlfn.XLOOKUP(CONCATENATE($K200,Q$5,$L$2),BASE_DATOS[Reporte NSK],BASE_DATOS[NSK],,0),"")</f>
        <v/>
      </c>
      <c r="R200" s="422" t="str">
        <f>IFERROR(_xlfn.XLOOKUP(CONCATENATE($K200,R$5,$L$2),BASE_DATOS[Reporte NSK],BASE_DATOS[NSK],,0),"")</f>
        <v/>
      </c>
      <c r="S200" s="465" t="str">
        <f>IFERROR(_xlfn.XLOOKUP(CONCATENATE($K200,S$5,$L$2),BASE_DATOS[Reporte NSK],BASE_DATOS[NSK],,0),"")</f>
        <v/>
      </c>
      <c r="T200" s="466" t="str">
        <f>IFERROR(_xlfn.XLOOKUP(CONCATENATE($K200,T$5,$L$2),BASE_DATOS[Reporte NSK],BASE_DATOS[NSK],,0),"")</f>
        <v/>
      </c>
      <c r="U200" s="418" t="str">
        <f t="shared" si="7"/>
        <v/>
      </c>
    </row>
    <row r="201" spans="11:21" ht="10.199999999999999" customHeight="1" x14ac:dyDescent="0.2">
      <c r="K201" s="389"/>
      <c r="L201" s="389"/>
    </row>
    <row r="202" spans="11:21" ht="10.199999999999999" customHeight="1" x14ac:dyDescent="0.2">
      <c r="K202" s="389"/>
      <c r="L202" s="389"/>
    </row>
    <row r="203" spans="11:21" ht="10.199999999999999" customHeight="1" x14ac:dyDescent="0.2">
      <c r="K203" s="389"/>
      <c r="L203" s="389"/>
    </row>
    <row r="204" spans="11:21" ht="10.199999999999999" customHeight="1" x14ac:dyDescent="0.2">
      <c r="K204" s="389"/>
      <c r="L204" s="389"/>
    </row>
    <row r="205" spans="11:21" ht="10.199999999999999" customHeight="1" x14ac:dyDescent="0.2">
      <c r="K205" s="389"/>
      <c r="L205" s="389"/>
    </row>
    <row r="206" spans="11:21" ht="10.199999999999999" customHeight="1" x14ac:dyDescent="0.2">
      <c r="K206" s="389"/>
      <c r="L206" s="389"/>
    </row>
    <row r="207" spans="11:21" ht="10.199999999999999" customHeight="1" x14ac:dyDescent="0.2">
      <c r="K207" s="389"/>
      <c r="L207" s="389"/>
    </row>
    <row r="208" spans="11:21" ht="10.199999999999999" customHeight="1" x14ac:dyDescent="0.2">
      <c r="K208" s="389"/>
      <c r="L208" s="389"/>
    </row>
    <row r="209" spans="11:12" ht="10.199999999999999" customHeight="1" x14ac:dyDescent="0.2">
      <c r="K209" s="389"/>
      <c r="L209" s="389"/>
    </row>
    <row r="210" spans="11:12" ht="10.199999999999999" customHeight="1" x14ac:dyDescent="0.2">
      <c r="K210" s="389"/>
      <c r="L210" s="389"/>
    </row>
    <row r="211" spans="11:12" ht="10.199999999999999" customHeight="1" x14ac:dyDescent="0.2">
      <c r="K211" s="389"/>
      <c r="L211" s="389"/>
    </row>
    <row r="212" spans="11:12" ht="10.199999999999999" customHeight="1" x14ac:dyDescent="0.2">
      <c r="K212" s="389"/>
      <c r="L212" s="389"/>
    </row>
    <row r="213" spans="11:12" ht="10.199999999999999" customHeight="1" x14ac:dyDescent="0.2">
      <c r="K213" s="389"/>
      <c r="L213" s="389"/>
    </row>
    <row r="214" spans="11:12" ht="10.199999999999999" customHeight="1" x14ac:dyDescent="0.2">
      <c r="K214" s="389"/>
      <c r="L214" s="389"/>
    </row>
    <row r="215" spans="11:12" ht="10.199999999999999" customHeight="1" x14ac:dyDescent="0.2">
      <c r="K215" s="389"/>
      <c r="L215" s="389"/>
    </row>
    <row r="216" spans="11:12" ht="10.199999999999999" customHeight="1" x14ac:dyDescent="0.2">
      <c r="K216" s="389"/>
      <c r="L216" s="389"/>
    </row>
    <row r="217" spans="11:12" ht="10.199999999999999" customHeight="1" x14ac:dyDescent="0.2">
      <c r="K217" s="389"/>
      <c r="L217" s="389"/>
    </row>
    <row r="218" spans="11:12" ht="10.199999999999999" customHeight="1" x14ac:dyDescent="0.2">
      <c r="K218" s="389"/>
      <c r="L218" s="389"/>
    </row>
    <row r="219" spans="11:12" ht="10.199999999999999" customHeight="1" x14ac:dyDescent="0.2">
      <c r="K219" s="389"/>
      <c r="L219" s="389"/>
    </row>
    <row r="220" spans="11:12" ht="10.199999999999999" customHeight="1" x14ac:dyDescent="0.2">
      <c r="K220" s="389"/>
      <c r="L220" s="389"/>
    </row>
    <row r="221" spans="11:12" ht="10.199999999999999" customHeight="1" x14ac:dyDescent="0.2">
      <c r="K221" s="389"/>
      <c r="L221" s="389"/>
    </row>
    <row r="222" spans="11:12" ht="10.199999999999999" customHeight="1" x14ac:dyDescent="0.2">
      <c r="K222" s="389"/>
      <c r="L222" s="389"/>
    </row>
    <row r="223" spans="11:12" ht="10.199999999999999" customHeight="1" x14ac:dyDescent="0.2">
      <c r="K223" s="389"/>
      <c r="L223" s="389"/>
    </row>
    <row r="224" spans="11:12" ht="10.199999999999999" customHeight="1" x14ac:dyDescent="0.2">
      <c r="K224" s="389"/>
      <c r="L224" s="389"/>
    </row>
  </sheetData>
  <mergeCells count="3">
    <mergeCell ref="D2:G2"/>
    <mergeCell ref="D3:F4"/>
    <mergeCell ref="M4:T4"/>
  </mergeCells>
  <conditionalFormatting sqref="M6:T68">
    <cfRule type="cellIs" dxfId="4" priority="1" operator="greaterThanOrEqual">
      <formula>$A$4</formula>
    </cfRule>
    <cfRule type="cellIs" dxfId="3" priority="2" operator="between">
      <formula>$A$3</formula>
      <formula>$B$3</formula>
    </cfRule>
    <cfRule type="cellIs" dxfId="2" priority="3" operator="lessThanOrEqual">
      <formula>$A$2</formula>
    </cfRule>
  </conditionalFormatting>
  <dataValidations count="1">
    <dataValidation type="list" allowBlank="1" showInputMessage="1" showErrorMessage="1" sqref="B1:J1" xr:uid="{B0D9CF7C-AE81-41DB-978F-7FBF1001B935}">
      <formula1>_xlfn.ANCHORARRAY(#REF!)</formula1>
    </dataValidation>
  </dataValidations>
  <pageMargins left="0.7" right="0.7" top="0.75" bottom="0.75" header="0.3" footer="0.3"/>
  <pageSetup orientation="portrait" horizontalDpi="4294967293" verticalDpi="0" r:id="rId2"/>
  <ignoredErrors>
    <ignoredError sqref="F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tabColor rgb="FF92D050"/>
  </sheetPr>
  <dimension ref="A1:Y379"/>
  <sheetViews>
    <sheetView showGridLines="0" zoomScale="80" zoomScaleNormal="80" workbookViewId="0">
      <selection activeCell="A12" sqref="A12"/>
    </sheetView>
  </sheetViews>
  <sheetFormatPr baseColWidth="10" defaultColWidth="11.44140625" defaultRowHeight="9.75" customHeight="1" x14ac:dyDescent="0.3"/>
  <cols>
    <col min="1" max="1" width="9.77734375" style="108" customWidth="1"/>
    <col min="2" max="3" width="10" style="108" customWidth="1"/>
    <col min="4" max="4" width="11.44140625" style="108" customWidth="1"/>
    <col min="5" max="5" width="7.77734375" style="108" customWidth="1"/>
    <col min="6" max="6" width="7.6640625" style="108" customWidth="1"/>
    <col min="7" max="7" width="9.109375" style="108" customWidth="1"/>
    <col min="8" max="8" width="9.6640625" style="108" customWidth="1"/>
    <col min="9" max="9" width="8.33203125" style="107" customWidth="1"/>
    <col min="10" max="10" width="7.33203125" style="107" customWidth="1"/>
    <col min="11" max="11" width="9.109375" style="107" customWidth="1"/>
    <col min="12" max="12" width="5.33203125" style="108" customWidth="1"/>
    <col min="13" max="13" width="3.77734375" style="108" customWidth="1"/>
    <col min="14" max="14" width="9.77734375" style="108" customWidth="1"/>
    <col min="15" max="16" width="10" style="108" customWidth="1"/>
    <col min="17" max="17" width="11.44140625" style="108" customWidth="1"/>
    <col min="18" max="18" width="6.6640625" style="108" customWidth="1"/>
    <col min="19" max="19" width="8" style="108" customWidth="1"/>
    <col min="20" max="20" width="7.88671875" style="108" customWidth="1"/>
    <col min="21" max="24" width="6.6640625" style="108" customWidth="1"/>
    <col min="25" max="25" width="8.109375" style="108" customWidth="1"/>
    <col min="26" max="16384" width="11.44140625" style="108"/>
  </cols>
  <sheetData>
    <row r="1" spans="1:25" ht="18" customHeight="1" x14ac:dyDescent="0.3">
      <c r="A1" s="109"/>
      <c r="B1" s="109"/>
      <c r="I1" s="108"/>
      <c r="L1" s="107"/>
    </row>
    <row r="2" spans="1:25" ht="18" customHeight="1" x14ac:dyDescent="0.3">
      <c r="A2" s="109"/>
      <c r="B2" s="109"/>
      <c r="I2" s="108"/>
      <c r="L2" s="107"/>
    </row>
    <row r="3" spans="1:25" ht="18" customHeight="1" x14ac:dyDescent="0.3">
      <c r="A3" s="109"/>
      <c r="B3" s="109"/>
      <c r="I3" s="108"/>
      <c r="L3" s="107"/>
    </row>
    <row r="4" spans="1:25" ht="18" customHeight="1" x14ac:dyDescent="0.3">
      <c r="A4" s="109"/>
      <c r="B4" s="109"/>
      <c r="I4" s="108"/>
      <c r="L4" s="107"/>
    </row>
    <row r="5" spans="1:25" ht="18" customHeight="1" x14ac:dyDescent="0.3">
      <c r="A5" s="109"/>
      <c r="B5" s="109"/>
      <c r="I5" s="108"/>
      <c r="L5" s="107"/>
    </row>
    <row r="6" spans="1:25" ht="18" customHeight="1" x14ac:dyDescent="0.3">
      <c r="A6" s="109"/>
      <c r="B6" s="109"/>
      <c r="I6" s="108"/>
      <c r="L6" s="107"/>
    </row>
    <row r="7" spans="1:25" ht="18" customHeight="1" x14ac:dyDescent="0.3">
      <c r="A7" s="109"/>
      <c r="B7" s="109"/>
      <c r="I7" s="108"/>
      <c r="L7" s="107"/>
    </row>
    <row r="8" spans="1:25" ht="18" customHeight="1" x14ac:dyDescent="0.3">
      <c r="A8" s="109"/>
      <c r="B8" s="109"/>
      <c r="I8" s="108"/>
      <c r="L8" s="107"/>
    </row>
    <row r="9" spans="1:25" ht="18" customHeight="1" x14ac:dyDescent="0.3">
      <c r="A9" s="109"/>
      <c r="B9" s="109"/>
      <c r="I9" s="108"/>
      <c r="L9" s="107"/>
      <c r="N9" s="109"/>
      <c r="O9" s="109"/>
      <c r="W9" s="107"/>
      <c r="X9" s="107"/>
      <c r="Y9" s="107"/>
    </row>
    <row r="10" spans="1:25" ht="18" customHeight="1" x14ac:dyDescent="0.3">
      <c r="A10" s="109" t="s">
        <v>93</v>
      </c>
      <c r="B10" s="109"/>
      <c r="I10" s="108"/>
      <c r="L10" s="107"/>
      <c r="N10" s="109" t="s">
        <v>94</v>
      </c>
      <c r="O10" s="109"/>
      <c r="W10" s="107"/>
      <c r="X10" s="107"/>
      <c r="Y10" s="107"/>
    </row>
    <row r="11" spans="1:25" s="107" customFormat="1" ht="30.6" x14ac:dyDescent="0.3">
      <c r="A11" s="156" t="s">
        <v>69</v>
      </c>
      <c r="B11" s="157" t="s">
        <v>64</v>
      </c>
      <c r="C11" s="158" t="s">
        <v>66</v>
      </c>
      <c r="D11" s="157" t="s">
        <v>70</v>
      </c>
      <c r="E11" s="157" t="s">
        <v>68</v>
      </c>
      <c r="F11" s="157" t="s">
        <v>65</v>
      </c>
      <c r="G11" s="158" t="s">
        <v>67</v>
      </c>
      <c r="H11" s="160" t="s">
        <v>92</v>
      </c>
      <c r="I11"/>
      <c r="J11"/>
      <c r="K11"/>
      <c r="L11"/>
      <c r="N11" s="153" t="s">
        <v>69</v>
      </c>
      <c r="O11" s="155" t="s">
        <v>74</v>
      </c>
      <c r="P11" s="155" t="s">
        <v>76</v>
      </c>
      <c r="Q11" s="154" t="s">
        <v>70</v>
      </c>
      <c r="R11" s="154" t="s">
        <v>77</v>
      </c>
      <c r="S11" s="155" t="s">
        <v>75</v>
      </c>
      <c r="T11" s="155" t="s">
        <v>78</v>
      </c>
      <c r="U11" s="159" t="s">
        <v>92</v>
      </c>
      <c r="V11"/>
      <c r="W11"/>
      <c r="X11"/>
      <c r="Y11"/>
    </row>
    <row r="12" spans="1:25" ht="14.4" x14ac:dyDescent="0.3">
      <c r="A12" s="380">
        <v>349</v>
      </c>
      <c r="B12" s="381"/>
      <c r="C12" s="382"/>
      <c r="D12" s="383">
        <v>0.34648450379647533</v>
      </c>
      <c r="E12" s="381"/>
      <c r="F12" s="384"/>
      <c r="G12" s="385"/>
      <c r="H12" s="386">
        <v>13.939828080229226</v>
      </c>
      <c r="I12"/>
      <c r="J12"/>
      <c r="K12"/>
      <c r="L12"/>
      <c r="N12" s="380">
        <v>349</v>
      </c>
      <c r="O12" s="381"/>
      <c r="P12" s="381"/>
      <c r="Q12" s="383">
        <v>0.34648450379647533</v>
      </c>
      <c r="R12" s="381"/>
      <c r="S12" s="387"/>
      <c r="T12" s="387"/>
      <c r="U12" s="388">
        <v>13.939828080229226</v>
      </c>
      <c r="V12"/>
      <c r="W12"/>
      <c r="X12"/>
      <c r="Y12"/>
    </row>
    <row r="13" spans="1:25" ht="10.199999999999999" x14ac:dyDescent="0.3">
      <c r="A13"/>
      <c r="B13"/>
      <c r="C13"/>
      <c r="D13"/>
      <c r="E13"/>
      <c r="F13"/>
      <c r="G13"/>
      <c r="H13"/>
      <c r="I13"/>
      <c r="J13"/>
      <c r="K13"/>
      <c r="L13"/>
      <c r="N13"/>
      <c r="O13"/>
      <c r="P13"/>
      <c r="Q13"/>
      <c r="R13"/>
      <c r="S13"/>
      <c r="T13"/>
      <c r="U13"/>
      <c r="V13"/>
      <c r="W13"/>
      <c r="X13"/>
      <c r="Y13"/>
    </row>
    <row r="14" spans="1:25" ht="10.199999999999999" x14ac:dyDescent="0.3">
      <c r="A14"/>
      <c r="B14"/>
      <c r="C14"/>
      <c r="D14"/>
      <c r="E14"/>
      <c r="F14"/>
      <c r="G14"/>
      <c r="H14"/>
      <c r="I14"/>
      <c r="J14"/>
      <c r="K14"/>
      <c r="L14"/>
      <c r="N14"/>
      <c r="O14"/>
      <c r="P14"/>
      <c r="Q14"/>
      <c r="R14"/>
      <c r="S14"/>
      <c r="T14"/>
      <c r="U14"/>
      <c r="V14"/>
      <c r="W14"/>
      <c r="X14"/>
      <c r="Y14"/>
    </row>
    <row r="15" spans="1:25" ht="10.199999999999999" x14ac:dyDescent="0.3">
      <c r="A15"/>
      <c r="B15"/>
      <c r="C15"/>
      <c r="D15"/>
      <c r="E15"/>
      <c r="F15"/>
      <c r="G15"/>
      <c r="H15"/>
      <c r="I15"/>
      <c r="J15"/>
      <c r="K15"/>
      <c r="L15"/>
      <c r="N15"/>
      <c r="O15"/>
      <c r="P15"/>
      <c r="Q15"/>
      <c r="R15"/>
      <c r="S15"/>
      <c r="T15"/>
      <c r="U15"/>
      <c r="V15"/>
      <c r="W15"/>
      <c r="X15"/>
      <c r="Y15"/>
    </row>
    <row r="16" spans="1:25" ht="10.199999999999999" x14ac:dyDescent="0.3">
      <c r="A16"/>
      <c r="B16"/>
      <c r="C16"/>
      <c r="D16"/>
      <c r="E16"/>
      <c r="F16"/>
      <c r="G16"/>
      <c r="H16"/>
      <c r="I16"/>
      <c r="J16"/>
      <c r="K16"/>
      <c r="L16"/>
      <c r="N16"/>
      <c r="O16"/>
      <c r="P16"/>
      <c r="Q16"/>
      <c r="R16"/>
      <c r="S16"/>
      <c r="T16"/>
      <c r="U16"/>
      <c r="V16"/>
      <c r="W16"/>
      <c r="X16"/>
      <c r="Y16"/>
    </row>
    <row r="17" spans="1:25" ht="10.199999999999999" x14ac:dyDescent="0.3">
      <c r="A17"/>
      <c r="B17"/>
      <c r="C17"/>
      <c r="D17"/>
      <c r="E17"/>
      <c r="F17"/>
      <c r="G17"/>
      <c r="H17"/>
      <c r="I17"/>
      <c r="J17"/>
      <c r="K17"/>
      <c r="L17"/>
      <c r="N17"/>
      <c r="O17"/>
      <c r="P17"/>
      <c r="Q17"/>
      <c r="R17"/>
      <c r="S17"/>
      <c r="T17"/>
      <c r="U17"/>
      <c r="V17"/>
      <c r="W17"/>
      <c r="X17"/>
      <c r="Y17"/>
    </row>
    <row r="18" spans="1:25" ht="10.199999999999999" x14ac:dyDescent="0.3">
      <c r="A18"/>
      <c r="B18"/>
      <c r="C18"/>
      <c r="D18"/>
      <c r="E18"/>
      <c r="F18"/>
      <c r="G18"/>
      <c r="H18"/>
      <c r="I18"/>
      <c r="J18"/>
      <c r="K18"/>
      <c r="L18"/>
      <c r="N18"/>
      <c r="O18"/>
      <c r="P18"/>
      <c r="Q18"/>
      <c r="R18"/>
      <c r="S18"/>
      <c r="T18"/>
      <c r="U18"/>
      <c r="V18"/>
      <c r="W18"/>
      <c r="X18"/>
      <c r="Y18"/>
    </row>
    <row r="19" spans="1:25" ht="10.199999999999999" x14ac:dyDescent="0.3">
      <c r="A19"/>
      <c r="B19"/>
      <c r="C19"/>
      <c r="D19"/>
      <c r="E19"/>
      <c r="F19"/>
      <c r="G19"/>
      <c r="H19"/>
      <c r="I19"/>
      <c r="J19"/>
      <c r="K19"/>
      <c r="L19"/>
      <c r="N19"/>
      <c r="O19"/>
      <c r="P19"/>
      <c r="Q19"/>
      <c r="R19"/>
      <c r="S19"/>
      <c r="T19"/>
      <c r="U19"/>
      <c r="V19"/>
      <c r="W19"/>
      <c r="X19"/>
      <c r="Y19"/>
    </row>
    <row r="20" spans="1:25" ht="10.199999999999999" x14ac:dyDescent="0.3">
      <c r="A20"/>
      <c r="B20"/>
      <c r="C20"/>
      <c r="D20"/>
      <c r="E20"/>
      <c r="F20"/>
      <c r="G20"/>
      <c r="H20"/>
      <c r="I20"/>
      <c r="J20"/>
      <c r="K20"/>
      <c r="L20"/>
      <c r="N20"/>
      <c r="O20"/>
      <c r="P20"/>
      <c r="Q20"/>
      <c r="R20"/>
      <c r="S20"/>
      <c r="T20"/>
      <c r="U20"/>
      <c r="V20"/>
      <c r="W20"/>
      <c r="X20"/>
      <c r="Y20"/>
    </row>
    <row r="21" spans="1:25" ht="10.199999999999999" x14ac:dyDescent="0.3">
      <c r="A21"/>
      <c r="B21"/>
      <c r="C21"/>
      <c r="D21"/>
      <c r="E21"/>
      <c r="F21"/>
      <c r="G21"/>
      <c r="H21"/>
      <c r="I21"/>
      <c r="J21"/>
      <c r="K21"/>
      <c r="L21"/>
      <c r="N21"/>
      <c r="O21"/>
      <c r="P21"/>
      <c r="Q21"/>
      <c r="R21"/>
      <c r="S21"/>
      <c r="T21"/>
      <c r="U21"/>
      <c r="V21"/>
      <c r="W21"/>
      <c r="X21"/>
      <c r="Y21"/>
    </row>
    <row r="22" spans="1:25" ht="10.199999999999999" x14ac:dyDescent="0.3">
      <c r="A22"/>
      <c r="B22"/>
      <c r="C22"/>
      <c r="D22"/>
      <c r="E22"/>
      <c r="F22"/>
      <c r="G22"/>
      <c r="H22"/>
      <c r="I22"/>
      <c r="J22"/>
      <c r="K22"/>
      <c r="L22"/>
      <c r="N22"/>
      <c r="O22"/>
      <c r="P22"/>
      <c r="Q22"/>
      <c r="R22"/>
      <c r="S22"/>
      <c r="T22"/>
      <c r="U22"/>
      <c r="V22"/>
      <c r="W22"/>
      <c r="X22"/>
      <c r="Y22"/>
    </row>
    <row r="23" spans="1:25" ht="10.199999999999999" x14ac:dyDescent="0.3">
      <c r="A23"/>
      <c r="B23"/>
      <c r="C23"/>
      <c r="D23"/>
      <c r="E23"/>
      <c r="F23"/>
      <c r="G23"/>
      <c r="H23"/>
      <c r="I23"/>
      <c r="J23"/>
      <c r="K23"/>
      <c r="L23"/>
      <c r="N23"/>
      <c r="O23"/>
      <c r="P23"/>
      <c r="Q23"/>
      <c r="R23"/>
      <c r="S23"/>
      <c r="T23"/>
      <c r="U23"/>
      <c r="V23"/>
      <c r="W23"/>
      <c r="X23"/>
      <c r="Y23"/>
    </row>
    <row r="24" spans="1:25" ht="10.199999999999999" x14ac:dyDescent="0.3">
      <c r="A24"/>
      <c r="B24"/>
      <c r="C24"/>
      <c r="D24"/>
      <c r="E24"/>
      <c r="F24"/>
      <c r="G24"/>
      <c r="H24"/>
      <c r="I24"/>
      <c r="J24"/>
      <c r="K24"/>
      <c r="L24"/>
      <c r="N24"/>
      <c r="O24"/>
      <c r="P24"/>
      <c r="Q24"/>
      <c r="R24"/>
      <c r="S24"/>
      <c r="T24"/>
      <c r="U24"/>
      <c r="V24"/>
      <c r="W24"/>
      <c r="X24"/>
      <c r="Y24"/>
    </row>
    <row r="25" spans="1:25" ht="10.199999999999999" x14ac:dyDescent="0.3">
      <c r="A25"/>
      <c r="B25"/>
      <c r="C25"/>
      <c r="D25"/>
      <c r="E25"/>
      <c r="F25"/>
      <c r="G25"/>
      <c r="H25"/>
      <c r="I25"/>
      <c r="J25"/>
      <c r="K25"/>
      <c r="L25"/>
      <c r="N25"/>
      <c r="O25"/>
      <c r="P25"/>
      <c r="Q25"/>
      <c r="R25"/>
      <c r="S25"/>
      <c r="T25"/>
      <c r="U25"/>
      <c r="V25"/>
      <c r="W25"/>
      <c r="X25"/>
      <c r="Y25"/>
    </row>
    <row r="26" spans="1:25" ht="10.199999999999999" x14ac:dyDescent="0.3">
      <c r="A26"/>
      <c r="B26"/>
      <c r="C26"/>
      <c r="D26"/>
      <c r="E26"/>
      <c r="F26"/>
      <c r="G26"/>
      <c r="H26"/>
      <c r="I26"/>
      <c r="J26"/>
      <c r="K26"/>
      <c r="L26"/>
      <c r="N26"/>
      <c r="O26"/>
      <c r="P26"/>
      <c r="Q26"/>
      <c r="R26"/>
      <c r="S26"/>
      <c r="T26"/>
      <c r="U26"/>
      <c r="V26"/>
      <c r="W26"/>
      <c r="X26"/>
      <c r="Y26"/>
    </row>
    <row r="27" spans="1:25" ht="10.199999999999999" x14ac:dyDescent="0.3">
      <c r="A27"/>
      <c r="B27"/>
      <c r="C27"/>
      <c r="D27"/>
      <c r="E27"/>
      <c r="F27"/>
      <c r="G27"/>
      <c r="H27"/>
      <c r="I27"/>
      <c r="J27"/>
      <c r="K27"/>
      <c r="L27"/>
      <c r="N27"/>
      <c r="O27"/>
      <c r="P27"/>
      <c r="Q27"/>
      <c r="R27"/>
      <c r="S27"/>
      <c r="T27"/>
      <c r="U27"/>
      <c r="V27"/>
      <c r="W27"/>
      <c r="X27"/>
      <c r="Y27"/>
    </row>
    <row r="28" spans="1:25" ht="10.199999999999999" x14ac:dyDescent="0.3">
      <c r="A28"/>
      <c r="B28"/>
      <c r="C28"/>
      <c r="D28"/>
      <c r="E28"/>
      <c r="F28"/>
      <c r="G28"/>
      <c r="H28"/>
      <c r="I28"/>
      <c r="J28"/>
      <c r="K28"/>
      <c r="L28"/>
      <c r="N28"/>
      <c r="O28"/>
      <c r="P28"/>
      <c r="Q28"/>
      <c r="R28"/>
      <c r="S28"/>
      <c r="T28"/>
      <c r="U28"/>
      <c r="V28"/>
      <c r="W28"/>
      <c r="X28"/>
      <c r="Y28"/>
    </row>
    <row r="29" spans="1:25" ht="10.199999999999999" x14ac:dyDescent="0.3">
      <c r="A29"/>
      <c r="B29"/>
      <c r="C29"/>
      <c r="D29"/>
      <c r="E29"/>
      <c r="F29"/>
      <c r="G29"/>
      <c r="H29"/>
      <c r="I29"/>
      <c r="J29"/>
      <c r="K29"/>
      <c r="L29"/>
      <c r="N29"/>
      <c r="O29"/>
      <c r="P29"/>
      <c r="Q29"/>
      <c r="R29"/>
      <c r="S29"/>
      <c r="T29"/>
      <c r="U29"/>
      <c r="V29"/>
      <c r="W29"/>
      <c r="X29"/>
      <c r="Y29"/>
    </row>
    <row r="30" spans="1:25" ht="10.199999999999999" x14ac:dyDescent="0.3">
      <c r="A30"/>
      <c r="B30"/>
      <c r="C30"/>
      <c r="D30"/>
      <c r="E30"/>
      <c r="F30"/>
      <c r="G30"/>
      <c r="H30"/>
      <c r="I30"/>
      <c r="J30"/>
      <c r="K30"/>
      <c r="L30"/>
      <c r="N30"/>
      <c r="O30"/>
      <c r="P30"/>
      <c r="Q30"/>
      <c r="R30"/>
      <c r="S30"/>
      <c r="T30"/>
      <c r="U30"/>
      <c r="V30"/>
      <c r="W30"/>
      <c r="X30"/>
      <c r="Y30"/>
    </row>
    <row r="31" spans="1:25" ht="10.199999999999999" x14ac:dyDescent="0.3">
      <c r="A31"/>
      <c r="B31"/>
      <c r="C31"/>
      <c r="D31"/>
      <c r="E31"/>
      <c r="F31"/>
      <c r="G31"/>
      <c r="H31"/>
      <c r="I31"/>
      <c r="J31"/>
      <c r="K31"/>
      <c r="L31"/>
      <c r="N31"/>
      <c r="O31"/>
      <c r="P31"/>
      <c r="Q31"/>
      <c r="R31"/>
      <c r="S31"/>
      <c r="T31"/>
      <c r="U31"/>
      <c r="V31"/>
      <c r="W31"/>
      <c r="X31"/>
      <c r="Y31"/>
    </row>
    <row r="32" spans="1:25" ht="10.199999999999999" x14ac:dyDescent="0.3">
      <c r="A32"/>
      <c r="B32"/>
      <c r="C32"/>
      <c r="D32"/>
      <c r="E32"/>
      <c r="F32"/>
      <c r="G32"/>
      <c r="H32"/>
      <c r="I32"/>
      <c r="J32"/>
      <c r="K32"/>
      <c r="L32"/>
      <c r="N32"/>
      <c r="O32"/>
      <c r="P32"/>
      <c r="Q32"/>
      <c r="R32"/>
      <c r="S32"/>
      <c r="T32"/>
      <c r="U32"/>
      <c r="V32"/>
      <c r="W32"/>
      <c r="X32"/>
      <c r="Y32"/>
    </row>
    <row r="33" spans="1:25" ht="10.199999999999999" x14ac:dyDescent="0.3">
      <c r="A33"/>
      <c r="B33"/>
      <c r="C33"/>
      <c r="D33"/>
      <c r="E33"/>
      <c r="F33"/>
      <c r="G33"/>
      <c r="H33"/>
      <c r="I33"/>
      <c r="J33"/>
      <c r="K33"/>
      <c r="L33"/>
      <c r="N33"/>
      <c r="O33"/>
      <c r="P33"/>
      <c r="Q33"/>
      <c r="R33"/>
      <c r="S33"/>
      <c r="T33"/>
      <c r="U33"/>
      <c r="V33"/>
      <c r="W33"/>
      <c r="X33"/>
      <c r="Y33"/>
    </row>
    <row r="34" spans="1:25" ht="14.4" x14ac:dyDescent="0.3">
      <c r="A34"/>
      <c r="B34"/>
      <c r="C34"/>
      <c r="D34"/>
      <c r="E34"/>
      <c r="F34"/>
      <c r="G34"/>
      <c r="H34"/>
      <c r="I34"/>
      <c r="J34"/>
      <c r="K34"/>
      <c r="L34"/>
      <c r="N34"/>
      <c r="O34"/>
      <c r="P34"/>
      <c r="Q34"/>
      <c r="R34"/>
      <c r="S34"/>
      <c r="T34"/>
      <c r="U34"/>
      <c r="V34"/>
      <c r="W34"/>
      <c r="X34"/>
      <c r="Y34"/>
    </row>
    <row r="35" spans="1:25" ht="14.4" x14ac:dyDescent="0.3">
      <c r="A35"/>
      <c r="B35"/>
      <c r="C35"/>
      <c r="D35"/>
      <c r="E35"/>
      <c r="F35"/>
      <c r="G35"/>
      <c r="H35"/>
      <c r="I35"/>
      <c r="J35"/>
      <c r="K35"/>
      <c r="L35"/>
      <c r="N35"/>
      <c r="O35"/>
      <c r="P35"/>
      <c r="Q35"/>
      <c r="R35"/>
      <c r="S35"/>
      <c r="T35"/>
      <c r="U35"/>
      <c r="V35"/>
      <c r="W35"/>
      <c r="X35"/>
      <c r="Y35"/>
    </row>
    <row r="36" spans="1:25" ht="14.4" x14ac:dyDescent="0.3">
      <c r="A36"/>
      <c r="B36"/>
      <c r="C36"/>
      <c r="D36"/>
      <c r="E36"/>
      <c r="F36"/>
      <c r="G36"/>
      <c r="H36"/>
      <c r="I36"/>
      <c r="J36"/>
      <c r="K36"/>
      <c r="L36"/>
      <c r="N36"/>
      <c r="O36"/>
      <c r="P36"/>
      <c r="Q36"/>
      <c r="R36"/>
      <c r="S36"/>
      <c r="T36"/>
      <c r="U36"/>
      <c r="V36"/>
      <c r="W36"/>
      <c r="X36"/>
      <c r="Y36"/>
    </row>
    <row r="37" spans="1:25" ht="14.4" x14ac:dyDescent="0.3">
      <c r="A37"/>
      <c r="B37"/>
      <c r="C37"/>
      <c r="D37"/>
      <c r="E37"/>
      <c r="F37"/>
      <c r="G37"/>
      <c r="H37"/>
      <c r="I37"/>
      <c r="J37"/>
      <c r="K37"/>
      <c r="L37"/>
      <c r="N37"/>
      <c r="O37"/>
      <c r="P37"/>
      <c r="Q37"/>
      <c r="R37"/>
      <c r="S37"/>
      <c r="T37"/>
      <c r="U37"/>
      <c r="V37"/>
      <c r="W37"/>
      <c r="X37"/>
      <c r="Y37"/>
    </row>
    <row r="38" spans="1:25" ht="14.4" x14ac:dyDescent="0.3">
      <c r="A38"/>
      <c r="B38"/>
      <c r="C38"/>
      <c r="D38"/>
      <c r="E38"/>
      <c r="F38"/>
      <c r="G38"/>
      <c r="H38"/>
      <c r="I38"/>
      <c r="J38"/>
      <c r="K38"/>
      <c r="L38"/>
      <c r="N38"/>
      <c r="O38"/>
      <c r="P38"/>
      <c r="Q38"/>
      <c r="R38"/>
      <c r="S38"/>
      <c r="T38"/>
      <c r="U38"/>
      <c r="V38"/>
      <c r="W38"/>
      <c r="X38"/>
      <c r="Y38"/>
    </row>
    <row r="39" spans="1:25" ht="14.4" x14ac:dyDescent="0.3">
      <c r="A39"/>
      <c r="B39"/>
      <c r="C39"/>
      <c r="D39"/>
      <c r="E39"/>
      <c r="F39"/>
      <c r="G39"/>
      <c r="H39"/>
      <c r="I39"/>
      <c r="J39"/>
      <c r="K39"/>
      <c r="L39"/>
      <c r="N39"/>
      <c r="O39"/>
      <c r="P39"/>
      <c r="Q39"/>
      <c r="R39"/>
      <c r="S39"/>
      <c r="T39"/>
      <c r="U39"/>
      <c r="V39"/>
      <c r="W39"/>
      <c r="X39"/>
      <c r="Y39"/>
    </row>
    <row r="40" spans="1:25" ht="14.4" x14ac:dyDescent="0.3">
      <c r="A40"/>
      <c r="B40"/>
      <c r="C40"/>
      <c r="D40"/>
      <c r="E40"/>
      <c r="F40"/>
      <c r="G40"/>
      <c r="H40"/>
      <c r="I40"/>
      <c r="J40"/>
      <c r="K40"/>
      <c r="L40"/>
      <c r="N40"/>
      <c r="O40"/>
      <c r="P40"/>
      <c r="Q40"/>
      <c r="R40"/>
      <c r="S40"/>
      <c r="T40"/>
      <c r="U40"/>
      <c r="V40"/>
      <c r="W40"/>
      <c r="X40"/>
      <c r="Y40"/>
    </row>
    <row r="41" spans="1:25" ht="14.4" x14ac:dyDescent="0.3">
      <c r="A41"/>
      <c r="B41"/>
      <c r="C41"/>
      <c r="D41"/>
      <c r="E41"/>
      <c r="F41"/>
      <c r="G41"/>
      <c r="H41"/>
      <c r="I41"/>
      <c r="J41"/>
      <c r="K41"/>
      <c r="L41"/>
      <c r="N41"/>
      <c r="O41"/>
      <c r="P41"/>
      <c r="Q41"/>
      <c r="R41"/>
      <c r="S41"/>
      <c r="T41"/>
      <c r="U41"/>
      <c r="V41"/>
      <c r="W41"/>
      <c r="X41"/>
      <c r="Y41"/>
    </row>
    <row r="42" spans="1:25" ht="14.4" x14ac:dyDescent="0.3">
      <c r="A42"/>
      <c r="B42"/>
      <c r="C42"/>
      <c r="D42"/>
      <c r="E42"/>
      <c r="F42"/>
      <c r="G42"/>
      <c r="H42"/>
      <c r="I42"/>
      <c r="J42"/>
      <c r="K42"/>
      <c r="L42"/>
      <c r="N42"/>
      <c r="O42"/>
      <c r="P42"/>
      <c r="Q42"/>
      <c r="R42"/>
      <c r="S42"/>
      <c r="T42"/>
      <c r="U42"/>
      <c r="V42"/>
      <c r="W42"/>
      <c r="X42"/>
      <c r="Y42"/>
    </row>
    <row r="43" spans="1:25" ht="14.4" x14ac:dyDescent="0.3">
      <c r="A43"/>
      <c r="B43"/>
      <c r="C43"/>
      <c r="D43"/>
      <c r="E43"/>
      <c r="F43"/>
      <c r="G43"/>
      <c r="H43"/>
      <c r="I43"/>
      <c r="J43"/>
      <c r="K43"/>
      <c r="L43"/>
      <c r="N43"/>
      <c r="O43"/>
      <c r="P43"/>
      <c r="Q43"/>
      <c r="R43"/>
      <c r="S43"/>
      <c r="T43"/>
      <c r="U43"/>
      <c r="V43"/>
      <c r="W43"/>
      <c r="X43"/>
      <c r="Y43"/>
    </row>
    <row r="44" spans="1:25" ht="14.4" x14ac:dyDescent="0.3">
      <c r="A44"/>
      <c r="B44"/>
      <c r="C44"/>
      <c r="D44"/>
      <c r="E44"/>
      <c r="F44"/>
      <c r="G44"/>
      <c r="H44"/>
      <c r="I44"/>
      <c r="J44"/>
      <c r="K44"/>
      <c r="L44"/>
      <c r="N44"/>
      <c r="O44"/>
      <c r="P44"/>
      <c r="Q44"/>
      <c r="R44"/>
      <c r="S44"/>
      <c r="T44"/>
      <c r="U44"/>
      <c r="V44"/>
      <c r="W44"/>
      <c r="X44"/>
      <c r="Y44"/>
    </row>
    <row r="45" spans="1:25" ht="14.4" x14ac:dyDescent="0.3">
      <c r="A45"/>
      <c r="B45"/>
      <c r="C45"/>
      <c r="D45"/>
      <c r="E45"/>
      <c r="F45"/>
      <c r="G45"/>
      <c r="H45"/>
      <c r="I45"/>
      <c r="J45"/>
      <c r="K45"/>
      <c r="L45"/>
      <c r="N45"/>
      <c r="O45"/>
      <c r="P45"/>
      <c r="Q45"/>
      <c r="R45"/>
      <c r="S45"/>
      <c r="T45"/>
      <c r="U45"/>
      <c r="V45"/>
      <c r="W45"/>
      <c r="X45"/>
      <c r="Y45"/>
    </row>
    <row r="46" spans="1:25" ht="14.4" x14ac:dyDescent="0.3">
      <c r="A46"/>
      <c r="B46"/>
      <c r="C46"/>
      <c r="D46"/>
      <c r="E46"/>
      <c r="F46"/>
      <c r="G46"/>
      <c r="H46"/>
      <c r="I46"/>
      <c r="J46"/>
      <c r="K46"/>
      <c r="L46"/>
      <c r="N46"/>
      <c r="O46"/>
      <c r="P46"/>
      <c r="Q46"/>
      <c r="R46"/>
      <c r="S46"/>
      <c r="T46"/>
      <c r="U46"/>
      <c r="V46"/>
      <c r="W46"/>
      <c r="X46"/>
      <c r="Y46"/>
    </row>
    <row r="47" spans="1:25" ht="14.4" x14ac:dyDescent="0.3">
      <c r="A47"/>
      <c r="B47"/>
      <c r="C47"/>
      <c r="D47"/>
      <c r="E47"/>
      <c r="F47"/>
      <c r="G47"/>
      <c r="H47"/>
      <c r="I47"/>
      <c r="J47"/>
      <c r="K47"/>
      <c r="L47"/>
      <c r="N47"/>
      <c r="O47"/>
      <c r="P47"/>
      <c r="Q47"/>
      <c r="R47"/>
      <c r="S47"/>
      <c r="T47"/>
      <c r="U47"/>
      <c r="V47"/>
      <c r="W47"/>
      <c r="X47"/>
      <c r="Y47"/>
    </row>
    <row r="48" spans="1:25" ht="14.4" x14ac:dyDescent="0.3">
      <c r="A48"/>
      <c r="B48"/>
      <c r="C48"/>
      <c r="D48"/>
      <c r="E48"/>
      <c r="F48"/>
      <c r="G48"/>
      <c r="H48"/>
      <c r="I48"/>
      <c r="J48"/>
      <c r="K48"/>
      <c r="L48"/>
      <c r="N48"/>
      <c r="O48"/>
      <c r="P48"/>
      <c r="Q48"/>
      <c r="R48"/>
      <c r="S48"/>
      <c r="T48"/>
      <c r="U48"/>
      <c r="V48"/>
      <c r="W48"/>
      <c r="X48"/>
      <c r="Y48"/>
    </row>
    <row r="49" spans="1:25" ht="14.4" x14ac:dyDescent="0.3">
      <c r="A49"/>
      <c r="B49"/>
      <c r="C49"/>
      <c r="D49"/>
      <c r="E49"/>
      <c r="F49"/>
      <c r="G49"/>
      <c r="H49"/>
      <c r="I49"/>
      <c r="J49"/>
      <c r="K49"/>
      <c r="L49"/>
      <c r="N49"/>
      <c r="O49"/>
      <c r="P49"/>
      <c r="Q49"/>
      <c r="R49"/>
      <c r="S49"/>
      <c r="T49"/>
      <c r="U49"/>
      <c r="V49"/>
      <c r="W49"/>
      <c r="X49"/>
      <c r="Y49"/>
    </row>
    <row r="50" spans="1:25" ht="14.4" x14ac:dyDescent="0.3">
      <c r="A50"/>
      <c r="B50"/>
      <c r="C50"/>
      <c r="D50"/>
      <c r="E50"/>
      <c r="F50"/>
      <c r="G50"/>
      <c r="H50"/>
      <c r="I50"/>
      <c r="J50"/>
      <c r="K50"/>
      <c r="L50"/>
      <c r="N50"/>
      <c r="O50"/>
      <c r="P50"/>
      <c r="Q50"/>
      <c r="R50"/>
      <c r="S50"/>
      <c r="T50"/>
      <c r="U50"/>
      <c r="V50"/>
      <c r="W50"/>
      <c r="X50"/>
      <c r="Y50"/>
    </row>
    <row r="51" spans="1:25" ht="14.4" x14ac:dyDescent="0.3">
      <c r="A51"/>
      <c r="B51"/>
      <c r="C51"/>
      <c r="D51"/>
      <c r="E51"/>
      <c r="F51"/>
      <c r="G51"/>
      <c r="H51"/>
      <c r="I51"/>
      <c r="J51"/>
      <c r="K51"/>
      <c r="L51"/>
      <c r="N51"/>
      <c r="O51"/>
      <c r="P51"/>
      <c r="Q51"/>
      <c r="R51"/>
      <c r="S51"/>
      <c r="T51"/>
      <c r="U51"/>
      <c r="V51"/>
      <c r="W51"/>
      <c r="X51"/>
      <c r="Y51"/>
    </row>
    <row r="52" spans="1:25" ht="14.4" x14ac:dyDescent="0.3">
      <c r="A52"/>
      <c r="B52"/>
      <c r="C52"/>
      <c r="D52"/>
      <c r="E52"/>
      <c r="F52"/>
      <c r="G52"/>
      <c r="H52"/>
      <c r="I52"/>
      <c r="J52"/>
      <c r="K52"/>
      <c r="L52"/>
      <c r="N52"/>
      <c r="O52"/>
      <c r="P52"/>
      <c r="Q52"/>
      <c r="R52"/>
      <c r="S52"/>
      <c r="T52"/>
      <c r="U52"/>
      <c r="V52"/>
      <c r="W52"/>
      <c r="X52"/>
      <c r="Y52"/>
    </row>
    <row r="53" spans="1:25" ht="14.4" x14ac:dyDescent="0.3">
      <c r="A53"/>
      <c r="B53"/>
      <c r="C53"/>
      <c r="D53"/>
      <c r="E53"/>
      <c r="F53"/>
      <c r="G53"/>
      <c r="H53"/>
      <c r="I53"/>
      <c r="J53"/>
      <c r="K53"/>
      <c r="L53"/>
      <c r="N53"/>
      <c r="O53"/>
      <c r="P53"/>
      <c r="Q53"/>
      <c r="R53"/>
      <c r="S53"/>
      <c r="T53"/>
      <c r="U53"/>
      <c r="V53"/>
      <c r="W53"/>
      <c r="X53"/>
      <c r="Y53"/>
    </row>
    <row r="54" spans="1:25" ht="14.4" x14ac:dyDescent="0.3">
      <c r="A54"/>
      <c r="B54"/>
      <c r="C54"/>
      <c r="D54"/>
      <c r="E54"/>
      <c r="F54"/>
      <c r="G54"/>
      <c r="H54"/>
      <c r="I54"/>
      <c r="J54"/>
      <c r="K54"/>
      <c r="L54"/>
      <c r="N54"/>
      <c r="O54"/>
      <c r="P54"/>
      <c r="Q54"/>
      <c r="R54"/>
      <c r="S54"/>
      <c r="T54"/>
      <c r="U54"/>
      <c r="V54"/>
      <c r="W54"/>
      <c r="X54"/>
      <c r="Y54"/>
    </row>
    <row r="55" spans="1:25" ht="14.4" x14ac:dyDescent="0.3">
      <c r="A55"/>
      <c r="B55"/>
      <c r="C55"/>
      <c r="D55"/>
      <c r="E55"/>
      <c r="F55"/>
      <c r="G55"/>
      <c r="H55"/>
      <c r="I55"/>
      <c r="J55"/>
      <c r="K55"/>
      <c r="L55"/>
      <c r="N55"/>
      <c r="O55"/>
      <c r="P55"/>
      <c r="Q55"/>
      <c r="R55"/>
      <c r="S55"/>
      <c r="T55"/>
      <c r="U55"/>
      <c r="V55"/>
      <c r="W55"/>
      <c r="X55"/>
      <c r="Y55"/>
    </row>
    <row r="56" spans="1:25" ht="14.4" x14ac:dyDescent="0.3">
      <c r="A56"/>
      <c r="B56"/>
      <c r="C56"/>
      <c r="D56"/>
      <c r="E56"/>
      <c r="F56"/>
      <c r="G56"/>
      <c r="H56"/>
      <c r="I56"/>
      <c r="J56"/>
      <c r="K56"/>
      <c r="L56"/>
      <c r="N56"/>
      <c r="O56"/>
      <c r="P56"/>
      <c r="Q56"/>
      <c r="R56"/>
      <c r="S56"/>
      <c r="T56"/>
      <c r="U56"/>
      <c r="V56"/>
      <c r="W56"/>
      <c r="X56"/>
      <c r="Y56"/>
    </row>
    <row r="57" spans="1:25" ht="14.4" x14ac:dyDescent="0.3">
      <c r="A57"/>
      <c r="B57"/>
      <c r="C57"/>
      <c r="D57"/>
      <c r="E57"/>
      <c r="F57"/>
      <c r="G57"/>
      <c r="H57"/>
      <c r="I57"/>
      <c r="J57"/>
      <c r="K57"/>
      <c r="L57"/>
      <c r="N57"/>
      <c r="O57"/>
      <c r="P57"/>
      <c r="Q57"/>
      <c r="R57"/>
      <c r="S57"/>
      <c r="T57"/>
      <c r="U57"/>
      <c r="V57"/>
      <c r="W57"/>
      <c r="X57"/>
      <c r="Y57"/>
    </row>
    <row r="58" spans="1:25" ht="14.4" x14ac:dyDescent="0.3">
      <c r="A58"/>
      <c r="B58"/>
      <c r="C58"/>
      <c r="D58"/>
      <c r="E58"/>
      <c r="F58"/>
      <c r="G58"/>
      <c r="H58"/>
      <c r="I58"/>
      <c r="J58"/>
      <c r="K58"/>
      <c r="L58"/>
      <c r="N58"/>
      <c r="O58"/>
      <c r="P58"/>
      <c r="Q58"/>
      <c r="R58"/>
      <c r="S58"/>
      <c r="T58"/>
      <c r="U58"/>
      <c r="V58"/>
      <c r="W58"/>
      <c r="X58"/>
      <c r="Y58"/>
    </row>
    <row r="59" spans="1:25" ht="14.4" x14ac:dyDescent="0.3">
      <c r="A59"/>
      <c r="B59"/>
      <c r="C59"/>
      <c r="D59"/>
      <c r="E59"/>
      <c r="F59"/>
      <c r="G59"/>
      <c r="H59"/>
      <c r="I59"/>
      <c r="J59"/>
      <c r="K59"/>
      <c r="L59"/>
      <c r="N59"/>
      <c r="O59"/>
      <c r="P59"/>
      <c r="Q59"/>
      <c r="R59"/>
      <c r="S59"/>
      <c r="T59"/>
      <c r="U59"/>
      <c r="V59"/>
      <c r="W59"/>
      <c r="X59"/>
      <c r="Y59"/>
    </row>
    <row r="60" spans="1:25" ht="14.4" x14ac:dyDescent="0.3">
      <c r="A60"/>
      <c r="B60"/>
      <c r="C60"/>
      <c r="D60"/>
      <c r="E60"/>
      <c r="F60"/>
      <c r="G60"/>
      <c r="H60"/>
      <c r="I60"/>
      <c r="J60"/>
      <c r="K60"/>
      <c r="L60"/>
      <c r="N60"/>
      <c r="O60"/>
      <c r="P60"/>
      <c r="Q60"/>
      <c r="R60"/>
      <c r="S60"/>
      <c r="T60"/>
      <c r="U60"/>
      <c r="V60"/>
      <c r="W60"/>
      <c r="X60"/>
      <c r="Y60"/>
    </row>
    <row r="61" spans="1:25" ht="14.4" x14ac:dyDescent="0.3">
      <c r="A61"/>
      <c r="B61"/>
      <c r="C61"/>
      <c r="D61"/>
      <c r="E61"/>
      <c r="F61"/>
      <c r="G61"/>
      <c r="H61"/>
      <c r="I61"/>
      <c r="J61"/>
      <c r="K61"/>
      <c r="L61"/>
      <c r="N61"/>
      <c r="O61"/>
      <c r="P61"/>
      <c r="Q61"/>
      <c r="R61"/>
      <c r="S61"/>
      <c r="T61"/>
      <c r="U61"/>
      <c r="V61"/>
      <c r="W61"/>
      <c r="X61"/>
      <c r="Y61"/>
    </row>
    <row r="62" spans="1:25" ht="14.4" x14ac:dyDescent="0.3">
      <c r="A62"/>
      <c r="B62"/>
      <c r="C62"/>
      <c r="D62"/>
      <c r="E62"/>
      <c r="F62"/>
      <c r="G62"/>
      <c r="H62"/>
      <c r="I62"/>
      <c r="J62"/>
      <c r="K62"/>
      <c r="L62"/>
      <c r="N62"/>
      <c r="O62"/>
      <c r="P62"/>
      <c r="Q62"/>
      <c r="R62"/>
      <c r="S62"/>
      <c r="T62"/>
      <c r="U62"/>
      <c r="V62"/>
      <c r="W62"/>
      <c r="X62"/>
      <c r="Y62"/>
    </row>
    <row r="63" spans="1:25" ht="14.4" x14ac:dyDescent="0.3">
      <c r="A63"/>
      <c r="B63"/>
      <c r="C63"/>
      <c r="D63"/>
      <c r="E63"/>
      <c r="F63"/>
      <c r="G63"/>
      <c r="H63"/>
      <c r="I63"/>
      <c r="J63"/>
      <c r="K63"/>
      <c r="L63"/>
      <c r="N63"/>
      <c r="O63"/>
      <c r="P63"/>
      <c r="Q63"/>
      <c r="R63"/>
      <c r="S63"/>
      <c r="T63"/>
      <c r="U63"/>
      <c r="V63"/>
      <c r="W63"/>
      <c r="X63"/>
      <c r="Y63"/>
    </row>
    <row r="64" spans="1:25" ht="14.4" x14ac:dyDescent="0.3">
      <c r="A64"/>
      <c r="B64"/>
      <c r="C64"/>
      <c r="D64"/>
      <c r="E64"/>
      <c r="F64"/>
      <c r="G64"/>
      <c r="H64"/>
      <c r="I64"/>
      <c r="J64"/>
      <c r="K64"/>
      <c r="L64"/>
      <c r="N64"/>
      <c r="O64"/>
      <c r="P64"/>
      <c r="Q64"/>
      <c r="R64"/>
      <c r="S64"/>
      <c r="T64"/>
      <c r="U64"/>
      <c r="V64"/>
      <c r="W64"/>
      <c r="X64"/>
      <c r="Y64"/>
    </row>
    <row r="65" spans="1:25" ht="14.4" x14ac:dyDescent="0.3">
      <c r="A65"/>
      <c r="B65"/>
      <c r="C65"/>
      <c r="D65"/>
      <c r="E65"/>
      <c r="F65"/>
      <c r="G65"/>
      <c r="H65"/>
      <c r="I65"/>
      <c r="J65"/>
      <c r="K65"/>
      <c r="L65"/>
      <c r="N65"/>
      <c r="O65"/>
      <c r="P65"/>
      <c r="Q65"/>
      <c r="R65"/>
      <c r="S65"/>
      <c r="T65"/>
      <c r="U65"/>
      <c r="V65"/>
      <c r="W65"/>
      <c r="X65"/>
      <c r="Y65"/>
    </row>
    <row r="66" spans="1:25" ht="14.4" x14ac:dyDescent="0.3">
      <c r="A66"/>
      <c r="B66"/>
      <c r="C66"/>
      <c r="D66"/>
      <c r="E66"/>
      <c r="F66"/>
      <c r="G66"/>
      <c r="H66"/>
      <c r="I66"/>
      <c r="J66"/>
      <c r="K66"/>
      <c r="L66"/>
      <c r="N66"/>
      <c r="O66"/>
      <c r="P66"/>
      <c r="Q66"/>
      <c r="R66"/>
      <c r="S66"/>
      <c r="T66"/>
      <c r="U66"/>
      <c r="V66"/>
      <c r="W66"/>
      <c r="X66"/>
      <c r="Y66"/>
    </row>
    <row r="67" spans="1:25" ht="14.4" x14ac:dyDescent="0.3">
      <c r="A67"/>
      <c r="B67"/>
      <c r="C67"/>
      <c r="D67"/>
      <c r="E67"/>
      <c r="F67"/>
      <c r="G67"/>
      <c r="H67"/>
      <c r="I67"/>
      <c r="J67"/>
      <c r="K67"/>
      <c r="L67"/>
      <c r="N67"/>
      <c r="O67"/>
      <c r="P67"/>
      <c r="Q67"/>
      <c r="R67"/>
      <c r="S67"/>
      <c r="T67"/>
      <c r="U67"/>
      <c r="V67"/>
      <c r="W67"/>
      <c r="X67"/>
      <c r="Y67"/>
    </row>
    <row r="68" spans="1:25" ht="14.4" x14ac:dyDescent="0.3">
      <c r="A68"/>
      <c r="B68"/>
      <c r="C68"/>
      <c r="D68"/>
      <c r="E68"/>
      <c r="F68"/>
      <c r="G68"/>
      <c r="H68"/>
      <c r="I68"/>
      <c r="J68"/>
      <c r="K68"/>
      <c r="L68"/>
      <c r="N68"/>
      <c r="O68"/>
      <c r="P68"/>
      <c r="Q68"/>
      <c r="R68"/>
      <c r="S68"/>
      <c r="T68"/>
      <c r="U68"/>
      <c r="V68"/>
      <c r="W68"/>
      <c r="X68"/>
      <c r="Y68"/>
    </row>
    <row r="69" spans="1:25" ht="14.4" x14ac:dyDescent="0.3">
      <c r="A69"/>
      <c r="B69"/>
      <c r="C69"/>
      <c r="D69"/>
      <c r="E69"/>
      <c r="F69"/>
      <c r="G69"/>
      <c r="H69"/>
      <c r="I69"/>
      <c r="J69"/>
      <c r="K69"/>
      <c r="L69"/>
      <c r="N69"/>
      <c r="O69"/>
      <c r="P69"/>
      <c r="Q69"/>
      <c r="R69"/>
      <c r="S69"/>
      <c r="T69"/>
      <c r="U69"/>
      <c r="V69"/>
      <c r="W69"/>
      <c r="X69"/>
      <c r="Y69"/>
    </row>
    <row r="70" spans="1:25" ht="14.4" x14ac:dyDescent="0.3">
      <c r="A70"/>
      <c r="B70"/>
      <c r="C70"/>
      <c r="D70"/>
      <c r="E70"/>
      <c r="F70"/>
      <c r="G70"/>
      <c r="H70"/>
      <c r="I70"/>
      <c r="J70"/>
      <c r="K70"/>
      <c r="L70"/>
      <c r="N70"/>
      <c r="O70"/>
      <c r="P70"/>
      <c r="Q70"/>
      <c r="R70"/>
      <c r="S70"/>
      <c r="T70"/>
      <c r="U70"/>
      <c r="V70"/>
      <c r="W70"/>
      <c r="X70"/>
      <c r="Y70"/>
    </row>
    <row r="71" spans="1:25" ht="14.4" x14ac:dyDescent="0.3">
      <c r="A71"/>
      <c r="B71"/>
      <c r="C71"/>
      <c r="D71"/>
      <c r="E71"/>
      <c r="F71"/>
      <c r="G71"/>
      <c r="H71"/>
      <c r="I71"/>
      <c r="J71"/>
      <c r="K71"/>
      <c r="L71"/>
      <c r="N71"/>
      <c r="O71"/>
      <c r="P71"/>
      <c r="Q71"/>
      <c r="R71"/>
      <c r="S71"/>
      <c r="T71"/>
      <c r="U71"/>
      <c r="V71"/>
      <c r="W71"/>
      <c r="X71"/>
      <c r="Y71"/>
    </row>
    <row r="72" spans="1:25" ht="14.4" x14ac:dyDescent="0.3">
      <c r="A72"/>
      <c r="B72"/>
      <c r="C72"/>
      <c r="D72"/>
      <c r="E72"/>
      <c r="F72"/>
      <c r="G72"/>
      <c r="H72"/>
      <c r="I72"/>
      <c r="J72"/>
      <c r="K72"/>
      <c r="L72"/>
      <c r="N72"/>
      <c r="O72"/>
      <c r="P72"/>
      <c r="Q72"/>
      <c r="R72"/>
      <c r="S72"/>
      <c r="T72"/>
      <c r="U72"/>
      <c r="V72"/>
      <c r="W72"/>
      <c r="X72"/>
      <c r="Y72"/>
    </row>
    <row r="73" spans="1:25" ht="14.4" x14ac:dyDescent="0.3">
      <c r="A73"/>
      <c r="B73"/>
      <c r="C73"/>
      <c r="D73"/>
      <c r="E73"/>
      <c r="F73"/>
      <c r="G73"/>
      <c r="H73"/>
      <c r="I73"/>
      <c r="J73"/>
      <c r="K73"/>
      <c r="L73"/>
      <c r="N73"/>
      <c r="O73"/>
      <c r="P73"/>
      <c r="Q73"/>
      <c r="R73"/>
      <c r="S73"/>
      <c r="T73"/>
      <c r="U73"/>
      <c r="V73"/>
      <c r="W73"/>
      <c r="X73"/>
      <c r="Y73"/>
    </row>
    <row r="74" spans="1:25" ht="14.4" x14ac:dyDescent="0.3">
      <c r="A74"/>
      <c r="B74"/>
      <c r="C74"/>
      <c r="D74"/>
      <c r="E74"/>
      <c r="F74"/>
      <c r="G74"/>
      <c r="H74"/>
      <c r="I74"/>
      <c r="J74"/>
      <c r="K74"/>
      <c r="L74"/>
      <c r="N74"/>
      <c r="O74"/>
      <c r="P74"/>
      <c r="Q74"/>
      <c r="R74"/>
      <c r="S74"/>
      <c r="T74"/>
      <c r="U74"/>
      <c r="V74"/>
      <c r="W74"/>
      <c r="X74"/>
      <c r="Y74"/>
    </row>
    <row r="75" spans="1:25" ht="14.4" x14ac:dyDescent="0.3">
      <c r="A75"/>
      <c r="B75"/>
      <c r="C75"/>
      <c r="D75"/>
      <c r="E75"/>
      <c r="F75"/>
      <c r="G75"/>
      <c r="H75"/>
      <c r="I75"/>
      <c r="J75"/>
      <c r="K75"/>
      <c r="L75"/>
      <c r="N75"/>
      <c r="O75"/>
      <c r="P75"/>
      <c r="Q75"/>
      <c r="R75"/>
      <c r="S75"/>
      <c r="T75"/>
      <c r="U75"/>
      <c r="V75"/>
      <c r="W75"/>
      <c r="X75"/>
      <c r="Y75"/>
    </row>
    <row r="76" spans="1:25" ht="14.4" x14ac:dyDescent="0.3">
      <c r="A76"/>
      <c r="B76"/>
      <c r="C76"/>
      <c r="D76"/>
      <c r="E76"/>
      <c r="F76"/>
      <c r="G76"/>
      <c r="H76"/>
      <c r="I76"/>
      <c r="J76"/>
      <c r="K76"/>
      <c r="L76"/>
      <c r="N76"/>
      <c r="O76"/>
      <c r="P76"/>
      <c r="Q76"/>
      <c r="R76"/>
      <c r="S76"/>
      <c r="T76"/>
      <c r="U76"/>
      <c r="V76"/>
      <c r="W76"/>
      <c r="X76"/>
      <c r="Y76"/>
    </row>
    <row r="77" spans="1:25" ht="14.4" x14ac:dyDescent="0.3">
      <c r="A77"/>
      <c r="B77"/>
      <c r="C77"/>
      <c r="D77"/>
      <c r="E77"/>
      <c r="F77"/>
      <c r="G77"/>
      <c r="H77"/>
      <c r="I77"/>
      <c r="J77"/>
      <c r="K77"/>
      <c r="L77"/>
      <c r="N77"/>
      <c r="O77"/>
      <c r="P77"/>
      <c r="Q77"/>
      <c r="R77"/>
      <c r="S77"/>
      <c r="T77"/>
      <c r="U77"/>
      <c r="V77"/>
      <c r="W77"/>
      <c r="X77"/>
      <c r="Y77"/>
    </row>
    <row r="78" spans="1:25" ht="14.4" x14ac:dyDescent="0.3">
      <c r="A78"/>
      <c r="B78"/>
      <c r="C78"/>
      <c r="D78"/>
      <c r="E78"/>
      <c r="F78"/>
      <c r="G78"/>
      <c r="H78"/>
      <c r="I78"/>
      <c r="J78"/>
      <c r="K78"/>
      <c r="L78"/>
      <c r="N78"/>
      <c r="O78"/>
      <c r="P78"/>
      <c r="Q78"/>
      <c r="R78"/>
      <c r="S78"/>
      <c r="T78"/>
      <c r="U78"/>
      <c r="V78"/>
      <c r="W78"/>
      <c r="X78"/>
      <c r="Y78"/>
    </row>
    <row r="79" spans="1:25" ht="14.4" x14ac:dyDescent="0.3">
      <c r="A79"/>
      <c r="B79"/>
      <c r="C79"/>
      <c r="D79"/>
      <c r="E79"/>
      <c r="F79"/>
      <c r="G79"/>
      <c r="H79"/>
      <c r="I79"/>
      <c r="J79"/>
      <c r="K79"/>
      <c r="L79"/>
      <c r="N79"/>
      <c r="O79"/>
      <c r="P79"/>
      <c r="Q79"/>
      <c r="R79"/>
      <c r="S79"/>
      <c r="T79"/>
      <c r="U79"/>
      <c r="V79"/>
      <c r="W79"/>
      <c r="X79"/>
      <c r="Y79"/>
    </row>
    <row r="80" spans="1:25" ht="14.4" x14ac:dyDescent="0.3">
      <c r="A80"/>
      <c r="B80"/>
      <c r="C80"/>
      <c r="D80"/>
      <c r="E80"/>
      <c r="F80"/>
      <c r="G80"/>
      <c r="H80"/>
      <c r="I80"/>
      <c r="J80"/>
      <c r="K80"/>
      <c r="L80"/>
      <c r="N80"/>
      <c r="O80"/>
      <c r="P80"/>
      <c r="Q80"/>
      <c r="R80"/>
      <c r="S80"/>
      <c r="T80"/>
      <c r="U80"/>
      <c r="V80"/>
      <c r="W80"/>
      <c r="X80"/>
      <c r="Y80"/>
    </row>
    <row r="81" spans="1:25" ht="14.4" x14ac:dyDescent="0.3">
      <c r="A81"/>
      <c r="B81"/>
      <c r="C81"/>
      <c r="D81"/>
      <c r="E81"/>
      <c r="F81"/>
      <c r="G81"/>
      <c r="H81"/>
      <c r="I81"/>
      <c r="J81"/>
      <c r="K81"/>
      <c r="L81"/>
      <c r="N81"/>
      <c r="O81"/>
      <c r="P81"/>
      <c r="Q81"/>
      <c r="R81"/>
      <c r="S81"/>
      <c r="T81"/>
      <c r="U81"/>
      <c r="V81"/>
      <c r="W81"/>
      <c r="X81"/>
      <c r="Y81"/>
    </row>
    <row r="82" spans="1:25" ht="14.4" x14ac:dyDescent="0.3">
      <c r="A82"/>
      <c r="B82"/>
      <c r="C82"/>
      <c r="D82"/>
      <c r="E82"/>
      <c r="F82"/>
      <c r="G82"/>
      <c r="H82"/>
      <c r="I82"/>
      <c r="J82"/>
      <c r="K82"/>
      <c r="L82"/>
      <c r="N82"/>
      <c r="O82"/>
      <c r="P82"/>
      <c r="Q82"/>
      <c r="R82"/>
      <c r="S82"/>
      <c r="T82"/>
      <c r="U82"/>
      <c r="V82"/>
      <c r="W82"/>
      <c r="X82"/>
      <c r="Y82"/>
    </row>
    <row r="83" spans="1:25" ht="14.4" x14ac:dyDescent="0.3">
      <c r="A83"/>
      <c r="B83"/>
      <c r="C83"/>
      <c r="D83"/>
      <c r="E83"/>
      <c r="F83"/>
      <c r="G83"/>
      <c r="H83"/>
      <c r="I83"/>
      <c r="J83"/>
      <c r="K83"/>
      <c r="L83"/>
      <c r="N83"/>
      <c r="O83"/>
      <c r="P83"/>
      <c r="Q83"/>
      <c r="R83"/>
      <c r="S83"/>
      <c r="T83"/>
      <c r="U83"/>
      <c r="V83"/>
      <c r="W83"/>
      <c r="X83"/>
      <c r="Y83"/>
    </row>
    <row r="84" spans="1:25" ht="14.4" x14ac:dyDescent="0.3">
      <c r="A84"/>
      <c r="B84"/>
      <c r="C84"/>
      <c r="D84"/>
      <c r="E84"/>
      <c r="F84"/>
      <c r="G84"/>
      <c r="H84"/>
      <c r="I84"/>
      <c r="J84"/>
      <c r="K84"/>
      <c r="L84"/>
      <c r="N84"/>
      <c r="O84"/>
      <c r="P84"/>
      <c r="Q84"/>
      <c r="R84"/>
      <c r="S84"/>
      <c r="T84"/>
      <c r="U84"/>
      <c r="V84"/>
      <c r="W84"/>
      <c r="X84"/>
      <c r="Y84"/>
    </row>
    <row r="85" spans="1:25" ht="14.4" x14ac:dyDescent="0.3">
      <c r="A85"/>
      <c r="B85"/>
      <c r="C85"/>
      <c r="D85"/>
      <c r="E85"/>
      <c r="F85"/>
      <c r="G85"/>
      <c r="H85"/>
      <c r="I85"/>
      <c r="J85"/>
      <c r="K85"/>
      <c r="L85"/>
      <c r="N85"/>
      <c r="O85"/>
      <c r="P85"/>
      <c r="Q85"/>
      <c r="R85"/>
      <c r="S85"/>
      <c r="T85"/>
      <c r="U85"/>
      <c r="V85"/>
      <c r="W85"/>
      <c r="X85"/>
      <c r="Y85"/>
    </row>
    <row r="86" spans="1:25" ht="14.4" x14ac:dyDescent="0.3">
      <c r="A86"/>
      <c r="B86"/>
      <c r="C86"/>
      <c r="D86"/>
      <c r="E86"/>
      <c r="F86"/>
      <c r="G86"/>
      <c r="H86"/>
      <c r="I86"/>
      <c r="J86"/>
      <c r="K86"/>
      <c r="L86"/>
      <c r="N86"/>
      <c r="O86"/>
      <c r="P86"/>
      <c r="Q86"/>
      <c r="R86"/>
      <c r="S86"/>
      <c r="T86"/>
      <c r="U86"/>
      <c r="V86"/>
      <c r="W86"/>
      <c r="X86"/>
      <c r="Y86"/>
    </row>
    <row r="87" spans="1:25" ht="14.4" x14ac:dyDescent="0.3">
      <c r="A87"/>
      <c r="B87"/>
      <c r="C87"/>
      <c r="D87"/>
      <c r="E87"/>
      <c r="F87"/>
      <c r="G87"/>
      <c r="H87"/>
      <c r="I87"/>
      <c r="J87"/>
      <c r="K87"/>
      <c r="L87"/>
      <c r="N87"/>
      <c r="O87"/>
      <c r="P87"/>
      <c r="Q87"/>
      <c r="R87"/>
      <c r="S87"/>
      <c r="T87"/>
      <c r="U87"/>
      <c r="V87"/>
      <c r="W87"/>
      <c r="X87"/>
      <c r="Y87"/>
    </row>
    <row r="88" spans="1:25" ht="14.4" x14ac:dyDescent="0.3">
      <c r="A88"/>
      <c r="B88"/>
      <c r="C88"/>
      <c r="D88"/>
      <c r="E88"/>
      <c r="F88"/>
      <c r="G88"/>
      <c r="H88"/>
      <c r="I88"/>
      <c r="J88"/>
      <c r="K88"/>
      <c r="L88"/>
      <c r="N88"/>
      <c r="O88"/>
      <c r="P88"/>
      <c r="Q88"/>
      <c r="R88"/>
      <c r="S88"/>
      <c r="T88"/>
      <c r="U88"/>
      <c r="V88"/>
      <c r="W88"/>
      <c r="X88"/>
      <c r="Y88"/>
    </row>
    <row r="89" spans="1:25" ht="14.4" x14ac:dyDescent="0.3">
      <c r="A89"/>
      <c r="B89"/>
      <c r="C89"/>
      <c r="D89"/>
      <c r="E89"/>
      <c r="F89"/>
      <c r="G89"/>
      <c r="H89"/>
      <c r="I89"/>
      <c r="J89"/>
      <c r="K89"/>
      <c r="L89"/>
      <c r="N89"/>
      <c r="O89"/>
      <c r="P89"/>
      <c r="Q89"/>
      <c r="R89"/>
      <c r="S89"/>
      <c r="T89"/>
      <c r="U89"/>
      <c r="V89"/>
      <c r="W89"/>
      <c r="X89"/>
      <c r="Y89"/>
    </row>
    <row r="90" spans="1:25" ht="14.4" x14ac:dyDescent="0.3">
      <c r="A90"/>
      <c r="B90"/>
      <c r="C90"/>
      <c r="D90"/>
      <c r="E90"/>
      <c r="F90"/>
      <c r="G90"/>
      <c r="H90"/>
      <c r="I90"/>
      <c r="J90"/>
      <c r="K90"/>
      <c r="L90"/>
      <c r="N90"/>
      <c r="O90"/>
      <c r="P90"/>
      <c r="Q90"/>
      <c r="R90"/>
      <c r="S90"/>
      <c r="T90"/>
      <c r="U90"/>
      <c r="V90"/>
      <c r="W90"/>
      <c r="X90"/>
      <c r="Y90"/>
    </row>
    <row r="91" spans="1:25" ht="14.4" x14ac:dyDescent="0.3">
      <c r="A91"/>
      <c r="B91"/>
      <c r="C91"/>
      <c r="D91"/>
      <c r="E91"/>
      <c r="F91"/>
      <c r="G91"/>
      <c r="H91"/>
      <c r="I91"/>
      <c r="J91"/>
      <c r="K91"/>
      <c r="L91"/>
      <c r="N91"/>
      <c r="O91"/>
      <c r="P91"/>
      <c r="Q91"/>
      <c r="R91"/>
      <c r="S91"/>
      <c r="T91"/>
      <c r="U91"/>
      <c r="V91"/>
      <c r="W91"/>
      <c r="X91"/>
      <c r="Y91"/>
    </row>
    <row r="92" spans="1:25" ht="14.4" x14ac:dyDescent="0.3">
      <c r="A92"/>
      <c r="B92"/>
      <c r="C92"/>
      <c r="D92"/>
      <c r="E92"/>
      <c r="F92"/>
      <c r="G92"/>
      <c r="H92"/>
      <c r="I92"/>
      <c r="J92"/>
      <c r="K92"/>
      <c r="L92"/>
      <c r="N92"/>
      <c r="O92"/>
      <c r="P92"/>
      <c r="Q92"/>
      <c r="R92"/>
      <c r="S92"/>
      <c r="T92"/>
      <c r="U92"/>
      <c r="V92"/>
      <c r="W92"/>
      <c r="X92"/>
      <c r="Y92"/>
    </row>
    <row r="93" spans="1:25" ht="14.4" x14ac:dyDescent="0.3">
      <c r="A93"/>
      <c r="B93"/>
      <c r="C93"/>
      <c r="D93"/>
      <c r="E93"/>
      <c r="F93"/>
      <c r="G93"/>
      <c r="H93"/>
      <c r="I93"/>
      <c r="J93"/>
      <c r="K93"/>
      <c r="L93"/>
      <c r="N93"/>
      <c r="O93"/>
      <c r="P93"/>
      <c r="Q93"/>
      <c r="R93"/>
      <c r="S93"/>
      <c r="T93"/>
      <c r="U93"/>
      <c r="V93"/>
      <c r="W93"/>
      <c r="X93"/>
      <c r="Y93"/>
    </row>
    <row r="94" spans="1:25" ht="14.4" x14ac:dyDescent="0.3">
      <c r="A94"/>
      <c r="B94"/>
      <c r="C94"/>
      <c r="D94"/>
      <c r="E94"/>
      <c r="F94"/>
      <c r="G94"/>
      <c r="H94"/>
      <c r="I94"/>
      <c r="J94"/>
      <c r="K94"/>
      <c r="L94"/>
      <c r="N94"/>
      <c r="O94"/>
      <c r="P94"/>
      <c r="Q94"/>
      <c r="R94"/>
      <c r="S94"/>
      <c r="T94"/>
      <c r="U94"/>
      <c r="V94"/>
      <c r="W94"/>
      <c r="X94"/>
      <c r="Y94"/>
    </row>
    <row r="95" spans="1:25" ht="14.4" x14ac:dyDescent="0.3">
      <c r="A95"/>
      <c r="B95"/>
      <c r="C95"/>
      <c r="D95"/>
      <c r="E95"/>
      <c r="F95"/>
      <c r="G95"/>
      <c r="H95"/>
      <c r="I95"/>
      <c r="J95"/>
      <c r="K95"/>
      <c r="L95"/>
      <c r="N95"/>
      <c r="O95"/>
      <c r="P95"/>
      <c r="Q95"/>
      <c r="R95"/>
      <c r="S95"/>
      <c r="T95"/>
      <c r="U95"/>
      <c r="V95"/>
      <c r="W95"/>
      <c r="X95"/>
      <c r="Y95"/>
    </row>
    <row r="96" spans="1:25" ht="14.4" x14ac:dyDescent="0.3">
      <c r="A96"/>
      <c r="B96"/>
      <c r="C96"/>
      <c r="D96"/>
      <c r="E96"/>
      <c r="F96"/>
      <c r="G96"/>
      <c r="H96"/>
      <c r="I96"/>
      <c r="J96"/>
      <c r="K96"/>
      <c r="L96"/>
      <c r="N96"/>
      <c r="O96"/>
      <c r="P96"/>
      <c r="Q96"/>
      <c r="R96"/>
      <c r="S96"/>
      <c r="T96"/>
      <c r="U96"/>
      <c r="V96"/>
      <c r="W96"/>
      <c r="X96"/>
      <c r="Y96"/>
    </row>
    <row r="97" spans="1:25" ht="14.4" x14ac:dyDescent="0.3">
      <c r="A97"/>
      <c r="B97"/>
      <c r="C97"/>
      <c r="D97"/>
      <c r="E97"/>
      <c r="F97"/>
      <c r="G97"/>
      <c r="H97"/>
      <c r="I97"/>
      <c r="J97"/>
      <c r="K97"/>
      <c r="L97"/>
      <c r="N97"/>
      <c r="O97"/>
      <c r="P97"/>
      <c r="Q97"/>
      <c r="R97"/>
      <c r="S97"/>
      <c r="T97"/>
      <c r="U97"/>
      <c r="V97"/>
      <c r="W97"/>
      <c r="X97"/>
      <c r="Y97"/>
    </row>
    <row r="98" spans="1:25" ht="14.4" x14ac:dyDescent="0.3">
      <c r="A98"/>
      <c r="B98"/>
      <c r="C98"/>
      <c r="D98"/>
      <c r="E98"/>
      <c r="F98"/>
      <c r="G98"/>
      <c r="H98"/>
      <c r="I98"/>
      <c r="J98"/>
      <c r="K98"/>
      <c r="L98"/>
      <c r="N98"/>
      <c r="O98"/>
      <c r="P98"/>
      <c r="Q98"/>
      <c r="R98"/>
      <c r="S98"/>
      <c r="T98"/>
      <c r="U98"/>
      <c r="V98"/>
      <c r="W98"/>
      <c r="X98"/>
      <c r="Y98"/>
    </row>
    <row r="99" spans="1:25" ht="14.4" x14ac:dyDescent="0.3">
      <c r="A99"/>
      <c r="B99"/>
      <c r="C99"/>
      <c r="D99"/>
      <c r="E99"/>
      <c r="F99"/>
      <c r="G99"/>
      <c r="H99"/>
      <c r="I99"/>
      <c r="J99"/>
      <c r="K99"/>
      <c r="L99"/>
      <c r="N99"/>
      <c r="O99"/>
      <c r="P99"/>
      <c r="Q99"/>
      <c r="R99"/>
      <c r="S99"/>
      <c r="T99"/>
      <c r="U99"/>
      <c r="V99"/>
      <c r="W99"/>
      <c r="X99"/>
      <c r="Y99"/>
    </row>
    <row r="100" spans="1:25" ht="14.4" x14ac:dyDescent="0.3">
      <c r="A100"/>
      <c r="B100"/>
      <c r="C100"/>
      <c r="D100"/>
      <c r="E100"/>
      <c r="F100"/>
      <c r="G100"/>
      <c r="H100"/>
      <c r="I100"/>
      <c r="J100"/>
      <c r="K100"/>
      <c r="L100"/>
      <c r="N100"/>
      <c r="O100"/>
      <c r="P100"/>
      <c r="Q100"/>
      <c r="R100"/>
      <c r="S100"/>
      <c r="T100"/>
      <c r="U100"/>
      <c r="V100"/>
      <c r="W100"/>
      <c r="X100"/>
      <c r="Y100"/>
    </row>
    <row r="101" spans="1:25" ht="14.4" x14ac:dyDescent="0.3">
      <c r="A101"/>
      <c r="B101"/>
      <c r="C101"/>
      <c r="D101"/>
      <c r="E101"/>
      <c r="F101"/>
      <c r="G101"/>
      <c r="H101"/>
      <c r="I101"/>
      <c r="J101"/>
      <c r="K101"/>
      <c r="L101"/>
      <c r="N101"/>
      <c r="O101"/>
      <c r="P101"/>
      <c r="Q101"/>
      <c r="R101"/>
      <c r="S101"/>
      <c r="T101"/>
      <c r="U101"/>
      <c r="V101"/>
      <c r="W101"/>
      <c r="X101"/>
      <c r="Y101"/>
    </row>
    <row r="102" spans="1:25" ht="14.4" x14ac:dyDescent="0.3">
      <c r="A102"/>
      <c r="B102"/>
      <c r="C102"/>
      <c r="D102"/>
      <c r="E102"/>
      <c r="F102"/>
      <c r="G102"/>
      <c r="H102"/>
      <c r="I102"/>
      <c r="J102"/>
      <c r="K102"/>
      <c r="L102"/>
      <c r="N102"/>
      <c r="O102"/>
      <c r="P102"/>
      <c r="Q102"/>
      <c r="R102"/>
      <c r="S102"/>
      <c r="T102"/>
      <c r="U102"/>
      <c r="V102"/>
      <c r="W102"/>
      <c r="X102"/>
      <c r="Y102"/>
    </row>
    <row r="103" spans="1:25" ht="14.4" x14ac:dyDescent="0.3">
      <c r="A103"/>
      <c r="B103"/>
      <c r="C103"/>
      <c r="D103"/>
      <c r="E103"/>
      <c r="F103"/>
      <c r="G103"/>
      <c r="H103"/>
      <c r="I103"/>
      <c r="J103"/>
      <c r="K103"/>
      <c r="L103"/>
      <c r="N103"/>
      <c r="O103"/>
      <c r="P103"/>
      <c r="Q103"/>
      <c r="R103"/>
      <c r="S103"/>
      <c r="T103"/>
      <c r="U103"/>
      <c r="V103"/>
      <c r="W103"/>
      <c r="X103"/>
      <c r="Y103"/>
    </row>
    <row r="104" spans="1:25" ht="14.4" x14ac:dyDescent="0.3">
      <c r="A104"/>
      <c r="B104"/>
      <c r="C104"/>
      <c r="D104"/>
      <c r="E104"/>
      <c r="F104"/>
      <c r="G104"/>
      <c r="H104"/>
      <c r="I104"/>
      <c r="J104"/>
      <c r="K104"/>
      <c r="L104"/>
      <c r="N104"/>
      <c r="O104"/>
      <c r="P104"/>
      <c r="Q104"/>
      <c r="R104"/>
      <c r="S104"/>
      <c r="T104"/>
      <c r="U104"/>
      <c r="V104"/>
      <c r="W104"/>
      <c r="X104"/>
      <c r="Y104"/>
    </row>
    <row r="105" spans="1:25" ht="14.4" x14ac:dyDescent="0.3">
      <c r="A105"/>
      <c r="B105"/>
      <c r="C105"/>
      <c r="D105"/>
      <c r="E105"/>
      <c r="F105"/>
      <c r="G105"/>
      <c r="H105"/>
      <c r="I105"/>
      <c r="J105"/>
      <c r="K105"/>
      <c r="L105"/>
      <c r="N105"/>
      <c r="O105"/>
      <c r="P105"/>
      <c r="Q105"/>
      <c r="R105"/>
      <c r="S105"/>
      <c r="T105"/>
      <c r="U105"/>
      <c r="V105"/>
      <c r="W105"/>
      <c r="X105"/>
      <c r="Y105"/>
    </row>
    <row r="106" spans="1:25" ht="14.4" x14ac:dyDescent="0.3">
      <c r="A106"/>
      <c r="B106"/>
      <c r="C106"/>
      <c r="D106"/>
      <c r="E106"/>
      <c r="F106"/>
      <c r="G106"/>
      <c r="H106"/>
      <c r="I106"/>
      <c r="J106"/>
      <c r="K106"/>
      <c r="L106"/>
      <c r="N106"/>
      <c r="O106"/>
      <c r="P106"/>
      <c r="Q106"/>
      <c r="R106"/>
      <c r="S106"/>
      <c r="T106"/>
      <c r="U106"/>
      <c r="V106"/>
      <c r="W106"/>
      <c r="X106"/>
      <c r="Y106"/>
    </row>
    <row r="107" spans="1:25" ht="14.4" x14ac:dyDescent="0.3">
      <c r="A107"/>
      <c r="B107"/>
      <c r="C107"/>
      <c r="D107"/>
      <c r="E107"/>
      <c r="F107"/>
      <c r="G107"/>
      <c r="H107"/>
      <c r="I107"/>
      <c r="J107"/>
      <c r="K107"/>
      <c r="L107"/>
      <c r="N107"/>
      <c r="O107"/>
      <c r="P107"/>
      <c r="Q107"/>
      <c r="R107"/>
      <c r="S107"/>
      <c r="T107"/>
      <c r="U107"/>
      <c r="V107"/>
      <c r="W107"/>
      <c r="X107"/>
      <c r="Y107"/>
    </row>
    <row r="108" spans="1:25" ht="14.4" x14ac:dyDescent="0.3">
      <c r="A108"/>
      <c r="B108"/>
      <c r="C108"/>
      <c r="D108"/>
      <c r="E108"/>
      <c r="F108"/>
      <c r="G108"/>
      <c r="H108"/>
      <c r="I108"/>
      <c r="J108"/>
      <c r="K108"/>
      <c r="L108"/>
      <c r="N108"/>
      <c r="O108"/>
      <c r="P108"/>
      <c r="Q108"/>
      <c r="R108"/>
      <c r="S108"/>
      <c r="T108"/>
      <c r="U108"/>
      <c r="V108"/>
      <c r="W108"/>
      <c r="X108"/>
      <c r="Y108"/>
    </row>
    <row r="109" spans="1:25" ht="14.4" x14ac:dyDescent="0.3">
      <c r="A109"/>
      <c r="B109"/>
      <c r="C109"/>
      <c r="D109"/>
      <c r="E109"/>
      <c r="F109"/>
      <c r="G109"/>
      <c r="H109"/>
      <c r="I109"/>
      <c r="J109"/>
      <c r="K109"/>
      <c r="L109"/>
      <c r="N109"/>
      <c r="O109"/>
      <c r="P109"/>
      <c r="Q109"/>
      <c r="R109"/>
      <c r="S109"/>
      <c r="T109"/>
      <c r="U109"/>
      <c r="V109"/>
      <c r="W109"/>
      <c r="X109"/>
      <c r="Y109"/>
    </row>
    <row r="110" spans="1:25" ht="14.4" x14ac:dyDescent="0.3">
      <c r="A110"/>
      <c r="B110"/>
      <c r="C110"/>
      <c r="D110"/>
      <c r="E110"/>
      <c r="F110"/>
      <c r="G110"/>
      <c r="H110"/>
      <c r="I110"/>
      <c r="J110"/>
      <c r="K110"/>
      <c r="L110"/>
      <c r="N110"/>
      <c r="O110"/>
      <c r="P110"/>
      <c r="Q110"/>
      <c r="R110"/>
      <c r="S110"/>
      <c r="T110"/>
      <c r="U110"/>
      <c r="V110"/>
      <c r="W110"/>
      <c r="X110"/>
      <c r="Y110"/>
    </row>
    <row r="111" spans="1:25" ht="14.4" x14ac:dyDescent="0.3">
      <c r="A111"/>
      <c r="B111"/>
      <c r="C111"/>
      <c r="D111"/>
      <c r="E111"/>
      <c r="F111"/>
      <c r="G111"/>
      <c r="H111"/>
      <c r="I111"/>
      <c r="J111"/>
      <c r="K111"/>
      <c r="L111"/>
      <c r="N111"/>
      <c r="O111"/>
      <c r="P111"/>
      <c r="Q111"/>
      <c r="R111"/>
      <c r="S111"/>
      <c r="T111"/>
      <c r="U111"/>
      <c r="V111"/>
      <c r="W111"/>
      <c r="X111"/>
      <c r="Y111"/>
    </row>
    <row r="112" spans="1:25" ht="14.4" x14ac:dyDescent="0.3">
      <c r="A112"/>
      <c r="B112"/>
      <c r="C112"/>
      <c r="D112"/>
      <c r="E112"/>
      <c r="F112"/>
      <c r="G112"/>
      <c r="H112"/>
      <c r="I112"/>
      <c r="J112"/>
      <c r="K112"/>
      <c r="L112"/>
      <c r="N112"/>
      <c r="O112"/>
      <c r="P112"/>
      <c r="Q112"/>
      <c r="R112"/>
      <c r="S112"/>
      <c r="T112"/>
      <c r="U112"/>
      <c r="V112"/>
      <c r="W112"/>
      <c r="X112"/>
      <c r="Y112"/>
    </row>
    <row r="113" spans="1:25" ht="14.4" x14ac:dyDescent="0.3">
      <c r="A113"/>
      <c r="B113"/>
      <c r="C113"/>
      <c r="D113"/>
      <c r="E113"/>
      <c r="F113"/>
      <c r="G113"/>
      <c r="H113"/>
      <c r="I113"/>
      <c r="J113"/>
      <c r="K113"/>
      <c r="L113"/>
      <c r="N113"/>
      <c r="O113"/>
      <c r="P113"/>
      <c r="Q113"/>
      <c r="R113"/>
      <c r="S113"/>
      <c r="T113"/>
      <c r="U113"/>
      <c r="V113"/>
      <c r="W113"/>
      <c r="X113"/>
      <c r="Y113"/>
    </row>
    <row r="114" spans="1:25" ht="14.4" x14ac:dyDescent="0.3">
      <c r="A114"/>
      <c r="B114"/>
      <c r="C114"/>
      <c r="D114"/>
      <c r="E114"/>
      <c r="F114"/>
      <c r="G114"/>
      <c r="H114"/>
      <c r="I114"/>
      <c r="J114"/>
      <c r="K114"/>
      <c r="L114"/>
      <c r="N114"/>
      <c r="O114"/>
      <c r="P114"/>
      <c r="Q114"/>
      <c r="R114"/>
      <c r="S114"/>
      <c r="T114"/>
      <c r="U114"/>
      <c r="V114"/>
      <c r="W114"/>
      <c r="X114"/>
      <c r="Y114"/>
    </row>
    <row r="115" spans="1:25" ht="14.4" x14ac:dyDescent="0.3">
      <c r="A115"/>
      <c r="B115"/>
      <c r="C115"/>
      <c r="D115"/>
      <c r="E115"/>
      <c r="F115"/>
      <c r="G115"/>
      <c r="H115"/>
      <c r="I115"/>
      <c r="J115"/>
      <c r="K115"/>
      <c r="L115"/>
      <c r="N115"/>
      <c r="O115"/>
      <c r="P115"/>
      <c r="Q115"/>
      <c r="R115"/>
      <c r="S115"/>
      <c r="T115"/>
      <c r="U115"/>
      <c r="V115"/>
      <c r="W115"/>
      <c r="X115"/>
      <c r="Y115"/>
    </row>
    <row r="116" spans="1:25" ht="14.4" x14ac:dyDescent="0.3">
      <c r="A116"/>
      <c r="B116"/>
      <c r="C116"/>
      <c r="D116"/>
      <c r="E116"/>
      <c r="F116"/>
      <c r="G116"/>
      <c r="H116"/>
      <c r="I116"/>
      <c r="J116"/>
      <c r="K116"/>
      <c r="L116"/>
      <c r="N116"/>
      <c r="O116"/>
      <c r="P116"/>
      <c r="Q116"/>
      <c r="R116"/>
      <c r="S116"/>
      <c r="T116"/>
      <c r="U116"/>
      <c r="V116"/>
      <c r="W116"/>
      <c r="X116"/>
      <c r="Y116"/>
    </row>
    <row r="117" spans="1:25" ht="14.4" x14ac:dyDescent="0.3">
      <c r="A117"/>
      <c r="B117"/>
      <c r="C117"/>
      <c r="D117"/>
      <c r="E117"/>
      <c r="F117"/>
      <c r="G117"/>
      <c r="H117"/>
      <c r="I117"/>
      <c r="J117"/>
      <c r="K117"/>
      <c r="L117"/>
      <c r="N117"/>
      <c r="O117"/>
      <c r="P117"/>
      <c r="Q117"/>
      <c r="R117"/>
      <c r="S117"/>
      <c r="T117"/>
      <c r="U117"/>
      <c r="V117"/>
      <c r="W117"/>
      <c r="X117"/>
      <c r="Y117"/>
    </row>
    <row r="118" spans="1:25" ht="14.4" x14ac:dyDescent="0.3">
      <c r="A118"/>
      <c r="B118"/>
      <c r="C118"/>
      <c r="D118"/>
      <c r="E118"/>
      <c r="F118"/>
      <c r="G118"/>
      <c r="H118"/>
      <c r="I118"/>
      <c r="J118"/>
      <c r="K118"/>
      <c r="L118"/>
      <c r="N118"/>
      <c r="O118"/>
      <c r="P118"/>
      <c r="Q118"/>
      <c r="R118"/>
      <c r="S118"/>
      <c r="T118"/>
      <c r="U118"/>
      <c r="V118"/>
      <c r="W118"/>
      <c r="X118"/>
      <c r="Y118"/>
    </row>
    <row r="119" spans="1:25" ht="14.4" x14ac:dyDescent="0.3">
      <c r="A119"/>
      <c r="B119"/>
      <c r="C119"/>
      <c r="D119"/>
      <c r="E119"/>
      <c r="F119"/>
      <c r="G119"/>
      <c r="H119"/>
      <c r="I119"/>
      <c r="J119"/>
      <c r="K119"/>
      <c r="L119"/>
      <c r="N119"/>
      <c r="O119"/>
      <c r="P119"/>
      <c r="Q119"/>
      <c r="R119"/>
      <c r="S119"/>
      <c r="T119"/>
      <c r="U119"/>
      <c r="V119"/>
      <c r="W119"/>
      <c r="X119"/>
      <c r="Y119"/>
    </row>
    <row r="120" spans="1:25" ht="14.4" x14ac:dyDescent="0.3">
      <c r="A120"/>
      <c r="B120"/>
      <c r="C120"/>
      <c r="D120"/>
      <c r="E120"/>
      <c r="F120"/>
      <c r="G120"/>
      <c r="H120"/>
      <c r="I120"/>
      <c r="J120"/>
      <c r="K120"/>
      <c r="L120"/>
      <c r="N120"/>
      <c r="O120"/>
      <c r="P120"/>
      <c r="Q120"/>
      <c r="R120"/>
      <c r="S120"/>
      <c r="T120"/>
      <c r="U120"/>
      <c r="V120"/>
      <c r="W120"/>
      <c r="X120"/>
      <c r="Y120"/>
    </row>
    <row r="121" spans="1:25" ht="14.4" x14ac:dyDescent="0.3">
      <c r="A121"/>
      <c r="B121"/>
      <c r="C121"/>
      <c r="D121"/>
      <c r="E121"/>
      <c r="F121"/>
      <c r="G121"/>
      <c r="H121"/>
      <c r="I121"/>
      <c r="J121"/>
      <c r="K121"/>
      <c r="L121"/>
      <c r="N121"/>
      <c r="O121"/>
      <c r="P121"/>
      <c r="Q121"/>
      <c r="R121"/>
      <c r="S121"/>
      <c r="T121"/>
      <c r="U121"/>
      <c r="V121"/>
      <c r="W121"/>
      <c r="X121"/>
      <c r="Y121"/>
    </row>
    <row r="122" spans="1:25" ht="14.4" x14ac:dyDescent="0.3">
      <c r="A122"/>
      <c r="B122"/>
      <c r="C122"/>
      <c r="D122"/>
      <c r="E122"/>
      <c r="F122"/>
      <c r="G122"/>
      <c r="H122"/>
      <c r="I122"/>
      <c r="J122"/>
      <c r="K122"/>
      <c r="L122"/>
      <c r="N122"/>
      <c r="O122"/>
      <c r="P122"/>
      <c r="Q122"/>
      <c r="R122"/>
      <c r="S122"/>
      <c r="T122"/>
      <c r="U122"/>
      <c r="V122"/>
      <c r="W122"/>
      <c r="X122"/>
      <c r="Y122"/>
    </row>
    <row r="123" spans="1:25" ht="14.4" x14ac:dyDescent="0.3">
      <c r="A123"/>
      <c r="B123"/>
      <c r="C123"/>
      <c r="D123"/>
      <c r="E123"/>
      <c r="F123"/>
      <c r="G123"/>
      <c r="H123"/>
      <c r="I123"/>
      <c r="J123"/>
      <c r="K123"/>
      <c r="L123"/>
      <c r="N123"/>
      <c r="O123"/>
      <c r="P123"/>
      <c r="Q123"/>
      <c r="R123"/>
      <c r="S123"/>
      <c r="T123"/>
      <c r="U123"/>
      <c r="V123"/>
      <c r="W123"/>
      <c r="X123"/>
      <c r="Y123"/>
    </row>
    <row r="124" spans="1:25" ht="14.4" x14ac:dyDescent="0.3">
      <c r="A124"/>
      <c r="B124"/>
      <c r="C124"/>
      <c r="D124"/>
      <c r="E124"/>
      <c r="F124"/>
      <c r="G124"/>
      <c r="H124"/>
      <c r="I124"/>
      <c r="J124"/>
      <c r="K124"/>
      <c r="L124"/>
      <c r="N124"/>
      <c r="O124"/>
      <c r="P124"/>
      <c r="Q124"/>
      <c r="R124"/>
      <c r="S124"/>
      <c r="T124"/>
      <c r="U124"/>
      <c r="V124"/>
      <c r="W124"/>
      <c r="X124"/>
      <c r="Y124"/>
    </row>
    <row r="125" spans="1:25" ht="14.4" x14ac:dyDescent="0.3">
      <c r="A125"/>
      <c r="B125"/>
      <c r="C125"/>
      <c r="D125"/>
      <c r="E125"/>
      <c r="F125"/>
      <c r="G125"/>
      <c r="H125"/>
      <c r="I125"/>
      <c r="J125"/>
      <c r="K125"/>
      <c r="L125"/>
      <c r="N125"/>
      <c r="O125"/>
      <c r="P125"/>
      <c r="Q125"/>
      <c r="R125"/>
      <c r="S125"/>
      <c r="T125"/>
      <c r="U125"/>
      <c r="V125"/>
      <c r="W125"/>
      <c r="X125"/>
      <c r="Y125"/>
    </row>
    <row r="126" spans="1:25" ht="14.4" x14ac:dyDescent="0.3">
      <c r="A126"/>
      <c r="B126"/>
      <c r="C126"/>
      <c r="D126"/>
      <c r="E126"/>
      <c r="F126"/>
      <c r="G126"/>
      <c r="H126"/>
      <c r="I126"/>
      <c r="J126"/>
      <c r="K126"/>
      <c r="L126"/>
      <c r="N126"/>
      <c r="O126"/>
      <c r="P126"/>
      <c r="Q126"/>
      <c r="R126"/>
      <c r="S126"/>
      <c r="T126"/>
      <c r="U126"/>
      <c r="V126"/>
      <c r="W126"/>
      <c r="X126"/>
      <c r="Y126"/>
    </row>
    <row r="127" spans="1:25" ht="14.4" x14ac:dyDescent="0.3">
      <c r="A127"/>
      <c r="B127"/>
      <c r="C127"/>
      <c r="D127"/>
      <c r="E127"/>
      <c r="F127"/>
      <c r="G127"/>
      <c r="H127"/>
      <c r="I127"/>
      <c r="J127"/>
      <c r="K127"/>
      <c r="L127"/>
      <c r="N127"/>
      <c r="O127"/>
      <c r="P127"/>
      <c r="Q127"/>
      <c r="R127"/>
      <c r="S127"/>
      <c r="T127"/>
      <c r="U127"/>
      <c r="V127"/>
      <c r="W127"/>
      <c r="X127"/>
      <c r="Y127"/>
    </row>
    <row r="128" spans="1:25" ht="14.4" x14ac:dyDescent="0.3">
      <c r="A128"/>
      <c r="B128"/>
      <c r="C128"/>
      <c r="D128"/>
      <c r="E128"/>
      <c r="F128"/>
      <c r="G128"/>
      <c r="H128"/>
      <c r="I128"/>
      <c r="J128"/>
      <c r="K128"/>
      <c r="L128"/>
      <c r="N128"/>
      <c r="O128"/>
      <c r="P128"/>
      <c r="Q128"/>
      <c r="R128"/>
      <c r="S128"/>
      <c r="T128"/>
      <c r="U128"/>
      <c r="V128"/>
      <c r="W128"/>
      <c r="X128"/>
      <c r="Y128"/>
    </row>
    <row r="129" spans="1:25" ht="14.4" x14ac:dyDescent="0.3">
      <c r="A129"/>
      <c r="B129"/>
      <c r="C129"/>
      <c r="D129"/>
      <c r="E129"/>
      <c r="F129"/>
      <c r="G129"/>
      <c r="H129"/>
      <c r="I129"/>
      <c r="J129"/>
      <c r="K129"/>
      <c r="L129"/>
      <c r="N129"/>
      <c r="O129"/>
      <c r="P129"/>
      <c r="Q129"/>
      <c r="R129"/>
      <c r="S129"/>
      <c r="T129"/>
      <c r="U129"/>
      <c r="V129"/>
      <c r="W129"/>
      <c r="X129"/>
      <c r="Y129"/>
    </row>
    <row r="130" spans="1:25" ht="14.4" x14ac:dyDescent="0.3">
      <c r="A130"/>
      <c r="B130"/>
      <c r="C130"/>
      <c r="D130"/>
      <c r="E130"/>
      <c r="F130"/>
      <c r="G130"/>
      <c r="H130"/>
      <c r="I130"/>
      <c r="J130"/>
      <c r="K130"/>
      <c r="L130"/>
      <c r="N130"/>
      <c r="O130"/>
      <c r="P130"/>
      <c r="Q130"/>
      <c r="R130"/>
      <c r="S130"/>
      <c r="T130"/>
      <c r="U130"/>
      <c r="V130"/>
      <c r="W130"/>
      <c r="X130"/>
      <c r="Y130"/>
    </row>
    <row r="131" spans="1:25" ht="14.4" x14ac:dyDescent="0.3">
      <c r="A131"/>
      <c r="B131"/>
      <c r="C131"/>
      <c r="D131"/>
      <c r="E131"/>
      <c r="F131"/>
      <c r="G131"/>
      <c r="H131"/>
      <c r="I131"/>
      <c r="J131"/>
      <c r="K131"/>
      <c r="L131"/>
      <c r="N131"/>
      <c r="O131"/>
      <c r="P131"/>
      <c r="Q131"/>
      <c r="R131"/>
      <c r="S131"/>
      <c r="T131"/>
      <c r="U131"/>
      <c r="V131"/>
      <c r="W131"/>
      <c r="X131"/>
      <c r="Y131"/>
    </row>
    <row r="132" spans="1:25" ht="14.4" x14ac:dyDescent="0.3">
      <c r="A132"/>
      <c r="B132"/>
      <c r="C132"/>
      <c r="D132"/>
      <c r="E132"/>
      <c r="F132"/>
      <c r="G132"/>
      <c r="H132"/>
      <c r="I132"/>
      <c r="J132"/>
      <c r="K132"/>
      <c r="L132"/>
      <c r="N132"/>
      <c r="O132"/>
      <c r="P132"/>
      <c r="Q132"/>
      <c r="R132"/>
      <c r="S132"/>
      <c r="T132"/>
      <c r="U132"/>
      <c r="V132"/>
      <c r="W132"/>
      <c r="X132"/>
      <c r="Y132"/>
    </row>
    <row r="133" spans="1:25" ht="14.4" x14ac:dyDescent="0.3">
      <c r="A133"/>
      <c r="B133"/>
      <c r="C133"/>
      <c r="D133"/>
      <c r="E133"/>
      <c r="F133"/>
      <c r="G133"/>
      <c r="H133"/>
      <c r="I133"/>
      <c r="J133"/>
      <c r="K133"/>
      <c r="L133"/>
      <c r="N133"/>
      <c r="O133"/>
      <c r="P133"/>
      <c r="Q133"/>
      <c r="R133"/>
      <c r="S133"/>
      <c r="T133"/>
      <c r="U133"/>
      <c r="V133"/>
      <c r="W133"/>
      <c r="X133"/>
      <c r="Y133"/>
    </row>
    <row r="134" spans="1:25" ht="14.4" x14ac:dyDescent="0.3">
      <c r="A134"/>
      <c r="B134"/>
      <c r="C134"/>
      <c r="D134"/>
      <c r="E134"/>
      <c r="F134"/>
      <c r="G134"/>
      <c r="H134"/>
      <c r="I134"/>
      <c r="J134"/>
      <c r="K134"/>
      <c r="L134"/>
      <c r="N134"/>
      <c r="O134"/>
      <c r="P134"/>
      <c r="Q134"/>
      <c r="R134"/>
      <c r="S134"/>
      <c r="T134"/>
      <c r="U134"/>
      <c r="V134"/>
      <c r="W134"/>
      <c r="X134"/>
      <c r="Y134"/>
    </row>
    <row r="135" spans="1:25" ht="14.4" x14ac:dyDescent="0.3">
      <c r="A135"/>
      <c r="B135"/>
      <c r="C135"/>
      <c r="D135"/>
      <c r="E135"/>
      <c r="F135"/>
      <c r="G135"/>
      <c r="H135"/>
      <c r="I135"/>
      <c r="J135"/>
      <c r="K135"/>
      <c r="L135"/>
      <c r="N135"/>
      <c r="O135"/>
      <c r="P135"/>
      <c r="Q135"/>
      <c r="R135"/>
      <c r="S135"/>
      <c r="T135"/>
      <c r="U135"/>
      <c r="V135"/>
      <c r="W135"/>
      <c r="X135"/>
      <c r="Y135"/>
    </row>
    <row r="136" spans="1:25" ht="14.4" x14ac:dyDescent="0.3">
      <c r="A136"/>
      <c r="B136"/>
      <c r="C136"/>
      <c r="D136"/>
      <c r="E136"/>
      <c r="F136"/>
      <c r="G136"/>
      <c r="H136"/>
      <c r="I136"/>
      <c r="J136"/>
      <c r="K136"/>
      <c r="L136"/>
      <c r="N136"/>
      <c r="O136"/>
      <c r="P136"/>
      <c r="Q136"/>
      <c r="R136"/>
      <c r="S136"/>
      <c r="T136"/>
      <c r="U136"/>
      <c r="V136"/>
      <c r="W136"/>
      <c r="X136"/>
      <c r="Y136"/>
    </row>
    <row r="137" spans="1:25" ht="14.4" x14ac:dyDescent="0.3">
      <c r="A137"/>
      <c r="B137"/>
      <c r="C137"/>
      <c r="D137"/>
      <c r="E137"/>
      <c r="F137"/>
      <c r="G137"/>
      <c r="H137"/>
      <c r="I137"/>
      <c r="J137"/>
      <c r="K137"/>
      <c r="L137"/>
      <c r="N137"/>
      <c r="O137"/>
      <c r="P137"/>
      <c r="Q137"/>
      <c r="R137"/>
      <c r="S137"/>
      <c r="T137"/>
      <c r="U137"/>
      <c r="V137"/>
      <c r="W137"/>
      <c r="X137"/>
      <c r="Y137"/>
    </row>
    <row r="138" spans="1:25" ht="14.4" x14ac:dyDescent="0.3">
      <c r="A138"/>
      <c r="B138"/>
      <c r="C138"/>
      <c r="D138"/>
      <c r="E138"/>
      <c r="F138"/>
      <c r="G138"/>
      <c r="H138"/>
      <c r="I138"/>
      <c r="J138"/>
      <c r="K138"/>
      <c r="L138"/>
      <c r="N138"/>
      <c r="O138"/>
      <c r="P138"/>
      <c r="Q138"/>
      <c r="R138"/>
      <c r="S138"/>
      <c r="T138"/>
      <c r="U138"/>
      <c r="V138"/>
      <c r="W138"/>
      <c r="X138"/>
      <c r="Y138"/>
    </row>
    <row r="139" spans="1:25" ht="14.4" x14ac:dyDescent="0.3">
      <c r="A139"/>
      <c r="B139"/>
      <c r="C139"/>
      <c r="D139"/>
      <c r="E139"/>
      <c r="F139"/>
      <c r="G139"/>
      <c r="H139"/>
      <c r="I139"/>
      <c r="J139"/>
      <c r="K139"/>
      <c r="L139"/>
      <c r="N139"/>
      <c r="O139"/>
      <c r="P139"/>
      <c r="Q139"/>
      <c r="R139"/>
      <c r="S139"/>
      <c r="T139"/>
      <c r="U139"/>
      <c r="V139"/>
      <c r="W139"/>
      <c r="X139"/>
      <c r="Y139"/>
    </row>
    <row r="140" spans="1:25" ht="14.4" x14ac:dyDescent="0.3">
      <c r="A140"/>
      <c r="B140"/>
      <c r="C140"/>
      <c r="D140"/>
      <c r="E140"/>
      <c r="F140"/>
      <c r="G140"/>
      <c r="H140"/>
      <c r="I140"/>
      <c r="J140"/>
      <c r="K140"/>
      <c r="L140"/>
      <c r="N140"/>
      <c r="O140"/>
      <c r="P140"/>
      <c r="Q140"/>
      <c r="R140"/>
      <c r="S140"/>
      <c r="T140"/>
      <c r="U140"/>
      <c r="V140"/>
      <c r="W140"/>
      <c r="X140"/>
      <c r="Y140"/>
    </row>
    <row r="141" spans="1:25" ht="14.4" x14ac:dyDescent="0.3">
      <c r="A141"/>
      <c r="B141"/>
      <c r="C141"/>
      <c r="D141"/>
      <c r="E141"/>
      <c r="F141"/>
      <c r="G141"/>
      <c r="H141"/>
      <c r="I141"/>
      <c r="J141"/>
      <c r="K141"/>
      <c r="L141"/>
      <c r="N141"/>
      <c r="O141"/>
      <c r="P141"/>
      <c r="Q141"/>
      <c r="R141"/>
      <c r="S141"/>
      <c r="T141"/>
      <c r="U141"/>
      <c r="V141"/>
      <c r="W141"/>
      <c r="X141"/>
      <c r="Y141"/>
    </row>
    <row r="142" spans="1:25" ht="14.4" x14ac:dyDescent="0.3">
      <c r="A142"/>
      <c r="B142"/>
      <c r="C142"/>
      <c r="D142"/>
      <c r="E142"/>
      <c r="F142"/>
      <c r="G142"/>
      <c r="H142"/>
      <c r="I142"/>
      <c r="J142"/>
      <c r="K142"/>
      <c r="L142"/>
      <c r="N142"/>
      <c r="O142"/>
      <c r="P142"/>
      <c r="Q142"/>
      <c r="R142"/>
      <c r="S142"/>
      <c r="T142"/>
      <c r="U142"/>
      <c r="V142"/>
      <c r="W142"/>
      <c r="X142"/>
      <c r="Y142"/>
    </row>
    <row r="143" spans="1:25" ht="14.4" x14ac:dyDescent="0.3">
      <c r="A143"/>
      <c r="B143"/>
      <c r="C143"/>
      <c r="D143"/>
      <c r="E143"/>
      <c r="F143"/>
      <c r="G143"/>
      <c r="H143"/>
      <c r="I143"/>
      <c r="J143"/>
      <c r="K143"/>
      <c r="L143"/>
      <c r="N143"/>
      <c r="O143"/>
      <c r="P143"/>
      <c r="Q143"/>
      <c r="R143"/>
      <c r="S143"/>
      <c r="T143"/>
      <c r="U143"/>
      <c r="V143"/>
      <c r="W143"/>
      <c r="X143"/>
      <c r="Y143"/>
    </row>
    <row r="144" spans="1:25" ht="14.4" x14ac:dyDescent="0.3">
      <c r="A144"/>
      <c r="B144"/>
      <c r="C144"/>
      <c r="D144"/>
      <c r="E144"/>
      <c r="F144"/>
      <c r="G144"/>
      <c r="H144"/>
      <c r="I144"/>
      <c r="J144"/>
      <c r="K144"/>
      <c r="L144"/>
      <c r="N144"/>
      <c r="O144"/>
      <c r="P144"/>
      <c r="Q144"/>
      <c r="R144"/>
      <c r="S144"/>
      <c r="T144"/>
      <c r="U144"/>
      <c r="V144"/>
      <c r="W144"/>
      <c r="X144"/>
      <c r="Y144"/>
    </row>
    <row r="145" spans="1:25" ht="14.4" x14ac:dyDescent="0.3">
      <c r="A145"/>
      <c r="B145"/>
      <c r="C145"/>
      <c r="D145"/>
      <c r="E145"/>
      <c r="F145"/>
      <c r="G145"/>
      <c r="H145"/>
      <c r="I145"/>
      <c r="J145"/>
      <c r="K145"/>
      <c r="L145"/>
      <c r="N145"/>
      <c r="O145"/>
      <c r="P145"/>
      <c r="Q145"/>
      <c r="R145"/>
      <c r="S145"/>
      <c r="T145"/>
      <c r="U145"/>
      <c r="V145"/>
      <c r="W145"/>
      <c r="X145"/>
      <c r="Y145"/>
    </row>
    <row r="146" spans="1:25" ht="14.4" x14ac:dyDescent="0.3">
      <c r="A146"/>
      <c r="B146"/>
      <c r="C146"/>
      <c r="D146"/>
      <c r="E146"/>
      <c r="F146"/>
      <c r="G146"/>
      <c r="H146"/>
      <c r="I146"/>
      <c r="J146"/>
      <c r="K146"/>
      <c r="L146"/>
      <c r="N146"/>
      <c r="O146"/>
      <c r="P146"/>
      <c r="Q146"/>
      <c r="R146"/>
      <c r="S146"/>
      <c r="T146"/>
      <c r="U146"/>
      <c r="V146"/>
      <c r="W146"/>
      <c r="X146"/>
      <c r="Y146"/>
    </row>
    <row r="147" spans="1:25" ht="14.4" x14ac:dyDescent="0.3">
      <c r="A147"/>
      <c r="B147"/>
      <c r="C147"/>
      <c r="D147"/>
      <c r="E147"/>
      <c r="F147"/>
      <c r="G147"/>
      <c r="H147"/>
      <c r="I147"/>
      <c r="J147"/>
      <c r="K147"/>
      <c r="L147"/>
      <c r="N147"/>
      <c r="O147"/>
      <c r="P147"/>
      <c r="Q147"/>
      <c r="R147"/>
      <c r="S147"/>
      <c r="T147"/>
      <c r="U147"/>
      <c r="V147"/>
      <c r="W147"/>
      <c r="X147"/>
      <c r="Y147"/>
    </row>
    <row r="148" spans="1:25" ht="14.4" x14ac:dyDescent="0.3">
      <c r="A148"/>
      <c r="B148"/>
      <c r="C148"/>
      <c r="D148"/>
      <c r="E148"/>
      <c r="F148"/>
      <c r="G148"/>
      <c r="H148"/>
      <c r="I148"/>
      <c r="J148"/>
      <c r="K148"/>
      <c r="L148"/>
      <c r="N148"/>
      <c r="O148"/>
      <c r="P148"/>
      <c r="Q148"/>
      <c r="R148"/>
      <c r="S148"/>
      <c r="T148"/>
      <c r="U148"/>
      <c r="V148"/>
      <c r="W148"/>
      <c r="X148"/>
      <c r="Y148"/>
    </row>
    <row r="149" spans="1:25" ht="14.4" x14ac:dyDescent="0.3">
      <c r="A149"/>
      <c r="B149"/>
      <c r="C149"/>
      <c r="D149"/>
      <c r="E149"/>
      <c r="F149"/>
      <c r="G149"/>
      <c r="H149"/>
      <c r="I149"/>
      <c r="J149"/>
      <c r="K149"/>
      <c r="L149"/>
      <c r="N149"/>
      <c r="O149"/>
      <c r="P149"/>
      <c r="Q149"/>
      <c r="R149"/>
      <c r="S149"/>
      <c r="T149"/>
      <c r="U149"/>
      <c r="V149"/>
      <c r="W149"/>
      <c r="X149"/>
      <c r="Y149"/>
    </row>
    <row r="150" spans="1:25" ht="14.4" x14ac:dyDescent="0.3">
      <c r="A150"/>
      <c r="B150"/>
      <c r="C150"/>
      <c r="D150"/>
      <c r="E150"/>
      <c r="F150"/>
      <c r="G150"/>
      <c r="H150"/>
      <c r="I150"/>
      <c r="J150"/>
      <c r="K150"/>
      <c r="L150"/>
      <c r="N150"/>
      <c r="O150"/>
      <c r="P150"/>
      <c r="Q150"/>
      <c r="R150"/>
      <c r="S150"/>
      <c r="T150"/>
      <c r="U150"/>
      <c r="V150"/>
      <c r="W150"/>
      <c r="X150"/>
      <c r="Y150"/>
    </row>
    <row r="151" spans="1:25" ht="14.4" x14ac:dyDescent="0.3">
      <c r="A151"/>
      <c r="B151"/>
      <c r="C151"/>
      <c r="D151"/>
      <c r="E151"/>
      <c r="F151"/>
      <c r="G151"/>
      <c r="H151"/>
      <c r="I151"/>
      <c r="J151"/>
      <c r="K151"/>
      <c r="L151"/>
      <c r="N151"/>
      <c r="O151"/>
      <c r="P151"/>
      <c r="Q151"/>
      <c r="R151"/>
      <c r="S151"/>
      <c r="T151"/>
      <c r="U151"/>
      <c r="V151"/>
      <c r="W151"/>
      <c r="X151"/>
      <c r="Y151"/>
    </row>
    <row r="152" spans="1:25" ht="14.4" x14ac:dyDescent="0.3">
      <c r="A152"/>
      <c r="B152"/>
      <c r="C152"/>
      <c r="D152"/>
      <c r="E152"/>
      <c r="F152"/>
      <c r="G152"/>
      <c r="H152"/>
      <c r="I152"/>
      <c r="J152"/>
      <c r="K152"/>
      <c r="L152"/>
      <c r="N152"/>
      <c r="O152"/>
      <c r="P152"/>
      <c r="Q152"/>
      <c r="R152"/>
      <c r="S152"/>
      <c r="T152"/>
      <c r="U152"/>
      <c r="V152"/>
      <c r="W152"/>
      <c r="X152"/>
      <c r="Y152"/>
    </row>
    <row r="153" spans="1:25" ht="14.4" x14ac:dyDescent="0.3">
      <c r="A153"/>
      <c r="B153"/>
      <c r="C153"/>
      <c r="D153"/>
      <c r="E153"/>
      <c r="F153"/>
      <c r="G153"/>
      <c r="H153"/>
      <c r="I153"/>
      <c r="J153"/>
      <c r="K153"/>
      <c r="L153"/>
      <c r="N153"/>
      <c r="O153"/>
      <c r="P153"/>
      <c r="Q153"/>
      <c r="R153"/>
      <c r="S153"/>
      <c r="T153"/>
      <c r="U153"/>
      <c r="V153"/>
      <c r="W153"/>
      <c r="X153"/>
      <c r="Y153"/>
    </row>
    <row r="154" spans="1:25" ht="14.4" x14ac:dyDescent="0.3">
      <c r="A154"/>
      <c r="B154"/>
      <c r="C154"/>
      <c r="D154"/>
      <c r="E154"/>
      <c r="F154"/>
      <c r="G154"/>
      <c r="H154"/>
      <c r="I154"/>
      <c r="J154"/>
      <c r="K154"/>
      <c r="L154"/>
      <c r="N154"/>
      <c r="O154"/>
      <c r="P154"/>
      <c r="Q154"/>
      <c r="R154"/>
      <c r="S154"/>
      <c r="T154"/>
      <c r="U154"/>
      <c r="V154"/>
      <c r="W154"/>
      <c r="X154"/>
      <c r="Y154"/>
    </row>
    <row r="155" spans="1:25" ht="14.4" x14ac:dyDescent="0.3">
      <c r="A155"/>
      <c r="B155"/>
      <c r="C155"/>
      <c r="D155"/>
      <c r="E155"/>
      <c r="F155"/>
      <c r="G155"/>
      <c r="H155"/>
      <c r="I155"/>
      <c r="J155"/>
      <c r="K155"/>
      <c r="L155"/>
      <c r="N155"/>
      <c r="O155"/>
      <c r="P155"/>
      <c r="Q155"/>
      <c r="R155"/>
      <c r="S155"/>
      <c r="T155"/>
      <c r="U155"/>
      <c r="V155"/>
      <c r="W155"/>
      <c r="X155"/>
      <c r="Y155"/>
    </row>
    <row r="156" spans="1:25" ht="14.4" x14ac:dyDescent="0.3">
      <c r="A156"/>
      <c r="B156"/>
      <c r="C156"/>
      <c r="D156"/>
      <c r="E156"/>
      <c r="F156"/>
      <c r="G156"/>
      <c r="H156"/>
      <c r="I156"/>
      <c r="J156"/>
      <c r="K156"/>
      <c r="L156"/>
      <c r="N156"/>
      <c r="O156"/>
      <c r="P156"/>
      <c r="Q156"/>
      <c r="R156"/>
      <c r="S156"/>
      <c r="T156"/>
      <c r="U156"/>
      <c r="V156"/>
      <c r="W156"/>
      <c r="X156"/>
      <c r="Y156"/>
    </row>
    <row r="157" spans="1:25" ht="14.4" x14ac:dyDescent="0.3">
      <c r="A157"/>
      <c r="B157"/>
      <c r="C157"/>
      <c r="D157"/>
      <c r="E157"/>
      <c r="F157"/>
      <c r="G157"/>
      <c r="H157"/>
      <c r="I157"/>
      <c r="J157"/>
      <c r="K157"/>
      <c r="L157"/>
      <c r="N157"/>
      <c r="O157"/>
      <c r="P157"/>
      <c r="Q157"/>
      <c r="R157"/>
      <c r="S157"/>
      <c r="T157"/>
      <c r="U157"/>
      <c r="V157"/>
      <c r="W157"/>
      <c r="X157"/>
      <c r="Y157"/>
    </row>
    <row r="158" spans="1:25" ht="14.4" x14ac:dyDescent="0.3">
      <c r="A158"/>
      <c r="B158"/>
      <c r="C158"/>
      <c r="D158"/>
      <c r="E158"/>
      <c r="F158"/>
      <c r="G158"/>
      <c r="H158"/>
      <c r="I158"/>
      <c r="J158"/>
      <c r="K158"/>
      <c r="L158"/>
      <c r="N158"/>
      <c r="O158"/>
      <c r="P158"/>
      <c r="Q158"/>
      <c r="R158"/>
      <c r="S158"/>
      <c r="T158"/>
      <c r="U158"/>
      <c r="V158"/>
      <c r="W158"/>
      <c r="X158"/>
      <c r="Y158"/>
    </row>
    <row r="159" spans="1:25" ht="14.4" x14ac:dyDescent="0.3">
      <c r="A159"/>
      <c r="B159"/>
      <c r="C159"/>
      <c r="D159"/>
      <c r="E159"/>
      <c r="F159"/>
      <c r="G159"/>
      <c r="H159"/>
      <c r="I159"/>
      <c r="J159"/>
      <c r="K159"/>
      <c r="L159"/>
      <c r="N159"/>
      <c r="O159"/>
      <c r="P159"/>
      <c r="Q159"/>
      <c r="R159"/>
      <c r="S159"/>
      <c r="T159"/>
      <c r="U159"/>
      <c r="V159"/>
      <c r="W159"/>
      <c r="X159"/>
      <c r="Y159"/>
    </row>
    <row r="160" spans="1:25" ht="14.4" x14ac:dyDescent="0.3">
      <c r="A160"/>
      <c r="B160"/>
      <c r="C160"/>
      <c r="D160"/>
      <c r="E160"/>
      <c r="F160"/>
      <c r="G160"/>
      <c r="H160"/>
      <c r="I160"/>
      <c r="J160"/>
      <c r="K160"/>
      <c r="L160"/>
      <c r="N160"/>
      <c r="O160"/>
      <c r="P160"/>
      <c r="Q160"/>
      <c r="R160"/>
      <c r="S160"/>
      <c r="T160"/>
      <c r="U160"/>
      <c r="V160"/>
      <c r="W160"/>
      <c r="X160"/>
      <c r="Y160"/>
    </row>
    <row r="161" spans="1:25" ht="14.4" x14ac:dyDescent="0.3">
      <c r="A161"/>
      <c r="B161"/>
      <c r="C161"/>
      <c r="D161"/>
      <c r="E161"/>
      <c r="F161"/>
      <c r="G161"/>
      <c r="H161"/>
      <c r="I161"/>
      <c r="J161"/>
      <c r="K161"/>
      <c r="L161"/>
      <c r="N161"/>
      <c r="O161"/>
      <c r="P161"/>
      <c r="Q161"/>
      <c r="R161"/>
      <c r="S161"/>
      <c r="T161"/>
      <c r="U161"/>
      <c r="V161"/>
      <c r="W161"/>
      <c r="X161"/>
      <c r="Y161"/>
    </row>
    <row r="162" spans="1:25" ht="14.4" x14ac:dyDescent="0.3">
      <c r="A162"/>
      <c r="B162"/>
      <c r="C162"/>
      <c r="D162"/>
      <c r="E162"/>
      <c r="F162"/>
      <c r="G162"/>
      <c r="H162"/>
      <c r="I162"/>
      <c r="J162"/>
      <c r="K162"/>
      <c r="L162"/>
      <c r="N162"/>
      <c r="O162"/>
      <c r="P162"/>
      <c r="Q162"/>
      <c r="R162"/>
      <c r="S162"/>
      <c r="T162"/>
      <c r="U162"/>
      <c r="V162"/>
      <c r="W162"/>
      <c r="X162"/>
      <c r="Y162"/>
    </row>
    <row r="163" spans="1:25" ht="14.4" x14ac:dyDescent="0.3">
      <c r="A163"/>
      <c r="B163"/>
      <c r="C163"/>
      <c r="D163"/>
      <c r="E163"/>
      <c r="F163"/>
      <c r="G163"/>
      <c r="H163"/>
      <c r="I163"/>
      <c r="J163"/>
      <c r="K163"/>
      <c r="L163"/>
      <c r="N163"/>
      <c r="O163"/>
      <c r="P163"/>
      <c r="Q163"/>
      <c r="R163"/>
      <c r="S163"/>
      <c r="T163"/>
      <c r="U163"/>
      <c r="V163"/>
      <c r="W163"/>
      <c r="X163"/>
      <c r="Y163"/>
    </row>
    <row r="164" spans="1:25" ht="14.4" x14ac:dyDescent="0.3">
      <c r="A164"/>
      <c r="B164"/>
      <c r="C164"/>
      <c r="D164"/>
      <c r="E164"/>
      <c r="F164"/>
      <c r="G164"/>
      <c r="H164"/>
      <c r="I164"/>
      <c r="J164"/>
      <c r="K164"/>
      <c r="L164"/>
      <c r="N164"/>
      <c r="O164"/>
      <c r="P164"/>
      <c r="Q164"/>
      <c r="R164"/>
      <c r="S164"/>
      <c r="T164"/>
      <c r="U164"/>
      <c r="V164"/>
      <c r="W164"/>
      <c r="X164"/>
      <c r="Y164"/>
    </row>
    <row r="165" spans="1:25" ht="14.4" x14ac:dyDescent="0.3">
      <c r="A165"/>
      <c r="B165"/>
      <c r="C165"/>
      <c r="D165"/>
      <c r="E165"/>
      <c r="F165"/>
      <c r="G165"/>
      <c r="H165"/>
      <c r="I165"/>
      <c r="J165"/>
      <c r="K165"/>
      <c r="L165"/>
      <c r="N165"/>
      <c r="O165"/>
      <c r="P165"/>
      <c r="Q165"/>
      <c r="R165"/>
      <c r="S165"/>
      <c r="T165"/>
      <c r="U165"/>
      <c r="V165"/>
      <c r="W165"/>
      <c r="X165"/>
      <c r="Y165"/>
    </row>
    <row r="166" spans="1:25" ht="14.4" x14ac:dyDescent="0.3">
      <c r="A166"/>
      <c r="B166"/>
      <c r="C166"/>
      <c r="D166"/>
      <c r="E166"/>
      <c r="F166"/>
      <c r="G166"/>
      <c r="H166"/>
      <c r="I166"/>
      <c r="J166"/>
      <c r="K166"/>
      <c r="L166"/>
      <c r="N166"/>
      <c r="O166"/>
      <c r="P166"/>
      <c r="Q166"/>
      <c r="R166"/>
      <c r="S166"/>
      <c r="T166"/>
      <c r="U166"/>
      <c r="V166"/>
      <c r="W166"/>
      <c r="X166"/>
      <c r="Y166"/>
    </row>
    <row r="167" spans="1:25" ht="14.4" x14ac:dyDescent="0.3">
      <c r="A167"/>
      <c r="B167"/>
      <c r="C167"/>
      <c r="D167"/>
      <c r="E167"/>
      <c r="F167"/>
      <c r="G167"/>
      <c r="H167"/>
      <c r="I167"/>
      <c r="J167"/>
      <c r="K167"/>
      <c r="L167"/>
      <c r="N167"/>
      <c r="O167"/>
      <c r="P167"/>
      <c r="Q167"/>
      <c r="R167"/>
      <c r="S167"/>
      <c r="T167"/>
      <c r="U167"/>
      <c r="V167"/>
      <c r="W167"/>
      <c r="X167"/>
      <c r="Y167"/>
    </row>
    <row r="168" spans="1:25" ht="14.4" x14ac:dyDescent="0.3">
      <c r="A168"/>
      <c r="B168"/>
      <c r="C168"/>
      <c r="D168"/>
      <c r="E168"/>
      <c r="F168"/>
      <c r="G168"/>
      <c r="H168"/>
      <c r="I168"/>
      <c r="J168"/>
      <c r="K168"/>
      <c r="L168"/>
      <c r="N168"/>
      <c r="O168"/>
      <c r="P168"/>
      <c r="Q168"/>
      <c r="R168"/>
      <c r="S168"/>
      <c r="T168"/>
      <c r="U168"/>
      <c r="V168"/>
      <c r="W168"/>
      <c r="X168"/>
      <c r="Y168"/>
    </row>
    <row r="169" spans="1:25" ht="14.4" x14ac:dyDescent="0.3">
      <c r="A169"/>
      <c r="B169"/>
      <c r="C169"/>
      <c r="D169"/>
      <c r="E169"/>
      <c r="F169"/>
      <c r="G169"/>
      <c r="H169"/>
      <c r="I169"/>
      <c r="J169"/>
      <c r="K169"/>
      <c r="L169"/>
      <c r="N169"/>
      <c r="O169"/>
      <c r="P169"/>
      <c r="Q169"/>
      <c r="R169"/>
      <c r="S169"/>
      <c r="T169"/>
      <c r="U169"/>
      <c r="V169"/>
      <c r="W169"/>
      <c r="X169"/>
      <c r="Y169"/>
    </row>
    <row r="170" spans="1:25" ht="14.4" x14ac:dyDescent="0.3">
      <c r="A170"/>
      <c r="B170"/>
      <c r="C170"/>
      <c r="D170"/>
      <c r="E170"/>
      <c r="F170"/>
      <c r="G170"/>
      <c r="H170"/>
      <c r="I170"/>
      <c r="J170"/>
      <c r="K170"/>
      <c r="L170"/>
      <c r="N170"/>
      <c r="O170"/>
      <c r="P170"/>
      <c r="Q170"/>
      <c r="R170"/>
      <c r="S170"/>
      <c r="T170"/>
      <c r="U170"/>
      <c r="V170"/>
      <c r="W170"/>
      <c r="X170"/>
      <c r="Y170"/>
    </row>
    <row r="171" spans="1:25" ht="14.4" x14ac:dyDescent="0.3">
      <c r="A171"/>
      <c r="B171"/>
      <c r="C171"/>
      <c r="D171"/>
      <c r="E171"/>
      <c r="F171"/>
      <c r="G171"/>
      <c r="H171"/>
      <c r="I171"/>
      <c r="J171"/>
      <c r="K171"/>
      <c r="L171"/>
      <c r="N171"/>
      <c r="O171"/>
      <c r="P171"/>
      <c r="Q171"/>
      <c r="R171"/>
      <c r="S171"/>
      <c r="T171"/>
      <c r="U171"/>
      <c r="V171"/>
      <c r="W171"/>
      <c r="X171"/>
      <c r="Y171"/>
    </row>
    <row r="172" spans="1:25" ht="14.4" x14ac:dyDescent="0.3">
      <c r="A172"/>
      <c r="B172"/>
      <c r="C172"/>
      <c r="D172"/>
      <c r="E172"/>
      <c r="F172"/>
      <c r="G172"/>
      <c r="H172"/>
      <c r="I172"/>
      <c r="J172"/>
      <c r="K172"/>
      <c r="L172"/>
      <c r="N172"/>
      <c r="O172"/>
      <c r="P172"/>
      <c r="Q172"/>
      <c r="R172"/>
      <c r="S172"/>
      <c r="T172"/>
      <c r="U172"/>
      <c r="V172"/>
      <c r="W172"/>
      <c r="X172"/>
      <c r="Y172"/>
    </row>
    <row r="173" spans="1:25" ht="14.4" x14ac:dyDescent="0.3">
      <c r="A173"/>
      <c r="B173"/>
      <c r="C173"/>
      <c r="D173"/>
      <c r="E173"/>
      <c r="F173"/>
      <c r="G173"/>
      <c r="H173"/>
      <c r="I173"/>
      <c r="J173"/>
      <c r="K173"/>
      <c r="L173"/>
      <c r="N173"/>
      <c r="O173"/>
      <c r="P173"/>
      <c r="Q173"/>
      <c r="R173"/>
      <c r="S173"/>
      <c r="T173"/>
      <c r="U173"/>
      <c r="V173"/>
      <c r="W173"/>
      <c r="X173"/>
      <c r="Y173"/>
    </row>
    <row r="174" spans="1:25" ht="14.4" x14ac:dyDescent="0.3">
      <c r="A174"/>
      <c r="B174"/>
      <c r="C174"/>
      <c r="D174"/>
      <c r="E174"/>
      <c r="F174"/>
      <c r="G174"/>
      <c r="H174"/>
      <c r="I174"/>
      <c r="J174"/>
      <c r="K174"/>
      <c r="L174"/>
      <c r="N174"/>
      <c r="O174"/>
      <c r="P174"/>
      <c r="Q174"/>
      <c r="R174"/>
      <c r="S174"/>
      <c r="T174"/>
      <c r="U174"/>
      <c r="V174"/>
      <c r="W174"/>
      <c r="X174"/>
      <c r="Y174"/>
    </row>
    <row r="175" spans="1:25" ht="14.4" x14ac:dyDescent="0.3">
      <c r="A175"/>
      <c r="B175"/>
      <c r="C175"/>
      <c r="D175"/>
      <c r="E175"/>
      <c r="F175"/>
      <c r="G175"/>
      <c r="H175"/>
      <c r="I175"/>
      <c r="J175"/>
      <c r="K175"/>
      <c r="L175"/>
      <c r="N175"/>
      <c r="O175"/>
      <c r="P175"/>
      <c r="Q175"/>
      <c r="R175"/>
      <c r="S175"/>
      <c r="T175"/>
      <c r="U175"/>
      <c r="V175"/>
      <c r="W175"/>
      <c r="X175"/>
      <c r="Y175"/>
    </row>
    <row r="176" spans="1:25" ht="14.4" x14ac:dyDescent="0.3">
      <c r="A176"/>
      <c r="B176"/>
      <c r="C176"/>
      <c r="D176"/>
      <c r="E176"/>
      <c r="F176"/>
      <c r="G176"/>
      <c r="H176"/>
      <c r="I176"/>
      <c r="J176"/>
      <c r="K176"/>
      <c r="L176"/>
      <c r="N176"/>
      <c r="O176"/>
      <c r="P176"/>
      <c r="Q176"/>
      <c r="R176"/>
      <c r="S176"/>
      <c r="T176"/>
      <c r="U176"/>
      <c r="V176"/>
      <c r="W176"/>
      <c r="X176"/>
      <c r="Y176"/>
    </row>
    <row r="177" spans="1:25" ht="14.4" x14ac:dyDescent="0.3">
      <c r="A177"/>
      <c r="B177"/>
      <c r="C177"/>
      <c r="D177"/>
      <c r="E177"/>
      <c r="F177"/>
      <c r="G177"/>
      <c r="H177"/>
      <c r="I177"/>
      <c r="J177"/>
      <c r="K177"/>
      <c r="L177"/>
      <c r="N177"/>
      <c r="O177"/>
      <c r="P177"/>
      <c r="Q177"/>
      <c r="R177"/>
      <c r="S177"/>
      <c r="T177"/>
      <c r="U177"/>
      <c r="V177"/>
      <c r="W177"/>
      <c r="X177"/>
      <c r="Y177"/>
    </row>
    <row r="178" spans="1:25" ht="14.4" x14ac:dyDescent="0.3">
      <c r="A178"/>
      <c r="B178"/>
      <c r="C178"/>
      <c r="D178"/>
      <c r="E178"/>
      <c r="F178"/>
      <c r="G178"/>
      <c r="H178"/>
      <c r="I178"/>
      <c r="J178"/>
      <c r="K178"/>
      <c r="L178"/>
      <c r="N178"/>
      <c r="O178"/>
      <c r="P178"/>
      <c r="Q178"/>
      <c r="R178"/>
      <c r="S178"/>
      <c r="T178"/>
      <c r="U178"/>
      <c r="V178"/>
      <c r="W178"/>
      <c r="X178"/>
      <c r="Y178"/>
    </row>
    <row r="179" spans="1:25" ht="14.4" x14ac:dyDescent="0.3">
      <c r="A179"/>
      <c r="B179"/>
      <c r="C179"/>
      <c r="D179"/>
      <c r="E179"/>
      <c r="F179"/>
      <c r="G179"/>
      <c r="H179"/>
      <c r="I179"/>
      <c r="J179"/>
      <c r="K179"/>
      <c r="L179"/>
      <c r="N179"/>
      <c r="O179"/>
      <c r="P179"/>
      <c r="Q179"/>
      <c r="R179"/>
      <c r="S179"/>
      <c r="T179"/>
      <c r="U179"/>
      <c r="V179"/>
      <c r="W179"/>
      <c r="X179"/>
      <c r="Y179"/>
    </row>
    <row r="180" spans="1:25" ht="14.4" x14ac:dyDescent="0.3">
      <c r="A180"/>
      <c r="B180"/>
      <c r="C180"/>
      <c r="D180"/>
      <c r="E180"/>
      <c r="F180"/>
      <c r="G180"/>
      <c r="H180"/>
      <c r="I180"/>
      <c r="J180"/>
      <c r="K180"/>
      <c r="L180"/>
      <c r="N180"/>
      <c r="O180"/>
      <c r="P180"/>
      <c r="Q180"/>
      <c r="R180"/>
      <c r="S180"/>
      <c r="T180"/>
      <c r="U180"/>
      <c r="V180"/>
      <c r="W180"/>
      <c r="X180"/>
      <c r="Y180"/>
    </row>
    <row r="181" spans="1:25" ht="14.4" x14ac:dyDescent="0.3">
      <c r="A181"/>
      <c r="B181"/>
      <c r="C181"/>
      <c r="D181"/>
      <c r="E181"/>
      <c r="F181"/>
      <c r="G181"/>
      <c r="H181"/>
      <c r="I181"/>
      <c r="J181"/>
      <c r="K181"/>
      <c r="L181"/>
      <c r="N181"/>
      <c r="O181"/>
      <c r="P181"/>
      <c r="Q181"/>
      <c r="R181"/>
      <c r="S181"/>
      <c r="T181"/>
      <c r="U181"/>
      <c r="V181"/>
      <c r="W181"/>
      <c r="X181"/>
      <c r="Y181"/>
    </row>
    <row r="182" spans="1:25" ht="14.4" x14ac:dyDescent="0.3">
      <c r="A182"/>
      <c r="B182"/>
      <c r="C182"/>
      <c r="D182"/>
      <c r="E182"/>
      <c r="F182"/>
      <c r="G182"/>
      <c r="H182"/>
      <c r="I182"/>
      <c r="J182"/>
      <c r="K182"/>
      <c r="L182"/>
      <c r="N182"/>
      <c r="O182"/>
      <c r="P182"/>
      <c r="Q182"/>
      <c r="R182"/>
      <c r="S182"/>
      <c r="T182"/>
      <c r="U182"/>
      <c r="V182"/>
      <c r="W182"/>
      <c r="X182"/>
      <c r="Y182"/>
    </row>
    <row r="183" spans="1:25" ht="14.4" x14ac:dyDescent="0.3">
      <c r="A183"/>
      <c r="B183"/>
      <c r="C183"/>
      <c r="D183"/>
      <c r="E183"/>
      <c r="F183"/>
      <c r="G183"/>
      <c r="H183"/>
      <c r="I183"/>
      <c r="J183"/>
      <c r="K183"/>
      <c r="L183"/>
      <c r="N183"/>
      <c r="O183"/>
      <c r="P183"/>
      <c r="Q183"/>
      <c r="R183"/>
      <c r="S183"/>
      <c r="T183"/>
      <c r="U183"/>
      <c r="V183"/>
      <c r="W183"/>
      <c r="X183"/>
      <c r="Y183"/>
    </row>
    <row r="184" spans="1:25" ht="14.4" x14ac:dyDescent="0.3">
      <c r="A184"/>
      <c r="B184"/>
      <c r="C184"/>
      <c r="D184"/>
      <c r="E184"/>
      <c r="F184"/>
      <c r="G184"/>
      <c r="H184"/>
      <c r="I184"/>
      <c r="J184"/>
      <c r="K184"/>
      <c r="L184"/>
      <c r="N184"/>
      <c r="O184"/>
      <c r="P184"/>
      <c r="Q184"/>
      <c r="R184"/>
      <c r="S184"/>
      <c r="T184"/>
      <c r="U184"/>
      <c r="V184"/>
      <c r="W184"/>
      <c r="X184"/>
      <c r="Y184"/>
    </row>
    <row r="185" spans="1:25" ht="14.4" x14ac:dyDescent="0.3">
      <c r="A185"/>
      <c r="B185"/>
      <c r="C185"/>
      <c r="D185"/>
      <c r="E185"/>
      <c r="F185"/>
      <c r="G185"/>
      <c r="H185"/>
      <c r="I185"/>
      <c r="J185"/>
      <c r="K185"/>
      <c r="L185"/>
      <c r="N185"/>
      <c r="O185"/>
      <c r="P185"/>
      <c r="Q185"/>
      <c r="R185"/>
      <c r="S185"/>
      <c r="T185"/>
      <c r="U185"/>
      <c r="V185"/>
      <c r="W185"/>
      <c r="X185"/>
      <c r="Y185"/>
    </row>
    <row r="186" spans="1:25" ht="14.4" x14ac:dyDescent="0.3">
      <c r="A186"/>
      <c r="B186"/>
      <c r="C186"/>
      <c r="D186"/>
      <c r="E186"/>
      <c r="F186"/>
      <c r="G186"/>
      <c r="H186"/>
      <c r="I186"/>
      <c r="J186"/>
      <c r="K186"/>
      <c r="L186"/>
      <c r="N186"/>
      <c r="O186"/>
      <c r="P186"/>
      <c r="Q186"/>
      <c r="R186"/>
      <c r="S186"/>
      <c r="T186"/>
      <c r="U186"/>
      <c r="V186"/>
      <c r="W186"/>
      <c r="X186"/>
      <c r="Y186"/>
    </row>
    <row r="187" spans="1:25" ht="14.4" x14ac:dyDescent="0.3">
      <c r="A187"/>
      <c r="B187"/>
      <c r="C187"/>
      <c r="D187"/>
      <c r="E187"/>
      <c r="F187"/>
      <c r="G187"/>
      <c r="H187"/>
      <c r="I187"/>
      <c r="J187"/>
      <c r="K187"/>
      <c r="L187"/>
      <c r="N187"/>
      <c r="O187"/>
      <c r="P187"/>
      <c r="Q187"/>
      <c r="R187"/>
      <c r="S187"/>
      <c r="T187"/>
      <c r="U187"/>
      <c r="V187"/>
      <c r="W187"/>
      <c r="X187"/>
      <c r="Y187"/>
    </row>
    <row r="188" spans="1:25" ht="14.4" x14ac:dyDescent="0.3">
      <c r="A188"/>
      <c r="B188"/>
      <c r="C188"/>
      <c r="D188"/>
      <c r="E188"/>
      <c r="F188"/>
      <c r="G188"/>
      <c r="H188"/>
      <c r="I188"/>
      <c r="J188"/>
      <c r="K188"/>
      <c r="L188"/>
      <c r="N188"/>
      <c r="O188"/>
      <c r="P188"/>
      <c r="Q188"/>
      <c r="R188"/>
      <c r="S188"/>
      <c r="T188"/>
      <c r="U188"/>
      <c r="V188"/>
      <c r="W188"/>
      <c r="X188"/>
      <c r="Y188"/>
    </row>
    <row r="189" spans="1:25" ht="14.4" x14ac:dyDescent="0.3">
      <c r="A189"/>
      <c r="B189"/>
      <c r="C189"/>
      <c r="D189"/>
      <c r="E189"/>
      <c r="F189"/>
      <c r="G189"/>
      <c r="H189"/>
      <c r="I189"/>
      <c r="J189"/>
      <c r="K189"/>
      <c r="L189"/>
      <c r="N189"/>
      <c r="O189"/>
      <c r="P189"/>
      <c r="Q189"/>
      <c r="R189"/>
      <c r="S189"/>
      <c r="T189"/>
      <c r="U189"/>
      <c r="V189"/>
      <c r="W189"/>
      <c r="X189"/>
      <c r="Y189"/>
    </row>
    <row r="190" spans="1:25" ht="14.4" x14ac:dyDescent="0.3">
      <c r="A190"/>
      <c r="B190"/>
      <c r="C190"/>
      <c r="D190"/>
      <c r="E190"/>
      <c r="F190"/>
      <c r="G190"/>
      <c r="H190"/>
      <c r="I190"/>
      <c r="J190"/>
      <c r="K190"/>
      <c r="L190"/>
      <c r="N190"/>
      <c r="O190"/>
      <c r="P190"/>
      <c r="Q190"/>
      <c r="R190"/>
      <c r="S190"/>
      <c r="T190"/>
      <c r="U190"/>
      <c r="V190"/>
      <c r="W190"/>
      <c r="X190"/>
      <c r="Y190"/>
    </row>
    <row r="191" spans="1:25" ht="14.4" x14ac:dyDescent="0.3">
      <c r="A191"/>
      <c r="B191"/>
      <c r="C191"/>
      <c r="D191"/>
      <c r="E191"/>
      <c r="F191"/>
      <c r="G191"/>
      <c r="H191"/>
      <c r="I191"/>
      <c r="J191"/>
      <c r="K191"/>
      <c r="L191"/>
      <c r="N191"/>
      <c r="O191"/>
      <c r="P191"/>
      <c r="Q191"/>
      <c r="R191"/>
      <c r="S191"/>
      <c r="T191"/>
      <c r="U191"/>
      <c r="V191"/>
      <c r="W191"/>
      <c r="X191"/>
      <c r="Y191"/>
    </row>
    <row r="192" spans="1:25" ht="14.4" x14ac:dyDescent="0.3">
      <c r="A192"/>
      <c r="B192"/>
      <c r="C192"/>
      <c r="D192"/>
      <c r="E192"/>
      <c r="F192"/>
      <c r="G192"/>
      <c r="H192"/>
      <c r="I192"/>
      <c r="J192"/>
      <c r="K192"/>
      <c r="L192"/>
      <c r="N192"/>
      <c r="O192"/>
      <c r="P192"/>
      <c r="Q192"/>
      <c r="R192"/>
      <c r="S192"/>
      <c r="T192"/>
      <c r="U192"/>
      <c r="V192"/>
      <c r="W192"/>
      <c r="X192"/>
      <c r="Y192"/>
    </row>
    <row r="193" spans="1:25" ht="14.4" x14ac:dyDescent="0.3">
      <c r="A193"/>
      <c r="B193"/>
      <c r="C193"/>
      <c r="D193"/>
      <c r="E193"/>
      <c r="F193"/>
      <c r="G193"/>
      <c r="H193"/>
      <c r="I193"/>
      <c r="J193"/>
      <c r="K193"/>
      <c r="L193"/>
      <c r="N193"/>
      <c r="O193"/>
      <c r="P193"/>
      <c r="Q193"/>
      <c r="R193"/>
      <c r="S193"/>
      <c r="T193"/>
      <c r="U193"/>
      <c r="V193"/>
      <c r="W193"/>
      <c r="X193"/>
      <c r="Y193"/>
    </row>
    <row r="194" spans="1:25" ht="14.4" x14ac:dyDescent="0.3">
      <c r="A194"/>
      <c r="B194"/>
      <c r="C194"/>
      <c r="D194"/>
      <c r="E194"/>
      <c r="F194"/>
      <c r="G194"/>
      <c r="H194"/>
      <c r="I194"/>
      <c r="J194"/>
      <c r="K194"/>
      <c r="L194"/>
      <c r="N194"/>
      <c r="O194"/>
      <c r="P194"/>
      <c r="Q194"/>
      <c r="R194"/>
      <c r="S194"/>
      <c r="T194"/>
      <c r="U194"/>
      <c r="V194"/>
      <c r="W194"/>
      <c r="X194"/>
      <c r="Y194"/>
    </row>
    <row r="195" spans="1:25" ht="14.4" x14ac:dyDescent="0.3">
      <c r="A195"/>
      <c r="B195"/>
      <c r="C195"/>
      <c r="D195"/>
      <c r="E195"/>
      <c r="F195"/>
      <c r="G195"/>
      <c r="H195"/>
      <c r="I195"/>
      <c r="J195"/>
      <c r="K195"/>
      <c r="L195"/>
      <c r="N195"/>
      <c r="O195"/>
      <c r="P195"/>
      <c r="Q195"/>
      <c r="R195"/>
      <c r="S195"/>
      <c r="T195"/>
      <c r="U195"/>
      <c r="V195"/>
      <c r="W195"/>
      <c r="X195"/>
      <c r="Y195"/>
    </row>
    <row r="196" spans="1:25" ht="14.4" x14ac:dyDescent="0.3">
      <c r="A196"/>
      <c r="B196"/>
      <c r="C196"/>
      <c r="D196"/>
      <c r="E196"/>
      <c r="F196"/>
      <c r="G196"/>
      <c r="H196"/>
      <c r="I196"/>
      <c r="J196"/>
      <c r="K196"/>
      <c r="L196"/>
      <c r="N196"/>
      <c r="O196"/>
      <c r="P196"/>
      <c r="Q196"/>
      <c r="R196"/>
      <c r="S196"/>
      <c r="T196"/>
      <c r="U196"/>
      <c r="V196"/>
      <c r="W196"/>
      <c r="X196"/>
      <c r="Y196"/>
    </row>
    <row r="197" spans="1:25" ht="14.4" x14ac:dyDescent="0.3">
      <c r="A197"/>
      <c r="B197"/>
      <c r="C197"/>
      <c r="D197"/>
      <c r="E197"/>
      <c r="F197"/>
      <c r="G197"/>
      <c r="H197"/>
      <c r="I197"/>
      <c r="J197"/>
      <c r="K197"/>
      <c r="L197"/>
      <c r="N197"/>
      <c r="O197"/>
      <c r="P197"/>
      <c r="Q197"/>
      <c r="R197"/>
      <c r="S197"/>
      <c r="T197"/>
      <c r="U197"/>
      <c r="V197"/>
      <c r="W197"/>
      <c r="X197"/>
      <c r="Y197"/>
    </row>
    <row r="198" spans="1:25" ht="14.4" x14ac:dyDescent="0.3">
      <c r="A198"/>
      <c r="B198"/>
      <c r="C198"/>
      <c r="D198"/>
      <c r="E198"/>
      <c r="F198"/>
      <c r="G198"/>
      <c r="H198"/>
      <c r="I198"/>
      <c r="J198"/>
      <c r="K198"/>
      <c r="L198"/>
      <c r="N198"/>
      <c r="O198"/>
      <c r="P198"/>
      <c r="Q198"/>
      <c r="R198"/>
      <c r="S198"/>
      <c r="T198"/>
      <c r="U198"/>
      <c r="V198"/>
      <c r="W198"/>
      <c r="X198"/>
      <c r="Y198"/>
    </row>
    <row r="199" spans="1:25" ht="14.4" x14ac:dyDescent="0.3">
      <c r="A199"/>
      <c r="B199"/>
      <c r="C199"/>
      <c r="D199"/>
      <c r="E199"/>
      <c r="F199"/>
      <c r="G199"/>
      <c r="H199"/>
      <c r="I199"/>
      <c r="J199"/>
      <c r="K199"/>
      <c r="L199"/>
      <c r="N199"/>
      <c r="O199"/>
      <c r="P199"/>
      <c r="Q199"/>
      <c r="R199"/>
      <c r="S199"/>
      <c r="T199"/>
      <c r="U199"/>
      <c r="V199"/>
      <c r="W199"/>
      <c r="X199"/>
      <c r="Y199"/>
    </row>
    <row r="200" spans="1:25" ht="14.4" x14ac:dyDescent="0.3">
      <c r="A200"/>
      <c r="B200"/>
      <c r="C200"/>
      <c r="D200"/>
      <c r="E200"/>
      <c r="F200"/>
      <c r="G200"/>
      <c r="H200"/>
      <c r="I200"/>
      <c r="J200"/>
      <c r="K200"/>
      <c r="L200"/>
      <c r="N200"/>
      <c r="O200"/>
      <c r="P200"/>
      <c r="Q200"/>
      <c r="R200"/>
      <c r="S200"/>
      <c r="T200"/>
      <c r="U200"/>
      <c r="V200"/>
      <c r="W200"/>
      <c r="X200"/>
      <c r="Y200"/>
    </row>
    <row r="201" spans="1:25" ht="14.4" x14ac:dyDescent="0.3">
      <c r="A201"/>
      <c r="B201"/>
      <c r="C201"/>
      <c r="D201"/>
      <c r="E201"/>
      <c r="F201"/>
      <c r="G201"/>
      <c r="H201"/>
      <c r="I201"/>
      <c r="J201"/>
      <c r="K201"/>
      <c r="L201"/>
      <c r="N201"/>
      <c r="O201"/>
      <c r="P201"/>
      <c r="Q201"/>
      <c r="R201"/>
      <c r="S201"/>
      <c r="T201"/>
      <c r="U201"/>
      <c r="V201"/>
      <c r="W201"/>
      <c r="X201"/>
      <c r="Y201"/>
    </row>
    <row r="202" spans="1:25" ht="14.4" x14ac:dyDescent="0.3">
      <c r="A202"/>
      <c r="B202"/>
      <c r="C202"/>
      <c r="D202"/>
      <c r="E202"/>
      <c r="F202"/>
      <c r="G202"/>
      <c r="H202"/>
      <c r="I202"/>
      <c r="J202"/>
      <c r="K202"/>
      <c r="L202"/>
      <c r="N202"/>
      <c r="O202"/>
      <c r="P202"/>
      <c r="Q202"/>
      <c r="R202"/>
      <c r="S202"/>
      <c r="T202"/>
      <c r="U202"/>
      <c r="V202"/>
      <c r="W202"/>
      <c r="X202"/>
      <c r="Y202"/>
    </row>
    <row r="203" spans="1:25" ht="14.4" x14ac:dyDescent="0.3">
      <c r="A203"/>
      <c r="B203"/>
      <c r="C203"/>
      <c r="D203"/>
      <c r="E203"/>
      <c r="F203"/>
      <c r="G203"/>
      <c r="H203"/>
      <c r="I203"/>
      <c r="J203"/>
      <c r="K203"/>
      <c r="L203"/>
      <c r="N203"/>
      <c r="O203"/>
      <c r="P203"/>
      <c r="Q203"/>
      <c r="R203"/>
      <c r="S203"/>
      <c r="T203"/>
      <c r="U203"/>
      <c r="V203"/>
      <c r="W203"/>
      <c r="X203"/>
      <c r="Y203"/>
    </row>
    <row r="204" spans="1:25" ht="14.4" x14ac:dyDescent="0.3">
      <c r="A204"/>
      <c r="B204"/>
      <c r="C204"/>
      <c r="D204"/>
      <c r="E204"/>
      <c r="F204"/>
      <c r="G204"/>
      <c r="H204"/>
      <c r="I204"/>
      <c r="J204"/>
      <c r="K204"/>
      <c r="L204"/>
      <c r="N204"/>
      <c r="O204"/>
      <c r="P204"/>
      <c r="Q204"/>
      <c r="R204"/>
      <c r="S204"/>
      <c r="T204"/>
      <c r="U204"/>
      <c r="V204"/>
      <c r="W204"/>
      <c r="X204"/>
      <c r="Y204"/>
    </row>
    <row r="205" spans="1:25" ht="14.4" x14ac:dyDescent="0.3">
      <c r="A205"/>
      <c r="B205"/>
      <c r="C205"/>
      <c r="D205"/>
      <c r="E205"/>
      <c r="F205"/>
      <c r="G205"/>
      <c r="H205"/>
      <c r="I205"/>
      <c r="J205"/>
      <c r="K205"/>
      <c r="L205"/>
      <c r="N205"/>
      <c r="O205"/>
      <c r="P205"/>
      <c r="Q205"/>
      <c r="R205"/>
      <c r="S205"/>
      <c r="T205"/>
      <c r="U205"/>
      <c r="V205"/>
      <c r="W205"/>
      <c r="X205"/>
      <c r="Y205"/>
    </row>
    <row r="206" spans="1:25" ht="14.4" x14ac:dyDescent="0.3">
      <c r="A206"/>
      <c r="B206"/>
      <c r="C206"/>
      <c r="D206"/>
      <c r="E206"/>
      <c r="F206"/>
      <c r="G206"/>
      <c r="H206"/>
      <c r="I206"/>
      <c r="J206"/>
      <c r="K206"/>
      <c r="L206"/>
      <c r="N206"/>
      <c r="O206"/>
      <c r="P206"/>
      <c r="Q206"/>
      <c r="R206"/>
      <c r="S206"/>
      <c r="T206"/>
      <c r="U206"/>
      <c r="V206"/>
      <c r="W206"/>
      <c r="X206"/>
      <c r="Y206"/>
    </row>
    <row r="207" spans="1:25" ht="14.4" x14ac:dyDescent="0.3">
      <c r="A207"/>
      <c r="B207"/>
      <c r="C207"/>
      <c r="D207"/>
      <c r="E207"/>
      <c r="F207"/>
      <c r="G207"/>
      <c r="H207"/>
      <c r="I207"/>
      <c r="J207"/>
      <c r="K207"/>
      <c r="L207"/>
      <c r="N207"/>
      <c r="O207"/>
      <c r="P207"/>
      <c r="Q207"/>
      <c r="R207"/>
      <c r="S207"/>
      <c r="T207"/>
      <c r="U207"/>
      <c r="V207"/>
      <c r="W207"/>
      <c r="X207"/>
      <c r="Y207"/>
    </row>
    <row r="208" spans="1:25" ht="14.4" x14ac:dyDescent="0.3">
      <c r="A208"/>
      <c r="B208"/>
      <c r="C208"/>
      <c r="D208"/>
      <c r="E208"/>
      <c r="F208"/>
      <c r="G208"/>
      <c r="H208"/>
      <c r="I208"/>
      <c r="J208"/>
      <c r="K208"/>
      <c r="L208"/>
      <c r="N208"/>
      <c r="O208"/>
      <c r="P208"/>
      <c r="Q208"/>
      <c r="R208"/>
      <c r="S208"/>
      <c r="T208"/>
      <c r="U208"/>
      <c r="V208"/>
      <c r="W208"/>
      <c r="X208"/>
      <c r="Y208"/>
    </row>
    <row r="209" spans="1:25" ht="14.4" x14ac:dyDescent="0.3">
      <c r="A209"/>
      <c r="B209"/>
      <c r="C209"/>
      <c r="D209"/>
      <c r="E209"/>
      <c r="F209"/>
      <c r="G209"/>
      <c r="H209"/>
      <c r="I209"/>
      <c r="J209"/>
      <c r="K209"/>
      <c r="L209"/>
      <c r="N209"/>
      <c r="O209"/>
      <c r="P209"/>
      <c r="Q209"/>
      <c r="R209"/>
      <c r="S209"/>
      <c r="T209"/>
      <c r="U209"/>
      <c r="V209"/>
      <c r="W209"/>
      <c r="X209"/>
      <c r="Y209"/>
    </row>
    <row r="210" spans="1:25" ht="14.4" x14ac:dyDescent="0.3">
      <c r="A210"/>
      <c r="B210"/>
      <c r="C210"/>
      <c r="D210"/>
      <c r="E210"/>
      <c r="F210"/>
      <c r="G210"/>
      <c r="H210"/>
      <c r="I210"/>
      <c r="J210"/>
      <c r="K210"/>
      <c r="L210"/>
      <c r="N210"/>
      <c r="O210"/>
      <c r="P210"/>
      <c r="Q210"/>
      <c r="R210"/>
      <c r="S210"/>
      <c r="T210"/>
      <c r="U210"/>
      <c r="V210"/>
      <c r="W210"/>
      <c r="X210"/>
      <c r="Y210"/>
    </row>
    <row r="211" spans="1:25" ht="14.4" x14ac:dyDescent="0.3">
      <c r="A211"/>
      <c r="B211"/>
      <c r="C211"/>
      <c r="D211"/>
      <c r="E211"/>
      <c r="F211"/>
      <c r="G211"/>
      <c r="H211"/>
      <c r="I211"/>
      <c r="J211"/>
      <c r="K211"/>
      <c r="L211"/>
      <c r="N211"/>
      <c r="O211"/>
      <c r="P211"/>
      <c r="Q211"/>
      <c r="R211"/>
      <c r="S211"/>
      <c r="T211"/>
      <c r="U211"/>
      <c r="V211"/>
      <c r="W211"/>
      <c r="X211"/>
      <c r="Y211"/>
    </row>
    <row r="212" spans="1:25" ht="14.4" x14ac:dyDescent="0.3">
      <c r="A212"/>
      <c r="B212"/>
      <c r="C212"/>
      <c r="D212"/>
      <c r="E212"/>
      <c r="F212"/>
      <c r="G212"/>
      <c r="H212"/>
      <c r="I212"/>
      <c r="J212"/>
      <c r="K212"/>
      <c r="L212"/>
      <c r="N212"/>
      <c r="O212"/>
      <c r="P212"/>
      <c r="Q212"/>
      <c r="R212"/>
      <c r="S212"/>
      <c r="T212"/>
      <c r="U212"/>
      <c r="V212"/>
      <c r="W212"/>
      <c r="X212"/>
      <c r="Y212"/>
    </row>
    <row r="213" spans="1:25" ht="14.4" x14ac:dyDescent="0.3">
      <c r="A213"/>
      <c r="B213"/>
      <c r="C213"/>
      <c r="D213"/>
      <c r="E213"/>
      <c r="F213"/>
      <c r="G213"/>
      <c r="H213"/>
      <c r="I213"/>
      <c r="J213"/>
      <c r="K213"/>
      <c r="L213"/>
      <c r="N213"/>
      <c r="O213"/>
      <c r="P213"/>
      <c r="Q213"/>
      <c r="R213"/>
      <c r="S213"/>
      <c r="T213"/>
      <c r="U213"/>
      <c r="V213"/>
      <c r="W213"/>
      <c r="X213"/>
      <c r="Y213"/>
    </row>
    <row r="214" spans="1:25" ht="14.4" x14ac:dyDescent="0.3">
      <c r="A214"/>
      <c r="B214"/>
      <c r="C214"/>
      <c r="D214"/>
      <c r="E214"/>
      <c r="F214"/>
      <c r="G214"/>
      <c r="H214"/>
      <c r="I214"/>
      <c r="J214"/>
      <c r="K214"/>
      <c r="L214"/>
      <c r="N214"/>
      <c r="O214"/>
      <c r="P214"/>
      <c r="Q214"/>
      <c r="R214"/>
      <c r="S214"/>
      <c r="T214"/>
      <c r="U214"/>
      <c r="V214"/>
      <c r="W214"/>
      <c r="X214"/>
      <c r="Y214"/>
    </row>
    <row r="215" spans="1:25" ht="14.4" x14ac:dyDescent="0.3">
      <c r="A215"/>
      <c r="B215"/>
      <c r="C215"/>
      <c r="D215"/>
      <c r="E215"/>
      <c r="F215"/>
      <c r="G215"/>
      <c r="H215"/>
      <c r="I215"/>
      <c r="J215"/>
      <c r="K215"/>
      <c r="L215"/>
      <c r="N215"/>
      <c r="O215"/>
      <c r="P215"/>
      <c r="Q215"/>
      <c r="R215"/>
      <c r="S215"/>
      <c r="T215"/>
      <c r="U215"/>
      <c r="V215"/>
      <c r="W215"/>
      <c r="X215"/>
      <c r="Y215"/>
    </row>
    <row r="216" spans="1:25" ht="14.4" x14ac:dyDescent="0.3">
      <c r="A216"/>
      <c r="B216"/>
      <c r="C216"/>
      <c r="D216"/>
      <c r="E216"/>
      <c r="F216"/>
      <c r="G216"/>
      <c r="H216"/>
      <c r="I216"/>
      <c r="J216"/>
      <c r="K216"/>
      <c r="L216"/>
      <c r="N216"/>
      <c r="O216"/>
      <c r="P216"/>
      <c r="Q216"/>
      <c r="R216"/>
      <c r="S216"/>
      <c r="T216"/>
      <c r="U216"/>
      <c r="V216"/>
      <c r="W216"/>
      <c r="X216"/>
      <c r="Y216"/>
    </row>
    <row r="217" spans="1:25" ht="14.4" x14ac:dyDescent="0.3">
      <c r="A217"/>
      <c r="B217"/>
      <c r="C217"/>
      <c r="D217"/>
      <c r="E217"/>
      <c r="F217"/>
      <c r="G217"/>
      <c r="H217"/>
      <c r="I217"/>
      <c r="J217"/>
      <c r="K217"/>
      <c r="L217"/>
      <c r="N217"/>
      <c r="O217"/>
      <c r="P217"/>
      <c r="Q217"/>
      <c r="R217"/>
      <c r="S217"/>
      <c r="T217"/>
      <c r="U217"/>
      <c r="V217"/>
      <c r="W217"/>
      <c r="X217"/>
      <c r="Y217"/>
    </row>
    <row r="218" spans="1:25" ht="14.4" x14ac:dyDescent="0.3">
      <c r="A218"/>
      <c r="B218"/>
      <c r="C218"/>
      <c r="D218"/>
      <c r="E218"/>
      <c r="F218"/>
      <c r="G218"/>
      <c r="H218"/>
      <c r="I218"/>
      <c r="J218"/>
      <c r="K218"/>
      <c r="L218"/>
      <c r="N218"/>
      <c r="O218"/>
      <c r="P218"/>
      <c r="Q218"/>
      <c r="R218"/>
      <c r="S218"/>
      <c r="T218"/>
      <c r="U218"/>
      <c r="V218"/>
      <c r="W218"/>
      <c r="X218"/>
      <c r="Y218"/>
    </row>
    <row r="219" spans="1:25" ht="14.4" x14ac:dyDescent="0.3">
      <c r="A219"/>
      <c r="B219"/>
      <c r="C219"/>
      <c r="D219"/>
      <c r="E219"/>
      <c r="F219"/>
      <c r="G219"/>
      <c r="H219"/>
      <c r="I219"/>
      <c r="J219"/>
      <c r="K219"/>
      <c r="L219"/>
      <c r="N219"/>
      <c r="O219"/>
      <c r="P219"/>
      <c r="Q219"/>
      <c r="R219"/>
      <c r="S219"/>
      <c r="T219"/>
      <c r="U219"/>
      <c r="V219"/>
      <c r="W219"/>
      <c r="X219"/>
      <c r="Y219"/>
    </row>
    <row r="220" spans="1:25" ht="14.4" x14ac:dyDescent="0.3">
      <c r="A220"/>
      <c r="B220"/>
      <c r="C220"/>
      <c r="D220"/>
      <c r="E220"/>
      <c r="F220"/>
      <c r="G220"/>
      <c r="H220"/>
      <c r="I220"/>
      <c r="J220"/>
      <c r="K220"/>
      <c r="L220"/>
      <c r="N220"/>
      <c r="O220"/>
      <c r="P220"/>
      <c r="Q220"/>
      <c r="R220"/>
      <c r="S220"/>
      <c r="T220"/>
      <c r="U220"/>
      <c r="V220"/>
      <c r="W220"/>
      <c r="X220"/>
      <c r="Y220"/>
    </row>
    <row r="221" spans="1:25" ht="14.4" x14ac:dyDescent="0.3">
      <c r="A221"/>
      <c r="B221"/>
      <c r="C221"/>
      <c r="D221"/>
      <c r="E221"/>
      <c r="F221"/>
      <c r="G221"/>
      <c r="H221"/>
      <c r="I221"/>
      <c r="J221"/>
      <c r="K221"/>
      <c r="L221"/>
      <c r="N221"/>
      <c r="O221"/>
      <c r="P221"/>
      <c r="Q221"/>
      <c r="R221"/>
      <c r="S221"/>
      <c r="T221"/>
      <c r="U221"/>
      <c r="V221"/>
      <c r="W221"/>
      <c r="X221"/>
      <c r="Y221"/>
    </row>
    <row r="222" spans="1:25" ht="14.4" x14ac:dyDescent="0.3">
      <c r="A222"/>
      <c r="B222"/>
      <c r="C222"/>
      <c r="D222"/>
      <c r="E222"/>
      <c r="F222"/>
      <c r="G222"/>
      <c r="H222"/>
      <c r="I222"/>
      <c r="J222"/>
      <c r="K222"/>
      <c r="L222"/>
      <c r="N222"/>
      <c r="O222"/>
      <c r="P222"/>
      <c r="Q222"/>
      <c r="R222"/>
      <c r="S222"/>
      <c r="T222"/>
      <c r="U222"/>
      <c r="V222"/>
      <c r="W222"/>
      <c r="X222"/>
      <c r="Y222"/>
    </row>
    <row r="223" spans="1:25" ht="14.4" x14ac:dyDescent="0.3">
      <c r="A223"/>
      <c r="B223"/>
      <c r="C223"/>
      <c r="D223"/>
      <c r="E223"/>
      <c r="F223"/>
      <c r="G223"/>
      <c r="H223"/>
      <c r="I223"/>
      <c r="J223"/>
      <c r="K223"/>
      <c r="L223"/>
      <c r="N223"/>
      <c r="O223"/>
      <c r="P223"/>
      <c r="Q223"/>
      <c r="R223"/>
      <c r="S223"/>
      <c r="T223"/>
      <c r="U223"/>
      <c r="V223"/>
      <c r="W223"/>
      <c r="X223"/>
      <c r="Y223"/>
    </row>
    <row r="224" spans="1:25" ht="14.4" x14ac:dyDescent="0.3">
      <c r="A224"/>
      <c r="B224"/>
      <c r="C224"/>
      <c r="D224"/>
      <c r="E224"/>
      <c r="F224"/>
      <c r="G224"/>
      <c r="H224"/>
      <c r="I224"/>
      <c r="J224"/>
      <c r="K224"/>
      <c r="L224"/>
      <c r="N224"/>
      <c r="O224"/>
      <c r="P224"/>
      <c r="Q224"/>
      <c r="R224"/>
      <c r="S224"/>
      <c r="T224"/>
      <c r="U224"/>
      <c r="V224"/>
      <c r="W224"/>
      <c r="X224"/>
      <c r="Y224"/>
    </row>
    <row r="225" spans="1:25" ht="14.4" x14ac:dyDescent="0.3">
      <c r="A225"/>
      <c r="B225"/>
      <c r="C225"/>
      <c r="D225"/>
      <c r="E225"/>
      <c r="F225"/>
      <c r="G225"/>
      <c r="H225"/>
      <c r="I225"/>
      <c r="J225"/>
      <c r="K225"/>
      <c r="L225"/>
      <c r="N225"/>
      <c r="O225"/>
      <c r="P225"/>
      <c r="Q225"/>
      <c r="R225"/>
      <c r="S225"/>
      <c r="T225"/>
      <c r="U225"/>
      <c r="V225"/>
      <c r="W225"/>
      <c r="X225"/>
      <c r="Y225"/>
    </row>
    <row r="226" spans="1:25" ht="14.4" x14ac:dyDescent="0.3">
      <c r="A226"/>
      <c r="B226"/>
      <c r="C226"/>
      <c r="D226"/>
      <c r="E226"/>
      <c r="F226"/>
      <c r="G226"/>
      <c r="H226"/>
      <c r="I226"/>
      <c r="J226"/>
      <c r="K226"/>
      <c r="L226"/>
      <c r="N226"/>
      <c r="O226"/>
      <c r="P226"/>
      <c r="Q226"/>
      <c r="R226"/>
      <c r="S226"/>
      <c r="T226"/>
      <c r="U226"/>
      <c r="V226"/>
      <c r="W226"/>
      <c r="X226"/>
      <c r="Y226"/>
    </row>
    <row r="227" spans="1:25" ht="14.4" x14ac:dyDescent="0.3">
      <c r="A227"/>
      <c r="B227"/>
      <c r="C227"/>
      <c r="D227"/>
      <c r="E227"/>
      <c r="F227"/>
      <c r="G227"/>
      <c r="H227"/>
      <c r="I227"/>
      <c r="J227"/>
      <c r="K227"/>
      <c r="L227"/>
      <c r="N227"/>
      <c r="O227"/>
      <c r="P227"/>
      <c r="Q227"/>
      <c r="R227"/>
      <c r="S227"/>
      <c r="T227"/>
      <c r="U227"/>
      <c r="V227"/>
      <c r="W227"/>
      <c r="X227"/>
      <c r="Y227"/>
    </row>
    <row r="228" spans="1:25" ht="14.4" x14ac:dyDescent="0.3">
      <c r="A228"/>
      <c r="B228"/>
      <c r="C228"/>
      <c r="D228"/>
      <c r="E228"/>
      <c r="F228"/>
      <c r="G228"/>
      <c r="H228"/>
      <c r="I228"/>
      <c r="J228"/>
      <c r="K228"/>
      <c r="L228"/>
      <c r="N228"/>
      <c r="O228"/>
      <c r="P228"/>
      <c r="Q228"/>
      <c r="R228"/>
      <c r="S228"/>
      <c r="T228"/>
      <c r="U228"/>
      <c r="V228"/>
      <c r="W228"/>
      <c r="X228"/>
      <c r="Y228"/>
    </row>
    <row r="229" spans="1:25" ht="14.4" x14ac:dyDescent="0.3">
      <c r="A229"/>
      <c r="B229"/>
      <c r="C229"/>
      <c r="D229"/>
      <c r="E229"/>
      <c r="F229"/>
      <c r="G229"/>
      <c r="H229"/>
      <c r="I229"/>
      <c r="J229"/>
      <c r="K229"/>
      <c r="L229"/>
      <c r="N229"/>
      <c r="O229"/>
      <c r="P229"/>
      <c r="Q229"/>
      <c r="R229"/>
      <c r="S229"/>
      <c r="T229"/>
      <c r="U229"/>
      <c r="V229"/>
      <c r="W229"/>
      <c r="X229"/>
      <c r="Y229"/>
    </row>
    <row r="230" spans="1:25" ht="14.4" x14ac:dyDescent="0.3">
      <c r="A230"/>
      <c r="B230"/>
      <c r="C230"/>
      <c r="D230"/>
      <c r="E230"/>
      <c r="F230"/>
      <c r="G230"/>
      <c r="H230"/>
      <c r="I230"/>
      <c r="J230"/>
      <c r="K230"/>
      <c r="L230"/>
      <c r="N230"/>
      <c r="O230"/>
      <c r="P230"/>
      <c r="Q230"/>
      <c r="R230"/>
      <c r="S230"/>
      <c r="T230"/>
      <c r="U230"/>
      <c r="V230"/>
      <c r="W230"/>
      <c r="X230"/>
      <c r="Y230"/>
    </row>
    <row r="231" spans="1:25" ht="14.4" x14ac:dyDescent="0.3">
      <c r="A231"/>
      <c r="B231"/>
      <c r="C231"/>
      <c r="D231"/>
      <c r="E231"/>
      <c r="F231"/>
      <c r="G231"/>
      <c r="H231"/>
      <c r="I231"/>
      <c r="J231"/>
      <c r="K231"/>
      <c r="L231"/>
      <c r="N231"/>
      <c r="O231"/>
      <c r="P231"/>
      <c r="Q231"/>
      <c r="R231"/>
      <c r="S231"/>
      <c r="T231"/>
      <c r="U231"/>
      <c r="V231"/>
      <c r="W231"/>
      <c r="X231"/>
      <c r="Y231"/>
    </row>
    <row r="232" spans="1:25" ht="14.4" x14ac:dyDescent="0.3">
      <c r="A232"/>
      <c r="B232"/>
      <c r="C232"/>
      <c r="D232"/>
      <c r="E232"/>
      <c r="F232"/>
      <c r="G232"/>
      <c r="H232"/>
      <c r="I232"/>
      <c r="J232"/>
      <c r="K232"/>
      <c r="L232"/>
      <c r="N232"/>
      <c r="O232"/>
      <c r="P232"/>
      <c r="Q232"/>
      <c r="R232"/>
      <c r="S232"/>
      <c r="T232"/>
      <c r="U232"/>
      <c r="V232"/>
      <c r="W232"/>
      <c r="X232"/>
      <c r="Y232"/>
    </row>
    <row r="233" spans="1:25" ht="14.4" x14ac:dyDescent="0.3">
      <c r="A233"/>
      <c r="B233"/>
      <c r="C233"/>
      <c r="D233"/>
      <c r="E233"/>
      <c r="F233"/>
      <c r="G233"/>
      <c r="H233"/>
      <c r="I233"/>
      <c r="J233"/>
      <c r="K233"/>
      <c r="L233"/>
      <c r="N233"/>
      <c r="O233"/>
      <c r="P233"/>
      <c r="Q233"/>
      <c r="R233"/>
      <c r="S233"/>
      <c r="T233"/>
      <c r="U233"/>
      <c r="V233"/>
      <c r="W233"/>
      <c r="X233"/>
      <c r="Y233"/>
    </row>
    <row r="234" spans="1:25" ht="14.4" x14ac:dyDescent="0.3">
      <c r="A234"/>
      <c r="B234"/>
      <c r="C234"/>
      <c r="D234"/>
      <c r="E234"/>
      <c r="F234"/>
      <c r="G234"/>
      <c r="H234"/>
      <c r="I234"/>
      <c r="J234"/>
      <c r="K234"/>
      <c r="L234"/>
      <c r="N234"/>
      <c r="O234"/>
      <c r="P234"/>
      <c r="Q234"/>
      <c r="R234"/>
      <c r="S234"/>
      <c r="T234"/>
      <c r="U234"/>
      <c r="V234"/>
      <c r="W234"/>
      <c r="X234"/>
      <c r="Y234"/>
    </row>
    <row r="235" spans="1:25" ht="14.4" x14ac:dyDescent="0.3">
      <c r="A235"/>
      <c r="B235"/>
      <c r="C235"/>
      <c r="D235"/>
      <c r="E235"/>
      <c r="F235"/>
      <c r="G235"/>
      <c r="H235"/>
      <c r="I235"/>
      <c r="J235"/>
      <c r="K235"/>
      <c r="L235"/>
      <c r="N235"/>
      <c r="O235"/>
      <c r="P235"/>
      <c r="Q235"/>
      <c r="R235"/>
      <c r="S235"/>
      <c r="T235"/>
      <c r="U235"/>
      <c r="V235"/>
      <c r="W235"/>
      <c r="X235"/>
      <c r="Y235"/>
    </row>
    <row r="236" spans="1:25" ht="14.4" x14ac:dyDescent="0.3">
      <c r="A236"/>
      <c r="B236"/>
      <c r="C236"/>
      <c r="D236"/>
      <c r="E236"/>
      <c r="F236"/>
      <c r="G236"/>
      <c r="H236"/>
      <c r="I236"/>
      <c r="J236"/>
      <c r="K236"/>
      <c r="L236"/>
      <c r="N236"/>
      <c r="O236"/>
      <c r="P236"/>
      <c r="Q236"/>
      <c r="R236"/>
      <c r="S236"/>
      <c r="T236"/>
      <c r="U236"/>
      <c r="V236"/>
      <c r="W236"/>
      <c r="X236"/>
      <c r="Y236"/>
    </row>
    <row r="237" spans="1:25" ht="14.4" x14ac:dyDescent="0.3">
      <c r="A237"/>
      <c r="B237"/>
      <c r="C237"/>
      <c r="D237"/>
      <c r="E237"/>
      <c r="F237"/>
      <c r="G237"/>
      <c r="H237"/>
      <c r="I237"/>
      <c r="J237"/>
      <c r="K237"/>
      <c r="L237"/>
      <c r="N237"/>
      <c r="O237"/>
      <c r="P237"/>
      <c r="Q237"/>
      <c r="R237"/>
      <c r="S237"/>
      <c r="T237"/>
      <c r="U237"/>
      <c r="V237"/>
      <c r="W237"/>
      <c r="X237"/>
      <c r="Y237"/>
    </row>
    <row r="238" spans="1:25" ht="14.4" x14ac:dyDescent="0.3">
      <c r="A238"/>
      <c r="B238"/>
      <c r="C238"/>
      <c r="D238"/>
      <c r="E238"/>
      <c r="F238"/>
      <c r="G238"/>
      <c r="H238"/>
      <c r="I238"/>
      <c r="J238"/>
      <c r="K238"/>
      <c r="L238"/>
      <c r="N238"/>
      <c r="O238"/>
      <c r="P238"/>
      <c r="Q238"/>
      <c r="R238"/>
      <c r="S238"/>
      <c r="T238"/>
      <c r="U238"/>
      <c r="V238"/>
      <c r="W238"/>
      <c r="X238"/>
      <c r="Y238"/>
    </row>
    <row r="239" spans="1:25" ht="14.4" x14ac:dyDescent="0.3">
      <c r="A239"/>
      <c r="B239"/>
      <c r="C239"/>
      <c r="D239"/>
      <c r="E239"/>
      <c r="F239"/>
      <c r="G239"/>
      <c r="H239"/>
      <c r="I239"/>
      <c r="J239"/>
      <c r="K239"/>
      <c r="L239"/>
      <c r="N239"/>
      <c r="O239"/>
      <c r="P239"/>
      <c r="Q239"/>
      <c r="R239"/>
      <c r="S239"/>
      <c r="T239"/>
      <c r="U239"/>
      <c r="V239"/>
      <c r="W239"/>
      <c r="X239"/>
      <c r="Y239"/>
    </row>
    <row r="240" spans="1:25" ht="14.4" x14ac:dyDescent="0.3">
      <c r="A240"/>
      <c r="B240"/>
      <c r="C240"/>
      <c r="D240"/>
      <c r="E240"/>
      <c r="F240"/>
      <c r="G240"/>
      <c r="H240"/>
      <c r="I240"/>
      <c r="J240"/>
      <c r="K240"/>
      <c r="L240"/>
      <c r="N240"/>
      <c r="O240"/>
      <c r="P240"/>
      <c r="Q240"/>
      <c r="R240"/>
      <c r="S240"/>
      <c r="T240"/>
      <c r="U240"/>
      <c r="V240"/>
      <c r="W240"/>
      <c r="X240"/>
      <c r="Y240"/>
    </row>
    <row r="241" spans="1:25" ht="14.4" x14ac:dyDescent="0.3">
      <c r="A241"/>
      <c r="B241"/>
      <c r="C241"/>
      <c r="D241"/>
      <c r="E241"/>
      <c r="F241"/>
      <c r="G241"/>
      <c r="H241"/>
      <c r="I241"/>
      <c r="J241"/>
      <c r="K241"/>
      <c r="L241"/>
      <c r="N241"/>
      <c r="O241"/>
      <c r="P241"/>
      <c r="Q241"/>
      <c r="R241"/>
      <c r="S241"/>
      <c r="T241"/>
      <c r="U241"/>
      <c r="V241"/>
      <c r="W241"/>
      <c r="X241"/>
      <c r="Y241"/>
    </row>
    <row r="242" spans="1:25" ht="14.4" x14ac:dyDescent="0.3">
      <c r="A242"/>
      <c r="B242"/>
      <c r="C242"/>
      <c r="D242"/>
      <c r="E242"/>
      <c r="F242"/>
      <c r="G242"/>
      <c r="H242"/>
      <c r="I242"/>
      <c r="J242"/>
      <c r="K242"/>
      <c r="L242"/>
      <c r="N242"/>
      <c r="O242"/>
      <c r="P242"/>
      <c r="Q242"/>
      <c r="R242"/>
      <c r="S242"/>
      <c r="T242"/>
      <c r="U242"/>
      <c r="V242"/>
      <c r="W242"/>
      <c r="X242"/>
      <c r="Y242"/>
    </row>
    <row r="243" spans="1:25" ht="14.4" x14ac:dyDescent="0.3">
      <c r="A243"/>
      <c r="B243"/>
      <c r="C243"/>
      <c r="D243"/>
      <c r="E243"/>
      <c r="F243"/>
      <c r="G243"/>
      <c r="H243"/>
      <c r="I243"/>
      <c r="J243"/>
      <c r="K243"/>
      <c r="L243"/>
      <c r="N243"/>
      <c r="O243"/>
      <c r="P243"/>
      <c r="Q243"/>
      <c r="R243"/>
      <c r="S243"/>
      <c r="T243"/>
      <c r="U243"/>
      <c r="V243"/>
      <c r="W243"/>
      <c r="X243"/>
      <c r="Y243"/>
    </row>
    <row r="244" spans="1:25" ht="14.4" x14ac:dyDescent="0.3">
      <c r="A244"/>
      <c r="B244"/>
      <c r="C244"/>
      <c r="D244"/>
      <c r="E244"/>
      <c r="F244"/>
      <c r="G244"/>
      <c r="H244"/>
      <c r="I244"/>
      <c r="J244"/>
      <c r="K244"/>
      <c r="L244"/>
      <c r="N244"/>
      <c r="O244"/>
      <c r="P244"/>
      <c r="Q244"/>
      <c r="R244"/>
      <c r="S244"/>
      <c r="T244"/>
      <c r="U244"/>
      <c r="V244"/>
      <c r="W244"/>
      <c r="X244"/>
      <c r="Y244"/>
    </row>
    <row r="245" spans="1:25" ht="14.4" x14ac:dyDescent="0.3">
      <c r="A245"/>
      <c r="B245"/>
      <c r="C245"/>
      <c r="D245"/>
      <c r="E245"/>
      <c r="F245"/>
      <c r="G245"/>
      <c r="H245"/>
      <c r="I245"/>
      <c r="J245"/>
      <c r="K245"/>
      <c r="L245"/>
      <c r="N245"/>
      <c r="O245"/>
      <c r="P245"/>
      <c r="Q245"/>
      <c r="R245"/>
      <c r="S245"/>
      <c r="T245"/>
      <c r="U245"/>
      <c r="V245"/>
      <c r="W245"/>
      <c r="X245"/>
      <c r="Y245"/>
    </row>
    <row r="246" spans="1:25" ht="14.4" x14ac:dyDescent="0.3">
      <c r="A246"/>
      <c r="B246"/>
      <c r="C246"/>
      <c r="D246"/>
      <c r="E246"/>
      <c r="F246"/>
      <c r="G246"/>
      <c r="H246"/>
      <c r="I246"/>
      <c r="J246"/>
      <c r="K246"/>
      <c r="L246"/>
      <c r="N246"/>
      <c r="O246"/>
      <c r="P246"/>
      <c r="Q246"/>
      <c r="R246"/>
      <c r="S246"/>
      <c r="T246"/>
      <c r="U246"/>
      <c r="V246"/>
      <c r="W246"/>
      <c r="X246"/>
      <c r="Y246"/>
    </row>
    <row r="247" spans="1:25" ht="14.4" x14ac:dyDescent="0.3">
      <c r="A247"/>
      <c r="B247"/>
      <c r="C247"/>
      <c r="D247"/>
      <c r="E247"/>
      <c r="F247"/>
      <c r="G247"/>
      <c r="H247"/>
      <c r="I247"/>
      <c r="J247"/>
      <c r="K247"/>
      <c r="L247"/>
      <c r="N247"/>
      <c r="O247"/>
      <c r="P247"/>
      <c r="Q247"/>
      <c r="R247"/>
      <c r="S247"/>
      <c r="T247"/>
      <c r="U247"/>
      <c r="V247"/>
      <c r="W247"/>
      <c r="X247"/>
      <c r="Y247"/>
    </row>
    <row r="248" spans="1:25" ht="14.4" x14ac:dyDescent="0.3">
      <c r="A248"/>
      <c r="B248"/>
      <c r="C248"/>
      <c r="D248"/>
      <c r="E248"/>
      <c r="F248"/>
      <c r="G248"/>
      <c r="H248"/>
      <c r="I248"/>
      <c r="J248"/>
      <c r="K248"/>
      <c r="L248"/>
      <c r="N248"/>
      <c r="O248"/>
      <c r="P248"/>
      <c r="Q248"/>
      <c r="R248"/>
      <c r="S248"/>
      <c r="T248"/>
      <c r="U248"/>
      <c r="V248"/>
      <c r="W248"/>
      <c r="X248"/>
      <c r="Y248"/>
    </row>
    <row r="249" spans="1:25" ht="14.4" x14ac:dyDescent="0.3">
      <c r="A249"/>
      <c r="B249"/>
      <c r="C249"/>
      <c r="D249"/>
      <c r="E249"/>
      <c r="F249"/>
      <c r="G249"/>
      <c r="H249"/>
      <c r="I249"/>
      <c r="J249"/>
      <c r="K249"/>
      <c r="L249"/>
      <c r="N249"/>
      <c r="O249"/>
      <c r="P249"/>
      <c r="Q249"/>
      <c r="R249"/>
      <c r="S249"/>
      <c r="T249"/>
      <c r="U249"/>
      <c r="V249"/>
      <c r="W249"/>
      <c r="X249"/>
      <c r="Y249"/>
    </row>
    <row r="250" spans="1:25" ht="14.4" x14ac:dyDescent="0.3">
      <c r="A250"/>
      <c r="B250"/>
      <c r="C250"/>
      <c r="D250"/>
      <c r="E250"/>
      <c r="F250"/>
      <c r="G250"/>
      <c r="H250"/>
      <c r="I250"/>
      <c r="J250"/>
      <c r="K250"/>
      <c r="L250"/>
      <c r="N250"/>
      <c r="O250"/>
      <c r="P250"/>
      <c r="Q250"/>
      <c r="R250"/>
      <c r="S250"/>
      <c r="T250"/>
      <c r="U250"/>
      <c r="V250"/>
      <c r="W250"/>
      <c r="X250"/>
      <c r="Y250"/>
    </row>
    <row r="251" spans="1:25" ht="14.4" x14ac:dyDescent="0.3">
      <c r="A251"/>
      <c r="B251"/>
      <c r="C251"/>
      <c r="D251"/>
      <c r="E251"/>
      <c r="F251"/>
      <c r="G251"/>
      <c r="H251"/>
      <c r="I251"/>
      <c r="J251"/>
      <c r="K251"/>
      <c r="L251"/>
      <c r="N251"/>
      <c r="O251"/>
      <c r="P251"/>
      <c r="Q251"/>
      <c r="R251"/>
      <c r="S251"/>
      <c r="T251"/>
      <c r="U251"/>
      <c r="V251"/>
      <c r="W251"/>
      <c r="X251"/>
      <c r="Y251"/>
    </row>
    <row r="252" spans="1:25" ht="14.4" x14ac:dyDescent="0.3">
      <c r="A252"/>
      <c r="B252"/>
      <c r="C252"/>
      <c r="D252"/>
      <c r="E252"/>
      <c r="F252"/>
      <c r="G252"/>
      <c r="H252"/>
      <c r="I252"/>
      <c r="J252"/>
      <c r="K252"/>
      <c r="L252"/>
      <c r="N252"/>
      <c r="O252"/>
      <c r="P252"/>
      <c r="Q252"/>
      <c r="R252"/>
      <c r="S252"/>
      <c r="T252"/>
      <c r="U252"/>
      <c r="V252"/>
      <c r="W252"/>
      <c r="X252"/>
      <c r="Y252"/>
    </row>
    <row r="253" spans="1:25" ht="14.4" x14ac:dyDescent="0.3">
      <c r="A253"/>
      <c r="B253"/>
      <c r="C253"/>
      <c r="D253"/>
      <c r="E253"/>
      <c r="F253"/>
      <c r="G253"/>
      <c r="H253"/>
      <c r="I253"/>
      <c r="J253"/>
      <c r="K253"/>
      <c r="L253"/>
      <c r="N253"/>
      <c r="O253"/>
      <c r="P253"/>
      <c r="Q253"/>
      <c r="R253"/>
      <c r="S253"/>
      <c r="T253"/>
      <c r="U253"/>
      <c r="V253"/>
      <c r="W253"/>
      <c r="X253"/>
      <c r="Y253"/>
    </row>
    <row r="254" spans="1:25" ht="14.4" x14ac:dyDescent="0.3">
      <c r="A254"/>
      <c r="B254"/>
      <c r="C254"/>
      <c r="D254"/>
      <c r="E254"/>
      <c r="F254"/>
      <c r="G254"/>
      <c r="H254"/>
      <c r="I254"/>
      <c r="J254"/>
      <c r="K254"/>
      <c r="L254"/>
      <c r="N254"/>
      <c r="O254"/>
      <c r="P254"/>
      <c r="Q254"/>
      <c r="R254"/>
      <c r="S254"/>
      <c r="T254"/>
      <c r="U254"/>
      <c r="V254"/>
      <c r="W254"/>
      <c r="X254"/>
      <c r="Y254"/>
    </row>
    <row r="255" spans="1:25" ht="14.4" x14ac:dyDescent="0.3">
      <c r="A255"/>
      <c r="B255"/>
      <c r="C255"/>
      <c r="D255"/>
      <c r="E255"/>
      <c r="F255"/>
      <c r="G255"/>
      <c r="H255"/>
      <c r="I255"/>
      <c r="J255"/>
      <c r="K255"/>
      <c r="L255"/>
      <c r="N255"/>
      <c r="O255"/>
      <c r="P255"/>
      <c r="Q255"/>
      <c r="R255"/>
      <c r="S255"/>
      <c r="T255"/>
      <c r="U255"/>
      <c r="V255"/>
      <c r="W255"/>
      <c r="X255"/>
      <c r="Y255"/>
    </row>
    <row r="256" spans="1:25" ht="14.4" x14ac:dyDescent="0.3">
      <c r="A256"/>
      <c r="B256"/>
      <c r="C256"/>
      <c r="D256"/>
      <c r="E256"/>
      <c r="F256"/>
      <c r="G256"/>
      <c r="H256"/>
      <c r="I256"/>
      <c r="J256"/>
      <c r="K256"/>
      <c r="L256"/>
      <c r="N256"/>
      <c r="O256"/>
      <c r="P256"/>
      <c r="Q256"/>
      <c r="R256"/>
      <c r="S256"/>
      <c r="T256"/>
      <c r="U256"/>
      <c r="V256"/>
      <c r="W256"/>
      <c r="X256"/>
      <c r="Y256"/>
    </row>
    <row r="257" spans="1:25" ht="14.4" x14ac:dyDescent="0.3">
      <c r="A257"/>
      <c r="B257"/>
      <c r="C257"/>
      <c r="D257"/>
      <c r="E257"/>
      <c r="F257"/>
      <c r="G257"/>
      <c r="H257"/>
      <c r="I257"/>
      <c r="J257"/>
      <c r="K257"/>
      <c r="L257"/>
      <c r="N257"/>
      <c r="O257"/>
      <c r="P257"/>
      <c r="Q257"/>
      <c r="R257"/>
      <c r="S257"/>
      <c r="T257"/>
      <c r="U257"/>
      <c r="V257"/>
      <c r="W257"/>
      <c r="X257"/>
      <c r="Y257"/>
    </row>
    <row r="258" spans="1:25" ht="14.4" x14ac:dyDescent="0.3">
      <c r="A258"/>
      <c r="B258"/>
      <c r="C258"/>
      <c r="D258"/>
      <c r="E258"/>
      <c r="F258"/>
      <c r="G258"/>
      <c r="H258"/>
      <c r="I258"/>
      <c r="J258"/>
      <c r="K258"/>
      <c r="L258"/>
      <c r="N258"/>
      <c r="O258"/>
      <c r="P258"/>
      <c r="Q258"/>
      <c r="R258"/>
      <c r="S258"/>
      <c r="T258"/>
      <c r="U258"/>
      <c r="V258"/>
      <c r="W258"/>
      <c r="X258"/>
      <c r="Y258"/>
    </row>
    <row r="259" spans="1:25" ht="14.4" x14ac:dyDescent="0.3">
      <c r="A259"/>
      <c r="B259"/>
      <c r="C259"/>
      <c r="D259"/>
      <c r="E259"/>
      <c r="F259"/>
      <c r="G259"/>
      <c r="H259"/>
      <c r="I259"/>
      <c r="J259"/>
      <c r="K259"/>
      <c r="L259"/>
      <c r="N259"/>
      <c r="O259"/>
      <c r="P259"/>
      <c r="Q259"/>
      <c r="R259"/>
      <c r="S259"/>
      <c r="T259"/>
      <c r="U259"/>
      <c r="V259"/>
      <c r="W259"/>
      <c r="X259"/>
      <c r="Y259"/>
    </row>
    <row r="260" spans="1:25" ht="14.4" x14ac:dyDescent="0.3">
      <c r="A260"/>
      <c r="B260"/>
      <c r="C260"/>
      <c r="D260"/>
      <c r="E260"/>
      <c r="F260"/>
      <c r="G260"/>
      <c r="H260"/>
      <c r="I260"/>
      <c r="J260"/>
      <c r="K260"/>
      <c r="L260"/>
      <c r="N260"/>
      <c r="O260"/>
      <c r="P260"/>
      <c r="Q260"/>
      <c r="R260"/>
      <c r="S260"/>
      <c r="T260"/>
      <c r="U260"/>
      <c r="V260"/>
      <c r="W260"/>
      <c r="X260"/>
      <c r="Y260"/>
    </row>
    <row r="261" spans="1:25" ht="14.4" x14ac:dyDescent="0.3">
      <c r="A261"/>
      <c r="B261"/>
      <c r="C261"/>
      <c r="D261"/>
      <c r="E261"/>
      <c r="F261"/>
      <c r="G261"/>
      <c r="H261"/>
      <c r="I261"/>
      <c r="J261"/>
      <c r="K261"/>
      <c r="L261"/>
      <c r="N261"/>
      <c r="O261"/>
      <c r="P261"/>
      <c r="Q261"/>
      <c r="R261"/>
      <c r="S261"/>
      <c r="T261"/>
      <c r="U261"/>
      <c r="V261"/>
      <c r="W261"/>
      <c r="X261"/>
      <c r="Y261"/>
    </row>
    <row r="262" spans="1:25" ht="14.4" x14ac:dyDescent="0.3">
      <c r="A262"/>
      <c r="B262"/>
      <c r="C262"/>
      <c r="D262"/>
      <c r="E262"/>
      <c r="F262"/>
      <c r="G262"/>
      <c r="H262"/>
      <c r="I262"/>
      <c r="J262"/>
      <c r="K262"/>
      <c r="L262"/>
      <c r="N262"/>
      <c r="O262"/>
      <c r="P262"/>
      <c r="Q262"/>
      <c r="R262"/>
      <c r="S262"/>
      <c r="T262"/>
      <c r="U262"/>
      <c r="V262"/>
      <c r="W262"/>
      <c r="X262"/>
      <c r="Y262"/>
    </row>
    <row r="263" spans="1:25" ht="14.4" x14ac:dyDescent="0.3">
      <c r="A263"/>
      <c r="B263"/>
      <c r="C263"/>
      <c r="D263"/>
      <c r="E263"/>
      <c r="F263"/>
      <c r="G263"/>
      <c r="H263"/>
      <c r="I263"/>
      <c r="J263"/>
      <c r="K263"/>
      <c r="L263"/>
      <c r="N263"/>
      <c r="O263"/>
      <c r="P263"/>
      <c r="Q263"/>
      <c r="R263"/>
      <c r="S263"/>
      <c r="T263"/>
      <c r="U263"/>
      <c r="V263"/>
      <c r="W263"/>
      <c r="X263"/>
      <c r="Y263"/>
    </row>
    <row r="264" spans="1:25" ht="14.4" x14ac:dyDescent="0.3">
      <c r="A264"/>
      <c r="B264"/>
      <c r="C264"/>
      <c r="D264"/>
      <c r="E264"/>
      <c r="F264"/>
      <c r="G264"/>
      <c r="H264"/>
      <c r="I264"/>
      <c r="J264"/>
      <c r="K264"/>
      <c r="L264"/>
      <c r="N264"/>
      <c r="O264"/>
      <c r="P264"/>
      <c r="Q264"/>
      <c r="R264"/>
      <c r="S264"/>
      <c r="T264"/>
      <c r="U264"/>
      <c r="V264"/>
      <c r="W264"/>
      <c r="X264"/>
      <c r="Y264"/>
    </row>
    <row r="265" spans="1:25" ht="14.4" x14ac:dyDescent="0.3">
      <c r="A265"/>
      <c r="B265"/>
      <c r="C265"/>
      <c r="D265"/>
      <c r="E265"/>
      <c r="F265"/>
      <c r="G265"/>
      <c r="H265"/>
      <c r="I265"/>
      <c r="J265"/>
      <c r="K265"/>
      <c r="L265"/>
      <c r="N265"/>
      <c r="O265"/>
      <c r="P265"/>
      <c r="Q265"/>
      <c r="R265"/>
      <c r="S265"/>
      <c r="T265"/>
      <c r="U265"/>
      <c r="V265"/>
      <c r="W265"/>
      <c r="X265"/>
      <c r="Y265"/>
    </row>
    <row r="266" spans="1:25" ht="14.4" x14ac:dyDescent="0.3">
      <c r="A266"/>
      <c r="B266"/>
      <c r="C266"/>
      <c r="D266"/>
      <c r="E266"/>
      <c r="F266"/>
      <c r="G266"/>
      <c r="H266"/>
      <c r="I266"/>
      <c r="J266"/>
      <c r="K266"/>
      <c r="L266"/>
      <c r="N266"/>
      <c r="O266"/>
      <c r="P266"/>
      <c r="Q266"/>
      <c r="R266"/>
      <c r="S266"/>
      <c r="T266"/>
      <c r="U266"/>
      <c r="V266"/>
      <c r="W266"/>
      <c r="X266"/>
      <c r="Y266"/>
    </row>
    <row r="267" spans="1:25" ht="14.4" x14ac:dyDescent="0.3">
      <c r="A267"/>
      <c r="B267"/>
      <c r="C267"/>
      <c r="D267"/>
      <c r="E267"/>
      <c r="F267"/>
      <c r="G267"/>
      <c r="H267"/>
      <c r="I267"/>
      <c r="J267"/>
      <c r="K267"/>
      <c r="L267"/>
      <c r="N267"/>
      <c r="O267"/>
      <c r="P267"/>
      <c r="Q267"/>
      <c r="R267"/>
      <c r="S267"/>
      <c r="T267"/>
      <c r="U267"/>
      <c r="V267"/>
      <c r="W267"/>
      <c r="X267"/>
      <c r="Y267"/>
    </row>
    <row r="268" spans="1:25" ht="14.4" x14ac:dyDescent="0.3">
      <c r="A268"/>
      <c r="B268"/>
      <c r="C268"/>
      <c r="D268"/>
      <c r="E268"/>
      <c r="F268"/>
      <c r="G268"/>
      <c r="H268"/>
      <c r="I268"/>
      <c r="J268"/>
      <c r="K268"/>
      <c r="L268"/>
      <c r="N268"/>
      <c r="O268"/>
      <c r="P268"/>
      <c r="Q268"/>
      <c r="R268"/>
      <c r="S268"/>
      <c r="T268"/>
      <c r="U268"/>
      <c r="V268"/>
      <c r="W268"/>
      <c r="X268"/>
      <c r="Y268"/>
    </row>
    <row r="269" spans="1:25" ht="14.4" x14ac:dyDescent="0.3">
      <c r="A269"/>
      <c r="B269"/>
      <c r="C269"/>
      <c r="D269"/>
      <c r="E269"/>
      <c r="F269"/>
      <c r="G269"/>
      <c r="H269"/>
      <c r="I269"/>
      <c r="J269"/>
      <c r="K269"/>
      <c r="L269"/>
      <c r="N269"/>
      <c r="O269"/>
      <c r="P269"/>
      <c r="Q269"/>
      <c r="R269"/>
      <c r="S269"/>
      <c r="T269"/>
      <c r="U269"/>
      <c r="V269"/>
      <c r="W269"/>
      <c r="X269"/>
      <c r="Y269"/>
    </row>
    <row r="270" spans="1:25" ht="14.4" x14ac:dyDescent="0.3">
      <c r="A270"/>
      <c r="B270"/>
      <c r="C270"/>
      <c r="D270"/>
      <c r="E270"/>
      <c r="F270"/>
      <c r="G270"/>
      <c r="H270"/>
      <c r="I270"/>
      <c r="J270"/>
      <c r="K270"/>
      <c r="L270"/>
      <c r="N270"/>
      <c r="O270"/>
      <c r="P270"/>
      <c r="Q270"/>
      <c r="R270"/>
      <c r="S270"/>
      <c r="T270"/>
      <c r="U270"/>
      <c r="V270"/>
      <c r="W270"/>
      <c r="X270"/>
      <c r="Y270"/>
    </row>
    <row r="271" spans="1:25" ht="14.4" x14ac:dyDescent="0.3">
      <c r="A271"/>
      <c r="B271"/>
      <c r="C271"/>
      <c r="D271"/>
      <c r="E271"/>
      <c r="F271"/>
      <c r="G271"/>
      <c r="H271"/>
      <c r="I271"/>
      <c r="J271"/>
      <c r="K271"/>
      <c r="L271"/>
      <c r="N271"/>
      <c r="O271"/>
      <c r="P271"/>
      <c r="Q271"/>
      <c r="R271"/>
      <c r="S271"/>
      <c r="T271"/>
      <c r="U271"/>
      <c r="V271"/>
      <c r="W271"/>
      <c r="X271"/>
      <c r="Y271"/>
    </row>
    <row r="272" spans="1:25" ht="14.4" x14ac:dyDescent="0.3">
      <c r="A272"/>
      <c r="B272"/>
      <c r="C272"/>
      <c r="D272"/>
      <c r="E272"/>
      <c r="F272"/>
      <c r="G272"/>
      <c r="H272"/>
      <c r="I272"/>
      <c r="J272"/>
      <c r="K272"/>
      <c r="L272"/>
      <c r="N272"/>
      <c r="O272"/>
      <c r="P272"/>
      <c r="Q272"/>
      <c r="R272"/>
      <c r="S272"/>
      <c r="T272"/>
      <c r="U272"/>
      <c r="V272"/>
      <c r="W272"/>
      <c r="X272"/>
      <c r="Y272"/>
    </row>
    <row r="273" spans="1:25" ht="14.4" x14ac:dyDescent="0.3">
      <c r="A273"/>
      <c r="B273"/>
      <c r="C273"/>
      <c r="D273"/>
      <c r="E273"/>
      <c r="F273"/>
      <c r="G273"/>
      <c r="H273"/>
      <c r="I273"/>
      <c r="J273"/>
      <c r="K273"/>
      <c r="L273"/>
      <c r="N273"/>
      <c r="O273"/>
      <c r="P273"/>
      <c r="Q273"/>
      <c r="R273"/>
      <c r="S273"/>
      <c r="T273"/>
      <c r="U273"/>
      <c r="V273"/>
      <c r="W273"/>
      <c r="X273"/>
      <c r="Y273"/>
    </row>
    <row r="274" spans="1:25" ht="14.4" x14ac:dyDescent="0.3">
      <c r="A274"/>
      <c r="B274"/>
      <c r="C274"/>
      <c r="D274"/>
      <c r="E274"/>
      <c r="F274"/>
      <c r="G274"/>
      <c r="H274"/>
      <c r="I274"/>
      <c r="J274"/>
      <c r="K274"/>
      <c r="L274"/>
      <c r="N274"/>
      <c r="O274"/>
      <c r="P274"/>
      <c r="Q274"/>
      <c r="R274"/>
      <c r="S274"/>
      <c r="T274"/>
      <c r="U274"/>
      <c r="V274"/>
      <c r="W274"/>
      <c r="X274"/>
      <c r="Y274"/>
    </row>
    <row r="275" spans="1:25" ht="14.4" x14ac:dyDescent="0.3">
      <c r="A275"/>
      <c r="B275"/>
      <c r="C275"/>
      <c r="D275"/>
      <c r="E275"/>
      <c r="F275"/>
      <c r="G275"/>
      <c r="H275"/>
      <c r="I275"/>
      <c r="J275"/>
      <c r="K275"/>
      <c r="L275"/>
      <c r="N275"/>
      <c r="O275"/>
      <c r="P275"/>
      <c r="Q275"/>
      <c r="R275"/>
      <c r="S275"/>
      <c r="T275"/>
      <c r="U275"/>
      <c r="V275"/>
      <c r="W275"/>
      <c r="X275"/>
      <c r="Y275"/>
    </row>
    <row r="276" spans="1:25" ht="14.4" x14ac:dyDescent="0.3">
      <c r="A276"/>
      <c r="B276"/>
      <c r="C276"/>
      <c r="D276"/>
      <c r="E276"/>
      <c r="F276"/>
      <c r="G276"/>
      <c r="H276"/>
      <c r="I276"/>
      <c r="J276"/>
      <c r="K276"/>
      <c r="L276"/>
      <c r="N276"/>
      <c r="O276"/>
      <c r="P276"/>
      <c r="Q276"/>
      <c r="R276"/>
      <c r="S276"/>
      <c r="T276"/>
      <c r="U276"/>
      <c r="V276"/>
      <c r="W276"/>
      <c r="X276"/>
      <c r="Y276"/>
    </row>
    <row r="277" spans="1:25" ht="14.4" x14ac:dyDescent="0.3">
      <c r="A277"/>
      <c r="B277"/>
      <c r="C277"/>
      <c r="D277"/>
      <c r="E277"/>
      <c r="F277"/>
      <c r="G277"/>
      <c r="H277"/>
      <c r="I277"/>
      <c r="J277"/>
      <c r="K277"/>
      <c r="L277"/>
      <c r="N277"/>
      <c r="O277"/>
      <c r="P277"/>
      <c r="Q277"/>
      <c r="R277"/>
      <c r="S277"/>
      <c r="T277"/>
      <c r="U277"/>
      <c r="V277"/>
      <c r="W277"/>
      <c r="X277"/>
      <c r="Y277"/>
    </row>
    <row r="278" spans="1:25" ht="14.4" x14ac:dyDescent="0.3">
      <c r="A278"/>
      <c r="B278"/>
      <c r="C278"/>
      <c r="D278"/>
      <c r="E278"/>
      <c r="F278"/>
      <c r="G278"/>
      <c r="H278"/>
      <c r="I278"/>
      <c r="J278"/>
      <c r="K278"/>
      <c r="L278"/>
      <c r="N278"/>
      <c r="O278"/>
      <c r="P278"/>
      <c r="Q278"/>
      <c r="R278"/>
      <c r="S278"/>
      <c r="T278"/>
      <c r="U278"/>
      <c r="V278"/>
      <c r="W278"/>
      <c r="X278"/>
      <c r="Y278"/>
    </row>
    <row r="279" spans="1:25" ht="14.4" x14ac:dyDescent="0.3">
      <c r="A279"/>
      <c r="B279"/>
      <c r="C279"/>
      <c r="D279"/>
      <c r="E279"/>
      <c r="F279"/>
      <c r="G279"/>
      <c r="H279"/>
      <c r="I279"/>
      <c r="J279"/>
      <c r="K279"/>
      <c r="L279"/>
      <c r="N279"/>
      <c r="O279"/>
      <c r="P279"/>
      <c r="Q279"/>
      <c r="R279"/>
      <c r="S279"/>
      <c r="T279"/>
      <c r="U279"/>
      <c r="V279"/>
      <c r="W279"/>
      <c r="X279"/>
      <c r="Y279"/>
    </row>
    <row r="280" spans="1:25" ht="14.4" x14ac:dyDescent="0.3">
      <c r="A280"/>
      <c r="B280"/>
      <c r="C280"/>
      <c r="D280"/>
      <c r="E280"/>
      <c r="F280"/>
      <c r="G280"/>
      <c r="H280"/>
      <c r="I280"/>
      <c r="J280"/>
      <c r="K280"/>
      <c r="L280"/>
      <c r="N280"/>
      <c r="O280"/>
      <c r="P280"/>
      <c r="Q280"/>
      <c r="R280"/>
      <c r="S280"/>
      <c r="T280"/>
      <c r="U280"/>
      <c r="V280"/>
      <c r="W280"/>
      <c r="X280"/>
      <c r="Y280"/>
    </row>
    <row r="281" spans="1:25" ht="14.4" x14ac:dyDescent="0.3">
      <c r="A281"/>
      <c r="B281"/>
      <c r="C281"/>
      <c r="D281"/>
      <c r="E281"/>
      <c r="F281"/>
      <c r="G281"/>
      <c r="H281"/>
      <c r="I281"/>
      <c r="J281"/>
      <c r="K281"/>
      <c r="L281"/>
      <c r="N281"/>
      <c r="O281"/>
      <c r="P281"/>
      <c r="Q281"/>
      <c r="R281"/>
      <c r="S281"/>
      <c r="T281"/>
      <c r="U281"/>
      <c r="V281"/>
      <c r="W281"/>
      <c r="X281"/>
      <c r="Y281"/>
    </row>
    <row r="282" spans="1:25" ht="14.4" x14ac:dyDescent="0.3">
      <c r="A282"/>
      <c r="B282"/>
      <c r="C282"/>
      <c r="D282"/>
      <c r="E282"/>
      <c r="F282"/>
      <c r="G282"/>
      <c r="H282"/>
      <c r="I282"/>
      <c r="J282"/>
      <c r="K282"/>
      <c r="L282"/>
      <c r="N282"/>
      <c r="O282"/>
      <c r="P282"/>
      <c r="Q282"/>
      <c r="R282"/>
      <c r="S282"/>
      <c r="T282"/>
      <c r="U282"/>
      <c r="V282"/>
      <c r="W282"/>
      <c r="X282"/>
      <c r="Y282"/>
    </row>
    <row r="283" spans="1:25" ht="14.4" x14ac:dyDescent="0.3">
      <c r="A283"/>
      <c r="B283"/>
      <c r="C283"/>
      <c r="D283"/>
      <c r="E283"/>
      <c r="F283"/>
      <c r="G283"/>
      <c r="H283"/>
      <c r="I283"/>
      <c r="J283"/>
      <c r="K283"/>
      <c r="L283"/>
      <c r="N283"/>
      <c r="O283"/>
      <c r="P283"/>
      <c r="Q283"/>
      <c r="R283"/>
      <c r="S283"/>
      <c r="T283"/>
      <c r="U283"/>
      <c r="V283"/>
      <c r="W283"/>
      <c r="X283"/>
      <c r="Y283"/>
    </row>
    <row r="284" spans="1:25" ht="14.4" x14ac:dyDescent="0.3">
      <c r="A284"/>
      <c r="B284"/>
      <c r="C284"/>
      <c r="D284"/>
      <c r="E284"/>
      <c r="F284"/>
      <c r="G284"/>
      <c r="H284"/>
      <c r="I284"/>
      <c r="J284"/>
      <c r="K284"/>
      <c r="L284"/>
      <c r="N284"/>
      <c r="O284"/>
      <c r="P284"/>
      <c r="Q284"/>
      <c r="R284"/>
      <c r="S284"/>
      <c r="T284"/>
      <c r="U284"/>
      <c r="V284"/>
      <c r="W284"/>
      <c r="X284"/>
      <c r="Y284"/>
    </row>
    <row r="285" spans="1:25" ht="14.4" x14ac:dyDescent="0.3">
      <c r="A285"/>
      <c r="B285"/>
      <c r="C285"/>
      <c r="D285"/>
      <c r="E285"/>
      <c r="F285"/>
      <c r="G285"/>
      <c r="H285"/>
      <c r="I285"/>
      <c r="J285"/>
      <c r="K285"/>
      <c r="L285"/>
      <c r="N285"/>
      <c r="O285"/>
      <c r="P285"/>
      <c r="Q285"/>
      <c r="R285"/>
      <c r="S285"/>
      <c r="T285"/>
      <c r="U285"/>
      <c r="V285"/>
      <c r="W285"/>
      <c r="X285"/>
      <c r="Y285"/>
    </row>
    <row r="286" spans="1:25" ht="14.4" x14ac:dyDescent="0.3">
      <c r="A286"/>
      <c r="B286"/>
      <c r="C286"/>
      <c r="D286"/>
      <c r="E286"/>
      <c r="F286"/>
      <c r="G286"/>
      <c r="H286"/>
      <c r="I286"/>
      <c r="J286"/>
      <c r="K286"/>
      <c r="L286"/>
      <c r="N286"/>
      <c r="O286"/>
      <c r="P286"/>
      <c r="Q286"/>
      <c r="R286"/>
      <c r="S286"/>
      <c r="T286"/>
      <c r="U286"/>
      <c r="V286"/>
      <c r="W286"/>
      <c r="X286"/>
      <c r="Y286"/>
    </row>
    <row r="287" spans="1:25" ht="14.4" x14ac:dyDescent="0.3">
      <c r="A287"/>
      <c r="B287"/>
      <c r="C287"/>
      <c r="D287"/>
      <c r="E287"/>
      <c r="F287"/>
      <c r="G287"/>
      <c r="H287"/>
      <c r="I287"/>
      <c r="J287"/>
      <c r="K287"/>
      <c r="L287"/>
      <c r="N287"/>
      <c r="O287"/>
      <c r="P287"/>
      <c r="Q287"/>
      <c r="R287"/>
      <c r="S287"/>
      <c r="T287"/>
      <c r="U287"/>
      <c r="V287"/>
      <c r="W287"/>
      <c r="X287"/>
      <c r="Y287"/>
    </row>
    <row r="288" spans="1:25" ht="14.4" x14ac:dyDescent="0.3">
      <c r="A288"/>
      <c r="B288"/>
      <c r="C288"/>
      <c r="D288"/>
      <c r="E288"/>
      <c r="F288"/>
      <c r="G288"/>
      <c r="H288"/>
      <c r="I288"/>
      <c r="J288"/>
      <c r="K288"/>
      <c r="L288"/>
      <c r="N288"/>
      <c r="O288"/>
      <c r="P288"/>
      <c r="Q288"/>
      <c r="R288"/>
      <c r="S288"/>
      <c r="T288"/>
      <c r="U288"/>
      <c r="V288"/>
      <c r="W288"/>
      <c r="X288"/>
      <c r="Y288"/>
    </row>
    <row r="289" spans="1:25" ht="14.4" x14ac:dyDescent="0.3">
      <c r="A289"/>
      <c r="B289"/>
      <c r="C289"/>
      <c r="D289"/>
      <c r="E289"/>
      <c r="F289"/>
      <c r="G289"/>
      <c r="H289"/>
      <c r="I289"/>
      <c r="J289"/>
      <c r="K289"/>
      <c r="L289"/>
      <c r="N289"/>
      <c r="O289"/>
      <c r="P289"/>
      <c r="Q289"/>
      <c r="R289"/>
      <c r="S289"/>
      <c r="T289"/>
      <c r="U289"/>
      <c r="V289"/>
      <c r="W289"/>
      <c r="X289"/>
      <c r="Y289"/>
    </row>
    <row r="290" spans="1:25" ht="14.4" x14ac:dyDescent="0.3">
      <c r="A290"/>
      <c r="B290"/>
      <c r="C290"/>
      <c r="D290"/>
      <c r="E290"/>
      <c r="F290"/>
      <c r="G290"/>
      <c r="H290"/>
      <c r="I290"/>
      <c r="J290"/>
      <c r="K290"/>
      <c r="L290"/>
      <c r="N290"/>
      <c r="O290"/>
      <c r="P290"/>
      <c r="Q290"/>
      <c r="R290"/>
      <c r="S290"/>
      <c r="T290"/>
      <c r="U290"/>
      <c r="V290"/>
      <c r="W290"/>
      <c r="X290"/>
      <c r="Y290"/>
    </row>
    <row r="291" spans="1:25" ht="14.4" x14ac:dyDescent="0.3">
      <c r="A291"/>
      <c r="B291"/>
      <c r="C291"/>
      <c r="D291"/>
      <c r="E291"/>
      <c r="F291"/>
      <c r="G291"/>
      <c r="H291"/>
      <c r="I291"/>
      <c r="J291"/>
      <c r="K291"/>
      <c r="L291"/>
      <c r="N291"/>
      <c r="O291"/>
      <c r="P291"/>
      <c r="Q291"/>
      <c r="R291"/>
      <c r="S291"/>
      <c r="T291"/>
      <c r="U291"/>
      <c r="V291"/>
      <c r="W291"/>
      <c r="X291"/>
      <c r="Y291"/>
    </row>
    <row r="292" spans="1:25" ht="14.4" x14ac:dyDescent="0.3">
      <c r="A292"/>
      <c r="B292"/>
      <c r="C292"/>
      <c r="D292"/>
      <c r="E292"/>
      <c r="F292"/>
      <c r="G292"/>
      <c r="H292"/>
      <c r="I292"/>
      <c r="J292"/>
      <c r="K292"/>
      <c r="L292"/>
      <c r="N292"/>
      <c r="O292"/>
      <c r="P292"/>
      <c r="Q292"/>
      <c r="R292"/>
      <c r="S292"/>
      <c r="T292"/>
      <c r="U292"/>
      <c r="V292"/>
      <c r="W292"/>
      <c r="X292"/>
      <c r="Y292"/>
    </row>
    <row r="293" spans="1:25" ht="14.4" x14ac:dyDescent="0.3">
      <c r="A293"/>
      <c r="B293"/>
      <c r="C293"/>
      <c r="D293"/>
      <c r="E293"/>
      <c r="F293"/>
      <c r="G293"/>
      <c r="H293"/>
      <c r="I293"/>
      <c r="J293"/>
      <c r="K293"/>
      <c r="L293"/>
      <c r="N293"/>
      <c r="O293"/>
      <c r="P293"/>
      <c r="Q293"/>
      <c r="R293"/>
      <c r="S293"/>
      <c r="T293"/>
      <c r="U293"/>
      <c r="V293"/>
      <c r="W293"/>
      <c r="X293"/>
      <c r="Y293"/>
    </row>
    <row r="294" spans="1:25" ht="14.4" x14ac:dyDescent="0.3">
      <c r="A294"/>
      <c r="B294"/>
      <c r="C294"/>
      <c r="D294"/>
      <c r="E294"/>
      <c r="F294"/>
      <c r="G294"/>
      <c r="H294"/>
      <c r="I294"/>
      <c r="J294"/>
      <c r="K294"/>
      <c r="L294"/>
      <c r="N294"/>
      <c r="O294"/>
      <c r="P294"/>
      <c r="Q294"/>
      <c r="R294"/>
      <c r="S294"/>
      <c r="T294"/>
      <c r="U294"/>
      <c r="V294"/>
      <c r="W294"/>
      <c r="X294"/>
      <c r="Y294"/>
    </row>
    <row r="295" spans="1:25" ht="14.4" x14ac:dyDescent="0.3">
      <c r="A295"/>
      <c r="B295"/>
      <c r="C295"/>
      <c r="D295"/>
      <c r="E295"/>
      <c r="F295"/>
      <c r="G295"/>
      <c r="H295"/>
      <c r="I295"/>
      <c r="J295"/>
      <c r="K295"/>
      <c r="L295"/>
      <c r="N295"/>
      <c r="O295"/>
      <c r="P295"/>
      <c r="Q295"/>
      <c r="R295"/>
      <c r="S295"/>
      <c r="T295"/>
      <c r="U295"/>
      <c r="V295"/>
      <c r="W295"/>
      <c r="X295"/>
      <c r="Y295"/>
    </row>
    <row r="296" spans="1:25" ht="14.4" x14ac:dyDescent="0.3">
      <c r="A296"/>
      <c r="B296"/>
      <c r="C296"/>
      <c r="D296"/>
      <c r="E296"/>
      <c r="F296"/>
      <c r="G296"/>
      <c r="H296"/>
      <c r="I296"/>
      <c r="J296"/>
      <c r="K296"/>
      <c r="L296"/>
      <c r="N296"/>
      <c r="O296"/>
      <c r="P296"/>
      <c r="Q296"/>
      <c r="R296"/>
      <c r="S296"/>
      <c r="T296"/>
      <c r="U296"/>
      <c r="V296"/>
      <c r="W296"/>
      <c r="X296"/>
      <c r="Y296"/>
    </row>
    <row r="297" spans="1:25" ht="14.4" x14ac:dyDescent="0.3">
      <c r="A297"/>
      <c r="B297"/>
      <c r="C297"/>
      <c r="D297"/>
      <c r="E297"/>
      <c r="F297"/>
      <c r="G297"/>
      <c r="H297"/>
      <c r="I297"/>
      <c r="J297"/>
      <c r="K297"/>
      <c r="L297"/>
      <c r="N297"/>
      <c r="O297"/>
      <c r="P297"/>
      <c r="Q297"/>
      <c r="R297"/>
      <c r="S297"/>
      <c r="T297"/>
      <c r="U297"/>
      <c r="V297"/>
      <c r="W297"/>
      <c r="X297"/>
      <c r="Y297"/>
    </row>
    <row r="298" spans="1:25" ht="14.4" x14ac:dyDescent="0.3">
      <c r="A298"/>
      <c r="B298"/>
      <c r="C298"/>
      <c r="D298"/>
      <c r="E298"/>
      <c r="F298"/>
      <c r="G298"/>
      <c r="H298"/>
      <c r="I298"/>
      <c r="J298"/>
      <c r="K298"/>
      <c r="L298"/>
      <c r="N298"/>
      <c r="O298"/>
      <c r="P298"/>
      <c r="Q298"/>
      <c r="R298"/>
      <c r="S298"/>
      <c r="T298"/>
      <c r="U298"/>
      <c r="V298"/>
      <c r="W298"/>
      <c r="X298"/>
      <c r="Y298"/>
    </row>
    <row r="299" spans="1:25" ht="14.4" x14ac:dyDescent="0.3">
      <c r="A299"/>
      <c r="B299"/>
      <c r="C299"/>
      <c r="D299"/>
      <c r="E299"/>
      <c r="F299"/>
      <c r="G299"/>
      <c r="H299"/>
      <c r="I299"/>
      <c r="J299"/>
      <c r="K299"/>
      <c r="L299"/>
      <c r="N299"/>
      <c r="O299"/>
      <c r="P299"/>
      <c r="Q299"/>
      <c r="R299"/>
      <c r="S299"/>
      <c r="T299"/>
      <c r="U299"/>
      <c r="V299"/>
      <c r="W299"/>
      <c r="X299"/>
      <c r="Y299"/>
    </row>
    <row r="300" spans="1:25" ht="14.4" x14ac:dyDescent="0.3">
      <c r="A300"/>
      <c r="B300"/>
      <c r="C300"/>
      <c r="D300"/>
      <c r="E300"/>
      <c r="F300"/>
      <c r="G300"/>
      <c r="H300"/>
      <c r="I300"/>
      <c r="J300"/>
      <c r="K300"/>
      <c r="L300"/>
      <c r="N300"/>
      <c r="O300"/>
      <c r="P300"/>
      <c r="Q300"/>
      <c r="R300"/>
      <c r="S300"/>
      <c r="T300"/>
      <c r="U300"/>
      <c r="V300"/>
      <c r="W300"/>
      <c r="X300"/>
      <c r="Y300"/>
    </row>
    <row r="301" spans="1:25" ht="14.4" x14ac:dyDescent="0.3">
      <c r="A301"/>
      <c r="B301"/>
      <c r="C301"/>
      <c r="D301"/>
      <c r="E301"/>
      <c r="F301"/>
      <c r="G301"/>
      <c r="H301"/>
      <c r="I301"/>
      <c r="J301"/>
      <c r="K301"/>
      <c r="L301"/>
      <c r="N301"/>
      <c r="O301"/>
      <c r="P301"/>
      <c r="Q301"/>
      <c r="R301"/>
      <c r="S301"/>
      <c r="T301"/>
      <c r="U301"/>
      <c r="V301"/>
      <c r="W301"/>
      <c r="X301"/>
      <c r="Y301"/>
    </row>
    <row r="302" spans="1:25" ht="14.4" x14ac:dyDescent="0.3">
      <c r="A302"/>
      <c r="B302"/>
      <c r="C302"/>
      <c r="D302"/>
      <c r="E302"/>
      <c r="F302"/>
      <c r="G302"/>
      <c r="H302"/>
      <c r="I302"/>
      <c r="J302"/>
      <c r="K302"/>
      <c r="L302"/>
      <c r="N302"/>
      <c r="O302"/>
      <c r="P302"/>
      <c r="Q302"/>
      <c r="R302"/>
      <c r="S302"/>
      <c r="T302"/>
      <c r="U302"/>
      <c r="V302"/>
      <c r="W302"/>
      <c r="X302"/>
      <c r="Y302"/>
    </row>
    <row r="303" spans="1:25" ht="14.4" x14ac:dyDescent="0.3">
      <c r="A303"/>
      <c r="B303"/>
      <c r="C303"/>
      <c r="D303"/>
      <c r="E303"/>
      <c r="F303"/>
      <c r="G303"/>
      <c r="H303"/>
      <c r="I303"/>
      <c r="J303"/>
      <c r="K303"/>
      <c r="L303"/>
      <c r="N303"/>
      <c r="O303"/>
      <c r="P303"/>
      <c r="Q303"/>
      <c r="R303"/>
      <c r="S303"/>
      <c r="T303"/>
      <c r="U303"/>
      <c r="V303"/>
      <c r="W303"/>
      <c r="X303"/>
      <c r="Y303"/>
    </row>
    <row r="304" spans="1:25" ht="14.4" x14ac:dyDescent="0.3">
      <c r="A304"/>
      <c r="B304"/>
      <c r="C304"/>
      <c r="D304"/>
      <c r="E304"/>
      <c r="F304"/>
      <c r="G304"/>
      <c r="H304"/>
      <c r="I304"/>
      <c r="J304"/>
      <c r="K304"/>
      <c r="L304"/>
      <c r="N304"/>
      <c r="O304"/>
      <c r="P304"/>
      <c r="Q304"/>
      <c r="R304"/>
      <c r="S304"/>
      <c r="T304"/>
      <c r="U304"/>
      <c r="V304"/>
      <c r="W304"/>
      <c r="X304"/>
      <c r="Y304"/>
    </row>
    <row r="305" spans="1:25" ht="14.4" x14ac:dyDescent="0.3">
      <c r="A305"/>
      <c r="B305"/>
      <c r="C305"/>
      <c r="D305"/>
      <c r="E305"/>
      <c r="F305"/>
      <c r="G305"/>
      <c r="H305"/>
      <c r="I305"/>
      <c r="J305"/>
      <c r="K305"/>
      <c r="L305"/>
      <c r="N305"/>
      <c r="O305"/>
      <c r="P305"/>
      <c r="Q305"/>
      <c r="R305"/>
      <c r="S305"/>
      <c r="T305"/>
      <c r="U305"/>
      <c r="V305"/>
      <c r="W305"/>
      <c r="X305"/>
      <c r="Y305"/>
    </row>
    <row r="306" spans="1:25" ht="14.4" x14ac:dyDescent="0.3">
      <c r="A306"/>
      <c r="B306"/>
      <c r="C306"/>
      <c r="D306"/>
      <c r="E306"/>
      <c r="F306"/>
      <c r="G306"/>
      <c r="H306"/>
      <c r="I306"/>
      <c r="J306"/>
      <c r="K306"/>
      <c r="L306"/>
      <c r="N306"/>
      <c r="O306"/>
      <c r="P306"/>
      <c r="Q306"/>
      <c r="R306"/>
      <c r="S306"/>
      <c r="T306"/>
      <c r="U306"/>
      <c r="V306"/>
      <c r="W306"/>
      <c r="X306"/>
      <c r="Y306"/>
    </row>
    <row r="307" spans="1:25" ht="14.4" x14ac:dyDescent="0.3">
      <c r="A307"/>
      <c r="B307"/>
      <c r="C307"/>
      <c r="D307"/>
      <c r="E307"/>
      <c r="F307"/>
      <c r="G307"/>
      <c r="H307"/>
      <c r="I307"/>
      <c r="J307"/>
      <c r="K307"/>
      <c r="L307"/>
      <c r="N307"/>
      <c r="O307"/>
      <c r="P307"/>
      <c r="Q307"/>
      <c r="R307"/>
      <c r="S307"/>
      <c r="T307"/>
      <c r="U307"/>
      <c r="V307"/>
      <c r="W307"/>
      <c r="X307"/>
      <c r="Y307"/>
    </row>
    <row r="308" spans="1:25" ht="14.4" x14ac:dyDescent="0.3">
      <c r="A308"/>
      <c r="B308"/>
      <c r="C308"/>
      <c r="D308"/>
      <c r="E308"/>
      <c r="F308"/>
      <c r="G308"/>
      <c r="H308"/>
      <c r="I308"/>
      <c r="J308"/>
      <c r="K308"/>
      <c r="L308"/>
      <c r="N308"/>
      <c r="O308"/>
      <c r="P308"/>
      <c r="Q308"/>
      <c r="R308"/>
      <c r="S308"/>
      <c r="T308"/>
      <c r="U308"/>
      <c r="V308"/>
      <c r="W308"/>
      <c r="X308"/>
      <c r="Y308"/>
    </row>
    <row r="309" spans="1:25" ht="14.4" x14ac:dyDescent="0.3">
      <c r="A309"/>
      <c r="B309"/>
      <c r="C309"/>
      <c r="D309"/>
      <c r="E309"/>
      <c r="F309"/>
      <c r="G309"/>
      <c r="H309"/>
      <c r="I309"/>
      <c r="J309"/>
      <c r="K309"/>
      <c r="L309"/>
      <c r="N309"/>
      <c r="O309"/>
      <c r="P309"/>
      <c r="Q309"/>
      <c r="R309"/>
      <c r="S309"/>
      <c r="T309"/>
      <c r="U309"/>
      <c r="V309"/>
      <c r="W309"/>
      <c r="X309"/>
      <c r="Y309"/>
    </row>
    <row r="310" spans="1:25" ht="14.4" x14ac:dyDescent="0.3">
      <c r="A310"/>
      <c r="B310"/>
      <c r="C310"/>
      <c r="D310"/>
      <c r="E310"/>
      <c r="F310"/>
      <c r="G310"/>
      <c r="H310"/>
      <c r="I310"/>
      <c r="J310"/>
      <c r="K310"/>
      <c r="L310"/>
      <c r="N310"/>
      <c r="O310"/>
      <c r="P310"/>
      <c r="Q310"/>
      <c r="R310"/>
      <c r="S310"/>
      <c r="T310"/>
      <c r="U310"/>
      <c r="V310"/>
      <c r="W310"/>
      <c r="X310"/>
      <c r="Y310"/>
    </row>
    <row r="311" spans="1:25" ht="14.4" x14ac:dyDescent="0.3">
      <c r="A311"/>
      <c r="B311"/>
      <c r="C311"/>
      <c r="D311"/>
      <c r="E311"/>
      <c r="F311"/>
      <c r="G311"/>
      <c r="H311"/>
      <c r="I311"/>
      <c r="J311"/>
      <c r="K311"/>
      <c r="L311"/>
      <c r="N311"/>
      <c r="O311"/>
      <c r="P311"/>
      <c r="Q311"/>
      <c r="R311"/>
      <c r="S311"/>
      <c r="T311"/>
      <c r="U311"/>
      <c r="V311"/>
      <c r="W311"/>
      <c r="X311"/>
      <c r="Y311"/>
    </row>
    <row r="312" spans="1:25" ht="14.4" x14ac:dyDescent="0.3">
      <c r="A312"/>
      <c r="B312"/>
      <c r="C312"/>
      <c r="D312"/>
      <c r="E312"/>
      <c r="F312"/>
      <c r="G312"/>
      <c r="H312"/>
      <c r="I312"/>
      <c r="J312"/>
      <c r="K312"/>
      <c r="L312"/>
      <c r="N312"/>
      <c r="O312"/>
      <c r="P312"/>
      <c r="Q312"/>
      <c r="R312"/>
      <c r="S312"/>
      <c r="T312"/>
      <c r="U312"/>
      <c r="V312"/>
      <c r="W312"/>
      <c r="X312"/>
      <c r="Y312"/>
    </row>
    <row r="313" spans="1:25" ht="14.4" x14ac:dyDescent="0.3">
      <c r="A313"/>
      <c r="B313"/>
      <c r="C313"/>
      <c r="D313"/>
      <c r="E313"/>
      <c r="F313"/>
      <c r="G313"/>
      <c r="H313"/>
      <c r="I313"/>
      <c r="J313"/>
      <c r="K313"/>
      <c r="L313"/>
      <c r="N313"/>
      <c r="O313"/>
      <c r="P313"/>
      <c r="Q313"/>
      <c r="R313"/>
      <c r="S313"/>
      <c r="T313"/>
      <c r="U313"/>
      <c r="V313"/>
      <c r="W313"/>
      <c r="X313"/>
      <c r="Y313"/>
    </row>
    <row r="314" spans="1:25" ht="14.4" x14ac:dyDescent="0.3">
      <c r="A314"/>
      <c r="B314"/>
      <c r="C314"/>
      <c r="D314"/>
      <c r="E314"/>
      <c r="F314"/>
      <c r="G314"/>
      <c r="H314"/>
      <c r="I314"/>
      <c r="J314"/>
      <c r="K314"/>
      <c r="L314"/>
      <c r="N314"/>
      <c r="O314"/>
      <c r="P314"/>
      <c r="Q314"/>
      <c r="R314"/>
      <c r="S314"/>
      <c r="T314"/>
      <c r="U314"/>
      <c r="V314"/>
      <c r="W314"/>
      <c r="X314"/>
      <c r="Y314"/>
    </row>
    <row r="315" spans="1:25" ht="14.4" x14ac:dyDescent="0.3">
      <c r="A315"/>
      <c r="B315"/>
      <c r="C315"/>
      <c r="D315"/>
      <c r="E315"/>
      <c r="F315"/>
      <c r="G315"/>
      <c r="H315"/>
      <c r="I315"/>
      <c r="J315"/>
      <c r="K315"/>
      <c r="L315"/>
      <c r="N315"/>
      <c r="O315"/>
      <c r="P315"/>
      <c r="Q315"/>
      <c r="R315"/>
      <c r="S315"/>
      <c r="T315"/>
      <c r="U315"/>
      <c r="V315"/>
      <c r="W315"/>
      <c r="X315"/>
      <c r="Y315"/>
    </row>
    <row r="316" spans="1:25" ht="14.4" x14ac:dyDescent="0.3">
      <c r="A316"/>
      <c r="B316"/>
      <c r="C316"/>
      <c r="D316"/>
      <c r="E316"/>
      <c r="F316"/>
      <c r="G316"/>
      <c r="H316"/>
      <c r="I316"/>
      <c r="J316"/>
      <c r="K316"/>
      <c r="L316"/>
      <c r="N316"/>
      <c r="O316"/>
      <c r="P316"/>
      <c r="Q316"/>
      <c r="R316"/>
      <c r="S316"/>
      <c r="T316"/>
      <c r="U316"/>
      <c r="V316"/>
      <c r="W316"/>
      <c r="X316"/>
      <c r="Y316"/>
    </row>
    <row r="317" spans="1:25" ht="14.4" x14ac:dyDescent="0.3">
      <c r="A317"/>
      <c r="B317"/>
      <c r="C317"/>
      <c r="D317"/>
      <c r="E317"/>
      <c r="F317"/>
      <c r="G317"/>
      <c r="H317"/>
      <c r="I317"/>
      <c r="J317"/>
      <c r="K317"/>
      <c r="L317"/>
      <c r="N317"/>
      <c r="O317"/>
      <c r="P317"/>
      <c r="Q317"/>
      <c r="R317"/>
      <c r="S317"/>
      <c r="T317"/>
      <c r="U317"/>
      <c r="V317"/>
      <c r="W317"/>
      <c r="X317"/>
      <c r="Y317"/>
    </row>
    <row r="318" spans="1:25" ht="14.4" x14ac:dyDescent="0.3">
      <c r="A318"/>
      <c r="B318"/>
      <c r="C318"/>
      <c r="D318"/>
      <c r="E318"/>
      <c r="F318"/>
      <c r="G318"/>
      <c r="H318"/>
      <c r="I318"/>
      <c r="J318"/>
      <c r="K318"/>
      <c r="L318"/>
      <c r="N318"/>
      <c r="O318"/>
      <c r="P318"/>
      <c r="Q318"/>
      <c r="R318"/>
      <c r="S318"/>
      <c r="T318"/>
      <c r="U318"/>
      <c r="V318"/>
      <c r="W318"/>
      <c r="X318"/>
      <c r="Y318"/>
    </row>
    <row r="319" spans="1:25" ht="14.4" x14ac:dyDescent="0.3">
      <c r="A319"/>
      <c r="B319"/>
      <c r="C319"/>
      <c r="D319"/>
      <c r="E319"/>
      <c r="F319"/>
      <c r="G319"/>
      <c r="H319"/>
      <c r="I319"/>
      <c r="J319"/>
      <c r="K319"/>
      <c r="L319"/>
      <c r="N319"/>
      <c r="O319"/>
      <c r="P319"/>
      <c r="Q319"/>
      <c r="R319"/>
      <c r="S319"/>
      <c r="T319"/>
      <c r="U319"/>
      <c r="V319"/>
      <c r="W319"/>
      <c r="X319"/>
      <c r="Y319"/>
    </row>
    <row r="320" spans="1:25" ht="14.4" x14ac:dyDescent="0.3">
      <c r="A320"/>
      <c r="B320"/>
      <c r="C320"/>
      <c r="D320"/>
      <c r="E320"/>
      <c r="F320"/>
      <c r="G320"/>
      <c r="H320"/>
      <c r="I320"/>
      <c r="J320"/>
      <c r="K320"/>
      <c r="L320"/>
      <c r="N320"/>
      <c r="O320"/>
      <c r="P320"/>
      <c r="Q320"/>
      <c r="R320"/>
      <c r="S320"/>
      <c r="T320"/>
      <c r="U320"/>
      <c r="V320"/>
      <c r="W320"/>
      <c r="X320"/>
      <c r="Y320"/>
    </row>
    <row r="321" spans="1:25" ht="14.4" x14ac:dyDescent="0.3">
      <c r="A321"/>
      <c r="B321"/>
      <c r="C321"/>
      <c r="D321"/>
      <c r="E321"/>
      <c r="F321"/>
      <c r="G321"/>
      <c r="H321"/>
      <c r="I321"/>
      <c r="J321"/>
      <c r="K321"/>
      <c r="L321"/>
      <c r="N321"/>
      <c r="O321"/>
      <c r="P321"/>
      <c r="Q321"/>
      <c r="R321"/>
      <c r="S321"/>
      <c r="T321"/>
      <c r="U321"/>
      <c r="V321"/>
      <c r="W321"/>
      <c r="X321"/>
      <c r="Y321"/>
    </row>
    <row r="322" spans="1:25" ht="14.4" x14ac:dyDescent="0.3">
      <c r="A322"/>
      <c r="B322"/>
      <c r="C322"/>
      <c r="D322"/>
      <c r="E322"/>
      <c r="F322"/>
      <c r="G322"/>
      <c r="H322"/>
      <c r="I322"/>
      <c r="J322"/>
      <c r="K322"/>
      <c r="L322"/>
      <c r="N322"/>
      <c r="O322"/>
      <c r="P322"/>
      <c r="Q322"/>
      <c r="R322"/>
      <c r="S322"/>
      <c r="T322"/>
      <c r="U322"/>
      <c r="V322"/>
      <c r="W322"/>
      <c r="X322"/>
      <c r="Y322"/>
    </row>
    <row r="323" spans="1:25" ht="14.4" x14ac:dyDescent="0.3">
      <c r="A323"/>
      <c r="B323"/>
      <c r="C323"/>
      <c r="D323"/>
      <c r="E323"/>
      <c r="F323"/>
      <c r="G323"/>
      <c r="H323"/>
      <c r="I323"/>
      <c r="J323"/>
      <c r="K323"/>
      <c r="L323"/>
      <c r="N323"/>
      <c r="O323"/>
      <c r="P323"/>
      <c r="Q323"/>
      <c r="R323"/>
      <c r="S323"/>
      <c r="T323"/>
      <c r="U323"/>
      <c r="V323"/>
      <c r="W323"/>
      <c r="X323"/>
      <c r="Y323"/>
    </row>
    <row r="324" spans="1:25" ht="14.4" x14ac:dyDescent="0.3">
      <c r="A324"/>
      <c r="B324"/>
      <c r="C324"/>
      <c r="D324"/>
      <c r="E324"/>
      <c r="F324"/>
      <c r="G324"/>
      <c r="H324"/>
      <c r="I324"/>
      <c r="J324"/>
      <c r="K324"/>
      <c r="L324"/>
      <c r="N324"/>
      <c r="O324"/>
      <c r="P324"/>
      <c r="Q324"/>
      <c r="R324"/>
      <c r="S324"/>
      <c r="T324"/>
      <c r="U324"/>
      <c r="V324"/>
      <c r="W324"/>
      <c r="X324"/>
      <c r="Y324"/>
    </row>
    <row r="325" spans="1:25" ht="14.4" x14ac:dyDescent="0.3">
      <c r="A325"/>
      <c r="B325"/>
      <c r="C325"/>
      <c r="D325"/>
      <c r="E325"/>
      <c r="F325"/>
      <c r="G325"/>
      <c r="H325"/>
      <c r="I325"/>
      <c r="J325"/>
      <c r="K325"/>
      <c r="L325"/>
      <c r="N325"/>
      <c r="O325"/>
      <c r="P325"/>
      <c r="Q325"/>
      <c r="R325"/>
      <c r="S325"/>
      <c r="T325"/>
      <c r="U325"/>
      <c r="V325"/>
      <c r="W325"/>
      <c r="X325"/>
      <c r="Y325"/>
    </row>
    <row r="326" spans="1:25" ht="14.4" x14ac:dyDescent="0.3">
      <c r="A326"/>
      <c r="B326"/>
      <c r="C326"/>
      <c r="D326"/>
      <c r="E326"/>
      <c r="F326"/>
      <c r="G326"/>
      <c r="H326"/>
      <c r="I326"/>
      <c r="J326"/>
      <c r="K326"/>
      <c r="L326"/>
      <c r="N326"/>
      <c r="O326"/>
      <c r="P326"/>
      <c r="Q326"/>
      <c r="R326"/>
      <c r="S326"/>
      <c r="T326"/>
      <c r="U326"/>
      <c r="V326"/>
      <c r="W326"/>
      <c r="X326"/>
      <c r="Y326"/>
    </row>
    <row r="327" spans="1:25" ht="14.4" x14ac:dyDescent="0.3">
      <c r="A327"/>
      <c r="B327"/>
      <c r="C327"/>
      <c r="D327"/>
      <c r="E327"/>
      <c r="F327"/>
      <c r="G327"/>
      <c r="H327"/>
      <c r="I327"/>
      <c r="J327"/>
      <c r="K327"/>
      <c r="L327"/>
      <c r="N327"/>
      <c r="O327"/>
      <c r="P327"/>
      <c r="Q327"/>
      <c r="R327"/>
      <c r="S327"/>
      <c r="T327"/>
      <c r="U327"/>
      <c r="V327"/>
      <c r="W327"/>
      <c r="X327"/>
      <c r="Y327"/>
    </row>
    <row r="328" spans="1:25" ht="14.4" x14ac:dyDescent="0.3">
      <c r="A328"/>
      <c r="B328"/>
      <c r="C328"/>
      <c r="D328"/>
      <c r="E328"/>
      <c r="F328"/>
      <c r="G328"/>
      <c r="H328"/>
      <c r="I328"/>
      <c r="J328"/>
      <c r="K328"/>
      <c r="L328"/>
      <c r="N328"/>
      <c r="O328"/>
      <c r="P328"/>
      <c r="Q328"/>
      <c r="R328"/>
      <c r="S328"/>
      <c r="T328"/>
      <c r="U328"/>
      <c r="V328"/>
      <c r="W328"/>
      <c r="X328"/>
      <c r="Y328"/>
    </row>
    <row r="329" spans="1:25" ht="14.4" x14ac:dyDescent="0.3">
      <c r="A329"/>
      <c r="B329"/>
      <c r="C329"/>
      <c r="D329"/>
      <c r="E329"/>
      <c r="F329"/>
      <c r="G329"/>
      <c r="H329"/>
      <c r="I329"/>
      <c r="J329"/>
      <c r="K329"/>
      <c r="L329"/>
      <c r="N329"/>
      <c r="O329"/>
      <c r="P329"/>
      <c r="Q329"/>
      <c r="R329"/>
      <c r="S329"/>
      <c r="T329"/>
      <c r="U329"/>
      <c r="V329"/>
      <c r="W329"/>
      <c r="X329"/>
      <c r="Y329"/>
    </row>
    <row r="330" spans="1:25" ht="14.4" x14ac:dyDescent="0.3">
      <c r="A330"/>
      <c r="B330"/>
      <c r="C330"/>
      <c r="D330"/>
      <c r="E330"/>
      <c r="F330"/>
      <c r="G330"/>
      <c r="H330"/>
      <c r="I330"/>
      <c r="J330"/>
      <c r="K330"/>
      <c r="L330"/>
      <c r="N330"/>
      <c r="O330"/>
      <c r="P330"/>
      <c r="Q330"/>
      <c r="R330"/>
      <c r="S330"/>
      <c r="T330"/>
      <c r="U330"/>
      <c r="V330"/>
      <c r="W330"/>
      <c r="X330"/>
      <c r="Y330"/>
    </row>
    <row r="331" spans="1:25" ht="14.4" x14ac:dyDescent="0.3">
      <c r="A331"/>
      <c r="B331"/>
      <c r="C331"/>
      <c r="D331"/>
      <c r="E331"/>
      <c r="F331"/>
      <c r="G331"/>
      <c r="H331"/>
      <c r="I331"/>
      <c r="J331"/>
      <c r="K331"/>
      <c r="L331"/>
      <c r="N331"/>
      <c r="O331"/>
      <c r="P331"/>
      <c r="Q331"/>
      <c r="R331"/>
      <c r="S331"/>
      <c r="T331"/>
      <c r="U331"/>
      <c r="V331"/>
      <c r="W331"/>
      <c r="X331"/>
      <c r="Y331"/>
    </row>
    <row r="332" spans="1:25" ht="14.4" x14ac:dyDescent="0.3">
      <c r="A332"/>
      <c r="B332"/>
      <c r="C332"/>
      <c r="D332"/>
      <c r="E332"/>
      <c r="F332"/>
      <c r="G332"/>
      <c r="H332"/>
      <c r="I332"/>
      <c r="J332"/>
      <c r="K332"/>
      <c r="L332"/>
      <c r="N332"/>
      <c r="O332"/>
      <c r="P332"/>
      <c r="Q332"/>
      <c r="R332"/>
      <c r="S332"/>
      <c r="T332"/>
      <c r="U332"/>
      <c r="V332"/>
      <c r="W332"/>
      <c r="X332"/>
      <c r="Y332"/>
    </row>
    <row r="333" spans="1:25" ht="14.4" x14ac:dyDescent="0.3">
      <c r="A333"/>
      <c r="B333"/>
      <c r="C333"/>
      <c r="D333"/>
      <c r="E333"/>
      <c r="F333"/>
      <c r="G333"/>
      <c r="H333"/>
      <c r="I333"/>
      <c r="J333"/>
      <c r="K333"/>
      <c r="L333"/>
      <c r="N333"/>
      <c r="O333"/>
      <c r="P333"/>
      <c r="Q333"/>
      <c r="R333"/>
      <c r="S333"/>
      <c r="T333"/>
      <c r="U333"/>
      <c r="V333"/>
      <c r="W333"/>
      <c r="X333"/>
      <c r="Y333"/>
    </row>
    <row r="334" spans="1:25" ht="14.4" x14ac:dyDescent="0.3">
      <c r="A334"/>
      <c r="B334"/>
      <c r="C334"/>
      <c r="D334"/>
      <c r="E334"/>
      <c r="F334"/>
      <c r="G334"/>
      <c r="H334"/>
      <c r="I334"/>
      <c r="J334"/>
      <c r="K334"/>
      <c r="L334"/>
      <c r="N334"/>
      <c r="O334"/>
      <c r="P334"/>
      <c r="Q334"/>
      <c r="R334"/>
      <c r="S334"/>
      <c r="T334"/>
      <c r="U334"/>
      <c r="V334"/>
      <c r="W334"/>
      <c r="X334"/>
      <c r="Y334"/>
    </row>
    <row r="335" spans="1:25" ht="14.4" x14ac:dyDescent="0.3">
      <c r="A335"/>
      <c r="B335"/>
      <c r="C335"/>
      <c r="D335"/>
      <c r="E335"/>
      <c r="F335"/>
      <c r="G335"/>
      <c r="H335"/>
      <c r="I335"/>
      <c r="J335"/>
      <c r="K335"/>
      <c r="L335"/>
      <c r="N335"/>
      <c r="O335"/>
      <c r="P335"/>
      <c r="Q335"/>
      <c r="R335"/>
      <c r="S335"/>
      <c r="T335"/>
      <c r="U335"/>
      <c r="V335"/>
      <c r="W335"/>
      <c r="X335"/>
      <c r="Y335"/>
    </row>
    <row r="336" spans="1:25" ht="14.4" x14ac:dyDescent="0.3">
      <c r="A336"/>
      <c r="B336"/>
      <c r="C336"/>
      <c r="D336"/>
      <c r="E336"/>
      <c r="F336"/>
      <c r="G336"/>
      <c r="H336"/>
      <c r="I336"/>
      <c r="J336"/>
      <c r="K336"/>
      <c r="L336"/>
      <c r="N336"/>
      <c r="O336"/>
      <c r="P336"/>
      <c r="Q336"/>
      <c r="R336"/>
      <c r="S336"/>
      <c r="T336"/>
      <c r="U336"/>
      <c r="V336"/>
      <c r="W336"/>
      <c r="X336"/>
      <c r="Y336"/>
    </row>
    <row r="337" spans="1:25" ht="14.4" x14ac:dyDescent="0.3">
      <c r="A337"/>
      <c r="B337"/>
      <c r="C337"/>
      <c r="D337"/>
      <c r="E337"/>
      <c r="F337"/>
      <c r="G337"/>
      <c r="H337"/>
      <c r="I337"/>
      <c r="J337"/>
      <c r="K337"/>
      <c r="L337"/>
      <c r="N337"/>
      <c r="O337"/>
      <c r="P337"/>
      <c r="Q337"/>
      <c r="R337"/>
      <c r="S337"/>
      <c r="T337"/>
      <c r="U337"/>
      <c r="V337"/>
      <c r="W337"/>
      <c r="X337"/>
      <c r="Y337"/>
    </row>
    <row r="338" spans="1:25" ht="14.4" x14ac:dyDescent="0.3">
      <c r="A338"/>
      <c r="B338"/>
      <c r="C338"/>
      <c r="D338"/>
      <c r="E338"/>
      <c r="F338"/>
      <c r="G338"/>
      <c r="H338"/>
      <c r="I338"/>
      <c r="J338"/>
      <c r="K338"/>
      <c r="L338"/>
      <c r="N338"/>
      <c r="O338"/>
      <c r="P338"/>
      <c r="Q338"/>
      <c r="R338"/>
      <c r="S338"/>
      <c r="T338"/>
      <c r="U338"/>
      <c r="V338"/>
      <c r="W338"/>
      <c r="X338"/>
      <c r="Y338"/>
    </row>
    <row r="339" spans="1:25" ht="14.4" x14ac:dyDescent="0.3">
      <c r="A339"/>
      <c r="B339"/>
      <c r="C339"/>
      <c r="D339"/>
      <c r="E339"/>
      <c r="F339"/>
      <c r="G339"/>
      <c r="H339"/>
      <c r="I339"/>
      <c r="J339"/>
      <c r="K339"/>
      <c r="L339"/>
      <c r="N339"/>
      <c r="O339"/>
      <c r="P339"/>
      <c r="Q339"/>
      <c r="R339"/>
      <c r="S339"/>
      <c r="T339"/>
      <c r="U339"/>
      <c r="V339"/>
      <c r="W339"/>
      <c r="X339"/>
      <c r="Y339"/>
    </row>
    <row r="340" spans="1:25" ht="14.4" x14ac:dyDescent="0.3">
      <c r="A340"/>
      <c r="B340"/>
      <c r="C340"/>
      <c r="D340"/>
      <c r="E340"/>
      <c r="F340"/>
      <c r="G340"/>
      <c r="H340"/>
      <c r="I340"/>
      <c r="J340"/>
      <c r="K340"/>
      <c r="L340"/>
      <c r="N340"/>
      <c r="O340"/>
      <c r="P340"/>
      <c r="Q340"/>
      <c r="R340"/>
      <c r="S340"/>
      <c r="T340"/>
      <c r="U340"/>
      <c r="V340"/>
      <c r="W340"/>
      <c r="X340"/>
      <c r="Y340"/>
    </row>
    <row r="341" spans="1:25" ht="14.4" x14ac:dyDescent="0.3">
      <c r="A341"/>
      <c r="B341"/>
      <c r="C341"/>
      <c r="D341"/>
      <c r="E341"/>
      <c r="F341"/>
      <c r="G341"/>
      <c r="H341"/>
      <c r="I341"/>
      <c r="J341"/>
      <c r="K341"/>
      <c r="L341"/>
      <c r="N341"/>
      <c r="O341"/>
      <c r="P341"/>
      <c r="Q341"/>
      <c r="R341"/>
      <c r="S341"/>
      <c r="T341"/>
      <c r="U341"/>
      <c r="V341"/>
      <c r="W341"/>
      <c r="X341"/>
      <c r="Y341"/>
    </row>
    <row r="342" spans="1:25" ht="14.4" x14ac:dyDescent="0.3">
      <c r="A342"/>
      <c r="B342"/>
      <c r="C342"/>
      <c r="D342"/>
      <c r="E342"/>
      <c r="F342"/>
      <c r="G342"/>
      <c r="H342"/>
      <c r="I342"/>
      <c r="J342"/>
      <c r="K342"/>
      <c r="L342"/>
      <c r="N342"/>
      <c r="O342"/>
      <c r="P342"/>
      <c r="Q342"/>
      <c r="R342"/>
      <c r="S342"/>
      <c r="T342"/>
      <c r="U342"/>
      <c r="V342"/>
      <c r="W342"/>
      <c r="X342"/>
      <c r="Y342"/>
    </row>
    <row r="343" spans="1:25" ht="14.4" x14ac:dyDescent="0.3">
      <c r="A343"/>
      <c r="B343"/>
      <c r="C343"/>
      <c r="D343"/>
      <c r="E343"/>
      <c r="F343"/>
      <c r="G343"/>
      <c r="H343"/>
      <c r="I343"/>
      <c r="J343"/>
      <c r="K343"/>
      <c r="L343"/>
      <c r="N343"/>
      <c r="O343"/>
      <c r="P343"/>
      <c r="Q343"/>
      <c r="R343"/>
      <c r="S343"/>
      <c r="T343"/>
      <c r="U343"/>
      <c r="V343"/>
      <c r="W343"/>
      <c r="X343"/>
      <c r="Y343"/>
    </row>
    <row r="344" spans="1:25" ht="14.4" x14ac:dyDescent="0.3">
      <c r="A344"/>
      <c r="B344"/>
      <c r="C344"/>
      <c r="D344"/>
      <c r="E344"/>
      <c r="F344"/>
      <c r="G344"/>
      <c r="H344"/>
      <c r="I344"/>
      <c r="J344"/>
      <c r="K344"/>
      <c r="L344"/>
      <c r="N344"/>
      <c r="O344"/>
      <c r="P344"/>
      <c r="Q344"/>
      <c r="R344"/>
      <c r="S344"/>
      <c r="T344"/>
      <c r="U344"/>
      <c r="V344"/>
      <c r="W344"/>
      <c r="X344"/>
      <c r="Y344"/>
    </row>
    <row r="345" spans="1:25" ht="14.4" x14ac:dyDescent="0.3">
      <c r="A345"/>
      <c r="B345"/>
      <c r="C345"/>
      <c r="D345"/>
      <c r="E345"/>
      <c r="F345"/>
      <c r="G345"/>
      <c r="H345"/>
      <c r="I345"/>
      <c r="J345"/>
      <c r="K345"/>
      <c r="L345"/>
      <c r="N345"/>
      <c r="O345"/>
      <c r="P345"/>
      <c r="Q345"/>
      <c r="R345"/>
      <c r="S345"/>
      <c r="T345"/>
      <c r="U345"/>
      <c r="V345"/>
      <c r="W345"/>
      <c r="X345"/>
      <c r="Y345"/>
    </row>
    <row r="346" spans="1:25" ht="14.4" x14ac:dyDescent="0.3">
      <c r="A346"/>
      <c r="B346"/>
      <c r="C346"/>
      <c r="D346"/>
      <c r="E346"/>
      <c r="F346"/>
      <c r="G346"/>
      <c r="H346"/>
      <c r="I346"/>
      <c r="J346"/>
      <c r="K346"/>
      <c r="L346"/>
      <c r="N346"/>
      <c r="O346"/>
      <c r="P346"/>
      <c r="Q346"/>
      <c r="R346"/>
      <c r="S346"/>
      <c r="T346"/>
      <c r="U346"/>
      <c r="V346"/>
      <c r="W346"/>
      <c r="X346"/>
      <c r="Y346"/>
    </row>
    <row r="347" spans="1:25" ht="14.4" x14ac:dyDescent="0.3">
      <c r="A347"/>
      <c r="B347"/>
      <c r="C347"/>
      <c r="D347"/>
      <c r="E347"/>
      <c r="F347"/>
      <c r="G347"/>
      <c r="H347"/>
      <c r="I347"/>
      <c r="J347"/>
      <c r="K347"/>
      <c r="L347"/>
      <c r="N347"/>
      <c r="O347"/>
      <c r="P347"/>
      <c r="Q347"/>
      <c r="R347"/>
      <c r="S347"/>
      <c r="T347"/>
      <c r="U347"/>
      <c r="V347"/>
      <c r="W347"/>
      <c r="X347"/>
      <c r="Y347"/>
    </row>
    <row r="348" spans="1:25" ht="14.4" x14ac:dyDescent="0.3">
      <c r="A348"/>
      <c r="B348"/>
      <c r="C348"/>
      <c r="D348"/>
      <c r="E348"/>
      <c r="F348"/>
      <c r="G348"/>
      <c r="H348"/>
      <c r="I348"/>
      <c r="J348"/>
      <c r="K348"/>
      <c r="L348"/>
      <c r="N348"/>
      <c r="O348"/>
      <c r="P348"/>
      <c r="Q348"/>
      <c r="R348"/>
      <c r="S348"/>
      <c r="T348"/>
      <c r="U348"/>
      <c r="V348"/>
      <c r="W348"/>
      <c r="X348"/>
      <c r="Y348"/>
    </row>
    <row r="349" spans="1:25" ht="14.4" x14ac:dyDescent="0.3">
      <c r="A349"/>
      <c r="B349"/>
      <c r="C349"/>
      <c r="D349"/>
      <c r="E349"/>
      <c r="F349"/>
      <c r="G349"/>
      <c r="H349"/>
      <c r="I349"/>
      <c r="J349"/>
      <c r="K349"/>
      <c r="L349"/>
      <c r="N349"/>
      <c r="O349"/>
      <c r="P349"/>
      <c r="Q349"/>
      <c r="R349"/>
      <c r="S349"/>
      <c r="T349"/>
      <c r="U349"/>
      <c r="V349"/>
      <c r="W349"/>
      <c r="X349"/>
      <c r="Y349"/>
    </row>
    <row r="350" spans="1:25" ht="14.4" x14ac:dyDescent="0.3">
      <c r="A350"/>
      <c r="B350"/>
      <c r="C350"/>
      <c r="D350"/>
      <c r="E350"/>
      <c r="F350"/>
      <c r="G350"/>
      <c r="H350"/>
      <c r="I350"/>
      <c r="J350"/>
      <c r="K350"/>
      <c r="L350"/>
      <c r="N350"/>
      <c r="O350"/>
      <c r="P350"/>
      <c r="Q350"/>
      <c r="R350"/>
      <c r="S350"/>
      <c r="T350"/>
      <c r="U350"/>
      <c r="V350"/>
      <c r="W350"/>
      <c r="X350"/>
      <c r="Y350"/>
    </row>
    <row r="351" spans="1:25" ht="14.4" x14ac:dyDescent="0.3">
      <c r="A351"/>
      <c r="B351"/>
      <c r="C351"/>
      <c r="D351"/>
      <c r="E351"/>
      <c r="F351"/>
      <c r="G351"/>
      <c r="H351"/>
      <c r="I351"/>
      <c r="J351"/>
      <c r="K351"/>
      <c r="L351"/>
      <c r="N351"/>
      <c r="O351"/>
      <c r="P351"/>
      <c r="Q351"/>
      <c r="R351"/>
      <c r="S351"/>
      <c r="T351"/>
      <c r="U351"/>
      <c r="V351"/>
      <c r="W351"/>
      <c r="X351"/>
      <c r="Y351"/>
    </row>
    <row r="352" spans="1:25" ht="14.4" x14ac:dyDescent="0.3">
      <c r="A352"/>
      <c r="B352"/>
      <c r="C352"/>
      <c r="D352"/>
      <c r="E352"/>
      <c r="F352"/>
      <c r="G352"/>
      <c r="H352"/>
      <c r="I352"/>
      <c r="J352"/>
      <c r="K352"/>
      <c r="L352"/>
      <c r="N352"/>
      <c r="O352"/>
      <c r="P352"/>
      <c r="Q352"/>
      <c r="R352"/>
      <c r="S352"/>
      <c r="T352"/>
      <c r="U352"/>
      <c r="V352"/>
      <c r="W352"/>
      <c r="X352"/>
      <c r="Y352"/>
    </row>
    <row r="353" spans="1:25" ht="14.4" x14ac:dyDescent="0.3">
      <c r="A353"/>
      <c r="B353"/>
      <c r="C353"/>
      <c r="D353"/>
      <c r="E353"/>
      <c r="F353"/>
      <c r="G353"/>
      <c r="H353"/>
      <c r="I353"/>
      <c r="J353"/>
      <c r="K353"/>
      <c r="L353"/>
      <c r="N353"/>
      <c r="O353"/>
      <c r="P353"/>
      <c r="Q353"/>
      <c r="R353"/>
      <c r="S353"/>
      <c r="T353"/>
      <c r="U353"/>
      <c r="V353"/>
      <c r="W353"/>
      <c r="X353"/>
      <c r="Y353"/>
    </row>
    <row r="354" spans="1:25" ht="14.4" x14ac:dyDescent="0.3">
      <c r="A354"/>
      <c r="B354"/>
      <c r="C354"/>
      <c r="D354"/>
      <c r="E354"/>
      <c r="F354"/>
      <c r="G354"/>
      <c r="H354"/>
      <c r="I354"/>
      <c r="J354"/>
      <c r="K354"/>
      <c r="L354"/>
      <c r="N354"/>
      <c r="O354"/>
      <c r="P354"/>
      <c r="Q354"/>
      <c r="R354"/>
      <c r="S354"/>
      <c r="T354"/>
      <c r="U354"/>
      <c r="V354"/>
      <c r="W354"/>
      <c r="X354"/>
      <c r="Y354"/>
    </row>
    <row r="355" spans="1:25" ht="14.4" x14ac:dyDescent="0.3">
      <c r="A355"/>
      <c r="B355"/>
      <c r="C355"/>
      <c r="D355"/>
      <c r="E355"/>
      <c r="F355"/>
      <c r="G355"/>
      <c r="H355"/>
      <c r="I355"/>
      <c r="J355"/>
      <c r="K355"/>
      <c r="L355"/>
      <c r="N355"/>
      <c r="O355"/>
      <c r="P355"/>
      <c r="Q355"/>
      <c r="R355"/>
      <c r="S355"/>
      <c r="T355"/>
      <c r="U355"/>
      <c r="V355"/>
      <c r="W355"/>
      <c r="X355"/>
      <c r="Y355"/>
    </row>
    <row r="356" spans="1:25" ht="14.4" x14ac:dyDescent="0.3">
      <c r="A356"/>
      <c r="B356"/>
      <c r="C356"/>
      <c r="D356"/>
      <c r="E356"/>
      <c r="F356"/>
      <c r="G356"/>
      <c r="H356"/>
      <c r="I356"/>
      <c r="J356"/>
      <c r="K356"/>
      <c r="L356"/>
      <c r="N356"/>
      <c r="O356"/>
      <c r="P356"/>
      <c r="Q356"/>
      <c r="R356"/>
      <c r="S356"/>
      <c r="T356"/>
      <c r="U356"/>
      <c r="V356"/>
      <c r="W356"/>
      <c r="X356"/>
      <c r="Y356"/>
    </row>
    <row r="357" spans="1:25" ht="14.4" x14ac:dyDescent="0.3">
      <c r="A357"/>
      <c r="B357"/>
      <c r="C357"/>
      <c r="D357"/>
      <c r="E357"/>
      <c r="F357"/>
      <c r="G357"/>
      <c r="H357"/>
      <c r="I357"/>
      <c r="J357"/>
      <c r="K357"/>
      <c r="L357"/>
      <c r="N357"/>
      <c r="O357"/>
      <c r="P357"/>
      <c r="Q357"/>
      <c r="R357"/>
      <c r="S357"/>
      <c r="T357"/>
      <c r="U357"/>
      <c r="V357"/>
      <c r="W357"/>
      <c r="X357"/>
      <c r="Y357"/>
    </row>
    <row r="358" spans="1:25" ht="14.4" x14ac:dyDescent="0.3">
      <c r="A358"/>
      <c r="B358"/>
      <c r="C358"/>
      <c r="D358"/>
      <c r="E358"/>
      <c r="F358"/>
      <c r="G358"/>
      <c r="H358"/>
      <c r="I358"/>
      <c r="J358"/>
      <c r="K358"/>
      <c r="L358"/>
      <c r="N358"/>
      <c r="O358"/>
      <c r="P358"/>
      <c r="Q358"/>
      <c r="R358"/>
      <c r="S358"/>
      <c r="T358"/>
      <c r="U358"/>
      <c r="V358"/>
      <c r="W358"/>
      <c r="X358"/>
      <c r="Y358"/>
    </row>
    <row r="359" spans="1:25" ht="14.4" x14ac:dyDescent="0.3">
      <c r="A359"/>
      <c r="B359"/>
      <c r="C359"/>
      <c r="D359"/>
      <c r="E359"/>
      <c r="F359"/>
      <c r="G359"/>
      <c r="H359"/>
      <c r="I359"/>
      <c r="J359"/>
      <c r="K359"/>
      <c r="L359"/>
      <c r="N359"/>
      <c r="O359"/>
      <c r="P359"/>
      <c r="Q359"/>
      <c r="R359"/>
      <c r="S359"/>
      <c r="T359"/>
      <c r="U359"/>
      <c r="V359"/>
      <c r="W359"/>
      <c r="X359"/>
      <c r="Y359"/>
    </row>
    <row r="360" spans="1:25" ht="14.4" x14ac:dyDescent="0.3">
      <c r="A360"/>
      <c r="B360"/>
      <c r="C360"/>
      <c r="D360"/>
      <c r="E360"/>
      <c r="F360"/>
      <c r="G360"/>
      <c r="H360"/>
      <c r="I360"/>
      <c r="J360"/>
      <c r="K360"/>
      <c r="L360"/>
      <c r="N360"/>
      <c r="O360"/>
      <c r="P360"/>
      <c r="Q360"/>
      <c r="R360"/>
      <c r="S360"/>
      <c r="T360"/>
      <c r="U360"/>
      <c r="V360"/>
      <c r="W360"/>
      <c r="X360"/>
      <c r="Y360"/>
    </row>
    <row r="361" spans="1:25" ht="14.4" x14ac:dyDescent="0.3">
      <c r="A361"/>
      <c r="B361"/>
      <c r="C361"/>
      <c r="D361"/>
      <c r="E361"/>
      <c r="F361"/>
      <c r="G361"/>
      <c r="H361"/>
      <c r="I361"/>
      <c r="J361"/>
      <c r="K361"/>
      <c r="L361"/>
      <c r="N361"/>
      <c r="O361"/>
      <c r="P361"/>
      <c r="Q361"/>
      <c r="R361"/>
      <c r="S361"/>
      <c r="T361"/>
      <c r="U361"/>
      <c r="V361"/>
      <c r="W361"/>
      <c r="X361"/>
      <c r="Y361"/>
    </row>
    <row r="362" spans="1:25" ht="14.4" x14ac:dyDescent="0.3">
      <c r="A362"/>
      <c r="B362"/>
      <c r="C362"/>
      <c r="D362"/>
      <c r="E362"/>
      <c r="F362"/>
      <c r="G362"/>
      <c r="H362"/>
      <c r="I362"/>
      <c r="J362"/>
      <c r="K362"/>
      <c r="L362"/>
      <c r="N362"/>
      <c r="O362"/>
      <c r="P362"/>
      <c r="Q362"/>
      <c r="R362"/>
      <c r="S362"/>
      <c r="T362"/>
      <c r="U362"/>
      <c r="V362"/>
      <c r="W362"/>
      <c r="X362"/>
      <c r="Y362"/>
    </row>
    <row r="363" spans="1:25" ht="14.4" x14ac:dyDescent="0.3">
      <c r="A363"/>
      <c r="B363"/>
      <c r="C363"/>
      <c r="D363"/>
      <c r="E363"/>
      <c r="F363"/>
      <c r="G363"/>
      <c r="H363"/>
      <c r="I363"/>
      <c r="J363"/>
      <c r="K363"/>
      <c r="L363"/>
      <c r="N363"/>
      <c r="O363"/>
      <c r="P363"/>
      <c r="Q363"/>
      <c r="R363"/>
      <c r="S363"/>
      <c r="T363"/>
      <c r="U363"/>
      <c r="V363"/>
      <c r="W363"/>
      <c r="X363"/>
      <c r="Y363"/>
    </row>
    <row r="364" spans="1:25" ht="14.4" x14ac:dyDescent="0.3">
      <c r="A364"/>
      <c r="B364"/>
      <c r="C364"/>
      <c r="D364"/>
      <c r="E364"/>
      <c r="F364"/>
      <c r="G364"/>
      <c r="H364"/>
      <c r="I364"/>
      <c r="J364"/>
      <c r="K364"/>
      <c r="L364"/>
      <c r="N364"/>
      <c r="O364"/>
      <c r="P364"/>
      <c r="Q364"/>
      <c r="R364"/>
      <c r="S364"/>
      <c r="T364"/>
      <c r="U364"/>
      <c r="V364"/>
      <c r="W364"/>
      <c r="X364"/>
      <c r="Y364"/>
    </row>
    <row r="365" spans="1:25" ht="14.4" x14ac:dyDescent="0.3">
      <c r="A365"/>
      <c r="B365"/>
      <c r="C365"/>
      <c r="D365"/>
      <c r="E365"/>
      <c r="F365"/>
      <c r="G365"/>
      <c r="H365"/>
      <c r="I365"/>
      <c r="J365"/>
      <c r="K365"/>
      <c r="L365"/>
      <c r="N365"/>
      <c r="O365"/>
      <c r="P365"/>
      <c r="Q365"/>
      <c r="R365"/>
      <c r="S365"/>
      <c r="T365"/>
      <c r="U365"/>
      <c r="V365"/>
      <c r="W365"/>
      <c r="X365"/>
      <c r="Y365"/>
    </row>
    <row r="366" spans="1:25" ht="14.4" x14ac:dyDescent="0.3">
      <c r="A366"/>
      <c r="B366"/>
      <c r="C366"/>
      <c r="D366"/>
      <c r="E366"/>
      <c r="F366"/>
      <c r="G366"/>
      <c r="H366"/>
      <c r="I366"/>
      <c r="J366"/>
      <c r="K366"/>
      <c r="L366"/>
      <c r="N366"/>
      <c r="O366"/>
      <c r="P366"/>
      <c r="Q366"/>
      <c r="R366"/>
      <c r="S366"/>
      <c r="T366"/>
      <c r="U366"/>
      <c r="V366"/>
      <c r="W366"/>
      <c r="X366"/>
      <c r="Y366"/>
    </row>
    <row r="367" spans="1:25" ht="14.4" x14ac:dyDescent="0.3">
      <c r="A367"/>
      <c r="B367"/>
      <c r="C367"/>
      <c r="D367"/>
      <c r="E367"/>
      <c r="F367"/>
      <c r="G367"/>
      <c r="H367"/>
      <c r="I367"/>
      <c r="J367"/>
      <c r="K367"/>
      <c r="L367"/>
      <c r="N367"/>
      <c r="O367"/>
      <c r="P367"/>
      <c r="Q367"/>
      <c r="R367"/>
      <c r="S367"/>
      <c r="T367"/>
      <c r="U367"/>
      <c r="V367"/>
      <c r="W367"/>
      <c r="X367"/>
      <c r="Y367"/>
    </row>
    <row r="368" spans="1:25" ht="14.4" x14ac:dyDescent="0.3">
      <c r="A368"/>
      <c r="B368"/>
      <c r="C368"/>
      <c r="D368"/>
      <c r="E368"/>
      <c r="F368"/>
      <c r="G368"/>
      <c r="H368"/>
      <c r="I368"/>
      <c r="J368"/>
      <c r="K368"/>
      <c r="L368"/>
      <c r="N368"/>
      <c r="O368"/>
      <c r="P368"/>
      <c r="Q368"/>
      <c r="R368"/>
      <c r="S368"/>
      <c r="T368"/>
      <c r="U368"/>
      <c r="V368"/>
      <c r="W368"/>
      <c r="X368"/>
      <c r="Y368"/>
    </row>
    <row r="369" spans="1:25" ht="14.4" x14ac:dyDescent="0.3">
      <c r="A369"/>
      <c r="B369"/>
      <c r="C369"/>
      <c r="D369"/>
      <c r="E369"/>
      <c r="F369"/>
      <c r="G369"/>
      <c r="H369"/>
      <c r="I369"/>
      <c r="J369"/>
      <c r="K369"/>
      <c r="L369"/>
      <c r="N369"/>
      <c r="O369"/>
      <c r="P369"/>
      <c r="Q369"/>
      <c r="R369"/>
      <c r="S369"/>
      <c r="T369"/>
      <c r="U369"/>
      <c r="V369"/>
      <c r="W369"/>
      <c r="X369"/>
      <c r="Y369"/>
    </row>
    <row r="370" spans="1:25" ht="14.4" x14ac:dyDescent="0.3">
      <c r="A370"/>
      <c r="B370"/>
      <c r="C370"/>
      <c r="D370"/>
      <c r="E370"/>
      <c r="F370"/>
      <c r="G370"/>
      <c r="H370"/>
      <c r="I370"/>
      <c r="J370"/>
      <c r="K370"/>
      <c r="L370"/>
      <c r="N370"/>
      <c r="O370"/>
      <c r="P370"/>
      <c r="Q370"/>
      <c r="R370"/>
      <c r="S370"/>
      <c r="T370"/>
      <c r="U370"/>
      <c r="V370"/>
      <c r="W370"/>
      <c r="X370"/>
      <c r="Y370"/>
    </row>
    <row r="371" spans="1:25" ht="14.4" x14ac:dyDescent="0.3">
      <c r="A371"/>
      <c r="B371"/>
      <c r="C371"/>
      <c r="D371"/>
      <c r="E371"/>
      <c r="F371"/>
      <c r="G371"/>
      <c r="H371"/>
      <c r="I371"/>
      <c r="J371"/>
      <c r="K371"/>
      <c r="L371"/>
      <c r="N371"/>
      <c r="O371"/>
      <c r="P371"/>
      <c r="Q371"/>
      <c r="R371"/>
      <c r="S371"/>
      <c r="T371"/>
      <c r="U371"/>
      <c r="V371"/>
      <c r="W371"/>
      <c r="X371"/>
      <c r="Y371"/>
    </row>
    <row r="372" spans="1:25" ht="14.4" x14ac:dyDescent="0.3">
      <c r="A372"/>
      <c r="B372"/>
      <c r="C372"/>
      <c r="D372"/>
      <c r="E372"/>
      <c r="F372"/>
      <c r="G372"/>
      <c r="H372"/>
      <c r="I372"/>
      <c r="J372"/>
      <c r="K372"/>
      <c r="L372"/>
      <c r="N372"/>
      <c r="O372"/>
      <c r="P372"/>
      <c r="Q372"/>
      <c r="R372"/>
      <c r="S372"/>
      <c r="T372"/>
      <c r="U372"/>
      <c r="V372"/>
      <c r="W372"/>
      <c r="X372"/>
      <c r="Y372"/>
    </row>
    <row r="373" spans="1:25" ht="14.4" x14ac:dyDescent="0.3">
      <c r="A373"/>
      <c r="B373"/>
      <c r="C373"/>
      <c r="D373"/>
      <c r="E373"/>
      <c r="F373"/>
      <c r="G373"/>
      <c r="H373"/>
      <c r="I373"/>
      <c r="J373"/>
      <c r="K373"/>
      <c r="L373"/>
      <c r="N373"/>
      <c r="O373"/>
      <c r="P373"/>
      <c r="Q373"/>
      <c r="R373"/>
      <c r="S373"/>
      <c r="T373"/>
      <c r="U373"/>
      <c r="V373"/>
      <c r="W373"/>
      <c r="X373"/>
      <c r="Y373"/>
    </row>
    <row r="374" spans="1:25" ht="14.4" x14ac:dyDescent="0.3">
      <c r="A374"/>
      <c r="B374"/>
      <c r="C374"/>
      <c r="D374"/>
      <c r="E374"/>
      <c r="F374"/>
      <c r="G374"/>
      <c r="H374"/>
      <c r="I374"/>
      <c r="J374"/>
      <c r="K374"/>
      <c r="L374"/>
      <c r="N374"/>
      <c r="O374"/>
      <c r="P374"/>
      <c r="Q374"/>
      <c r="R374"/>
      <c r="S374"/>
      <c r="T374"/>
      <c r="U374"/>
      <c r="V374"/>
      <c r="W374"/>
      <c r="X374"/>
      <c r="Y374"/>
    </row>
    <row r="375" spans="1:25" ht="14.4" x14ac:dyDescent="0.3">
      <c r="A375"/>
      <c r="B375"/>
      <c r="C375"/>
      <c r="D375"/>
      <c r="E375"/>
      <c r="F375"/>
      <c r="G375"/>
      <c r="H375"/>
      <c r="I375"/>
      <c r="J375"/>
      <c r="K375"/>
      <c r="L375"/>
      <c r="N375"/>
      <c r="O375"/>
      <c r="P375"/>
      <c r="Q375"/>
      <c r="R375"/>
      <c r="S375"/>
      <c r="T375"/>
      <c r="U375"/>
      <c r="V375"/>
      <c r="W375"/>
      <c r="X375"/>
      <c r="Y375"/>
    </row>
    <row r="376" spans="1:25" ht="14.4" x14ac:dyDescent="0.3">
      <c r="A376"/>
      <c r="B376"/>
      <c r="C376"/>
      <c r="D376"/>
      <c r="E376"/>
      <c r="F376"/>
      <c r="G376"/>
      <c r="H376"/>
      <c r="I376"/>
      <c r="J376"/>
      <c r="K376"/>
      <c r="L376"/>
      <c r="N376"/>
      <c r="O376"/>
      <c r="P376"/>
      <c r="Q376"/>
      <c r="R376"/>
      <c r="S376"/>
      <c r="T376"/>
      <c r="U376"/>
      <c r="V376"/>
      <c r="W376"/>
      <c r="X376"/>
      <c r="Y376"/>
    </row>
    <row r="377" spans="1:25" ht="14.4" x14ac:dyDescent="0.3">
      <c r="A377"/>
      <c r="B377"/>
      <c r="C377"/>
      <c r="D377"/>
      <c r="E377"/>
      <c r="F377"/>
      <c r="G377"/>
      <c r="H377"/>
      <c r="I377"/>
      <c r="J377"/>
      <c r="K377"/>
      <c r="L377"/>
      <c r="N377"/>
      <c r="O377"/>
      <c r="P377"/>
      <c r="Q377"/>
      <c r="R377"/>
      <c r="S377"/>
      <c r="T377"/>
      <c r="U377"/>
      <c r="V377"/>
      <c r="W377"/>
      <c r="X377"/>
      <c r="Y377"/>
    </row>
    <row r="378" spans="1:25" ht="14.4" x14ac:dyDescent="0.3">
      <c r="A378"/>
      <c r="B378"/>
      <c r="C378"/>
      <c r="D378"/>
      <c r="E378"/>
      <c r="F378"/>
      <c r="G378"/>
      <c r="H378"/>
      <c r="I378"/>
      <c r="J378"/>
      <c r="K378"/>
      <c r="L378"/>
      <c r="N378"/>
      <c r="O378"/>
      <c r="P378"/>
      <c r="Q378"/>
      <c r="R378"/>
      <c r="S378"/>
      <c r="T378"/>
      <c r="U378"/>
      <c r="V378"/>
      <c r="W378"/>
      <c r="X378"/>
      <c r="Y378"/>
    </row>
    <row r="379" spans="1:25" ht="14.4" x14ac:dyDescent="0.3">
      <c r="A379"/>
      <c r="B379"/>
      <c r="C379"/>
      <c r="D379"/>
      <c r="E379"/>
      <c r="F379"/>
      <c r="G379"/>
      <c r="H379"/>
      <c r="I379"/>
      <c r="J379"/>
      <c r="K379"/>
      <c r="L379"/>
      <c r="N379"/>
      <c r="O379"/>
      <c r="P379"/>
      <c r="Q379"/>
      <c r="R379"/>
      <c r="S379"/>
      <c r="T379"/>
      <c r="U379"/>
      <c r="V379"/>
      <c r="W379"/>
      <c r="X379"/>
      <c r="Y379"/>
    </row>
  </sheetData>
  <conditionalFormatting pivot="1" sqref="C12 G12">
    <cfRule type="containsErrors" dxfId="1" priority="2">
      <formula>ISERROR(C12)</formula>
    </cfRule>
  </conditionalFormatting>
  <conditionalFormatting pivot="1" sqref="O12">
    <cfRule type="containsErrors" dxfId="0" priority="1">
      <formula>ISERROR(O12)</formula>
    </cfRule>
  </conditionalFormatting>
  <pageMargins left="0.7" right="0.7" top="0.75" bottom="0.75" header="0.3" footer="0.3"/>
  <pageSetup paperSize="9"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ITN</vt:lpstr>
      <vt:lpstr>BASE_DATOS</vt:lpstr>
      <vt:lpstr>NSK-TRACTO</vt:lpstr>
      <vt:lpstr>NSK-ENCAPSULADO</vt:lpstr>
      <vt:lpstr>DET_REND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Ortega</dc:creator>
  <cp:lastModifiedBy>Daniel Martínez Suarez</cp:lastModifiedBy>
  <cp:lastPrinted>2017-09-13T15:12:34Z</cp:lastPrinted>
  <dcterms:created xsi:type="dcterms:W3CDTF">2012-05-08T13:05:00Z</dcterms:created>
  <dcterms:modified xsi:type="dcterms:W3CDTF">2024-04-04T22:31:49Z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2024-04-02T15:47:28Z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cd6fc951-5716-4b9d-8508-a499fbc99670</vt:lpwstr>
  </property>
  <property fmtid="{D5CDD505-2E9C-101B-9397-08002B2CF9AE}" pid="7" name="MSIP_Label_defa4170-0d19-0005-0004-bc88714345d2_ActionId">
    <vt:lpwstr>03fc43e1-8e2d-48b1-ad43-ed3d24738315</vt:lpwstr>
  </property>
  <property fmtid="{D5CDD505-2E9C-101B-9397-08002B2CF9AE}" pid="8" name="MSIP_Label_defa4170-0d19-0005-0004-bc88714345d2_ContentBits">
    <vt:lpwstr>0</vt:lpwstr>
  </property>
</Properties>
</file>